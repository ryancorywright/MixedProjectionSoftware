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Rank Minimization/Euclidean Distance Matrix Completion/"/>
    </mc:Choice>
  </mc:AlternateContent>
  <xr:revisionPtr revIDLastSave="0" documentId="13_ncr:1_{D449A7D9-2743-BB4E-B88E-891C0DEC7E8E}" xr6:coauthVersionLast="45" xr6:coauthVersionMax="45" xr10:uidLastSave="{00000000-0000-0000-0000-000000000000}"/>
  <bookViews>
    <workbookView xWindow="48420" yWindow="6220" windowWidth="28040" windowHeight="17440" activeTab="1" xr2:uid="{00000000-000D-0000-FFFF-FFFF00000000}"/>
  </bookViews>
  <sheets>
    <sheet name="sdpvsexactgurobi_edm" sheetId="1" r:id="rId1"/>
    <sheet name="proc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2" l="1"/>
  <c r="E6" i="2"/>
  <c r="F6" i="2"/>
  <c r="G6" i="2"/>
  <c r="H6" i="2"/>
  <c r="I6" i="2"/>
  <c r="J6" i="2"/>
  <c r="K6" i="2"/>
  <c r="L6" i="2"/>
  <c r="M6" i="2"/>
  <c r="D7" i="2"/>
  <c r="E7" i="2"/>
  <c r="F7" i="2"/>
  <c r="G7" i="2"/>
  <c r="H7" i="2"/>
  <c r="I7" i="2"/>
  <c r="J7" i="2"/>
  <c r="K7" i="2"/>
  <c r="L7" i="2"/>
  <c r="M7" i="2"/>
  <c r="D4" i="2" l="1"/>
  <c r="E4" i="2"/>
  <c r="F4" i="2"/>
  <c r="G4" i="2"/>
  <c r="H4" i="2"/>
  <c r="I4" i="2"/>
  <c r="J4" i="2"/>
  <c r="K4" i="2"/>
  <c r="L4" i="2"/>
  <c r="M4" i="2"/>
  <c r="D5" i="2"/>
  <c r="E5" i="2"/>
  <c r="F5" i="2"/>
  <c r="G5" i="2"/>
  <c r="H5" i="2"/>
  <c r="I5" i="2"/>
  <c r="J5" i="2"/>
  <c r="K5" i="2"/>
  <c r="L5" i="2"/>
  <c r="M5" i="2"/>
  <c r="L3" i="2" l="1"/>
  <c r="L2" i="2"/>
  <c r="H3" i="2"/>
  <c r="H2" i="2"/>
  <c r="D3" i="2"/>
  <c r="E3" i="2"/>
  <c r="F3" i="2"/>
  <c r="G3" i="2"/>
  <c r="I3" i="2"/>
  <c r="J3" i="2"/>
  <c r="K3" i="2"/>
  <c r="M3" i="2"/>
  <c r="F2" i="2"/>
  <c r="G2" i="2"/>
  <c r="I2" i="2"/>
  <c r="J2" i="2"/>
  <c r="K2" i="2"/>
  <c r="M2" i="2"/>
  <c r="E2" i="2"/>
  <c r="D2" i="2"/>
</calcChain>
</file>

<file path=xl/sharedStrings.xml><?xml version="1.0" encoding="utf-8"?>
<sst xmlns="http://schemas.openxmlformats.org/spreadsheetml/2006/main" count="27" uniqueCount="18">
  <si>
    <t>n</t>
  </si>
  <si>
    <t>m</t>
  </si>
  <si>
    <t>r</t>
  </si>
  <si>
    <t>sdp runtime</t>
  </si>
  <si>
    <t>sdp error DTR</t>
  </si>
  <si>
    <t>sdp error XTR</t>
  </si>
  <si>
    <t>SDP no. points recovered</t>
  </si>
  <si>
    <t>exact runtime</t>
  </si>
  <si>
    <t>exaxt error DTR</t>
  </si>
  <si>
    <t>exact error XTR</t>
  </si>
  <si>
    <t>exact no. points recovered</t>
  </si>
  <si>
    <t>exact MIO gap</t>
  </si>
  <si>
    <t>count</t>
  </si>
  <si>
    <t>SDP prop points recovered</t>
  </si>
  <si>
    <t>exact prop. points recovered</t>
  </si>
  <si>
    <t>average MIO gap</t>
  </si>
  <si>
    <t>&lt;- 600s time limit</t>
  </si>
  <si>
    <t>&lt;- 3600s time limit from n=30 onwards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</si>
</sst>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0" fontId="0" fillId="0" borderId="0" xfId="0" applyNumberFormat="1"/>
    <xf numFmtId="2" fontId="0" fillId="0" borderId="0" xfId="0" applyNumberForma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7"/>
  <sheetViews>
    <sheetView workbookViewId="0">
      <selection activeCell="A23" sqref="A23:L27"/>
    </sheetView>
  </sheetViews>
  <sheetFormatPr baseColWidth="10" defaultRowHeight="16" x14ac:dyDescent="0.2"/>
  <cols>
    <col min="9" max="9" width="13.83203125" bestFit="1" customWidth="1"/>
    <col min="10" max="10" width="13.6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10</v>
      </c>
      <c r="B2">
        <v>5</v>
      </c>
      <c r="C2">
        <v>0.25</v>
      </c>
      <c r="D2">
        <v>0.95216629100000005</v>
      </c>
      <c r="E2">
        <v>0.58554894400000002</v>
      </c>
      <c r="F2">
        <v>0.74656149999999999</v>
      </c>
      <c r="G2">
        <v>4</v>
      </c>
      <c r="H2">
        <v>7.3706129589999998</v>
      </c>
      <c r="I2">
        <v>0.76534793700000003</v>
      </c>
      <c r="J2">
        <v>0.85598214100000003</v>
      </c>
      <c r="K2">
        <v>4</v>
      </c>
      <c r="L2">
        <v>1.9624099999999999E-4</v>
      </c>
    </row>
    <row r="3" spans="1:12" x14ac:dyDescent="0.2">
      <c r="A3">
        <v>10</v>
      </c>
      <c r="B3">
        <v>5</v>
      </c>
      <c r="C3">
        <v>0.25</v>
      </c>
      <c r="D3">
        <v>0.72048401200000001</v>
      </c>
      <c r="E3">
        <v>3.0919554159999998</v>
      </c>
      <c r="F3">
        <v>0.485758205</v>
      </c>
      <c r="G3">
        <v>3</v>
      </c>
      <c r="H3">
        <v>13.931668910000001</v>
      </c>
      <c r="I3">
        <v>1.4176286849999999</v>
      </c>
      <c r="J3">
        <v>0.83437533399999997</v>
      </c>
      <c r="K3">
        <v>5</v>
      </c>
      <c r="L3">
        <v>7.5857599999999996E-4</v>
      </c>
    </row>
    <row r="4" spans="1:12" x14ac:dyDescent="0.2">
      <c r="A4">
        <v>10</v>
      </c>
      <c r="B4">
        <v>5</v>
      </c>
      <c r="C4">
        <v>0.25</v>
      </c>
      <c r="D4">
        <v>1.0409467210000001</v>
      </c>
      <c r="E4">
        <v>0.92900871399999996</v>
      </c>
      <c r="F4">
        <v>0.85436469800000003</v>
      </c>
      <c r="G4">
        <v>0</v>
      </c>
      <c r="H4">
        <v>5.2762482989999997</v>
      </c>
      <c r="I4">
        <v>0.91820335399999997</v>
      </c>
      <c r="J4">
        <v>0.91304347799999996</v>
      </c>
      <c r="K4">
        <v>1</v>
      </c>
      <c r="L4">
        <v>6.2711759999999998E-3</v>
      </c>
    </row>
    <row r="5" spans="1:12" x14ac:dyDescent="0.2">
      <c r="A5">
        <v>10</v>
      </c>
      <c r="B5">
        <v>5</v>
      </c>
      <c r="C5">
        <v>0.25</v>
      </c>
      <c r="D5">
        <v>0.75724168300000005</v>
      </c>
      <c r="E5">
        <v>0.90148593200000005</v>
      </c>
      <c r="F5">
        <v>0.85422158999999998</v>
      </c>
      <c r="G5">
        <v>2</v>
      </c>
      <c r="H5">
        <v>123.4321523</v>
      </c>
      <c r="I5">
        <v>1.5322845629999999</v>
      </c>
      <c r="J5">
        <v>1.178892981</v>
      </c>
      <c r="K5">
        <v>2</v>
      </c>
      <c r="L5">
        <v>0</v>
      </c>
    </row>
    <row r="6" spans="1:12" x14ac:dyDescent="0.2">
      <c r="A6">
        <v>10</v>
      </c>
      <c r="B6">
        <v>5</v>
      </c>
      <c r="C6">
        <v>0.3</v>
      </c>
      <c r="D6">
        <v>1.0040447210000001</v>
      </c>
      <c r="E6">
        <v>0.47429619099999998</v>
      </c>
      <c r="F6">
        <v>0.71398496099999997</v>
      </c>
      <c r="G6">
        <v>3</v>
      </c>
      <c r="H6">
        <v>23.322677559999999</v>
      </c>
      <c r="I6">
        <v>0.75177337799999999</v>
      </c>
      <c r="J6">
        <v>0.70906287400000001</v>
      </c>
      <c r="K6">
        <v>3</v>
      </c>
      <c r="L6">
        <v>6.9760199999999997E-4</v>
      </c>
    </row>
    <row r="7" spans="1:12" x14ac:dyDescent="0.2">
      <c r="A7">
        <v>10</v>
      </c>
      <c r="B7">
        <v>5</v>
      </c>
      <c r="C7">
        <v>0.3</v>
      </c>
      <c r="D7">
        <v>2.1652629999999999E-2</v>
      </c>
      <c r="E7">
        <v>0.47429619099999998</v>
      </c>
      <c r="F7">
        <v>0.71398496099999997</v>
      </c>
      <c r="G7">
        <v>3</v>
      </c>
      <c r="H7">
        <v>20.697925390000002</v>
      </c>
      <c r="I7">
        <v>0.75177337799999999</v>
      </c>
      <c r="J7">
        <v>0.70906287400000001</v>
      </c>
      <c r="K7">
        <v>3</v>
      </c>
      <c r="L7">
        <v>6.9760199999999997E-4</v>
      </c>
    </row>
    <row r="8" spans="1:12" x14ac:dyDescent="0.2">
      <c r="A8">
        <v>10</v>
      </c>
      <c r="B8">
        <v>5</v>
      </c>
      <c r="C8">
        <v>0.3</v>
      </c>
      <c r="D8">
        <v>3.7811017000000002E-2</v>
      </c>
      <c r="E8">
        <v>114.60300410000001</v>
      </c>
      <c r="F8">
        <v>0.48722579500000002</v>
      </c>
      <c r="G8">
        <v>6</v>
      </c>
      <c r="H8">
        <v>18.349932620000001</v>
      </c>
      <c r="I8">
        <v>9.439609398</v>
      </c>
      <c r="J8">
        <v>2.2188519430000002</v>
      </c>
      <c r="K8">
        <v>6</v>
      </c>
      <c r="L8">
        <v>1.008723E-3</v>
      </c>
    </row>
    <row r="9" spans="1:12" x14ac:dyDescent="0.2">
      <c r="A9">
        <v>10</v>
      </c>
      <c r="B9">
        <v>5</v>
      </c>
      <c r="C9">
        <v>0.3</v>
      </c>
      <c r="D9">
        <v>1.485296707</v>
      </c>
      <c r="E9">
        <v>114.60300410000001</v>
      </c>
      <c r="F9">
        <v>0.48722579500000002</v>
      </c>
      <c r="G9">
        <v>6</v>
      </c>
      <c r="H9">
        <v>13.572682220000001</v>
      </c>
      <c r="I9">
        <v>9.439609398</v>
      </c>
      <c r="J9">
        <v>2.2188519430000002</v>
      </c>
      <c r="K9">
        <v>6</v>
      </c>
      <c r="L9">
        <v>1.0087231E-3</v>
      </c>
    </row>
    <row r="10" spans="1:12" x14ac:dyDescent="0.2">
      <c r="A10">
        <v>10</v>
      </c>
      <c r="B10">
        <v>5</v>
      </c>
      <c r="C10">
        <v>0.3</v>
      </c>
      <c r="D10">
        <v>0.91363470199999997</v>
      </c>
      <c r="E10">
        <v>0.65229219298757501</v>
      </c>
      <c r="F10">
        <v>0.71651745253769195</v>
      </c>
      <c r="G10">
        <v>1</v>
      </c>
      <c r="H10">
        <v>601.46662106199994</v>
      </c>
      <c r="I10">
        <v>0.64663555719349897</v>
      </c>
      <c r="J10">
        <v>0.81900902773286099</v>
      </c>
      <c r="K10">
        <v>2</v>
      </c>
      <c r="L10">
        <v>1.30836214531355E-2</v>
      </c>
    </row>
    <row r="11" spans="1:12" x14ac:dyDescent="0.2">
      <c r="A11">
        <v>10</v>
      </c>
      <c r="B11">
        <v>5</v>
      </c>
      <c r="C11">
        <v>0.3</v>
      </c>
      <c r="D11">
        <v>0.91264023500000002</v>
      </c>
      <c r="E11">
        <v>0.78693737838254496</v>
      </c>
      <c r="F11">
        <v>0.57473244826357495</v>
      </c>
      <c r="G11">
        <v>1</v>
      </c>
      <c r="H11">
        <v>2.787152329</v>
      </c>
      <c r="I11">
        <v>0.73768144340056796</v>
      </c>
      <c r="J11">
        <v>0.69870887623203703</v>
      </c>
      <c r="K11">
        <v>1</v>
      </c>
      <c r="L11" s="3">
        <v>8.6797596095440304E-6</v>
      </c>
    </row>
    <row r="12" spans="1:12" x14ac:dyDescent="0.2">
      <c r="A12">
        <v>20</v>
      </c>
      <c r="B12">
        <v>10</v>
      </c>
      <c r="C12">
        <v>0.3</v>
      </c>
      <c r="D12">
        <v>1.071506699</v>
      </c>
      <c r="E12">
        <v>0.242593945195587</v>
      </c>
      <c r="F12">
        <v>0.15075851794561401</v>
      </c>
      <c r="G12">
        <v>19</v>
      </c>
      <c r="H12">
        <v>63.981329829000003</v>
      </c>
      <c r="I12">
        <v>0.242617760897683</v>
      </c>
      <c r="J12">
        <v>0.15076998889208201</v>
      </c>
      <c r="K12">
        <v>19</v>
      </c>
      <c r="L12">
        <v>2.4195811464616901E-3</v>
      </c>
    </row>
    <row r="13" spans="1:12" x14ac:dyDescent="0.2">
      <c r="A13">
        <v>20</v>
      </c>
      <c r="B13">
        <v>10</v>
      </c>
      <c r="C13">
        <v>0.3</v>
      </c>
      <c r="D13">
        <v>0.91287162399999999</v>
      </c>
      <c r="E13">
        <v>0.30236593674712903</v>
      </c>
      <c r="F13">
        <v>0.25767920007614697</v>
      </c>
      <c r="G13">
        <v>17</v>
      </c>
      <c r="H13">
        <v>601.680619847</v>
      </c>
      <c r="I13">
        <v>0.34681389788939598</v>
      </c>
      <c r="J13">
        <v>0.37504380718800101</v>
      </c>
      <c r="K13">
        <v>14</v>
      </c>
      <c r="L13">
        <v>4.2504694571497401E-2</v>
      </c>
    </row>
    <row r="14" spans="1:12" x14ac:dyDescent="0.2">
      <c r="A14">
        <v>20</v>
      </c>
      <c r="B14">
        <v>10</v>
      </c>
      <c r="C14">
        <v>0.3</v>
      </c>
      <c r="D14">
        <v>1.201402745</v>
      </c>
      <c r="E14">
        <v>0.183809232213754</v>
      </c>
      <c r="F14">
        <v>0.19856493428952701</v>
      </c>
      <c r="G14">
        <v>17</v>
      </c>
      <c r="H14">
        <v>7.855209973</v>
      </c>
      <c r="I14">
        <v>0.42423761442164298</v>
      </c>
      <c r="J14">
        <v>0.34032597215546001</v>
      </c>
      <c r="K14">
        <v>17</v>
      </c>
      <c r="L14">
        <v>1.7674931567218299E-3</v>
      </c>
    </row>
    <row r="15" spans="1:12" x14ac:dyDescent="0.2">
      <c r="A15">
        <v>20</v>
      </c>
      <c r="B15">
        <v>10</v>
      </c>
      <c r="C15">
        <v>0.3</v>
      </c>
      <c r="D15">
        <v>0.43789727299999998</v>
      </c>
      <c r="E15">
        <v>0.46423413364327998</v>
      </c>
      <c r="F15">
        <v>0.39999155593859498</v>
      </c>
      <c r="G15">
        <v>16</v>
      </c>
      <c r="H15">
        <v>1.9662321570000001</v>
      </c>
      <c r="I15">
        <v>0.46600131402575801</v>
      </c>
      <c r="J15">
        <v>0.40295997828074298</v>
      </c>
      <c r="K15">
        <v>16</v>
      </c>
      <c r="L15" s="3">
        <v>5.86602671238073E-6</v>
      </c>
    </row>
    <row r="16" spans="1:12" x14ac:dyDescent="0.2">
      <c r="A16">
        <v>20</v>
      </c>
      <c r="B16">
        <v>10</v>
      </c>
      <c r="C16">
        <v>0.3</v>
      </c>
      <c r="D16">
        <v>0.423596062</v>
      </c>
      <c r="E16">
        <v>0.38654188742411599</v>
      </c>
      <c r="F16">
        <v>0.37676554850165</v>
      </c>
      <c r="G16">
        <v>17</v>
      </c>
      <c r="H16">
        <v>1.2111025040000001</v>
      </c>
      <c r="I16">
        <v>0.367039385277176</v>
      </c>
      <c r="J16">
        <v>0.39335078080897301</v>
      </c>
      <c r="K16">
        <v>18</v>
      </c>
      <c r="L16">
        <v>2.9459007245300202E-3</v>
      </c>
    </row>
    <row r="17" spans="1:12" x14ac:dyDescent="0.2">
      <c r="A17">
        <v>20</v>
      </c>
      <c r="B17">
        <v>10</v>
      </c>
      <c r="C17">
        <v>0.25</v>
      </c>
      <c r="D17">
        <v>0.46850405499999997</v>
      </c>
      <c r="E17">
        <v>0.56455028029340404</v>
      </c>
      <c r="F17">
        <v>0.50388644936153604</v>
      </c>
      <c r="G17">
        <v>16</v>
      </c>
      <c r="H17">
        <v>4.9083162299999996</v>
      </c>
      <c r="I17">
        <v>0.55658449705193602</v>
      </c>
      <c r="J17">
        <v>0.51851610154415695</v>
      </c>
      <c r="K17">
        <v>16</v>
      </c>
      <c r="L17">
        <v>2.2110007995291502E-3</v>
      </c>
    </row>
    <row r="18" spans="1:12" x14ac:dyDescent="0.2">
      <c r="A18">
        <v>20</v>
      </c>
      <c r="B18">
        <v>10</v>
      </c>
      <c r="C18">
        <v>0.25</v>
      </c>
      <c r="D18">
        <v>0.80301999599999996</v>
      </c>
      <c r="E18">
        <v>0.63825327720000202</v>
      </c>
      <c r="F18">
        <v>0.66522825791714602</v>
      </c>
      <c r="G18">
        <v>9</v>
      </c>
      <c r="H18">
        <v>601.40725275600005</v>
      </c>
      <c r="I18">
        <v>0.73615729973566302</v>
      </c>
      <c r="J18">
        <v>0.74170312173240405</v>
      </c>
      <c r="K18">
        <v>9</v>
      </c>
      <c r="L18">
        <v>1.2492305532965301E-2</v>
      </c>
    </row>
    <row r="19" spans="1:12" x14ac:dyDescent="0.2">
      <c r="A19">
        <v>20</v>
      </c>
      <c r="B19">
        <v>10</v>
      </c>
      <c r="C19">
        <v>0.25</v>
      </c>
      <c r="D19">
        <v>0.77764738099999997</v>
      </c>
      <c r="E19">
        <v>13873.281760293101</v>
      </c>
      <c r="F19">
        <v>0.396649712646301</v>
      </c>
      <c r="G19">
        <v>18</v>
      </c>
      <c r="H19">
        <v>3.7091816299999998</v>
      </c>
      <c r="I19">
        <v>0.50248773770345501</v>
      </c>
      <c r="J19">
        <v>0.433076563734897</v>
      </c>
      <c r="K19">
        <v>18</v>
      </c>
      <c r="L19" s="3">
        <v>1.2152884843105199E-5</v>
      </c>
    </row>
    <row r="20" spans="1:12" x14ac:dyDescent="0.2">
      <c r="A20">
        <v>20</v>
      </c>
      <c r="B20">
        <v>10</v>
      </c>
      <c r="C20">
        <v>0.25</v>
      </c>
      <c r="D20">
        <v>0.76011921699999996</v>
      </c>
      <c r="E20">
        <v>1.8293769160976301</v>
      </c>
      <c r="F20">
        <v>0.46099082691827298</v>
      </c>
      <c r="G20">
        <v>17</v>
      </c>
      <c r="H20">
        <v>1.5656782060000001</v>
      </c>
      <c r="I20">
        <v>0.50023408289189797</v>
      </c>
      <c r="J20">
        <v>0.46099082691827298</v>
      </c>
      <c r="K20">
        <v>17</v>
      </c>
      <c r="L20">
        <v>0</v>
      </c>
    </row>
    <row r="21" spans="1:12" x14ac:dyDescent="0.2">
      <c r="A21">
        <v>20</v>
      </c>
      <c r="B21">
        <v>10</v>
      </c>
      <c r="C21">
        <v>0.25</v>
      </c>
      <c r="D21">
        <v>4.0364928850000004</v>
      </c>
      <c r="E21">
        <v>0.28118296636218698</v>
      </c>
      <c r="F21">
        <v>0.25057604301652397</v>
      </c>
      <c r="G21">
        <v>18</v>
      </c>
      <c r="H21">
        <v>601.19931879199999</v>
      </c>
      <c r="I21">
        <v>0.36056223026995299</v>
      </c>
      <c r="J21">
        <v>0.34274077950135101</v>
      </c>
      <c r="K21">
        <v>18</v>
      </c>
      <c r="L21">
        <v>5.68729334086263E-2</v>
      </c>
    </row>
    <row r="22" spans="1:12" x14ac:dyDescent="0.2">
      <c r="A22">
        <v>30</v>
      </c>
      <c r="B22">
        <v>15</v>
      </c>
      <c r="C22">
        <v>0.25</v>
      </c>
      <c r="D22">
        <v>18.828145633999998</v>
      </c>
      <c r="E22">
        <v>0.20363272952379199</v>
      </c>
      <c r="F22">
        <v>0.16123340866129701</v>
      </c>
      <c r="G22">
        <v>29</v>
      </c>
      <c r="H22">
        <v>16.922350381000001</v>
      </c>
      <c r="I22">
        <v>0.20573848504818101</v>
      </c>
      <c r="J22">
        <v>0.16216773915119401</v>
      </c>
      <c r="K22">
        <v>29</v>
      </c>
      <c r="L22">
        <v>9.5105742368360602E-3</v>
      </c>
    </row>
    <row r="23" spans="1:12" x14ac:dyDescent="0.2">
      <c r="A23">
        <v>30</v>
      </c>
      <c r="B23">
        <v>15</v>
      </c>
      <c r="C23">
        <v>0.25</v>
      </c>
      <c r="D23">
        <v>1.1692012629999999</v>
      </c>
      <c r="E23" s="3">
        <v>1.07115411179533E-7</v>
      </c>
      <c r="F23" s="3">
        <v>7.8187412725500802E-8</v>
      </c>
      <c r="G23">
        <v>30</v>
      </c>
      <c r="H23">
        <v>1.0135637989999999</v>
      </c>
      <c r="I23">
        <v>5.0243141215807602E-4</v>
      </c>
      <c r="J23" s="3">
        <v>7.8183508567523704E-8</v>
      </c>
      <c r="K23">
        <v>30</v>
      </c>
      <c r="L23">
        <v>0</v>
      </c>
    </row>
    <row r="24" spans="1:12" x14ac:dyDescent="0.2">
      <c r="A24">
        <v>30</v>
      </c>
      <c r="B24">
        <v>15</v>
      </c>
      <c r="C24">
        <v>0.25</v>
      </c>
      <c r="D24">
        <v>0.78989530399999996</v>
      </c>
      <c r="E24">
        <v>4.7654000790395501E-2</v>
      </c>
      <c r="F24">
        <v>3.1716606405609603E-2</v>
      </c>
      <c r="G24">
        <v>29</v>
      </c>
      <c r="H24">
        <v>12.165936424</v>
      </c>
      <c r="I24">
        <v>9.4912148911839198E-4</v>
      </c>
      <c r="J24">
        <v>8.0508050787575004E-4</v>
      </c>
      <c r="K24">
        <v>30</v>
      </c>
      <c r="L24" s="3">
        <v>1.5653668545314598E-5</v>
      </c>
    </row>
    <row r="25" spans="1:12" x14ac:dyDescent="0.2">
      <c r="A25">
        <v>30</v>
      </c>
      <c r="B25">
        <v>15</v>
      </c>
      <c r="C25">
        <v>0.25</v>
      </c>
      <c r="D25">
        <v>47.877886072000003</v>
      </c>
      <c r="E25">
        <v>0.104035230680795</v>
      </c>
      <c r="F25">
        <v>6.3163904463244505E-2</v>
      </c>
      <c r="G25">
        <v>28</v>
      </c>
      <c r="H25">
        <v>22.563319902</v>
      </c>
      <c r="I25">
        <v>0.104066406959747</v>
      </c>
      <c r="J25">
        <v>6.3163904463244505E-2</v>
      </c>
      <c r="K25">
        <v>28</v>
      </c>
      <c r="L25">
        <v>8.4477081621386098E-3</v>
      </c>
    </row>
    <row r="26" spans="1:12" x14ac:dyDescent="0.2">
      <c r="A26">
        <v>30</v>
      </c>
      <c r="B26">
        <v>15</v>
      </c>
      <c r="C26">
        <v>0.25</v>
      </c>
      <c r="D26">
        <v>0.70828591699999999</v>
      </c>
      <c r="E26">
        <v>0.170127736946136</v>
      </c>
      <c r="F26">
        <v>0.143834146086179</v>
      </c>
      <c r="G26">
        <v>27</v>
      </c>
      <c r="H26">
        <v>3600.971868096</v>
      </c>
      <c r="I26">
        <v>0.338643627840786</v>
      </c>
      <c r="J26">
        <v>0.28671282396445202</v>
      </c>
      <c r="K26">
        <v>27</v>
      </c>
      <c r="L26">
        <v>3.43482710453797E-2</v>
      </c>
    </row>
    <row r="27" spans="1:12" x14ac:dyDescent="0.2">
      <c r="A27">
        <v>30</v>
      </c>
      <c r="B27">
        <v>15</v>
      </c>
      <c r="C27">
        <v>0.25</v>
      </c>
      <c r="D27">
        <v>0.78136811100000003</v>
      </c>
      <c r="E27">
        <v>0.51942953125242097</v>
      </c>
      <c r="F27">
        <v>0.41531688160236602</v>
      </c>
      <c r="G27">
        <v>26</v>
      </c>
      <c r="H27">
        <v>4.1323787830000001</v>
      </c>
      <c r="I27">
        <v>0.55624357600972796</v>
      </c>
      <c r="J27">
        <v>0.46981163037071599</v>
      </c>
      <c r="K27">
        <v>26</v>
      </c>
      <c r="L27" s="3">
        <v>5.4727194056310896E-6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7"/>
  <sheetViews>
    <sheetView tabSelected="1" workbookViewId="0">
      <selection activeCell="C8" sqref="C8"/>
    </sheetView>
  </sheetViews>
  <sheetFormatPr baseColWidth="10" defaultRowHeight="16" x14ac:dyDescent="0.2"/>
  <cols>
    <col min="5" max="5" width="12.1640625" bestFit="1" customWidth="1"/>
    <col min="6" max="6" width="12.33203125" bestFit="1" customWidth="1"/>
    <col min="7" max="7" width="12.1640625" bestFit="1" customWidth="1"/>
    <col min="8" max="8" width="21.6640625" bestFit="1" customWidth="1"/>
    <col min="9" max="9" width="12.5" bestFit="1" customWidth="1"/>
    <col min="10" max="10" width="13.83203125" bestFit="1" customWidth="1"/>
    <col min="11" max="11" width="13.6640625" bestFit="1" customWidth="1"/>
    <col min="12" max="12" width="22.83203125" bestFit="1" customWidth="1"/>
    <col min="13" max="13" width="15.1640625" bestFit="1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12</v>
      </c>
      <c r="E1" t="s">
        <v>3</v>
      </c>
      <c r="F1" t="s">
        <v>4</v>
      </c>
      <c r="G1" t="s">
        <v>5</v>
      </c>
      <c r="H1" t="s">
        <v>13</v>
      </c>
      <c r="I1" t="s">
        <v>7</v>
      </c>
      <c r="J1" t="s">
        <v>8</v>
      </c>
      <c r="K1" t="s">
        <v>9</v>
      </c>
      <c r="L1" t="s">
        <v>14</v>
      </c>
      <c r="M1" t="s">
        <v>15</v>
      </c>
    </row>
    <row r="2" spans="1:14" x14ac:dyDescent="0.2">
      <c r="A2">
        <v>10</v>
      </c>
      <c r="B2">
        <v>5</v>
      </c>
      <c r="C2">
        <v>0.25</v>
      </c>
      <c r="D2">
        <f>COUNTIFS(sdpvsexactgurobi_edm!A:A,proc!A2, sdpvsexactgurobi_edm!C:C,proc!C2)</f>
        <v>4</v>
      </c>
      <c r="E2">
        <f>AVERAGEIFS(sdpvsexactgurobi_edm!D:D, sdpvsexactgurobi_edm!$A:$A,proc!$A2, sdpvsexactgurobi_edm!$C:$C,$C2)</f>
        <v>0.8677096767500001</v>
      </c>
      <c r="F2" s="2">
        <f>AVERAGEIFS(sdpvsexactgurobi_edm!E:E, sdpvsexactgurobi_edm!$A:$A,proc!$A2, sdpvsexactgurobi_edm!$C:$C,$C2)</f>
        <v>1.3769997514999999</v>
      </c>
      <c r="G2" s="2">
        <f>AVERAGEIFS(sdpvsexactgurobi_edm!F:F, sdpvsexactgurobi_edm!$A:$A,proc!$A2, sdpvsexactgurobi_edm!$C:$C,$C2)</f>
        <v>0.73522649824999997</v>
      </c>
      <c r="H2" s="1">
        <f>AVERAGEIFS(sdpvsexactgurobi_edm!G:G, sdpvsexactgurobi_edm!$A:$A,proc!$A2, sdpvsexactgurobi_edm!$C:$C,$C2)/A2</f>
        <v>0.22500000000000001</v>
      </c>
      <c r="I2">
        <f>AVERAGEIFS(sdpvsexactgurobi_edm!H:H, sdpvsexactgurobi_edm!$A:$A,proc!$A2, sdpvsexactgurobi_edm!$C:$C,$C2)</f>
        <v>37.502670617</v>
      </c>
      <c r="J2" s="2">
        <f>AVERAGEIFS(sdpvsexactgurobi_edm!I:I, sdpvsexactgurobi_edm!$A:$A,proc!$A2, sdpvsexactgurobi_edm!$C:$C,$C2)</f>
        <v>1.1583661347500001</v>
      </c>
      <c r="K2" s="2">
        <f>AVERAGEIFS(sdpvsexactgurobi_edm!J:J, sdpvsexactgurobi_edm!$A:$A,proc!$A2, sdpvsexactgurobi_edm!$C:$C,$C2)</f>
        <v>0.94557348350000003</v>
      </c>
      <c r="L2" s="1">
        <f>AVERAGEIFS(sdpvsexactgurobi_edm!K:K, sdpvsexactgurobi_edm!$A:$A,proc!$A2, sdpvsexactgurobi_edm!$C:$C,$C2)/A2</f>
        <v>0.3</v>
      </c>
      <c r="M2" s="1">
        <f>AVERAGEIFS(sdpvsexactgurobi_edm!L:L, sdpvsexactgurobi_edm!$A:$A,proc!$A2, sdpvsexactgurobi_edm!$C:$C,$C2)</f>
        <v>1.80649825E-3</v>
      </c>
    </row>
    <row r="3" spans="1:14" x14ac:dyDescent="0.2">
      <c r="A3">
        <v>10</v>
      </c>
      <c r="B3">
        <v>5</v>
      </c>
      <c r="C3">
        <v>0.3</v>
      </c>
      <c r="D3">
        <f>COUNTIFS(sdpvsexactgurobi_edm!A:A,proc!A3, sdpvsexactgurobi_edm!C:C,proc!C3)</f>
        <v>6</v>
      </c>
      <c r="E3">
        <f>AVERAGEIFS(sdpvsexactgurobi_edm!D:D, sdpvsexactgurobi_edm!$A:$A,proc!$A3, sdpvsexactgurobi_edm!$C:$C,$C3)</f>
        <v>0.72918000199999999</v>
      </c>
      <c r="F3" s="2">
        <f>AVERAGEIFS(sdpvsexactgurobi_edm!E:E, sdpvsexactgurobi_edm!$A:$A,proc!$A3, sdpvsexactgurobi_edm!$C:$C,$C3)</f>
        <v>38.598971692228353</v>
      </c>
      <c r="G3" s="2">
        <f>AVERAGEIFS(sdpvsexactgurobi_edm!F:F, sdpvsexactgurobi_edm!$A:$A,proc!$A3, sdpvsexactgurobi_edm!$C:$C,$C3)</f>
        <v>0.61561190213354455</v>
      </c>
      <c r="H3" s="1">
        <f>AVERAGEIFS(sdpvsexactgurobi_edm!G:G, sdpvsexactgurobi_edm!$A:$A,proc!$A3, sdpvsexactgurobi_edm!$C:$C,$C3)/A3</f>
        <v>0.33333333333333337</v>
      </c>
      <c r="I3">
        <f>AVERAGEIFS(sdpvsexactgurobi_edm!H:H, sdpvsexactgurobi_edm!$A:$A,proc!$A3, sdpvsexactgurobi_edm!$C:$C,$C3)</f>
        <v>113.36616519683332</v>
      </c>
      <c r="J3" s="2">
        <f>AVERAGEIFS(sdpvsexactgurobi_edm!I:I, sdpvsexactgurobi_edm!$A:$A,proc!$A3, sdpvsexactgurobi_edm!$C:$C,$C3)</f>
        <v>3.6278470920990116</v>
      </c>
      <c r="K3" s="2">
        <f>AVERAGEIFS(sdpvsexactgurobi_edm!J:J, sdpvsexactgurobi_edm!$A:$A,proc!$A3, sdpvsexactgurobi_edm!$C:$C,$C3)</f>
        <v>1.2289245896608165</v>
      </c>
      <c r="L3" s="1">
        <f>AVERAGEIFS(sdpvsexactgurobi_edm!K:K, sdpvsexactgurobi_edm!$A:$A,proc!$A3, sdpvsexactgurobi_edm!$C:$C,$C3)/A3</f>
        <v>0.35</v>
      </c>
      <c r="M3" s="1">
        <f>AVERAGEIFS(sdpvsexactgurobi_edm!L:L, sdpvsexactgurobi_edm!$A:$A,proc!$A3, sdpvsexactgurobi_edm!$C:$C,$C3)</f>
        <v>2.7508252187908402E-3</v>
      </c>
    </row>
    <row r="4" spans="1:14" x14ac:dyDescent="0.2">
      <c r="A4">
        <v>20</v>
      </c>
      <c r="B4">
        <v>10</v>
      </c>
      <c r="C4">
        <v>0.25</v>
      </c>
      <c r="D4">
        <f>COUNTIFS(sdpvsexactgurobi_edm!A:A,proc!A4, sdpvsexactgurobi_edm!C:C,proc!C4)</f>
        <v>5</v>
      </c>
      <c r="E4">
        <f>AVERAGEIFS(sdpvsexactgurobi_edm!D:D, sdpvsexactgurobi_edm!$A:$A,proc!$A4, sdpvsexactgurobi_edm!$C:$C,$C4)</f>
        <v>1.3691567067999999</v>
      </c>
      <c r="F4" s="2">
        <f>AVERAGEIFS(sdpvsexactgurobi_edm!E:E, sdpvsexactgurobi_edm!$A:$A,proc!$A4, sdpvsexactgurobi_edm!$C:$C,$C4)</f>
        <v>2775.3190247466109</v>
      </c>
      <c r="G4" s="2">
        <f>AVERAGEIFS(sdpvsexactgurobi_edm!F:F, sdpvsexactgurobi_edm!$A:$A,proc!$A4, sdpvsexactgurobi_edm!$C:$C,$C4)</f>
        <v>0.45546625797195589</v>
      </c>
      <c r="H4" s="1">
        <f>AVERAGEIFS(sdpvsexactgurobi_edm!G:G, sdpvsexactgurobi_edm!$A:$A,proc!$A4, sdpvsexactgurobi_edm!$C:$C,$C4)/A4</f>
        <v>0.78</v>
      </c>
      <c r="I4">
        <f>AVERAGEIFS(sdpvsexactgurobi_edm!H:H, sdpvsexactgurobi_edm!$A:$A,proc!$A4, sdpvsexactgurobi_edm!$C:$C,$C4)</f>
        <v>242.55794952280002</v>
      </c>
      <c r="J4" s="2">
        <f>AVERAGEIFS(sdpvsexactgurobi_edm!I:I, sdpvsexactgurobi_edm!$A:$A,proc!$A4, sdpvsexactgurobi_edm!$C:$C,$C4)</f>
        <v>0.53120516953058106</v>
      </c>
      <c r="K4" s="2">
        <f>AVERAGEIFS(sdpvsexactgurobi_edm!J:J, sdpvsexactgurobi_edm!$A:$A,proc!$A4, sdpvsexactgurobi_edm!$C:$C,$C4)</f>
        <v>0.49940547868621643</v>
      </c>
      <c r="L4" s="1">
        <f>AVERAGEIFS(sdpvsexactgurobi_edm!K:K, sdpvsexactgurobi_edm!$A:$A,proc!$A4, sdpvsexactgurobi_edm!$C:$C,$C4)/A4</f>
        <v>0.78</v>
      </c>
      <c r="M4" s="1">
        <f>AVERAGEIFS(sdpvsexactgurobi_edm!L:L, sdpvsexactgurobi_edm!$A:$A,proc!$A4, sdpvsexactgurobi_edm!$C:$C,$C4)</f>
        <v>1.431767852519277E-2</v>
      </c>
    </row>
    <row r="5" spans="1:14" x14ac:dyDescent="0.2">
      <c r="A5">
        <v>20</v>
      </c>
      <c r="B5">
        <v>10</v>
      </c>
      <c r="C5">
        <v>0.3</v>
      </c>
      <c r="D5">
        <f>COUNTIFS(sdpvsexactgurobi_edm!A:A,proc!A5, sdpvsexactgurobi_edm!C:C,proc!C5)</f>
        <v>5</v>
      </c>
      <c r="E5">
        <f>AVERAGEIFS(sdpvsexactgurobi_edm!D:D, sdpvsexactgurobi_edm!$A:$A,proc!$A5, sdpvsexactgurobi_edm!$C:$C,$C5)</f>
        <v>0.80945488059999993</v>
      </c>
      <c r="F5" s="2">
        <f>AVERAGEIFS(sdpvsexactgurobi_edm!E:E, sdpvsexactgurobi_edm!$A:$A,proc!$A5, sdpvsexactgurobi_edm!$C:$C,$C5)</f>
        <v>0.31590902704477319</v>
      </c>
      <c r="G5" s="2">
        <f>AVERAGEIFS(sdpvsexactgurobi_edm!F:F, sdpvsexactgurobi_edm!$A:$A,proc!$A5, sdpvsexactgurobi_edm!$C:$C,$C5)</f>
        <v>0.27675195135030661</v>
      </c>
      <c r="H5" s="1">
        <f>AVERAGEIFS(sdpvsexactgurobi_edm!G:G, sdpvsexactgurobi_edm!$A:$A,proc!$A5, sdpvsexactgurobi_edm!$C:$C,$C5)/A5</f>
        <v>0.86</v>
      </c>
      <c r="I5">
        <f>AVERAGEIFS(sdpvsexactgurobi_edm!H:H, sdpvsexactgurobi_edm!$A:$A,proc!$A5, sdpvsexactgurobi_edm!$C:$C,$C5)</f>
        <v>135.33889886200001</v>
      </c>
      <c r="J5" s="2">
        <f>AVERAGEIFS(sdpvsexactgurobi_edm!I:I, sdpvsexactgurobi_edm!$A:$A,proc!$A5, sdpvsexactgurobi_edm!$C:$C,$C5)</f>
        <v>0.36934199450233118</v>
      </c>
      <c r="K5" s="2">
        <f>AVERAGEIFS(sdpvsexactgurobi_edm!J:J, sdpvsexactgurobi_edm!$A:$A,proc!$A5, sdpvsexactgurobi_edm!$C:$C,$C5)</f>
        <v>0.33249010546505187</v>
      </c>
      <c r="L5" s="1">
        <f>AVERAGEIFS(sdpvsexactgurobi_edm!K:K, sdpvsexactgurobi_edm!$A:$A,proc!$A5, sdpvsexactgurobi_edm!$C:$C,$C5)/A5</f>
        <v>0.84000000000000008</v>
      </c>
      <c r="M5" s="1">
        <f>AVERAGEIFS(sdpvsexactgurobi_edm!L:L, sdpvsexactgurobi_edm!$A:$A,proc!$A5, sdpvsexactgurobi_edm!$C:$C,$C5)</f>
        <v>9.9287071251846649E-3</v>
      </c>
      <c r="N5" t="s">
        <v>16</v>
      </c>
    </row>
    <row r="6" spans="1:14" x14ac:dyDescent="0.2">
      <c r="A6">
        <v>30</v>
      </c>
      <c r="B6">
        <v>15</v>
      </c>
      <c r="C6">
        <v>0.2</v>
      </c>
      <c r="D6">
        <f>COUNTIFS(sdpvsexactgurobi_edm!A:A,proc!A6, sdpvsexactgurobi_edm!C:C,proc!C6)</f>
        <v>0</v>
      </c>
      <c r="E6" t="e">
        <f>AVERAGEIFS(sdpvsexactgurobi_edm!D:D, sdpvsexactgurobi_edm!$A:$A,proc!$A6, sdpvsexactgurobi_edm!$C:$C,$C6)</f>
        <v>#DIV/0!</v>
      </c>
      <c r="F6" s="2" t="e">
        <f>AVERAGEIFS(sdpvsexactgurobi_edm!E:E, sdpvsexactgurobi_edm!$A:$A,proc!$A6, sdpvsexactgurobi_edm!$C:$C,$C6)</f>
        <v>#DIV/0!</v>
      </c>
      <c r="G6" s="2" t="e">
        <f>AVERAGEIFS(sdpvsexactgurobi_edm!F:F, sdpvsexactgurobi_edm!$A:$A,proc!$A6, sdpvsexactgurobi_edm!$C:$C,$C6)</f>
        <v>#DIV/0!</v>
      </c>
      <c r="H6" s="1" t="e">
        <f>AVERAGEIFS(sdpvsexactgurobi_edm!G:G, sdpvsexactgurobi_edm!$A:$A,proc!$A6, sdpvsexactgurobi_edm!$C:$C,$C6)/A6</f>
        <v>#DIV/0!</v>
      </c>
      <c r="I6" t="e">
        <f>AVERAGEIFS(sdpvsexactgurobi_edm!H:H, sdpvsexactgurobi_edm!$A:$A,proc!$A6, sdpvsexactgurobi_edm!$C:$C,$C6)</f>
        <v>#DIV/0!</v>
      </c>
      <c r="J6" s="2" t="e">
        <f>AVERAGEIFS(sdpvsexactgurobi_edm!I:I, sdpvsexactgurobi_edm!$A:$A,proc!$A6, sdpvsexactgurobi_edm!$C:$C,$C6)</f>
        <v>#DIV/0!</v>
      </c>
      <c r="K6" s="2" t="e">
        <f>AVERAGEIFS(sdpvsexactgurobi_edm!J:J, sdpvsexactgurobi_edm!$A:$A,proc!$A6, sdpvsexactgurobi_edm!$C:$C,$C6)</f>
        <v>#DIV/0!</v>
      </c>
      <c r="L6" s="1" t="e">
        <f>AVERAGEIFS(sdpvsexactgurobi_edm!K:K, sdpvsexactgurobi_edm!$A:$A,proc!$A6, sdpvsexactgurobi_edm!$C:$C,$C6)/A6</f>
        <v>#DIV/0!</v>
      </c>
      <c r="M6" s="1" t="e">
        <f>AVERAGEIFS(sdpvsexactgurobi_edm!L:L, sdpvsexactgurobi_edm!$A:$A,proc!$A6, sdpvsexactgurobi_edm!$C:$C,$C6)</f>
        <v>#DIV/0!</v>
      </c>
      <c r="N6" t="s">
        <v>17</v>
      </c>
    </row>
    <row r="7" spans="1:14" x14ac:dyDescent="0.2">
      <c r="A7">
        <v>30</v>
      </c>
      <c r="B7">
        <v>15</v>
      </c>
      <c r="C7">
        <v>0.25</v>
      </c>
      <c r="D7">
        <f>COUNTIFS(sdpvsexactgurobi_edm!A:A,proc!A7, sdpvsexactgurobi_edm!C:C,proc!C7)</f>
        <v>6</v>
      </c>
      <c r="E7">
        <f>AVERAGEIFS(sdpvsexactgurobi_edm!D:D, sdpvsexactgurobi_edm!$A:$A,proc!$A7, sdpvsexactgurobi_edm!$C:$C,$C7)</f>
        <v>11.692463716833336</v>
      </c>
      <c r="F7" s="2">
        <f>AVERAGEIFS(sdpvsexactgurobi_edm!E:E, sdpvsexactgurobi_edm!$A:$A,proc!$A7, sdpvsexactgurobi_edm!$C:$C,$C7)</f>
        <v>0.17414655605149179</v>
      </c>
      <c r="G7" s="2">
        <f>AVERAGEIFS(sdpvsexactgurobi_edm!F:F, sdpvsexactgurobi_edm!$A:$A,proc!$A7, sdpvsexactgurobi_edm!$C:$C,$C7)</f>
        <v>0.13587750423435149</v>
      </c>
      <c r="H7" s="1">
        <f>AVERAGEIFS(sdpvsexactgurobi_edm!G:G, sdpvsexactgurobi_edm!$A:$A,proc!$A7, sdpvsexactgurobi_edm!$C:$C,$C7)/A7</f>
        <v>0.93888888888888888</v>
      </c>
      <c r="I7">
        <f>AVERAGEIFS(sdpvsexactgurobi_edm!H:H, sdpvsexactgurobi_edm!$A:$A,proc!$A7, sdpvsexactgurobi_edm!$C:$C,$C7)</f>
        <v>609.62823623083329</v>
      </c>
      <c r="J7" s="2">
        <f>AVERAGEIFS(sdpvsexactgurobi_edm!I:I, sdpvsexactgurobi_edm!$A:$A,proc!$A7, sdpvsexactgurobi_edm!$C:$C,$C7)</f>
        <v>0.20102394145995306</v>
      </c>
      <c r="K7" s="2">
        <f>AVERAGEIFS(sdpvsexactgurobi_edm!J:J, sdpvsexactgurobi_edm!$A:$A,proc!$A7, sdpvsexactgurobi_edm!$C:$C,$C7)</f>
        <v>0.16377687610683181</v>
      </c>
      <c r="L7" s="1">
        <f>AVERAGEIFS(sdpvsexactgurobi_edm!K:K, sdpvsexactgurobi_edm!$A:$A,proc!$A7, sdpvsexactgurobi_edm!$C:$C,$C7)/A7</f>
        <v>0.94444444444444442</v>
      </c>
      <c r="M7" s="1">
        <f>AVERAGEIFS(sdpvsexactgurobi_edm!L:L, sdpvsexactgurobi_edm!$A:$A,proc!$A7, sdpvsexactgurobi_edm!$C:$C,$C7)</f>
        <v>8.7212799720508861E-3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sdpvsexactgurobi_edm</vt:lpstr>
      <vt:lpstr>proc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2020-05-03T20:39:52Z</dcterms:created>
  <dcterms:modified xsi:type="dcterms:W3CDTF">2020-05-09T03:31:22Z</dcterms:modified>
</cp:coreProperties>
</file>