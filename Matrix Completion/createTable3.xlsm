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Rank Minimization/Matrix Completion/"/>
    </mc:Choice>
  </mc:AlternateContent>
  <xr:revisionPtr revIDLastSave="0" documentId="13_ncr:1_{0F6F23E0-F97E-184E-BDFD-2E4A31857D6B}" xr6:coauthVersionLast="46" xr6:coauthVersionMax="46" xr10:uidLastSave="{00000000-0000-0000-0000-000000000000}"/>
  <bookViews>
    <workbookView xWindow="0" yWindow="500" windowWidth="33600" windowHeight="20500" activeTab="3" xr2:uid="{00000000-000D-0000-FFFF-FFFF00000000}"/>
  </bookViews>
  <sheets>
    <sheet name="raw_withmsk" sheetId="3" r:id="rId1"/>
    <sheet name="proc_withmsk" sheetId="4" r:id="rId2"/>
    <sheet name="raw_withmsk_cluster" sheetId="6" r:id="rId3"/>
    <sheet name="proc_withmsk_cluster" sheetId="5" r:id="rId4"/>
  </sheets>
  <calcPr calcId="191029"/>
</workbook>
</file>

<file path=xl/calcChain.xml><?xml version="1.0" encoding="utf-8"?>
<calcChain xmlns="http://schemas.openxmlformats.org/spreadsheetml/2006/main">
  <c r="B12" i="5" l="1"/>
  <c r="C12" i="5"/>
  <c r="D12" i="5"/>
  <c r="E12" i="5"/>
  <c r="B13" i="5"/>
  <c r="C13" i="5"/>
  <c r="D13" i="5"/>
  <c r="E13" i="5"/>
  <c r="B10" i="5" l="1"/>
  <c r="C10" i="5"/>
  <c r="D10" i="5"/>
  <c r="E10" i="5"/>
  <c r="B11" i="5"/>
  <c r="C11" i="5"/>
  <c r="D11" i="5"/>
  <c r="E11" i="5"/>
  <c r="B8" i="5" l="1"/>
  <c r="C8" i="5"/>
  <c r="D8" i="5"/>
  <c r="E8" i="5"/>
  <c r="B9" i="5"/>
  <c r="C9" i="5"/>
  <c r="D9" i="5"/>
  <c r="E9" i="5"/>
  <c r="E3" i="5" l="1"/>
  <c r="E4" i="5"/>
  <c r="E5" i="5"/>
  <c r="E6" i="5"/>
  <c r="E7" i="5"/>
  <c r="E2" i="5"/>
  <c r="D3" i="5"/>
  <c r="D4" i="5"/>
  <c r="D5" i="5"/>
  <c r="D6" i="5"/>
  <c r="D7" i="5"/>
  <c r="D2" i="5"/>
  <c r="C3" i="5"/>
  <c r="C4" i="5"/>
  <c r="C5" i="5"/>
  <c r="C6" i="5"/>
  <c r="C7" i="5"/>
  <c r="B3" i="5"/>
  <c r="B4" i="5"/>
  <c r="B5" i="5"/>
  <c r="B6" i="5"/>
  <c r="B7" i="5"/>
  <c r="B2" i="5"/>
  <c r="C2" i="5"/>
  <c r="B6" i="4" l="1"/>
  <c r="C6" i="4"/>
  <c r="D6" i="4"/>
  <c r="E6" i="4"/>
  <c r="E3" i="4" l="1"/>
  <c r="E4" i="4"/>
  <c r="E5" i="4"/>
  <c r="E2" i="4"/>
  <c r="D3" i="4"/>
  <c r="D4" i="4"/>
  <c r="D5" i="4"/>
  <c r="D2" i="4"/>
  <c r="C3" i="4"/>
  <c r="C4" i="4"/>
  <c r="C5" i="4"/>
  <c r="C2" i="4"/>
  <c r="B3" i="4"/>
  <c r="B4" i="4"/>
  <c r="B5" i="4"/>
  <c r="B2" i="4"/>
</calcChain>
</file>

<file path=xl/sharedStrings.xml><?xml version="1.0" encoding="utf-8"?>
<sst xmlns="http://schemas.openxmlformats.org/spreadsheetml/2006/main" count="22" uniqueCount="11">
  <si>
    <t>n</t>
  </si>
  <si>
    <t>MSE FN MSK</t>
  </si>
  <si>
    <t>RUNTIME FN MSK</t>
  </si>
  <si>
    <t>MSE FN AM</t>
  </si>
  <si>
    <t>RUNTIME FN AM</t>
  </si>
  <si>
    <t>MSE msk fn</t>
  </si>
  <si>
    <t>MSE am fn</t>
  </si>
  <si>
    <t>MSE nn</t>
  </si>
  <si>
    <t>time msk fn</t>
  </si>
  <si>
    <t>time am fn</t>
  </si>
  <si>
    <t>time 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</si>
</sst>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6B9E7-9F7D-8F46-9055-A5E12F0C27F4}">
  <dimension ref="A1:I26"/>
  <sheetViews>
    <sheetView workbookViewId="0">
      <selection activeCell="A27" sqref="A27:H27"/>
    </sheetView>
  </sheetViews>
  <sheetFormatPr baseColWidth="10" defaultRowHeight="16" x14ac:dyDescent="0.2"/>
  <sheetData>
    <row r="1" spans="1:9" x14ac:dyDescent="0.2"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</row>
    <row r="2" spans="1:9" x14ac:dyDescent="0.2">
      <c r="A2">
        <v>50</v>
      </c>
      <c r="B2">
        <v>5</v>
      </c>
      <c r="C2">
        <v>0.25</v>
      </c>
      <c r="D2">
        <v>0.39142917300000002</v>
      </c>
      <c r="E2">
        <v>0.401736123</v>
      </c>
      <c r="F2">
        <v>0.43948811999999998</v>
      </c>
      <c r="G2">
        <v>3.679779709</v>
      </c>
      <c r="H2">
        <v>18.744673930000001</v>
      </c>
      <c r="I2">
        <v>0.14821146099999999</v>
      </c>
    </row>
    <row r="3" spans="1:9" x14ac:dyDescent="0.2">
      <c r="A3">
        <v>50</v>
      </c>
      <c r="B3">
        <v>5</v>
      </c>
      <c r="C3">
        <v>0.25</v>
      </c>
      <c r="D3">
        <v>0.37707724999999997</v>
      </c>
      <c r="E3">
        <v>0.38542997400000001</v>
      </c>
      <c r="F3">
        <v>0.41152516900000002</v>
      </c>
      <c r="G3">
        <v>1.717877841</v>
      </c>
      <c r="H3">
        <v>12.32593509</v>
      </c>
      <c r="I3">
        <v>0.17250579599999999</v>
      </c>
    </row>
    <row r="4" spans="1:9" x14ac:dyDescent="0.2">
      <c r="A4">
        <v>50</v>
      </c>
      <c r="B4">
        <v>5</v>
      </c>
      <c r="C4">
        <v>0.25</v>
      </c>
      <c r="D4">
        <v>0.424878372</v>
      </c>
      <c r="E4">
        <v>0.43245556899999998</v>
      </c>
      <c r="F4">
        <v>0.50138007900000003</v>
      </c>
      <c r="G4">
        <v>1.853891027</v>
      </c>
      <c r="H4">
        <v>16.182544400000001</v>
      </c>
      <c r="I4">
        <v>0.16209575800000001</v>
      </c>
    </row>
    <row r="5" spans="1:9" x14ac:dyDescent="0.2">
      <c r="A5">
        <v>50</v>
      </c>
      <c r="B5">
        <v>5</v>
      </c>
      <c r="C5">
        <v>0.25</v>
      </c>
      <c r="D5">
        <v>0.47591861200000002</v>
      </c>
      <c r="E5">
        <v>0.48413135299999999</v>
      </c>
      <c r="F5">
        <v>0.52274693400000005</v>
      </c>
      <c r="G5">
        <v>1.9484449269999999</v>
      </c>
      <c r="H5">
        <v>20.618524900000001</v>
      </c>
      <c r="I5">
        <v>0.17740226000000001</v>
      </c>
    </row>
    <row r="6" spans="1:9" x14ac:dyDescent="0.2">
      <c r="A6">
        <v>50</v>
      </c>
      <c r="B6">
        <v>5</v>
      </c>
      <c r="C6">
        <v>0.25</v>
      </c>
      <c r="D6">
        <v>0.47645984499999999</v>
      </c>
      <c r="E6">
        <v>0.48554540000000002</v>
      </c>
      <c r="F6">
        <v>0.514561771</v>
      </c>
      <c r="G6">
        <v>2.2266867480000001</v>
      </c>
      <c r="H6">
        <v>18.54702267</v>
      </c>
      <c r="I6">
        <v>0.201096996</v>
      </c>
    </row>
    <row r="7" spans="1:9" x14ac:dyDescent="0.2">
      <c r="A7">
        <v>100</v>
      </c>
      <c r="B7">
        <v>5</v>
      </c>
      <c r="C7">
        <v>0.25</v>
      </c>
      <c r="D7">
        <v>0.13006805099999999</v>
      </c>
      <c r="E7">
        <v>0.12893811999999999</v>
      </c>
      <c r="F7">
        <v>3.4678384E-2</v>
      </c>
      <c r="G7">
        <v>47.042947849999997</v>
      </c>
      <c r="H7">
        <v>80.820317279999998</v>
      </c>
      <c r="I7">
        <v>2.7113404120000002</v>
      </c>
    </row>
    <row r="8" spans="1:9" x14ac:dyDescent="0.2">
      <c r="A8">
        <v>100</v>
      </c>
      <c r="B8">
        <v>5</v>
      </c>
      <c r="C8">
        <v>0.25</v>
      </c>
      <c r="D8">
        <v>0.12936800800000001</v>
      </c>
      <c r="E8">
        <v>0.13074991999999999</v>
      </c>
      <c r="F8">
        <v>3.3864499999999999E-2</v>
      </c>
      <c r="G8">
        <v>49.056317139999997</v>
      </c>
      <c r="H8">
        <v>73.652978849999997</v>
      </c>
      <c r="I8">
        <v>2.4615718160000002</v>
      </c>
    </row>
    <row r="9" spans="1:9" x14ac:dyDescent="0.2">
      <c r="A9">
        <v>100</v>
      </c>
      <c r="B9">
        <v>5</v>
      </c>
      <c r="C9">
        <v>0.25</v>
      </c>
      <c r="D9">
        <v>0.137833964</v>
      </c>
      <c r="E9">
        <v>0.144453051</v>
      </c>
      <c r="F9">
        <v>6.2542992000000006E-2</v>
      </c>
      <c r="G9">
        <v>50.177891500000001</v>
      </c>
      <c r="H9">
        <v>67.535965520000005</v>
      </c>
      <c r="I9">
        <v>2.5295534740000001</v>
      </c>
    </row>
    <row r="10" spans="1:9" x14ac:dyDescent="0.2">
      <c r="A10">
        <v>100</v>
      </c>
      <c r="B10">
        <v>5</v>
      </c>
      <c r="C10">
        <v>0.25</v>
      </c>
      <c r="D10">
        <v>0.143908386</v>
      </c>
      <c r="E10">
        <v>0.14382414499999999</v>
      </c>
      <c r="F10">
        <v>8.7304520999999996E-2</v>
      </c>
      <c r="G10">
        <v>41.010398189999997</v>
      </c>
      <c r="H10">
        <v>92.760667220000002</v>
      </c>
      <c r="I10">
        <v>2.4636147390000001</v>
      </c>
    </row>
    <row r="11" spans="1:9" x14ac:dyDescent="0.2">
      <c r="A11">
        <v>100</v>
      </c>
      <c r="B11">
        <v>5</v>
      </c>
      <c r="C11">
        <v>0.25</v>
      </c>
      <c r="D11">
        <v>0.14959650799999999</v>
      </c>
      <c r="E11">
        <v>0.146700253</v>
      </c>
      <c r="F11">
        <v>6.1691349999999999E-2</v>
      </c>
      <c r="G11">
        <v>48.719338299999997</v>
      </c>
      <c r="H11">
        <v>80.300692749999996</v>
      </c>
      <c r="I11">
        <v>2.7435137730000001</v>
      </c>
    </row>
    <row r="12" spans="1:9" x14ac:dyDescent="0.2">
      <c r="A12">
        <v>150</v>
      </c>
      <c r="B12">
        <v>5</v>
      </c>
      <c r="C12">
        <v>0.25</v>
      </c>
      <c r="D12">
        <v>7.3610333999999999E-2</v>
      </c>
      <c r="E12">
        <v>7.3360545999999999E-2</v>
      </c>
      <c r="F12" s="1">
        <v>1.97E-11</v>
      </c>
      <c r="G12">
        <v>293.72548289999997</v>
      </c>
      <c r="H12">
        <v>140.0485961</v>
      </c>
      <c r="I12">
        <v>10.28933146</v>
      </c>
    </row>
    <row r="13" spans="1:9" x14ac:dyDescent="0.2">
      <c r="A13">
        <v>150</v>
      </c>
      <c r="B13">
        <v>5</v>
      </c>
      <c r="C13">
        <v>0.25</v>
      </c>
      <c r="D13">
        <v>7.9389551000000003E-2</v>
      </c>
      <c r="E13">
        <v>8.0032119999999998E-2</v>
      </c>
      <c r="F13" s="1">
        <v>1.24E-11</v>
      </c>
      <c r="G13">
        <v>330.81120650000003</v>
      </c>
      <c r="H13">
        <v>362.20454169999999</v>
      </c>
      <c r="I13">
        <v>10.822971730000001</v>
      </c>
    </row>
    <row r="14" spans="1:9" x14ac:dyDescent="0.2">
      <c r="A14">
        <v>150</v>
      </c>
      <c r="B14">
        <v>5</v>
      </c>
      <c r="C14">
        <v>0.25</v>
      </c>
      <c r="D14">
        <v>9.0525893999999996E-2</v>
      </c>
      <c r="E14">
        <v>8.6319526999999993E-2</v>
      </c>
      <c r="F14" s="1">
        <v>1.0500000000000001E-9</v>
      </c>
      <c r="G14">
        <v>388.75984110000002</v>
      </c>
      <c r="H14">
        <v>115.5721393</v>
      </c>
      <c r="I14">
        <v>12.82155292</v>
      </c>
    </row>
    <row r="15" spans="1:9" x14ac:dyDescent="0.2">
      <c r="A15">
        <v>150</v>
      </c>
      <c r="B15">
        <v>5</v>
      </c>
      <c r="C15">
        <v>0.25</v>
      </c>
      <c r="D15">
        <v>8.7378449999999996E-2</v>
      </c>
      <c r="E15">
        <v>8.4540828999999998E-2</v>
      </c>
      <c r="F15" s="1">
        <v>2.7000000000000002E-9</v>
      </c>
      <c r="G15">
        <v>352.88640400000003</v>
      </c>
      <c r="H15">
        <v>106.62116159999999</v>
      </c>
      <c r="I15">
        <v>11.203521520000001</v>
      </c>
    </row>
    <row r="16" spans="1:9" x14ac:dyDescent="0.2">
      <c r="A16">
        <v>150</v>
      </c>
      <c r="B16">
        <v>5</v>
      </c>
      <c r="C16">
        <v>0.25</v>
      </c>
      <c r="D16">
        <v>8.1236521000000006E-2</v>
      </c>
      <c r="E16">
        <v>8.1720405999999995E-2</v>
      </c>
      <c r="F16">
        <v>5.6344890000000003E-3</v>
      </c>
      <c r="G16">
        <v>314.10162810000003</v>
      </c>
      <c r="H16">
        <v>419.02492189999998</v>
      </c>
      <c r="I16">
        <v>15.73110067</v>
      </c>
    </row>
    <row r="17" spans="1:9" x14ac:dyDescent="0.2">
      <c r="A17">
        <v>200</v>
      </c>
      <c r="B17">
        <v>5</v>
      </c>
      <c r="C17">
        <v>0.25</v>
      </c>
      <c r="D17">
        <v>6.8117255000000002E-2</v>
      </c>
      <c r="E17">
        <v>6.8076725000000005E-2</v>
      </c>
      <c r="F17" s="1">
        <v>5.9300000000000005E-11</v>
      </c>
      <c r="G17">
        <v>2098.8386169999999</v>
      </c>
      <c r="H17">
        <v>896.65134049999995</v>
      </c>
      <c r="I17">
        <v>46.413454000000002</v>
      </c>
    </row>
    <row r="18" spans="1:9" x14ac:dyDescent="0.2">
      <c r="A18">
        <v>200</v>
      </c>
      <c r="B18">
        <v>5</v>
      </c>
      <c r="C18">
        <v>0.25</v>
      </c>
      <c r="D18">
        <v>6.6286495000000001E-2</v>
      </c>
      <c r="E18">
        <v>6.6302021000000003E-2</v>
      </c>
      <c r="F18" s="1">
        <v>3.42E-12</v>
      </c>
      <c r="G18">
        <v>1789.123599</v>
      </c>
      <c r="H18">
        <v>802.58020980000003</v>
      </c>
      <c r="I18">
        <v>48.973849600000001</v>
      </c>
    </row>
    <row r="19" spans="1:9" x14ac:dyDescent="0.2">
      <c r="A19">
        <v>200</v>
      </c>
      <c r="B19">
        <v>5</v>
      </c>
      <c r="C19">
        <v>0.25</v>
      </c>
      <c r="D19">
        <v>6.5536434000000005E-2</v>
      </c>
      <c r="E19">
        <v>6.5358680000000002E-2</v>
      </c>
      <c r="F19" s="1">
        <v>1.4200000000000001E-9</v>
      </c>
      <c r="G19">
        <v>2198.2094990000001</v>
      </c>
      <c r="H19">
        <v>858.00159699999995</v>
      </c>
      <c r="I19">
        <v>36.616332180000001</v>
      </c>
    </row>
    <row r="20" spans="1:9" x14ac:dyDescent="0.2">
      <c r="A20">
        <v>200</v>
      </c>
      <c r="B20">
        <v>5</v>
      </c>
      <c r="C20">
        <v>0.25</v>
      </c>
      <c r="D20">
        <v>7.0560603E-2</v>
      </c>
      <c r="E20">
        <v>7.0664027000000004E-2</v>
      </c>
      <c r="F20" s="1">
        <v>2.9200000000000001E-12</v>
      </c>
      <c r="G20">
        <v>1892.953448</v>
      </c>
      <c r="H20">
        <v>839.61036330000002</v>
      </c>
      <c r="I20">
        <v>46.517715359999997</v>
      </c>
    </row>
    <row r="21" spans="1:9" x14ac:dyDescent="0.2">
      <c r="A21">
        <v>200</v>
      </c>
      <c r="B21">
        <v>5</v>
      </c>
      <c r="C21">
        <v>0.25</v>
      </c>
      <c r="D21">
        <v>6.7212607999999993E-2</v>
      </c>
      <c r="E21">
        <v>6.7208601000000007E-2</v>
      </c>
      <c r="F21" s="1">
        <v>1.0800000000000001E-8</v>
      </c>
      <c r="G21">
        <v>1553.55133</v>
      </c>
      <c r="H21">
        <v>811.40548120000005</v>
      </c>
      <c r="I21">
        <v>35.225833254999998</v>
      </c>
    </row>
    <row r="22" spans="1:9" x14ac:dyDescent="0.2">
      <c r="A22">
        <v>250</v>
      </c>
      <c r="B22">
        <v>5</v>
      </c>
      <c r="C22">
        <v>0.25</v>
      </c>
      <c r="E22">
        <v>6.1979356999999999E-2</v>
      </c>
      <c r="H22">
        <v>1366.246817</v>
      </c>
    </row>
    <row r="23" spans="1:9" x14ac:dyDescent="0.2">
      <c r="A23">
        <v>250</v>
      </c>
      <c r="B23">
        <v>5</v>
      </c>
      <c r="C23">
        <v>0.25</v>
      </c>
      <c r="E23">
        <v>6.1073123E-2</v>
      </c>
      <c r="H23">
        <v>1387.0546469999999</v>
      </c>
    </row>
    <row r="24" spans="1:9" x14ac:dyDescent="0.2">
      <c r="A24">
        <v>250</v>
      </c>
      <c r="B24">
        <v>5</v>
      </c>
      <c r="C24">
        <v>0.25</v>
      </c>
      <c r="E24">
        <v>6.1419313000000003E-2</v>
      </c>
      <c r="H24">
        <v>1313.533443</v>
      </c>
    </row>
    <row r="25" spans="1:9" x14ac:dyDescent="0.2">
      <c r="A25">
        <v>250</v>
      </c>
      <c r="B25">
        <v>5</v>
      </c>
      <c r="C25">
        <v>0.25</v>
      </c>
      <c r="E25">
        <v>6.2018225000000003E-2</v>
      </c>
      <c r="H25">
        <v>1609.446549</v>
      </c>
    </row>
    <row r="26" spans="1:9" x14ac:dyDescent="0.2">
      <c r="A26">
        <v>250</v>
      </c>
      <c r="B26">
        <v>5</v>
      </c>
      <c r="C26">
        <v>0.25</v>
      </c>
      <c r="E26">
        <v>6.1592335999999998E-2</v>
      </c>
      <c r="H26">
        <v>1648.5246259999999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111FA-69EC-B44D-A844-E87E77072E49}">
  <dimension ref="A1:E6"/>
  <sheetViews>
    <sheetView workbookViewId="0">
      <selection activeCell="A7" sqref="A7:E7"/>
    </sheetView>
  </sheetViews>
  <sheetFormatPr baseColWidth="10" defaultRowHeight="16" x14ac:dyDescent="0.2"/>
  <cols>
    <col min="2" max="2" width="12.16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50</v>
      </c>
      <c r="B2">
        <f>AVERAGEIF(raw_withmsk!$A:$A,$A2,raw_withmsk!D:D)</f>
        <v>0.4291526504</v>
      </c>
      <c r="C2">
        <f>AVERAGEIF(raw_withmsk!$A:$A,$A2,raw_withmsk!G:G)</f>
        <v>2.2853360504000002</v>
      </c>
      <c r="D2">
        <f>AVERAGEIF(raw_withmsk!$A:$A,$A2,raw_withmsk!E:E)</f>
        <v>0.43785968380000001</v>
      </c>
      <c r="E2">
        <f>AVERAGEIF(raw_withmsk!$A:$A,$A2,raw_withmsk!H:H)</f>
        <v>17.283740198</v>
      </c>
    </row>
    <row r="3" spans="1:5" x14ac:dyDescent="0.2">
      <c r="A3">
        <v>100</v>
      </c>
      <c r="B3">
        <f>AVERAGEIF(raw_withmsk!$A:$A,$A3,raw_withmsk!D:D)</f>
        <v>0.13815498340000001</v>
      </c>
      <c r="C3">
        <f>AVERAGEIF(raw_withmsk!$A:$A,$A3,raw_withmsk!G:G)</f>
        <v>47.201378595999998</v>
      </c>
      <c r="D3">
        <f>AVERAGEIF(raw_withmsk!$A:$A,$A3,raw_withmsk!E:E)</f>
        <v>0.13893309780000002</v>
      </c>
      <c r="E3">
        <f>AVERAGEIF(raw_withmsk!$A:$A,$A3,raw_withmsk!H:H)</f>
        <v>79.014124323999994</v>
      </c>
    </row>
    <row r="4" spans="1:5" x14ac:dyDescent="0.2">
      <c r="A4">
        <v>150</v>
      </c>
      <c r="B4">
        <f>AVERAGEIF(raw_withmsk!$A:$A,$A4,raw_withmsk!D:D)</f>
        <v>8.2428150000000006E-2</v>
      </c>
      <c r="C4">
        <f>AVERAGEIF(raw_withmsk!$A:$A,$A4,raw_withmsk!G:G)</f>
        <v>336.05691252000003</v>
      </c>
      <c r="D4">
        <f>AVERAGEIF(raw_withmsk!$A:$A,$A4,raw_withmsk!E:E)</f>
        <v>8.1194685600000011E-2</v>
      </c>
      <c r="E4">
        <f>AVERAGEIF(raw_withmsk!$A:$A,$A4,raw_withmsk!H:H)</f>
        <v>228.69427211999999</v>
      </c>
    </row>
    <row r="5" spans="1:5" x14ac:dyDescent="0.2">
      <c r="A5">
        <v>200</v>
      </c>
      <c r="B5">
        <f>AVERAGEIF(raw_withmsk!$A:$A,$A5,raw_withmsk!D:D)</f>
        <v>6.7542679000000008E-2</v>
      </c>
      <c r="C5">
        <f>AVERAGEIF(raw_withmsk!$A:$A,$A5,raw_withmsk!G:G)</f>
        <v>1906.5352986000003</v>
      </c>
      <c r="D5">
        <f>AVERAGEIF(raw_withmsk!$A:$A,$A5,raw_withmsk!E:E)</f>
        <v>6.7522010800000004E-2</v>
      </c>
      <c r="E5">
        <f>AVERAGEIF(raw_withmsk!$A:$A,$A5,raw_withmsk!H:H)</f>
        <v>841.64979835999998</v>
      </c>
    </row>
    <row r="6" spans="1:5" x14ac:dyDescent="0.2">
      <c r="A6">
        <v>250</v>
      </c>
      <c r="B6" t="e">
        <f>AVERAGEIF(raw_withmsk!$A:$A,$A6,raw_withmsk!D:D)</f>
        <v>#DIV/0!</v>
      </c>
      <c r="C6" t="e">
        <f>AVERAGEIF(raw_withmsk!$A:$A,$A6,raw_withmsk!G:G)</f>
        <v>#DIV/0!</v>
      </c>
      <c r="D6">
        <f>AVERAGEIF(raw_withmsk!$A:$A,$A6,raw_withmsk!E:E)</f>
        <v>6.1616470800000003E-2</v>
      </c>
      <c r="E6">
        <f>AVERAGEIF(raw_withmsk!$A:$A,$A6,raw_withmsk!H:H)</f>
        <v>1464.9612164000002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F3026-68C7-C946-B4F3-48EADF0DEC5A}">
  <dimension ref="A1:J48"/>
  <sheetViews>
    <sheetView workbookViewId="0">
      <selection activeCell="A2" sqref="A2:XFD3"/>
    </sheetView>
  </sheetViews>
  <sheetFormatPr baseColWidth="10" defaultRowHeight="16" x14ac:dyDescent="0.2"/>
  <sheetData>
    <row r="1" spans="1:9" x14ac:dyDescent="0.2"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</row>
    <row r="2" spans="1:9" x14ac:dyDescent="0.2">
      <c r="A2" s="2">
        <v>300</v>
      </c>
      <c r="B2">
        <v>5</v>
      </c>
      <c r="C2">
        <v>0.25</v>
      </c>
      <c r="E2">
        <v>5.8575807432403301E-2</v>
      </c>
      <c r="H2">
        <v>2709.6143271579999</v>
      </c>
    </row>
    <row r="3" spans="1:9" x14ac:dyDescent="0.2">
      <c r="A3" s="2">
        <v>300</v>
      </c>
      <c r="B3">
        <v>5</v>
      </c>
      <c r="C3">
        <v>0.25</v>
      </c>
      <c r="E3">
        <v>5.8872380068535103E-2</v>
      </c>
      <c r="H3">
        <v>2920.7016375389999</v>
      </c>
    </row>
    <row r="4" spans="1:9" x14ac:dyDescent="0.2">
      <c r="A4" s="2">
        <v>300</v>
      </c>
      <c r="B4">
        <v>5</v>
      </c>
      <c r="C4">
        <v>0.25</v>
      </c>
      <c r="E4">
        <v>5.8356678655161302E-2</v>
      </c>
      <c r="H4">
        <v>2860.4799594900001</v>
      </c>
    </row>
    <row r="5" spans="1:9" x14ac:dyDescent="0.2">
      <c r="A5" s="2">
        <v>300</v>
      </c>
      <c r="B5">
        <v>5</v>
      </c>
      <c r="C5">
        <v>0.25</v>
      </c>
      <c r="E5">
        <v>5.8375649759653203E-2</v>
      </c>
      <c r="H5">
        <v>2948.1473827029999</v>
      </c>
    </row>
    <row r="6" spans="1:9" x14ac:dyDescent="0.2">
      <c r="A6" s="2">
        <v>300</v>
      </c>
      <c r="B6">
        <v>5</v>
      </c>
      <c r="C6">
        <v>0.25</v>
      </c>
      <c r="E6">
        <v>5.8872550479405698E-2</v>
      </c>
      <c r="H6">
        <v>3046.5105816780001</v>
      </c>
    </row>
    <row r="7" spans="1:9" x14ac:dyDescent="0.2">
      <c r="A7" s="2">
        <v>350</v>
      </c>
      <c r="B7">
        <v>5</v>
      </c>
      <c r="C7">
        <v>0.25</v>
      </c>
      <c r="E7">
        <v>5.7979055195260101E-2</v>
      </c>
      <c r="H7">
        <v>6357.9211211740003</v>
      </c>
    </row>
    <row r="8" spans="1:9" x14ac:dyDescent="0.2">
      <c r="A8" s="2">
        <v>350</v>
      </c>
      <c r="B8">
        <v>5</v>
      </c>
      <c r="C8">
        <v>0.25</v>
      </c>
      <c r="E8">
        <v>5.7818971395936898E-2</v>
      </c>
      <c r="H8">
        <v>7668.4131255270004</v>
      </c>
    </row>
    <row r="9" spans="1:9" x14ac:dyDescent="0.2">
      <c r="A9" s="2">
        <v>350</v>
      </c>
      <c r="B9">
        <v>5</v>
      </c>
      <c r="C9">
        <v>0.25</v>
      </c>
      <c r="E9">
        <v>5.7074342228263603E-2</v>
      </c>
      <c r="H9">
        <v>6436.7732974050004</v>
      </c>
    </row>
    <row r="10" spans="1:9" x14ac:dyDescent="0.2">
      <c r="A10" s="2">
        <v>350</v>
      </c>
      <c r="B10">
        <v>5</v>
      </c>
      <c r="C10">
        <v>0.25</v>
      </c>
      <c r="E10">
        <v>5.8153665458057599E-2</v>
      </c>
      <c r="H10">
        <v>6777.3910758069997</v>
      </c>
    </row>
    <row r="11" spans="1:9" x14ac:dyDescent="0.2">
      <c r="A11" s="2">
        <v>350</v>
      </c>
      <c r="B11">
        <v>5</v>
      </c>
      <c r="C11">
        <v>0.25</v>
      </c>
      <c r="E11">
        <v>5.69724352380084E-2</v>
      </c>
      <c r="H11">
        <v>7608.3400890869998</v>
      </c>
    </row>
    <row r="12" spans="1:9" x14ac:dyDescent="0.2">
      <c r="A12" s="2">
        <v>400</v>
      </c>
      <c r="B12">
        <v>5</v>
      </c>
      <c r="C12">
        <v>0.25</v>
      </c>
      <c r="E12">
        <v>5.6155505369870302E-2</v>
      </c>
      <c r="H12">
        <v>7748.5634676990003</v>
      </c>
    </row>
    <row r="13" spans="1:9" x14ac:dyDescent="0.2">
      <c r="A13" s="2">
        <v>400</v>
      </c>
      <c r="B13">
        <v>5</v>
      </c>
      <c r="C13">
        <v>0.25</v>
      </c>
      <c r="E13">
        <v>5.5377715946134297E-2</v>
      </c>
      <c r="H13">
        <v>7246.5176942449998</v>
      </c>
    </row>
    <row r="14" spans="1:9" x14ac:dyDescent="0.2">
      <c r="A14" s="2">
        <v>400</v>
      </c>
      <c r="B14">
        <v>5</v>
      </c>
      <c r="C14">
        <v>0.25</v>
      </c>
      <c r="E14">
        <v>5.6417817259748301E-2</v>
      </c>
      <c r="H14">
        <v>8829.5240970579998</v>
      </c>
    </row>
    <row r="15" spans="1:9" x14ac:dyDescent="0.2">
      <c r="A15" s="2">
        <v>400</v>
      </c>
      <c r="B15">
        <v>5</v>
      </c>
      <c r="C15">
        <v>0.25</v>
      </c>
      <c r="E15">
        <v>5.5209136263654202E-2</v>
      </c>
      <c r="H15">
        <v>7940.2188820600004</v>
      </c>
    </row>
    <row r="16" spans="1:9" x14ac:dyDescent="0.2">
      <c r="A16" s="2">
        <v>400</v>
      </c>
      <c r="B16">
        <v>5</v>
      </c>
      <c r="C16">
        <v>0.25</v>
      </c>
      <c r="E16">
        <v>5.4957260355891401E-2</v>
      </c>
      <c r="H16">
        <v>8716.3361187560004</v>
      </c>
    </row>
    <row r="17" spans="1:10" x14ac:dyDescent="0.2">
      <c r="A17" s="2">
        <v>450</v>
      </c>
      <c r="B17">
        <v>5</v>
      </c>
      <c r="C17">
        <v>0.25</v>
      </c>
      <c r="E17">
        <v>5.42924992822875E-2</v>
      </c>
      <c r="H17">
        <v>17441.363240486</v>
      </c>
    </row>
    <row r="18" spans="1:10" x14ac:dyDescent="0.2">
      <c r="A18" s="2">
        <v>450</v>
      </c>
      <c r="B18">
        <v>5</v>
      </c>
      <c r="C18">
        <v>0.25</v>
      </c>
      <c r="E18">
        <v>5.4425539780995499E-2</v>
      </c>
      <c r="H18">
        <v>17481.590950098998</v>
      </c>
    </row>
    <row r="19" spans="1:10" x14ac:dyDescent="0.2">
      <c r="A19" s="2">
        <v>450</v>
      </c>
      <c r="B19">
        <v>5</v>
      </c>
      <c r="C19">
        <v>0.25</v>
      </c>
      <c r="E19">
        <v>5.5406939139248303E-2</v>
      </c>
      <c r="H19">
        <v>18205.925320940001</v>
      </c>
    </row>
    <row r="20" spans="1:10" x14ac:dyDescent="0.2">
      <c r="A20" s="2">
        <v>450</v>
      </c>
      <c r="B20">
        <v>5</v>
      </c>
      <c r="C20">
        <v>0.25</v>
      </c>
      <c r="E20">
        <v>5.4193508757371701E-2</v>
      </c>
      <c r="H20">
        <v>19838.134924730999</v>
      </c>
      <c r="J20" s="2"/>
    </row>
    <row r="21" spans="1:10" x14ac:dyDescent="0.2">
      <c r="A21" s="2">
        <v>450</v>
      </c>
      <c r="B21">
        <v>5</v>
      </c>
      <c r="C21">
        <v>0.25</v>
      </c>
      <c r="E21">
        <v>5.4379071383320002E-2</v>
      </c>
      <c r="H21">
        <v>18686.880877553001</v>
      </c>
      <c r="J21" s="2"/>
    </row>
    <row r="22" spans="1:10" x14ac:dyDescent="0.2">
      <c r="A22" s="2">
        <v>450</v>
      </c>
      <c r="B22">
        <v>5</v>
      </c>
      <c r="C22">
        <v>0.25</v>
      </c>
      <c r="E22">
        <v>5.5529336323745397E-2</v>
      </c>
      <c r="H22">
        <v>37794.006077297003</v>
      </c>
      <c r="J22" s="2"/>
    </row>
    <row r="23" spans="1:10" x14ac:dyDescent="0.2">
      <c r="A23" s="2">
        <v>450</v>
      </c>
      <c r="B23">
        <v>5</v>
      </c>
      <c r="C23">
        <v>0.25</v>
      </c>
      <c r="E23">
        <v>5.4768121657786599E-2</v>
      </c>
      <c r="H23">
        <v>36426.581644354999</v>
      </c>
    </row>
    <row r="24" spans="1:10" x14ac:dyDescent="0.2">
      <c r="A24" s="2">
        <v>450</v>
      </c>
      <c r="B24">
        <v>5</v>
      </c>
      <c r="C24">
        <v>0.25</v>
      </c>
      <c r="E24">
        <v>5.4234177285719602E-2</v>
      </c>
      <c r="H24">
        <v>34087.040226284997</v>
      </c>
    </row>
    <row r="25" spans="1:10" x14ac:dyDescent="0.2">
      <c r="A25" s="2">
        <v>450</v>
      </c>
      <c r="B25">
        <v>5</v>
      </c>
      <c r="C25">
        <v>0.25</v>
      </c>
      <c r="E25">
        <v>5.4737032808055801E-2</v>
      </c>
      <c r="H25">
        <v>36252.743851152001</v>
      </c>
    </row>
    <row r="26" spans="1:10" x14ac:dyDescent="0.2">
      <c r="A26" s="2">
        <v>500</v>
      </c>
      <c r="B26">
        <v>5</v>
      </c>
      <c r="C26">
        <v>0.25</v>
      </c>
      <c r="E26">
        <v>5.4580722055597997E-2</v>
      </c>
      <c r="H26">
        <v>17135.532513376002</v>
      </c>
      <c r="J26" s="2"/>
    </row>
    <row r="27" spans="1:10" x14ac:dyDescent="0.2">
      <c r="A27" s="2">
        <v>500</v>
      </c>
      <c r="B27">
        <v>5</v>
      </c>
      <c r="C27">
        <v>0.25</v>
      </c>
      <c r="E27">
        <v>5.4098712676134898E-2</v>
      </c>
      <c r="H27">
        <v>17678.800873626999</v>
      </c>
      <c r="J27" s="2"/>
    </row>
    <row r="28" spans="1:10" x14ac:dyDescent="0.2">
      <c r="A28" s="2">
        <v>500</v>
      </c>
      <c r="B28" s="2">
        <v>5</v>
      </c>
      <c r="C28">
        <v>0.25</v>
      </c>
      <c r="E28">
        <v>5.3777262418171101E-2</v>
      </c>
      <c r="H28">
        <v>16911.593622433</v>
      </c>
      <c r="J28" s="2"/>
    </row>
    <row r="29" spans="1:10" x14ac:dyDescent="0.2">
      <c r="A29" s="2">
        <v>500</v>
      </c>
      <c r="B29">
        <v>5</v>
      </c>
      <c r="C29">
        <v>0.25</v>
      </c>
      <c r="E29">
        <v>5.3677935436964599E-2</v>
      </c>
      <c r="H29">
        <v>17306.010019896999</v>
      </c>
      <c r="J29" s="2"/>
    </row>
    <row r="30" spans="1:10" x14ac:dyDescent="0.2">
      <c r="A30" s="2">
        <v>500</v>
      </c>
      <c r="B30">
        <v>5</v>
      </c>
      <c r="C30">
        <v>0.25</v>
      </c>
      <c r="E30">
        <v>5.3995557604271799E-2</v>
      </c>
      <c r="H30">
        <v>17566.367152639999</v>
      </c>
      <c r="J30" s="2"/>
    </row>
    <row r="31" spans="1:10" x14ac:dyDescent="0.2">
      <c r="A31" s="2">
        <v>500</v>
      </c>
      <c r="B31">
        <v>5</v>
      </c>
      <c r="C31">
        <v>0.25</v>
      </c>
      <c r="E31">
        <v>5.36081824912433E-2</v>
      </c>
      <c r="H31">
        <v>16160.393125891</v>
      </c>
    </row>
    <row r="32" spans="1:10" x14ac:dyDescent="0.2">
      <c r="A32" s="2">
        <v>500</v>
      </c>
      <c r="B32">
        <v>5</v>
      </c>
      <c r="C32">
        <v>0.25</v>
      </c>
      <c r="E32">
        <v>5.3976374159032503E-2</v>
      </c>
      <c r="H32">
        <v>38243.165305274</v>
      </c>
    </row>
    <row r="33" spans="1:10" x14ac:dyDescent="0.2">
      <c r="A33" s="2">
        <v>500</v>
      </c>
      <c r="B33">
        <v>5</v>
      </c>
      <c r="C33">
        <v>0.25</v>
      </c>
      <c r="E33">
        <v>5.4766338402857898E-2</v>
      </c>
      <c r="H33">
        <v>43067.452599646997</v>
      </c>
    </row>
    <row r="34" spans="1:10" x14ac:dyDescent="0.2">
      <c r="A34" s="2">
        <v>500</v>
      </c>
      <c r="B34">
        <v>5</v>
      </c>
      <c r="C34">
        <v>0.25</v>
      </c>
      <c r="E34">
        <v>5.35586623244809E-2</v>
      </c>
      <c r="H34">
        <v>37435.659284134999</v>
      </c>
      <c r="J34" s="2"/>
    </row>
    <row r="35" spans="1:10" x14ac:dyDescent="0.2">
      <c r="A35" s="2">
        <v>500</v>
      </c>
      <c r="B35">
        <v>5</v>
      </c>
      <c r="C35">
        <v>0.25</v>
      </c>
      <c r="E35">
        <v>5.3430766560361803E-2</v>
      </c>
      <c r="H35">
        <v>37520.536852402998</v>
      </c>
      <c r="J35" s="2"/>
    </row>
    <row r="36" spans="1:10" x14ac:dyDescent="0.2">
      <c r="A36" s="2">
        <v>500</v>
      </c>
      <c r="B36">
        <v>5</v>
      </c>
      <c r="C36">
        <v>0.25</v>
      </c>
      <c r="E36">
        <v>5.3850261240848102E-2</v>
      </c>
      <c r="H36">
        <v>38043.619857864003</v>
      </c>
      <c r="J36" s="2"/>
    </row>
    <row r="37" spans="1:10" x14ac:dyDescent="0.2">
      <c r="A37" s="2">
        <v>500</v>
      </c>
      <c r="B37">
        <v>5</v>
      </c>
      <c r="C37">
        <v>0.25</v>
      </c>
      <c r="E37">
        <v>5.42934471921614E-2</v>
      </c>
      <c r="H37">
        <v>41040.364547985999</v>
      </c>
      <c r="J37" s="2"/>
    </row>
    <row r="38" spans="1:10" x14ac:dyDescent="0.2">
      <c r="A38" s="2">
        <v>500</v>
      </c>
      <c r="B38">
        <v>5</v>
      </c>
      <c r="C38">
        <v>0.25</v>
      </c>
      <c r="E38">
        <v>5.4446855555361301E-2</v>
      </c>
      <c r="H38">
        <v>37829.331501241999</v>
      </c>
    </row>
    <row r="39" spans="1:10" x14ac:dyDescent="0.2">
      <c r="A39">
        <v>550</v>
      </c>
      <c r="B39">
        <v>5</v>
      </c>
      <c r="C39">
        <v>0.25</v>
      </c>
      <c r="E39">
        <v>5.3752590790093001E-2</v>
      </c>
      <c r="H39">
        <v>40173.718861291003</v>
      </c>
    </row>
    <row r="40" spans="1:10" x14ac:dyDescent="0.2">
      <c r="A40">
        <v>550</v>
      </c>
      <c r="B40">
        <v>5</v>
      </c>
      <c r="C40">
        <v>0.25</v>
      </c>
      <c r="E40">
        <v>5.33956450241974E-2</v>
      </c>
      <c r="H40">
        <v>38289.623747003003</v>
      </c>
    </row>
    <row r="41" spans="1:10" x14ac:dyDescent="0.2">
      <c r="A41">
        <v>550</v>
      </c>
      <c r="B41">
        <v>5</v>
      </c>
      <c r="C41">
        <v>0.25</v>
      </c>
      <c r="E41">
        <v>5.3795552314461002E-2</v>
      </c>
      <c r="H41">
        <v>38725.235977073004</v>
      </c>
    </row>
    <row r="42" spans="1:10" x14ac:dyDescent="0.2">
      <c r="A42">
        <v>600</v>
      </c>
      <c r="B42">
        <v>5</v>
      </c>
      <c r="C42">
        <v>0.25</v>
      </c>
      <c r="E42">
        <v>5.2513028589791497E-2</v>
      </c>
      <c r="H42">
        <v>38941.081141028</v>
      </c>
    </row>
    <row r="43" spans="1:10" x14ac:dyDescent="0.2">
      <c r="A43">
        <v>600</v>
      </c>
      <c r="B43">
        <v>5</v>
      </c>
      <c r="C43">
        <v>0.25</v>
      </c>
      <c r="E43">
        <v>5.2993095290382403E-2</v>
      </c>
      <c r="H43">
        <v>41759.497287985003</v>
      </c>
    </row>
    <row r="44" spans="1:10" x14ac:dyDescent="0.2">
      <c r="A44">
        <v>600</v>
      </c>
      <c r="B44">
        <v>5</v>
      </c>
      <c r="C44">
        <v>0.25</v>
      </c>
      <c r="E44">
        <v>5.2250664386207901E-2</v>
      </c>
      <c r="H44">
        <v>32772.636770101002</v>
      </c>
    </row>
    <row r="45" spans="1:10" x14ac:dyDescent="0.2">
      <c r="A45">
        <v>600</v>
      </c>
      <c r="B45">
        <v>5</v>
      </c>
      <c r="C45">
        <v>0.25</v>
      </c>
      <c r="E45">
        <v>5.2280070361980097E-2</v>
      </c>
      <c r="H45">
        <v>39802.724672204997</v>
      </c>
    </row>
    <row r="46" spans="1:10" x14ac:dyDescent="0.2">
      <c r="A46">
        <v>600</v>
      </c>
      <c r="B46">
        <v>5</v>
      </c>
      <c r="C46">
        <v>0.25</v>
      </c>
      <c r="E46">
        <v>5.2947724414569797E-2</v>
      </c>
      <c r="H46">
        <v>36632.186482798003</v>
      </c>
    </row>
    <row r="47" spans="1:10" x14ac:dyDescent="0.2">
      <c r="A47">
        <v>600</v>
      </c>
      <c r="B47">
        <v>5</v>
      </c>
      <c r="C47">
        <v>0.25</v>
      </c>
      <c r="E47">
        <v>5.2532173164697799E-2</v>
      </c>
      <c r="H47">
        <v>39348.026827540001</v>
      </c>
    </row>
    <row r="48" spans="1:10" x14ac:dyDescent="0.2">
      <c r="A48">
        <v>600</v>
      </c>
      <c r="B48">
        <v>5</v>
      </c>
      <c r="C48">
        <v>0.25</v>
      </c>
      <c r="E48">
        <v>5.2526986564598602E-2</v>
      </c>
      <c r="H48">
        <v>40020.805028631999</v>
      </c>
    </row>
  </sheetData>
  <sortState xmlns:xlrd2="http://schemas.microsoft.com/office/spreadsheetml/2017/richdata2" ref="A39:H48">
    <sortCondition ref="A39:A4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6A8AF-E7A6-D146-870F-469E0801B755}">
  <dimension ref="A1:G49"/>
  <sheetViews>
    <sheetView tabSelected="1" workbookViewId="0">
      <selection activeCell="F34" sqref="F33:F34"/>
    </sheetView>
  </sheetViews>
  <sheetFormatPr baseColWidth="10" defaultRowHeight="16" x14ac:dyDescent="0.2"/>
  <cols>
    <col min="2" max="2" width="12.1640625" bestFit="1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7" x14ac:dyDescent="0.2">
      <c r="A2">
        <v>50</v>
      </c>
      <c r="B2" t="e">
        <f>AVERAGEIF(raw_withmsk_cluster!$A:$A,$A2,raw_withmsk_cluster!D:D)</f>
        <v>#DIV/0!</v>
      </c>
      <c r="C2" t="e">
        <f>AVERAGEIF(raw_withmsk_cluster!$A:$A,$A2,raw_withmsk_cluster!G:G)</f>
        <v>#DIV/0!</v>
      </c>
      <c r="D2" t="e">
        <f>AVERAGEIF(raw_withmsk_cluster!$A:$A,$A2,raw_withmsk_cluster!E:E)</f>
        <v>#DIV/0!</v>
      </c>
      <c r="E2" t="e">
        <f>AVERAGEIF(raw_withmsk_cluster!$A:$A,$A2,raw_withmsk_cluster!H:H)</f>
        <v>#DIV/0!</v>
      </c>
    </row>
    <row r="3" spans="1:7" x14ac:dyDescent="0.2">
      <c r="A3">
        <v>100</v>
      </c>
      <c r="B3" t="e">
        <f>AVERAGEIF(raw_withmsk_cluster!$A:$A,$A3,raw_withmsk_cluster!D:D)</f>
        <v>#DIV/0!</v>
      </c>
      <c r="C3" t="e">
        <f>AVERAGEIF(raw_withmsk_cluster!$A:$A,$A3,raw_withmsk_cluster!G:G)</f>
        <v>#DIV/0!</v>
      </c>
      <c r="D3" t="e">
        <f>AVERAGEIF(raw_withmsk_cluster!$A:$A,$A3,raw_withmsk_cluster!E:E)</f>
        <v>#DIV/0!</v>
      </c>
      <c r="E3" t="e">
        <f>AVERAGEIF(raw_withmsk_cluster!$A:$A,$A3,raw_withmsk_cluster!H:H)</f>
        <v>#DIV/0!</v>
      </c>
    </row>
    <row r="4" spans="1:7" x14ac:dyDescent="0.2">
      <c r="A4">
        <v>150</v>
      </c>
      <c r="B4" t="e">
        <f>AVERAGEIF(raw_withmsk_cluster!$A:$A,$A4,raw_withmsk_cluster!D:D)</f>
        <v>#DIV/0!</v>
      </c>
      <c r="C4" t="e">
        <f>AVERAGEIF(raw_withmsk_cluster!$A:$A,$A4,raw_withmsk_cluster!G:G)</f>
        <v>#DIV/0!</v>
      </c>
      <c r="D4" t="e">
        <f>AVERAGEIF(raw_withmsk_cluster!$A:$A,$A4,raw_withmsk_cluster!E:E)</f>
        <v>#DIV/0!</v>
      </c>
      <c r="E4" t="e">
        <f>AVERAGEIF(raw_withmsk_cluster!$A:$A,$A4,raw_withmsk_cluster!H:H)</f>
        <v>#DIV/0!</v>
      </c>
    </row>
    <row r="5" spans="1:7" x14ac:dyDescent="0.2">
      <c r="A5">
        <v>200</v>
      </c>
      <c r="B5" t="e">
        <f>AVERAGEIF(raw_withmsk_cluster!$A:$A,$A5,raw_withmsk_cluster!D:D)</f>
        <v>#DIV/0!</v>
      </c>
      <c r="C5" t="e">
        <f>AVERAGEIF(raw_withmsk_cluster!$A:$A,$A5,raw_withmsk_cluster!G:G)</f>
        <v>#DIV/0!</v>
      </c>
      <c r="D5" t="e">
        <f>AVERAGEIF(raw_withmsk_cluster!$A:$A,$A5,raw_withmsk_cluster!E:E)</f>
        <v>#DIV/0!</v>
      </c>
      <c r="E5" t="e">
        <f>AVERAGEIF(raw_withmsk_cluster!$A:$A,$A5,raw_withmsk_cluster!H:H)</f>
        <v>#DIV/0!</v>
      </c>
    </row>
    <row r="6" spans="1:7" x14ac:dyDescent="0.2">
      <c r="A6">
        <v>250</v>
      </c>
      <c r="B6" t="e">
        <f>AVERAGEIF(raw_withmsk_cluster!$A:$A,$A6,raw_withmsk_cluster!D:D)</f>
        <v>#DIV/0!</v>
      </c>
      <c r="C6" t="e">
        <f>AVERAGEIF(raw_withmsk_cluster!$A:$A,$A6,raw_withmsk_cluster!G:G)</f>
        <v>#DIV/0!</v>
      </c>
      <c r="D6" t="e">
        <f>AVERAGEIF(raw_withmsk_cluster!$A:$A,$A6,raw_withmsk_cluster!E:E)</f>
        <v>#DIV/0!</v>
      </c>
      <c r="E6" t="e">
        <f>AVERAGEIF(raw_withmsk_cluster!$A:$A,$A6,raw_withmsk_cluster!H:H)</f>
        <v>#DIV/0!</v>
      </c>
    </row>
    <row r="7" spans="1:7" x14ac:dyDescent="0.2">
      <c r="A7">
        <v>300</v>
      </c>
      <c r="B7" t="e">
        <f>AVERAGEIF(raw_withmsk_cluster!$A:$A,$A7,raw_withmsk_cluster!D:D)</f>
        <v>#DIV/0!</v>
      </c>
      <c r="C7" t="e">
        <f>AVERAGEIF(raw_withmsk_cluster!$A:$A,$A7,raw_withmsk_cluster!G:G)</f>
        <v>#DIV/0!</v>
      </c>
      <c r="D7">
        <f>AVERAGEIF(raw_withmsk_cluster!$A:$A,$A7,raw_withmsk_cluster!E:E)</f>
        <v>5.861061327903172E-2</v>
      </c>
      <c r="E7">
        <f>AVERAGEIF(raw_withmsk_cluster!$A:$A,$A7,raw_withmsk_cluster!H:H)</f>
        <v>2897.0907777135999</v>
      </c>
    </row>
    <row r="8" spans="1:7" x14ac:dyDescent="0.2">
      <c r="A8">
        <v>350</v>
      </c>
      <c r="B8" t="e">
        <f>AVERAGEIF(raw_withmsk_cluster!$A:$A,$A8,raw_withmsk_cluster!D:D)</f>
        <v>#DIV/0!</v>
      </c>
      <c r="C8" t="e">
        <f>AVERAGEIF(raw_withmsk_cluster!$A:$A,$A8,raw_withmsk_cluster!G:G)</f>
        <v>#DIV/0!</v>
      </c>
      <c r="D8">
        <f>AVERAGEIF(raw_withmsk_cluster!$A:$A,$A8,raw_withmsk_cluster!E:E)</f>
        <v>5.759969390310532E-2</v>
      </c>
      <c r="E8">
        <f>AVERAGEIF(raw_withmsk_cluster!$A:$A,$A8,raw_withmsk_cluster!H:H)</f>
        <v>6969.7677418000003</v>
      </c>
    </row>
    <row r="9" spans="1:7" x14ac:dyDescent="0.2">
      <c r="A9">
        <v>400</v>
      </c>
      <c r="B9" t="e">
        <f>AVERAGEIF(raw_withmsk_cluster!$A:$A,$A9,raw_withmsk_cluster!D:D)</f>
        <v>#DIV/0!</v>
      </c>
      <c r="C9" t="e">
        <f>AVERAGEIF(raw_withmsk_cluster!$A:$A,$A9,raw_withmsk_cluster!G:G)</f>
        <v>#DIV/0!</v>
      </c>
      <c r="D9">
        <f>AVERAGEIF(raw_withmsk_cluster!$A:$A,$A9,raw_withmsk_cluster!E:E)</f>
        <v>5.5623487039059692E-2</v>
      </c>
      <c r="E9">
        <f>AVERAGEIF(raw_withmsk_cluster!$A:$A,$A9,raw_withmsk_cluster!H:H)</f>
        <v>8096.2320519635996</v>
      </c>
    </row>
    <row r="10" spans="1:7" x14ac:dyDescent="0.2">
      <c r="A10">
        <v>450</v>
      </c>
      <c r="B10" t="e">
        <f>AVERAGEIF(raw_withmsk_cluster!$A:$A,$A10,raw_withmsk_cluster!D:D)</f>
        <v>#DIV/0!</v>
      </c>
      <c r="C10" t="e">
        <f>AVERAGEIF(raw_withmsk_cluster!$A:$A,$A10,raw_withmsk_cluster!G:G)</f>
        <v>#DIV/0!</v>
      </c>
      <c r="D10">
        <f>AVERAGEIF(raw_withmsk_cluster!$A:$A,$A10,raw_withmsk_cluster!E:E)</f>
        <v>5.4662914046503384E-2</v>
      </c>
      <c r="E10">
        <f>AVERAGEIF(raw_withmsk_cluster!$A:$A,$A10,raw_withmsk_cluster!H:H)</f>
        <v>26246.029679210889</v>
      </c>
    </row>
    <row r="11" spans="1:7" x14ac:dyDescent="0.2">
      <c r="A11">
        <v>500</v>
      </c>
      <c r="B11" t="e">
        <f>AVERAGEIF(raw_withmsk_cluster!$A:$A,$A11,raw_withmsk_cluster!D:D)</f>
        <v>#DIV/0!</v>
      </c>
      <c r="C11" t="e">
        <f>AVERAGEIF(raw_withmsk_cluster!$A:$A,$A11,raw_withmsk_cluster!G:G)</f>
        <v>#DIV/0!</v>
      </c>
      <c r="D11">
        <f>AVERAGEIF(raw_withmsk_cluster!$A:$A,$A11,raw_withmsk_cluster!E:E)</f>
        <v>5.4004698316729827E-2</v>
      </c>
      <c r="E11">
        <f>AVERAGEIF(raw_withmsk_cluster!$A:$A,$A11,raw_withmsk_cluster!H:H)</f>
        <v>28918.371327416538</v>
      </c>
    </row>
    <row r="12" spans="1:7" x14ac:dyDescent="0.2">
      <c r="A12">
        <v>550</v>
      </c>
      <c r="B12" t="e">
        <f>AVERAGEIF(raw_withmsk_cluster!$A:$A,$A12,raw_withmsk_cluster!D:D)</f>
        <v>#DIV/0!</v>
      </c>
      <c r="C12" t="e">
        <f>AVERAGEIF(raw_withmsk_cluster!$A:$A,$A12,raw_withmsk_cluster!G:G)</f>
        <v>#DIV/0!</v>
      </c>
      <c r="D12">
        <f>AVERAGEIF(raw_withmsk_cluster!$A:$A,$A12,raw_withmsk_cluster!E:E)</f>
        <v>5.3647929376250465E-2</v>
      </c>
      <c r="E12">
        <f>AVERAGEIF(raw_withmsk_cluster!$A:$A,$A12,raw_withmsk_cluster!H:H)</f>
        <v>39062.859528455672</v>
      </c>
    </row>
    <row r="13" spans="1:7" x14ac:dyDescent="0.2">
      <c r="A13">
        <v>600</v>
      </c>
      <c r="B13" t="e">
        <f>AVERAGEIF(raw_withmsk_cluster!$A:$A,$A13,raw_withmsk_cluster!D:D)</f>
        <v>#DIV/0!</v>
      </c>
      <c r="C13" t="e">
        <f>AVERAGEIF(raw_withmsk_cluster!$A:$A,$A13,raw_withmsk_cluster!G:G)</f>
        <v>#DIV/0!</v>
      </c>
      <c r="D13">
        <f>AVERAGEIF(raw_withmsk_cluster!$A:$A,$A13,raw_withmsk_cluster!E:E)</f>
        <v>5.2577677538889735E-2</v>
      </c>
      <c r="E13">
        <f>AVERAGEIF(raw_withmsk_cluster!$A:$A,$A13,raw_withmsk_cluster!H:H)</f>
        <v>38468.136887184148</v>
      </c>
    </row>
    <row r="14" spans="1:7" x14ac:dyDescent="0.2">
      <c r="G14" s="2"/>
    </row>
    <row r="15" spans="1:7" x14ac:dyDescent="0.2">
      <c r="G15" s="2"/>
    </row>
    <row r="16" spans="1:7" x14ac:dyDescent="0.2">
      <c r="G16" s="2"/>
    </row>
    <row r="17" spans="7:7" x14ac:dyDescent="0.2">
      <c r="G17" s="2"/>
    </row>
    <row r="18" spans="7:7" x14ac:dyDescent="0.2">
      <c r="G18" s="2"/>
    </row>
    <row r="19" spans="7:7" x14ac:dyDescent="0.2">
      <c r="G19" s="2"/>
    </row>
    <row r="20" spans="7:7" x14ac:dyDescent="0.2">
      <c r="G20" s="2"/>
    </row>
    <row r="21" spans="7:7" x14ac:dyDescent="0.2">
      <c r="G21" s="2"/>
    </row>
    <row r="22" spans="7:7" x14ac:dyDescent="0.2">
      <c r="G22" s="2"/>
    </row>
    <row r="23" spans="7:7" x14ac:dyDescent="0.2">
      <c r="G23" s="2"/>
    </row>
    <row r="24" spans="7:7" x14ac:dyDescent="0.2">
      <c r="G24" s="2"/>
    </row>
    <row r="25" spans="7:7" x14ac:dyDescent="0.2">
      <c r="G25" s="2"/>
    </row>
    <row r="26" spans="7:7" x14ac:dyDescent="0.2">
      <c r="G26" s="2"/>
    </row>
    <row r="27" spans="7:7" x14ac:dyDescent="0.2">
      <c r="G27" s="2"/>
    </row>
    <row r="28" spans="7:7" x14ac:dyDescent="0.2">
      <c r="G28" s="2"/>
    </row>
    <row r="29" spans="7:7" x14ac:dyDescent="0.2">
      <c r="G29" s="2"/>
    </row>
    <row r="30" spans="7:7" x14ac:dyDescent="0.2">
      <c r="G30" s="2"/>
    </row>
    <row r="31" spans="7:7" x14ac:dyDescent="0.2">
      <c r="G31" s="2"/>
    </row>
    <row r="32" spans="7:7" x14ac:dyDescent="0.2">
      <c r="G32" s="2"/>
    </row>
    <row r="33" spans="7:7" x14ac:dyDescent="0.2">
      <c r="G33" s="2"/>
    </row>
    <row r="34" spans="7:7" x14ac:dyDescent="0.2">
      <c r="G34" s="2"/>
    </row>
    <row r="35" spans="7:7" x14ac:dyDescent="0.2">
      <c r="G35" s="2"/>
    </row>
    <row r="36" spans="7:7" x14ac:dyDescent="0.2">
      <c r="G36" s="2"/>
    </row>
    <row r="37" spans="7:7" x14ac:dyDescent="0.2">
      <c r="G37" s="2"/>
    </row>
    <row r="38" spans="7:7" x14ac:dyDescent="0.2">
      <c r="G38" s="2"/>
    </row>
    <row r="39" spans="7:7" x14ac:dyDescent="0.2">
      <c r="G39" s="2"/>
    </row>
    <row r="40" spans="7:7" x14ac:dyDescent="0.2">
      <c r="G40" s="2"/>
    </row>
    <row r="41" spans="7:7" x14ac:dyDescent="0.2">
      <c r="G41" s="2"/>
    </row>
    <row r="42" spans="7:7" x14ac:dyDescent="0.2">
      <c r="G42" s="2"/>
    </row>
    <row r="43" spans="7:7" x14ac:dyDescent="0.2">
      <c r="G43" s="2"/>
    </row>
    <row r="44" spans="7:7" x14ac:dyDescent="0.2">
      <c r="G44" s="2"/>
    </row>
    <row r="45" spans="7:7" x14ac:dyDescent="0.2">
      <c r="G45" s="2"/>
    </row>
    <row r="46" spans="7:7" x14ac:dyDescent="0.2">
      <c r="G46" s="2"/>
    </row>
    <row r="47" spans="7:7" x14ac:dyDescent="0.2">
      <c r="G47" s="2"/>
    </row>
    <row r="48" spans="7:7" x14ac:dyDescent="0.2">
      <c r="G48" s="2"/>
    </row>
    <row r="49" spans="7:7" x14ac:dyDescent="0.2">
      <c r="G4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raw_withmsk</vt:lpstr>
      <vt:lpstr>proc_withmsk</vt:lpstr>
      <vt:lpstr>raw_withmsk_cluster</vt:lpstr>
      <vt:lpstr>proc_withmsk_cluster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2020-03-03T16:34:09Z</dcterms:created>
  <dcterms:modified xsi:type="dcterms:W3CDTF">2021-02-12T19:40:46Z</dcterms:modified>
</cp:coreProperties>
</file>