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7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ryangeorgecory-wright/Dropbox (MIT)/Rank Minimization/Matrix Completion/"/>
    </mc:Choice>
  </mc:AlternateContent>
  <xr:revisionPtr revIDLastSave="0" documentId="13_ncr:1_{E006DCAB-06BB-A94A-B77B-B3C977F3EC46}" xr6:coauthVersionLast="46" xr6:coauthVersionMax="46" xr10:uidLastSave="{00000000-0000-0000-0000-000000000000}"/>
  <bookViews>
    <workbookView xWindow="-51200" yWindow="-920" windowWidth="51200" windowHeight="28300" activeTab="5" xr2:uid="{00000000-000D-0000-FFFF-FFFF00000000}"/>
  </bookViews>
  <sheets>
    <sheet name="benchmark_gurobi_vs_cuts_grb_ol" sheetId="1" r:id="rId1"/>
    <sheet name="proc_old" sheetId="2" r:id="rId2"/>
    <sheet name="benchmark_gurobi_vs_cuts_grbv2" sheetId="3" r:id="rId3"/>
    <sheet name="proc_v2" sheetId="4" r:id="rId4"/>
    <sheet name="raw_v2_old" sheetId="5" r:id="rId5"/>
    <sheet name="benchmark_gurobi_vs_cuts_v3" sheetId="6" r:id="rId6"/>
    <sheet name="proc_tab4" sheetId="7" r:id="rId7"/>
  </sheets>
  <definedNames>
    <definedName name="_xlnm._FilterDatabase" localSheetId="0" hidden="1">benchmark_gurobi_vs_cuts_grb_ol!$A$1:$D$3182</definedName>
    <definedName name="_xlnm._FilterDatabase" localSheetId="2" hidden="1">benchmark_gurobi_vs_cuts_grbv2!$A$1:$D$1689</definedName>
    <definedName name="_xlnm._FilterDatabase" localSheetId="5" hidden="1">benchmark_gurobi_vs_cuts_v3!$A$1:$C$3110</definedName>
  </definedNames>
  <calcPr calcId="191029"/>
</workbook>
</file>

<file path=xl/calcChain.xml><?xml version="1.0" encoding="utf-8"?>
<calcChain xmlns="http://schemas.openxmlformats.org/spreadsheetml/2006/main">
  <c r="X5" i="7" l="1"/>
  <c r="X6" i="7"/>
  <c r="X8" i="7"/>
  <c r="X9" i="7"/>
  <c r="X10" i="7"/>
  <c r="X15" i="7"/>
  <c r="X16" i="7"/>
  <c r="X17" i="7"/>
  <c r="X19" i="7"/>
  <c r="X20" i="7"/>
  <c r="X21" i="7"/>
  <c r="X4" i="7"/>
  <c r="W5" i="7"/>
  <c r="W6" i="7"/>
  <c r="W8" i="7"/>
  <c r="W9" i="7"/>
  <c r="W10" i="7"/>
  <c r="W15" i="7"/>
  <c r="W16" i="7"/>
  <c r="W17" i="7"/>
  <c r="W19" i="7"/>
  <c r="W20" i="7"/>
  <c r="W21" i="7"/>
  <c r="W4" i="7"/>
  <c r="V5" i="7"/>
  <c r="V6" i="7"/>
  <c r="V8" i="7"/>
  <c r="V9" i="7"/>
  <c r="V10" i="7"/>
  <c r="V15" i="7"/>
  <c r="V16" i="7"/>
  <c r="V17" i="7"/>
  <c r="V19" i="7"/>
  <c r="V20" i="7"/>
  <c r="V21" i="7"/>
  <c r="V4" i="7"/>
  <c r="U5" i="7"/>
  <c r="U6" i="7"/>
  <c r="U8" i="7"/>
  <c r="U9" i="7"/>
  <c r="U10" i="7"/>
  <c r="U15" i="7"/>
  <c r="U16" i="7"/>
  <c r="U17" i="7"/>
  <c r="U19" i="7"/>
  <c r="U20" i="7"/>
  <c r="U21" i="7"/>
  <c r="U4" i="7"/>
  <c r="T5" i="7"/>
  <c r="T6" i="7"/>
  <c r="T8" i="7"/>
  <c r="T9" i="7"/>
  <c r="T10" i="7"/>
  <c r="T15" i="7"/>
  <c r="T16" i="7"/>
  <c r="T17" i="7"/>
  <c r="T19" i="7"/>
  <c r="T20" i="7"/>
  <c r="T21" i="7"/>
  <c r="T4" i="7"/>
  <c r="M5" i="7"/>
  <c r="N5" i="7"/>
  <c r="O5" i="7"/>
  <c r="P5" i="7"/>
  <c r="Q5" i="7"/>
  <c r="R5" i="7"/>
  <c r="M6" i="7"/>
  <c r="N6" i="7"/>
  <c r="O6" i="7"/>
  <c r="P6" i="7"/>
  <c r="Q6" i="7"/>
  <c r="R6" i="7"/>
  <c r="M8" i="7"/>
  <c r="N8" i="7"/>
  <c r="O8" i="7"/>
  <c r="P8" i="7"/>
  <c r="Q8" i="7"/>
  <c r="R8" i="7"/>
  <c r="M9" i="7"/>
  <c r="N9" i="7"/>
  <c r="O9" i="7"/>
  <c r="P9" i="7"/>
  <c r="Q9" i="7"/>
  <c r="R9" i="7"/>
  <c r="M10" i="7"/>
  <c r="N10" i="7"/>
  <c r="O10" i="7"/>
  <c r="P10" i="7"/>
  <c r="Q10" i="7"/>
  <c r="R10" i="7"/>
  <c r="M15" i="7"/>
  <c r="N15" i="7"/>
  <c r="O15" i="7"/>
  <c r="P15" i="7"/>
  <c r="Q15" i="7"/>
  <c r="R15" i="7"/>
  <c r="M16" i="7"/>
  <c r="N16" i="7"/>
  <c r="O16" i="7"/>
  <c r="P16" i="7"/>
  <c r="Q16" i="7"/>
  <c r="R16" i="7"/>
  <c r="M17" i="7"/>
  <c r="N17" i="7"/>
  <c r="O17" i="7"/>
  <c r="P17" i="7"/>
  <c r="Q17" i="7"/>
  <c r="R17" i="7"/>
  <c r="M19" i="7"/>
  <c r="N19" i="7"/>
  <c r="O19" i="7"/>
  <c r="P19" i="7"/>
  <c r="Q19" i="7"/>
  <c r="R19" i="7"/>
  <c r="M20" i="7"/>
  <c r="N20" i="7"/>
  <c r="O20" i="7"/>
  <c r="P20" i="7"/>
  <c r="Q20" i="7"/>
  <c r="R20" i="7"/>
  <c r="M21" i="7"/>
  <c r="N21" i="7"/>
  <c r="O21" i="7"/>
  <c r="P21" i="7"/>
  <c r="Q21" i="7"/>
  <c r="R21" i="7"/>
  <c r="R4" i="7" l="1"/>
  <c r="Q4" i="7"/>
  <c r="P4" i="7"/>
  <c r="O4" i="7"/>
  <c r="N4" i="7"/>
  <c r="M4" i="7"/>
  <c r="J5" i="7"/>
  <c r="J6" i="7"/>
  <c r="J8" i="7"/>
  <c r="J9" i="7"/>
  <c r="J10" i="7"/>
  <c r="J15" i="7"/>
  <c r="J16" i="7"/>
  <c r="J17" i="7"/>
  <c r="J19" i="7"/>
  <c r="J20" i="7"/>
  <c r="J21" i="7"/>
  <c r="J4" i="7"/>
  <c r="I5" i="7"/>
  <c r="I6" i="7"/>
  <c r="I8" i="7"/>
  <c r="I9" i="7"/>
  <c r="I10" i="7"/>
  <c r="I15" i="7"/>
  <c r="I16" i="7"/>
  <c r="I17" i="7"/>
  <c r="I19" i="7"/>
  <c r="I20" i="7"/>
  <c r="I21" i="7"/>
  <c r="I4" i="7"/>
  <c r="H5" i="7"/>
  <c r="H6" i="7"/>
  <c r="H8" i="7"/>
  <c r="H9" i="7"/>
  <c r="H10" i="7"/>
  <c r="H15" i="7"/>
  <c r="H16" i="7"/>
  <c r="H17" i="7"/>
  <c r="H19" i="7"/>
  <c r="H20" i="7"/>
  <c r="H21" i="7"/>
  <c r="H4" i="7"/>
  <c r="G5" i="7"/>
  <c r="G6" i="7"/>
  <c r="G8" i="7"/>
  <c r="G9" i="7"/>
  <c r="G10" i="7"/>
  <c r="G15" i="7"/>
  <c r="G16" i="7"/>
  <c r="G17" i="7"/>
  <c r="G19" i="7"/>
  <c r="G20" i="7"/>
  <c r="G21" i="7"/>
  <c r="G4" i="7"/>
  <c r="F5" i="7"/>
  <c r="F6" i="7"/>
  <c r="F8" i="7"/>
  <c r="F9" i="7"/>
  <c r="F10" i="7"/>
  <c r="F15" i="7"/>
  <c r="F16" i="7"/>
  <c r="F17" i="7"/>
  <c r="F19" i="7"/>
  <c r="F20" i="7"/>
  <c r="F21" i="7"/>
  <c r="F4" i="7"/>
  <c r="E5" i="7"/>
  <c r="E6" i="7"/>
  <c r="E8" i="7"/>
  <c r="E9" i="7"/>
  <c r="E10" i="7"/>
  <c r="E15" i="7"/>
  <c r="E16" i="7"/>
  <c r="E17" i="7"/>
  <c r="E19" i="7"/>
  <c r="E20" i="7"/>
  <c r="E21" i="7"/>
  <c r="E4" i="7"/>
  <c r="E96" i="4"/>
  <c r="E25" i="4" l="1"/>
  <c r="N23" i="4" l="1"/>
  <c r="L8" i="4" l="1"/>
  <c r="L9" i="4"/>
  <c r="L10" i="4"/>
  <c r="L12" i="4"/>
  <c r="L13" i="4"/>
  <c r="L14" i="4"/>
  <c r="L16" i="4"/>
  <c r="L17" i="4"/>
  <c r="L21" i="4"/>
  <c r="L22" i="4"/>
  <c r="L23" i="4"/>
  <c r="L25" i="4"/>
  <c r="L26" i="4"/>
  <c r="L27" i="4"/>
  <c r="L29" i="4"/>
  <c r="L30" i="4"/>
  <c r="L31" i="4"/>
  <c r="L34" i="4"/>
  <c r="L35" i="4"/>
  <c r="L39" i="4"/>
  <c r="L40" i="4"/>
  <c r="L41" i="4"/>
  <c r="L43" i="4"/>
  <c r="L44" i="4"/>
  <c r="L45" i="4"/>
  <c r="L47" i="4"/>
  <c r="L48" i="4"/>
  <c r="L49" i="4"/>
  <c r="L51" i="4"/>
  <c r="L52" i="4"/>
  <c r="L54" i="4"/>
  <c r="L55" i="4"/>
  <c r="L56" i="4"/>
  <c r="L58" i="4"/>
  <c r="L59" i="4"/>
  <c r="L60" i="4"/>
  <c r="L62" i="4"/>
  <c r="L63" i="4"/>
  <c r="L64" i="4"/>
  <c r="L66" i="4"/>
  <c r="L67" i="4"/>
  <c r="L72" i="4"/>
  <c r="L73" i="4"/>
  <c r="L74" i="4"/>
  <c r="L76" i="4"/>
  <c r="L77" i="4"/>
  <c r="L78" i="4"/>
  <c r="L80" i="4"/>
  <c r="L81" i="4"/>
  <c r="L82" i="4"/>
  <c r="L84" i="4"/>
  <c r="L85" i="4"/>
  <c r="L87" i="4"/>
  <c r="L88" i="4"/>
  <c r="L89" i="4"/>
  <c r="L91" i="4"/>
  <c r="L92" i="4"/>
  <c r="L93" i="4"/>
  <c r="L95" i="4"/>
  <c r="L96" i="4"/>
  <c r="L97" i="4"/>
  <c r="L99" i="4"/>
  <c r="L100" i="4"/>
  <c r="L5" i="4"/>
  <c r="L6" i="4"/>
  <c r="L4" i="4"/>
  <c r="E21" i="4" l="1"/>
  <c r="E22" i="4"/>
  <c r="E23" i="4"/>
  <c r="E26" i="4"/>
  <c r="E27" i="4"/>
  <c r="E29" i="4"/>
  <c r="E30" i="4"/>
  <c r="E31" i="4"/>
  <c r="E34" i="4"/>
  <c r="E35" i="4"/>
  <c r="E39" i="4"/>
  <c r="E40" i="4"/>
  <c r="E41" i="4"/>
  <c r="E43" i="4"/>
  <c r="E44" i="4"/>
  <c r="E45" i="4"/>
  <c r="E47" i="4"/>
  <c r="E48" i="4"/>
  <c r="E49" i="4"/>
  <c r="E51" i="4"/>
  <c r="E52" i="4"/>
  <c r="E54" i="4"/>
  <c r="E55" i="4"/>
  <c r="E56" i="4"/>
  <c r="E58" i="4"/>
  <c r="E59" i="4"/>
  <c r="E60" i="4"/>
  <c r="E62" i="4"/>
  <c r="E63" i="4"/>
  <c r="E64" i="4"/>
  <c r="E66" i="4"/>
  <c r="E67" i="4"/>
  <c r="E72" i="4"/>
  <c r="E73" i="4"/>
  <c r="E74" i="4"/>
  <c r="E76" i="4"/>
  <c r="E77" i="4"/>
  <c r="E78" i="4"/>
  <c r="E80" i="4"/>
  <c r="E81" i="4"/>
  <c r="E82" i="4"/>
  <c r="E84" i="4"/>
  <c r="E85" i="4"/>
  <c r="E87" i="4"/>
  <c r="E88" i="4"/>
  <c r="E89" i="4"/>
  <c r="E91" i="4"/>
  <c r="E92" i="4"/>
  <c r="E93" i="4"/>
  <c r="E95" i="4"/>
  <c r="E97" i="4"/>
  <c r="E99" i="4"/>
  <c r="E100" i="4"/>
  <c r="E8" i="4"/>
  <c r="E9" i="4"/>
  <c r="E10" i="4"/>
  <c r="E12" i="4"/>
  <c r="E13" i="4"/>
  <c r="E14" i="4"/>
  <c r="E16" i="4"/>
  <c r="E17" i="4"/>
  <c r="E5" i="4"/>
  <c r="E6" i="4"/>
  <c r="E4" i="4"/>
  <c r="N8" i="4"/>
  <c r="O8" i="4"/>
  <c r="P8" i="4"/>
  <c r="Q8" i="4"/>
  <c r="R8" i="4"/>
  <c r="N9" i="4"/>
  <c r="O9" i="4"/>
  <c r="P9" i="4"/>
  <c r="Q9" i="4"/>
  <c r="R9" i="4"/>
  <c r="N10" i="4"/>
  <c r="O10" i="4"/>
  <c r="P10" i="4"/>
  <c r="Q10" i="4"/>
  <c r="R10" i="4"/>
  <c r="N12" i="4"/>
  <c r="O12" i="4"/>
  <c r="P12" i="4"/>
  <c r="Q12" i="4"/>
  <c r="R12" i="4"/>
  <c r="N13" i="4"/>
  <c r="O13" i="4"/>
  <c r="P13" i="4"/>
  <c r="Q13" i="4"/>
  <c r="R13" i="4"/>
  <c r="N14" i="4"/>
  <c r="O14" i="4"/>
  <c r="P14" i="4"/>
  <c r="Q14" i="4"/>
  <c r="R14" i="4"/>
  <c r="N16" i="4"/>
  <c r="O16" i="4"/>
  <c r="P16" i="4"/>
  <c r="Q16" i="4"/>
  <c r="R16" i="4"/>
  <c r="N17" i="4"/>
  <c r="O17" i="4"/>
  <c r="P17" i="4"/>
  <c r="Q17" i="4"/>
  <c r="R17" i="4"/>
  <c r="N21" i="4"/>
  <c r="O21" i="4"/>
  <c r="P21" i="4"/>
  <c r="Q21" i="4"/>
  <c r="R21" i="4"/>
  <c r="N22" i="4"/>
  <c r="O22" i="4"/>
  <c r="P22" i="4"/>
  <c r="Q22" i="4"/>
  <c r="R22" i="4"/>
  <c r="O23" i="4"/>
  <c r="P23" i="4"/>
  <c r="Q23" i="4"/>
  <c r="R23" i="4"/>
  <c r="N25" i="4"/>
  <c r="O25" i="4"/>
  <c r="P25" i="4"/>
  <c r="Q25" i="4"/>
  <c r="R25" i="4"/>
  <c r="N26" i="4"/>
  <c r="O26" i="4"/>
  <c r="P26" i="4"/>
  <c r="Q26" i="4"/>
  <c r="R26" i="4"/>
  <c r="N27" i="4"/>
  <c r="O27" i="4"/>
  <c r="P27" i="4"/>
  <c r="Q27" i="4"/>
  <c r="R27" i="4"/>
  <c r="N29" i="4"/>
  <c r="O29" i="4"/>
  <c r="P29" i="4"/>
  <c r="Q29" i="4"/>
  <c r="R29" i="4"/>
  <c r="N30" i="4"/>
  <c r="O30" i="4"/>
  <c r="P30" i="4"/>
  <c r="Q30" i="4"/>
  <c r="R30" i="4"/>
  <c r="N31" i="4"/>
  <c r="O31" i="4"/>
  <c r="P31" i="4"/>
  <c r="Q31" i="4"/>
  <c r="R31" i="4"/>
  <c r="N34" i="4"/>
  <c r="O34" i="4"/>
  <c r="P34" i="4"/>
  <c r="Q34" i="4"/>
  <c r="R34" i="4"/>
  <c r="N35" i="4"/>
  <c r="O35" i="4"/>
  <c r="P35" i="4"/>
  <c r="Q35" i="4"/>
  <c r="R35" i="4"/>
  <c r="N39" i="4"/>
  <c r="O39" i="4"/>
  <c r="P39" i="4"/>
  <c r="Q39" i="4"/>
  <c r="R39" i="4"/>
  <c r="N40" i="4"/>
  <c r="O40" i="4"/>
  <c r="P40" i="4"/>
  <c r="Q40" i="4"/>
  <c r="R40" i="4"/>
  <c r="N41" i="4"/>
  <c r="O41" i="4"/>
  <c r="P41" i="4"/>
  <c r="Q41" i="4"/>
  <c r="R41" i="4"/>
  <c r="N43" i="4"/>
  <c r="O43" i="4"/>
  <c r="P43" i="4"/>
  <c r="Q43" i="4"/>
  <c r="R43" i="4"/>
  <c r="N44" i="4"/>
  <c r="O44" i="4"/>
  <c r="P44" i="4"/>
  <c r="Q44" i="4"/>
  <c r="R44" i="4"/>
  <c r="N45" i="4"/>
  <c r="O45" i="4"/>
  <c r="P45" i="4"/>
  <c r="Q45" i="4"/>
  <c r="R45" i="4"/>
  <c r="N47" i="4"/>
  <c r="O47" i="4"/>
  <c r="P47" i="4"/>
  <c r="Q47" i="4"/>
  <c r="R47" i="4"/>
  <c r="N48" i="4"/>
  <c r="O48" i="4"/>
  <c r="P48" i="4"/>
  <c r="Q48" i="4"/>
  <c r="R48" i="4"/>
  <c r="N49" i="4"/>
  <c r="O49" i="4"/>
  <c r="P49" i="4"/>
  <c r="Q49" i="4"/>
  <c r="R49" i="4"/>
  <c r="N51" i="4"/>
  <c r="O51" i="4"/>
  <c r="P51" i="4"/>
  <c r="Q51" i="4"/>
  <c r="R51" i="4"/>
  <c r="N52" i="4"/>
  <c r="O52" i="4"/>
  <c r="P52" i="4"/>
  <c r="Q52" i="4"/>
  <c r="R52" i="4"/>
  <c r="N54" i="4"/>
  <c r="O54" i="4"/>
  <c r="P54" i="4"/>
  <c r="Q54" i="4"/>
  <c r="R54" i="4"/>
  <c r="N55" i="4"/>
  <c r="O55" i="4"/>
  <c r="P55" i="4"/>
  <c r="Q55" i="4"/>
  <c r="R55" i="4"/>
  <c r="N56" i="4"/>
  <c r="O56" i="4"/>
  <c r="P56" i="4"/>
  <c r="Q56" i="4"/>
  <c r="R56" i="4"/>
  <c r="N58" i="4"/>
  <c r="O58" i="4"/>
  <c r="P58" i="4"/>
  <c r="Q58" i="4"/>
  <c r="R58" i="4"/>
  <c r="N59" i="4"/>
  <c r="O59" i="4"/>
  <c r="P59" i="4"/>
  <c r="Q59" i="4"/>
  <c r="R59" i="4"/>
  <c r="N60" i="4"/>
  <c r="O60" i="4"/>
  <c r="P60" i="4"/>
  <c r="Q60" i="4"/>
  <c r="R60" i="4"/>
  <c r="N62" i="4"/>
  <c r="O62" i="4"/>
  <c r="P62" i="4"/>
  <c r="Q62" i="4"/>
  <c r="R62" i="4"/>
  <c r="N63" i="4"/>
  <c r="O63" i="4"/>
  <c r="P63" i="4"/>
  <c r="Q63" i="4"/>
  <c r="R63" i="4"/>
  <c r="N64" i="4"/>
  <c r="O64" i="4"/>
  <c r="P64" i="4"/>
  <c r="Q64" i="4"/>
  <c r="R64" i="4"/>
  <c r="N66" i="4"/>
  <c r="O66" i="4"/>
  <c r="P66" i="4"/>
  <c r="Q66" i="4"/>
  <c r="R66" i="4"/>
  <c r="N67" i="4"/>
  <c r="O67" i="4"/>
  <c r="P67" i="4"/>
  <c r="Q67" i="4"/>
  <c r="R67" i="4"/>
  <c r="N72" i="4"/>
  <c r="O72" i="4"/>
  <c r="P72" i="4"/>
  <c r="Q72" i="4"/>
  <c r="R72" i="4"/>
  <c r="N73" i="4"/>
  <c r="O73" i="4"/>
  <c r="P73" i="4"/>
  <c r="Q73" i="4"/>
  <c r="R73" i="4"/>
  <c r="N74" i="4"/>
  <c r="O74" i="4"/>
  <c r="P74" i="4"/>
  <c r="Q74" i="4"/>
  <c r="R74" i="4"/>
  <c r="N76" i="4"/>
  <c r="O76" i="4"/>
  <c r="P76" i="4"/>
  <c r="Q76" i="4"/>
  <c r="R76" i="4"/>
  <c r="N77" i="4"/>
  <c r="O77" i="4"/>
  <c r="P77" i="4"/>
  <c r="Q77" i="4"/>
  <c r="R77" i="4"/>
  <c r="N78" i="4"/>
  <c r="O78" i="4"/>
  <c r="P78" i="4"/>
  <c r="Q78" i="4"/>
  <c r="R78" i="4"/>
  <c r="N80" i="4"/>
  <c r="O80" i="4"/>
  <c r="P80" i="4"/>
  <c r="Q80" i="4"/>
  <c r="R80" i="4"/>
  <c r="N81" i="4"/>
  <c r="O81" i="4"/>
  <c r="P81" i="4"/>
  <c r="Q81" i="4"/>
  <c r="R81" i="4"/>
  <c r="N82" i="4"/>
  <c r="O82" i="4"/>
  <c r="P82" i="4"/>
  <c r="Q82" i="4"/>
  <c r="R82" i="4"/>
  <c r="N84" i="4"/>
  <c r="O84" i="4"/>
  <c r="P84" i="4"/>
  <c r="Q84" i="4"/>
  <c r="R84" i="4"/>
  <c r="N85" i="4"/>
  <c r="O85" i="4"/>
  <c r="P85" i="4"/>
  <c r="Q85" i="4"/>
  <c r="R85" i="4"/>
  <c r="N87" i="4"/>
  <c r="O87" i="4"/>
  <c r="P87" i="4"/>
  <c r="Q87" i="4"/>
  <c r="R87" i="4"/>
  <c r="N88" i="4"/>
  <c r="O88" i="4"/>
  <c r="P88" i="4"/>
  <c r="Q88" i="4"/>
  <c r="R88" i="4"/>
  <c r="N89" i="4"/>
  <c r="O89" i="4"/>
  <c r="P89" i="4"/>
  <c r="Q89" i="4"/>
  <c r="R89" i="4"/>
  <c r="N91" i="4"/>
  <c r="O91" i="4"/>
  <c r="P91" i="4"/>
  <c r="Q91" i="4"/>
  <c r="R91" i="4"/>
  <c r="N92" i="4"/>
  <c r="O92" i="4"/>
  <c r="P92" i="4"/>
  <c r="Q92" i="4"/>
  <c r="R92" i="4"/>
  <c r="N93" i="4"/>
  <c r="O93" i="4"/>
  <c r="P93" i="4"/>
  <c r="Q93" i="4"/>
  <c r="R93" i="4"/>
  <c r="N95" i="4"/>
  <c r="O95" i="4"/>
  <c r="P95" i="4"/>
  <c r="Q95" i="4"/>
  <c r="R95" i="4"/>
  <c r="N96" i="4"/>
  <c r="O96" i="4"/>
  <c r="P96" i="4"/>
  <c r="Q96" i="4"/>
  <c r="R96" i="4"/>
  <c r="N97" i="4"/>
  <c r="O97" i="4"/>
  <c r="P97" i="4"/>
  <c r="Q97" i="4"/>
  <c r="R97" i="4"/>
  <c r="N99" i="4"/>
  <c r="O99" i="4"/>
  <c r="P99" i="4"/>
  <c r="Q99" i="4"/>
  <c r="R99" i="4"/>
  <c r="N100" i="4"/>
  <c r="O100" i="4"/>
  <c r="P100" i="4"/>
  <c r="Q100" i="4"/>
  <c r="R100" i="4"/>
  <c r="N5" i="4"/>
  <c r="O5" i="4"/>
  <c r="P5" i="4"/>
  <c r="Q5" i="4"/>
  <c r="R5" i="4"/>
  <c r="N6" i="4"/>
  <c r="O6" i="4"/>
  <c r="P6" i="4"/>
  <c r="Q6" i="4"/>
  <c r="R6" i="4"/>
  <c r="R4" i="4"/>
  <c r="Q4" i="4"/>
  <c r="P4" i="4"/>
  <c r="O4" i="4"/>
  <c r="N4" i="4"/>
  <c r="E103" i="4" l="1"/>
  <c r="Y58" i="4"/>
  <c r="Y56" i="4"/>
  <c r="Y52" i="4"/>
  <c r="Y45" i="4"/>
  <c r="Y40" i="4"/>
  <c r="Y31" i="4"/>
  <c r="Y26" i="4"/>
  <c r="Y63" i="4"/>
  <c r="Y47" i="4"/>
  <c r="Y21" i="4"/>
  <c r="Y13" i="4"/>
  <c r="Y8" i="4"/>
  <c r="Y34" i="4"/>
  <c r="Y78" i="4"/>
  <c r="Y59" i="4"/>
  <c r="Y48" i="4"/>
  <c r="Y97" i="4"/>
  <c r="Y23" i="4"/>
  <c r="Y10" i="4"/>
  <c r="Y82" i="4"/>
  <c r="Y72" i="4"/>
  <c r="Y92" i="4"/>
  <c r="Y17" i="4"/>
  <c r="Y35" i="4"/>
  <c r="Y55" i="4"/>
  <c r="Y73" i="4"/>
  <c r="Y67" i="4"/>
  <c r="Y44" i="4"/>
  <c r="Y9" i="4"/>
  <c r="Y30" i="4"/>
  <c r="Y22" i="4"/>
  <c r="Y88" i="4"/>
  <c r="Y84" i="4"/>
  <c r="Y64" i="4"/>
  <c r="Y27" i="4"/>
  <c r="Y12" i="4"/>
  <c r="Y5" i="4"/>
  <c r="Y43" i="4"/>
  <c r="Y29" i="4"/>
  <c r="Y16" i="4"/>
  <c r="Y87" i="4"/>
  <c r="Y51" i="4"/>
  <c r="Y89" i="4"/>
  <c r="Y66" i="4"/>
  <c r="Y54" i="4"/>
  <c r="Y74" i="4"/>
  <c r="Y41" i="4"/>
  <c r="Y39" i="4"/>
  <c r="Y80" i="4"/>
  <c r="Y49" i="4"/>
  <c r="Y62" i="4"/>
  <c r="Y60" i="4"/>
  <c r="Y14" i="4"/>
  <c r="Y76" i="4"/>
  <c r="Y95" i="4"/>
  <c r="Y25" i="4"/>
  <c r="Y81" i="4"/>
  <c r="Y85" i="4"/>
  <c r="Y91" i="4"/>
  <c r="Y77" i="4"/>
  <c r="Y99" i="4"/>
  <c r="Y96" i="4"/>
  <c r="Y100" i="4"/>
  <c r="Y93" i="4"/>
  <c r="Y6" i="4"/>
  <c r="Y4" i="4"/>
  <c r="R131" i="2"/>
  <c r="Q131" i="2"/>
  <c r="P131" i="2"/>
  <c r="O131" i="2"/>
  <c r="N131" i="2"/>
  <c r="L131" i="2"/>
  <c r="R130" i="2"/>
  <c r="Q130" i="2"/>
  <c r="P130" i="2"/>
  <c r="O130" i="2"/>
  <c r="N130" i="2"/>
  <c r="L130" i="2"/>
  <c r="R129" i="2"/>
  <c r="Q129" i="2"/>
  <c r="P129" i="2"/>
  <c r="O129" i="2"/>
  <c r="N129" i="2"/>
  <c r="L129" i="2"/>
  <c r="R128" i="2"/>
  <c r="Q128" i="2"/>
  <c r="P128" i="2"/>
  <c r="O128" i="2"/>
  <c r="N128" i="2"/>
  <c r="L128" i="2"/>
  <c r="O60" i="2" l="1"/>
  <c r="R14" i="2" l="1"/>
  <c r="F27" i="2" l="1"/>
  <c r="G27" i="2"/>
  <c r="H27" i="2"/>
  <c r="I27" i="2"/>
  <c r="J27" i="2"/>
  <c r="F28" i="2"/>
  <c r="G28" i="2"/>
  <c r="H28" i="2"/>
  <c r="I28" i="2"/>
  <c r="J28" i="2"/>
  <c r="F29" i="2"/>
  <c r="G29" i="2"/>
  <c r="H29" i="2"/>
  <c r="I29" i="2"/>
  <c r="J29" i="2"/>
  <c r="F30" i="2"/>
  <c r="G30" i="2"/>
  <c r="H30" i="2"/>
  <c r="I30" i="2"/>
  <c r="J30" i="2"/>
  <c r="F32" i="2"/>
  <c r="G32" i="2"/>
  <c r="H32" i="2"/>
  <c r="I32" i="2"/>
  <c r="J32" i="2"/>
  <c r="F33" i="2"/>
  <c r="G33" i="2"/>
  <c r="H33" i="2"/>
  <c r="I33" i="2"/>
  <c r="J33" i="2"/>
  <c r="F34" i="2"/>
  <c r="G34" i="2"/>
  <c r="H34" i="2"/>
  <c r="I34" i="2"/>
  <c r="J34" i="2"/>
  <c r="F35" i="2"/>
  <c r="G35" i="2"/>
  <c r="H35" i="2"/>
  <c r="I35" i="2"/>
  <c r="J35" i="2"/>
  <c r="L85" i="2" l="1"/>
  <c r="L37" i="2"/>
  <c r="L38" i="2"/>
  <c r="L39" i="2"/>
  <c r="L40" i="2"/>
  <c r="L43" i="2"/>
  <c r="L44" i="2"/>
  <c r="L45" i="2"/>
  <c r="L46" i="2"/>
  <c r="L50" i="2"/>
  <c r="L51" i="2"/>
  <c r="L52" i="2"/>
  <c r="L53" i="2"/>
  <c r="L55" i="2"/>
  <c r="L56" i="2"/>
  <c r="L57" i="2"/>
  <c r="L58" i="2"/>
  <c r="L60" i="2"/>
  <c r="L61" i="2"/>
  <c r="L62" i="2"/>
  <c r="L63" i="2"/>
  <c r="L65" i="2"/>
  <c r="L66" i="2"/>
  <c r="L67" i="2"/>
  <c r="L68" i="2"/>
  <c r="L70" i="2"/>
  <c r="L71" i="2"/>
  <c r="L72" i="2"/>
  <c r="L73" i="2"/>
  <c r="L75" i="2"/>
  <c r="L76" i="2"/>
  <c r="L77" i="2"/>
  <c r="L78" i="2"/>
  <c r="L80" i="2"/>
  <c r="L81" i="2"/>
  <c r="L82" i="2"/>
  <c r="L83" i="2"/>
  <c r="L86" i="2"/>
  <c r="L87" i="2"/>
  <c r="L88" i="2"/>
  <c r="L93" i="2"/>
  <c r="L94" i="2"/>
  <c r="L95" i="2"/>
  <c r="L96" i="2"/>
  <c r="L98" i="2"/>
  <c r="L99" i="2"/>
  <c r="L100" i="2"/>
  <c r="L101" i="2"/>
  <c r="L103" i="2"/>
  <c r="L104" i="2"/>
  <c r="L105" i="2"/>
  <c r="L106" i="2"/>
  <c r="L108" i="2"/>
  <c r="L109" i="2"/>
  <c r="L110" i="2"/>
  <c r="L111" i="2"/>
  <c r="L113" i="2"/>
  <c r="L114" i="2"/>
  <c r="L115" i="2"/>
  <c r="L116" i="2"/>
  <c r="L118" i="2"/>
  <c r="L119" i="2"/>
  <c r="L120" i="2"/>
  <c r="L121" i="2"/>
  <c r="L123" i="2"/>
  <c r="L124" i="2"/>
  <c r="L125" i="2"/>
  <c r="L126" i="2"/>
  <c r="L9" i="2"/>
  <c r="L10" i="2"/>
  <c r="L11" i="2"/>
  <c r="L12" i="2"/>
  <c r="L14" i="2"/>
  <c r="L15" i="2"/>
  <c r="L16" i="2"/>
  <c r="L17" i="2"/>
  <c r="L20" i="2"/>
  <c r="L21" i="2"/>
  <c r="L22" i="2"/>
  <c r="L23" i="2"/>
  <c r="L27" i="2"/>
  <c r="L28" i="2"/>
  <c r="L29" i="2"/>
  <c r="L30" i="2"/>
  <c r="L32" i="2"/>
  <c r="L33" i="2"/>
  <c r="L34" i="2"/>
  <c r="L35" i="2"/>
  <c r="L5" i="2"/>
  <c r="L6" i="2"/>
  <c r="L7" i="2"/>
  <c r="L4" i="2"/>
  <c r="E131" i="2" l="1"/>
  <c r="E130" i="2"/>
  <c r="E129" i="2"/>
  <c r="E128" i="2"/>
  <c r="R126" i="2"/>
  <c r="Q126" i="2"/>
  <c r="P126" i="2"/>
  <c r="O126" i="2"/>
  <c r="N126" i="2"/>
  <c r="E126" i="2"/>
  <c r="R125" i="2"/>
  <c r="Q125" i="2"/>
  <c r="P125" i="2"/>
  <c r="O125" i="2"/>
  <c r="N125" i="2"/>
  <c r="E125" i="2"/>
  <c r="R124" i="2"/>
  <c r="Q124" i="2"/>
  <c r="P124" i="2"/>
  <c r="O124" i="2"/>
  <c r="N124" i="2"/>
  <c r="E124" i="2"/>
  <c r="R123" i="2"/>
  <c r="Q123" i="2"/>
  <c r="P123" i="2"/>
  <c r="O123" i="2"/>
  <c r="N123" i="2"/>
  <c r="E123" i="2"/>
  <c r="R121" i="2"/>
  <c r="Q121" i="2"/>
  <c r="P121" i="2"/>
  <c r="O121" i="2"/>
  <c r="N121" i="2"/>
  <c r="E121" i="2"/>
  <c r="R120" i="2"/>
  <c r="Q120" i="2"/>
  <c r="P120" i="2"/>
  <c r="O120" i="2"/>
  <c r="N120" i="2"/>
  <c r="E120" i="2"/>
  <c r="R119" i="2"/>
  <c r="Q119" i="2"/>
  <c r="P119" i="2"/>
  <c r="O119" i="2"/>
  <c r="N119" i="2"/>
  <c r="E119" i="2"/>
  <c r="R118" i="2"/>
  <c r="Q118" i="2"/>
  <c r="P118" i="2"/>
  <c r="O118" i="2"/>
  <c r="N118" i="2"/>
  <c r="E118" i="2"/>
  <c r="R116" i="2"/>
  <c r="Q116" i="2"/>
  <c r="P116" i="2"/>
  <c r="O116" i="2"/>
  <c r="N116" i="2"/>
  <c r="E116" i="2"/>
  <c r="R115" i="2"/>
  <c r="Q115" i="2"/>
  <c r="P115" i="2"/>
  <c r="O115" i="2"/>
  <c r="N115" i="2"/>
  <c r="E115" i="2"/>
  <c r="R114" i="2"/>
  <c r="Q114" i="2"/>
  <c r="P114" i="2"/>
  <c r="O114" i="2"/>
  <c r="N114" i="2"/>
  <c r="E114" i="2"/>
  <c r="R113" i="2"/>
  <c r="Q113" i="2"/>
  <c r="P113" i="2"/>
  <c r="O113" i="2"/>
  <c r="N113" i="2"/>
  <c r="E113" i="2"/>
  <c r="R111" i="2"/>
  <c r="Q111" i="2"/>
  <c r="P111" i="2"/>
  <c r="O111" i="2"/>
  <c r="N111" i="2"/>
  <c r="E111" i="2"/>
  <c r="R110" i="2"/>
  <c r="Q110" i="2"/>
  <c r="P110" i="2"/>
  <c r="O110" i="2"/>
  <c r="N110" i="2"/>
  <c r="E110" i="2"/>
  <c r="R109" i="2"/>
  <c r="Q109" i="2"/>
  <c r="P109" i="2"/>
  <c r="O109" i="2"/>
  <c r="N109" i="2"/>
  <c r="E109" i="2"/>
  <c r="R108" i="2"/>
  <c r="Q108" i="2"/>
  <c r="P108" i="2"/>
  <c r="O108" i="2"/>
  <c r="N108" i="2"/>
  <c r="E108" i="2"/>
  <c r="R106" i="2"/>
  <c r="Q106" i="2"/>
  <c r="P106" i="2"/>
  <c r="O106" i="2"/>
  <c r="N106" i="2"/>
  <c r="E106" i="2"/>
  <c r="R105" i="2"/>
  <c r="Q105" i="2"/>
  <c r="P105" i="2"/>
  <c r="O105" i="2"/>
  <c r="N105" i="2"/>
  <c r="E105" i="2"/>
  <c r="R104" i="2"/>
  <c r="Q104" i="2"/>
  <c r="P104" i="2"/>
  <c r="O104" i="2"/>
  <c r="N104" i="2"/>
  <c r="E104" i="2"/>
  <c r="R103" i="2"/>
  <c r="Q103" i="2"/>
  <c r="P103" i="2"/>
  <c r="O103" i="2"/>
  <c r="N103" i="2"/>
  <c r="E103" i="2"/>
  <c r="R101" i="2"/>
  <c r="Q101" i="2"/>
  <c r="P101" i="2"/>
  <c r="O101" i="2"/>
  <c r="N101" i="2"/>
  <c r="E101" i="2"/>
  <c r="R100" i="2"/>
  <c r="Q100" i="2"/>
  <c r="P100" i="2"/>
  <c r="O100" i="2"/>
  <c r="N100" i="2"/>
  <c r="E100" i="2"/>
  <c r="R99" i="2"/>
  <c r="Q99" i="2"/>
  <c r="P99" i="2"/>
  <c r="O99" i="2"/>
  <c r="N99" i="2"/>
  <c r="E99" i="2"/>
  <c r="R98" i="2"/>
  <c r="Q98" i="2"/>
  <c r="P98" i="2"/>
  <c r="O98" i="2"/>
  <c r="N98" i="2"/>
  <c r="E98" i="2"/>
  <c r="R96" i="2"/>
  <c r="Q96" i="2"/>
  <c r="P96" i="2"/>
  <c r="O96" i="2"/>
  <c r="N96" i="2"/>
  <c r="E96" i="2"/>
  <c r="R95" i="2"/>
  <c r="Q95" i="2"/>
  <c r="P95" i="2"/>
  <c r="O95" i="2"/>
  <c r="N95" i="2"/>
  <c r="E95" i="2"/>
  <c r="R94" i="2"/>
  <c r="Q94" i="2"/>
  <c r="P94" i="2"/>
  <c r="O94" i="2"/>
  <c r="N94" i="2"/>
  <c r="E94" i="2"/>
  <c r="R93" i="2"/>
  <c r="Q93" i="2"/>
  <c r="P93" i="2"/>
  <c r="O93" i="2"/>
  <c r="N93" i="2"/>
  <c r="E93" i="2"/>
  <c r="Y128" i="2" l="1"/>
  <c r="Y130" i="2"/>
  <c r="Y120" i="2"/>
  <c r="Y108" i="2"/>
  <c r="Y93" i="2"/>
  <c r="Y98" i="2"/>
  <c r="Y105" i="2"/>
  <c r="Y115" i="2"/>
  <c r="Y101" i="2"/>
  <c r="Y106" i="2"/>
  <c r="Y119" i="2"/>
  <c r="Y121" i="2"/>
  <c r="Y124" i="2"/>
  <c r="Y126" i="2"/>
  <c r="Y131" i="2"/>
  <c r="Y96" i="2"/>
  <c r="Y114" i="2"/>
  <c r="Y94" i="2"/>
  <c r="Y109" i="2"/>
  <c r="Y129" i="2"/>
  <c r="Y125" i="2"/>
  <c r="Y123" i="2"/>
  <c r="Y118" i="2"/>
  <c r="Y116" i="2"/>
  <c r="Y113" i="2"/>
  <c r="Y111" i="2"/>
  <c r="Y110" i="2"/>
  <c r="Y104" i="2"/>
  <c r="Y103" i="2"/>
  <c r="Y100" i="2"/>
  <c r="Y99" i="2"/>
  <c r="Y95" i="2"/>
  <c r="R46" i="2"/>
  <c r="Q46" i="2"/>
  <c r="P46" i="2"/>
  <c r="O46" i="2"/>
  <c r="N46" i="2"/>
  <c r="E46" i="2"/>
  <c r="R45" i="2"/>
  <c r="Q45" i="2"/>
  <c r="P45" i="2"/>
  <c r="O45" i="2"/>
  <c r="N45" i="2"/>
  <c r="E45" i="2"/>
  <c r="R44" i="2"/>
  <c r="Q44" i="2"/>
  <c r="P44" i="2"/>
  <c r="O44" i="2"/>
  <c r="N44" i="2"/>
  <c r="E44" i="2"/>
  <c r="R43" i="2"/>
  <c r="Q43" i="2"/>
  <c r="P43" i="2"/>
  <c r="O43" i="2"/>
  <c r="N43" i="2"/>
  <c r="E43" i="2"/>
  <c r="R23" i="2"/>
  <c r="Q23" i="2"/>
  <c r="P23" i="2"/>
  <c r="O23" i="2"/>
  <c r="N23" i="2"/>
  <c r="E23" i="2"/>
  <c r="R22" i="2"/>
  <c r="Q22" i="2"/>
  <c r="P22" i="2"/>
  <c r="O22" i="2"/>
  <c r="N22" i="2"/>
  <c r="E22" i="2"/>
  <c r="R21" i="2"/>
  <c r="Q21" i="2"/>
  <c r="P21" i="2"/>
  <c r="O21" i="2"/>
  <c r="N21" i="2"/>
  <c r="E21" i="2"/>
  <c r="R20" i="2"/>
  <c r="Q20" i="2"/>
  <c r="P20" i="2"/>
  <c r="O20" i="2"/>
  <c r="N20" i="2"/>
  <c r="E20" i="2"/>
  <c r="Y43" i="2" l="1"/>
  <c r="Y22" i="2"/>
  <c r="Y45" i="2"/>
  <c r="Y46" i="2"/>
  <c r="Y23" i="2"/>
  <c r="Y44" i="2"/>
  <c r="Y21" i="2"/>
  <c r="Y20" i="2"/>
  <c r="E17" i="2"/>
  <c r="E16" i="2"/>
  <c r="E15" i="2"/>
  <c r="E14" i="2"/>
  <c r="R17" i="2"/>
  <c r="Q17" i="2"/>
  <c r="P17" i="2"/>
  <c r="O17" i="2"/>
  <c r="N17" i="2"/>
  <c r="R16" i="2"/>
  <c r="Q16" i="2"/>
  <c r="P16" i="2"/>
  <c r="O16" i="2"/>
  <c r="N16" i="2"/>
  <c r="R15" i="2"/>
  <c r="Q15" i="2"/>
  <c r="P15" i="2"/>
  <c r="O15" i="2"/>
  <c r="N15" i="2"/>
  <c r="Q14" i="2"/>
  <c r="P14" i="2"/>
  <c r="O14" i="2"/>
  <c r="N14" i="2"/>
  <c r="E68" i="2"/>
  <c r="E67" i="2"/>
  <c r="E66" i="2"/>
  <c r="E65" i="2"/>
  <c r="R68" i="2"/>
  <c r="Q68" i="2"/>
  <c r="P68" i="2"/>
  <c r="O68" i="2"/>
  <c r="N68" i="2"/>
  <c r="R67" i="2"/>
  <c r="Q67" i="2"/>
  <c r="P67" i="2"/>
  <c r="O67" i="2"/>
  <c r="N67" i="2"/>
  <c r="R66" i="2"/>
  <c r="Q66" i="2"/>
  <c r="P66" i="2"/>
  <c r="O66" i="2"/>
  <c r="N66" i="2"/>
  <c r="R65" i="2"/>
  <c r="Q65" i="2"/>
  <c r="P65" i="2"/>
  <c r="O65" i="2"/>
  <c r="N65" i="2"/>
  <c r="Y17" i="2" l="1"/>
  <c r="Y16" i="2"/>
  <c r="Y15" i="2"/>
  <c r="Y14" i="2"/>
  <c r="Y68" i="2"/>
  <c r="Y67" i="2"/>
  <c r="Y66" i="2"/>
  <c r="Y65" i="2"/>
  <c r="E56" i="2"/>
  <c r="R63" i="2" l="1"/>
  <c r="Q63" i="2"/>
  <c r="P63" i="2"/>
  <c r="O63" i="2"/>
  <c r="N63" i="2"/>
  <c r="E63" i="2"/>
  <c r="R62" i="2"/>
  <c r="Q62" i="2"/>
  <c r="P62" i="2"/>
  <c r="O62" i="2"/>
  <c r="N62" i="2"/>
  <c r="E62" i="2"/>
  <c r="R61" i="2"/>
  <c r="Q61" i="2"/>
  <c r="P61" i="2"/>
  <c r="O61" i="2"/>
  <c r="N61" i="2"/>
  <c r="E61" i="2"/>
  <c r="R60" i="2"/>
  <c r="Q60" i="2"/>
  <c r="P60" i="2"/>
  <c r="N60" i="2"/>
  <c r="E60" i="2"/>
  <c r="R58" i="2"/>
  <c r="Q58" i="2"/>
  <c r="P58" i="2"/>
  <c r="O58" i="2"/>
  <c r="N58" i="2"/>
  <c r="E58" i="2"/>
  <c r="R57" i="2"/>
  <c r="Q57" i="2"/>
  <c r="P57" i="2"/>
  <c r="O57" i="2"/>
  <c r="N57" i="2"/>
  <c r="E57" i="2"/>
  <c r="R56" i="2"/>
  <c r="Q56" i="2"/>
  <c r="P56" i="2"/>
  <c r="O56" i="2"/>
  <c r="N56" i="2"/>
  <c r="R55" i="2"/>
  <c r="Q55" i="2"/>
  <c r="P55" i="2"/>
  <c r="O55" i="2"/>
  <c r="N55" i="2"/>
  <c r="E55" i="2"/>
  <c r="R53" i="2"/>
  <c r="Q53" i="2"/>
  <c r="P53" i="2"/>
  <c r="O53" i="2"/>
  <c r="N53" i="2"/>
  <c r="E53" i="2"/>
  <c r="R52" i="2"/>
  <c r="Q52" i="2"/>
  <c r="P52" i="2"/>
  <c r="O52" i="2"/>
  <c r="N52" i="2"/>
  <c r="E52" i="2"/>
  <c r="R51" i="2"/>
  <c r="Q51" i="2"/>
  <c r="P51" i="2"/>
  <c r="O51" i="2"/>
  <c r="N51" i="2"/>
  <c r="E51" i="2"/>
  <c r="R50" i="2"/>
  <c r="Q50" i="2"/>
  <c r="P50" i="2"/>
  <c r="O50" i="2"/>
  <c r="N50" i="2"/>
  <c r="E50" i="2"/>
  <c r="Y63" i="2" l="1"/>
  <c r="Y62" i="2"/>
  <c r="Y61" i="2"/>
  <c r="Y60" i="2"/>
  <c r="Y58" i="2"/>
  <c r="Y57" i="2"/>
  <c r="Y56" i="2"/>
  <c r="Y55" i="2"/>
  <c r="Y53" i="2"/>
  <c r="Y52" i="2"/>
  <c r="Y51" i="2"/>
  <c r="Y50" i="2"/>
  <c r="N75" i="2"/>
  <c r="O75" i="2"/>
  <c r="P75" i="2"/>
  <c r="Q75" i="2"/>
  <c r="R75" i="2"/>
  <c r="N76" i="2"/>
  <c r="O76" i="2"/>
  <c r="P76" i="2"/>
  <c r="Q76" i="2"/>
  <c r="R76" i="2"/>
  <c r="N77" i="2"/>
  <c r="O77" i="2"/>
  <c r="P77" i="2"/>
  <c r="Q77" i="2"/>
  <c r="R77" i="2"/>
  <c r="N78" i="2"/>
  <c r="O78" i="2"/>
  <c r="P78" i="2"/>
  <c r="Q78" i="2"/>
  <c r="R78" i="2"/>
  <c r="N71" i="2"/>
  <c r="O71" i="2"/>
  <c r="P71" i="2"/>
  <c r="Q71" i="2"/>
  <c r="R71" i="2"/>
  <c r="N72" i="2"/>
  <c r="O72" i="2"/>
  <c r="P72" i="2"/>
  <c r="Q72" i="2"/>
  <c r="R72" i="2"/>
  <c r="N73" i="2"/>
  <c r="O73" i="2"/>
  <c r="P73" i="2"/>
  <c r="Q73" i="2"/>
  <c r="R73" i="2"/>
  <c r="N80" i="2"/>
  <c r="O80" i="2"/>
  <c r="P80" i="2"/>
  <c r="Q80" i="2"/>
  <c r="R80" i="2"/>
  <c r="N81" i="2"/>
  <c r="O81" i="2"/>
  <c r="P81" i="2"/>
  <c r="Q81" i="2"/>
  <c r="R81" i="2"/>
  <c r="N82" i="2"/>
  <c r="O82" i="2"/>
  <c r="P82" i="2"/>
  <c r="Q82" i="2"/>
  <c r="R82" i="2"/>
  <c r="N83" i="2"/>
  <c r="O83" i="2"/>
  <c r="P83" i="2"/>
  <c r="Q83" i="2"/>
  <c r="R83" i="2"/>
  <c r="N85" i="2"/>
  <c r="O85" i="2"/>
  <c r="P85" i="2"/>
  <c r="Q85" i="2"/>
  <c r="R85" i="2"/>
  <c r="N86" i="2"/>
  <c r="O86" i="2"/>
  <c r="P86" i="2"/>
  <c r="Q86" i="2"/>
  <c r="R86" i="2"/>
  <c r="N87" i="2"/>
  <c r="O87" i="2"/>
  <c r="P87" i="2"/>
  <c r="Q87" i="2"/>
  <c r="R87" i="2"/>
  <c r="N88" i="2"/>
  <c r="O88" i="2"/>
  <c r="P88" i="2"/>
  <c r="Q88" i="2"/>
  <c r="R88" i="2"/>
  <c r="R70" i="2"/>
  <c r="Q70" i="2"/>
  <c r="P70" i="2"/>
  <c r="O70" i="2"/>
  <c r="N70" i="2"/>
  <c r="E71" i="2"/>
  <c r="E72" i="2"/>
  <c r="E73" i="2"/>
  <c r="E75" i="2"/>
  <c r="E76" i="2"/>
  <c r="E77" i="2"/>
  <c r="E78" i="2"/>
  <c r="E80" i="2"/>
  <c r="E81" i="2"/>
  <c r="E82" i="2"/>
  <c r="E83" i="2"/>
  <c r="E85" i="2"/>
  <c r="E86" i="2"/>
  <c r="E87" i="2"/>
  <c r="E88" i="2"/>
  <c r="E70" i="2"/>
  <c r="R40" i="2"/>
  <c r="Q40" i="2"/>
  <c r="P40" i="2"/>
  <c r="O40" i="2"/>
  <c r="N40" i="2"/>
  <c r="E40" i="2"/>
  <c r="R39" i="2"/>
  <c r="Q39" i="2"/>
  <c r="P39" i="2"/>
  <c r="O39" i="2"/>
  <c r="N39" i="2"/>
  <c r="E39" i="2"/>
  <c r="R38" i="2"/>
  <c r="Q38" i="2"/>
  <c r="P38" i="2"/>
  <c r="O38" i="2"/>
  <c r="N38" i="2"/>
  <c r="E38" i="2"/>
  <c r="R37" i="2"/>
  <c r="Q37" i="2"/>
  <c r="P37" i="2"/>
  <c r="O37" i="2"/>
  <c r="N37" i="2"/>
  <c r="E37" i="2"/>
  <c r="Y75" i="2" l="1"/>
  <c r="Y70" i="2"/>
  <c r="Y73" i="2"/>
  <c r="Y85" i="2"/>
  <c r="Y82" i="2"/>
  <c r="Y78" i="2"/>
  <c r="Y77" i="2"/>
  <c r="Y76" i="2"/>
  <c r="Y72" i="2"/>
  <c r="Y83" i="2"/>
  <c r="Y71" i="2"/>
  <c r="Y88" i="2"/>
  <c r="Y81" i="2"/>
  <c r="Y86" i="2"/>
  <c r="Y87" i="2"/>
  <c r="Y80" i="2"/>
  <c r="Y38" i="2"/>
  <c r="Y39" i="2"/>
  <c r="Y40" i="2"/>
  <c r="Y37" i="2"/>
  <c r="W35" i="2"/>
  <c r="V35" i="2"/>
  <c r="U35" i="2"/>
  <c r="T35" i="2"/>
  <c r="R35" i="2"/>
  <c r="Q35" i="2"/>
  <c r="P35" i="2"/>
  <c r="O35" i="2"/>
  <c r="N35" i="2"/>
  <c r="E35" i="2"/>
  <c r="W34" i="2"/>
  <c r="V34" i="2"/>
  <c r="U34" i="2"/>
  <c r="T34" i="2"/>
  <c r="R34" i="2"/>
  <c r="Q34" i="2"/>
  <c r="P34" i="2"/>
  <c r="O34" i="2"/>
  <c r="N34" i="2"/>
  <c r="E34" i="2"/>
  <c r="W33" i="2"/>
  <c r="V33" i="2"/>
  <c r="U33" i="2"/>
  <c r="T33" i="2"/>
  <c r="R33" i="2"/>
  <c r="Q33" i="2"/>
  <c r="P33" i="2"/>
  <c r="O33" i="2"/>
  <c r="N33" i="2"/>
  <c r="E33" i="2"/>
  <c r="W32" i="2"/>
  <c r="V32" i="2"/>
  <c r="U32" i="2"/>
  <c r="T32" i="2"/>
  <c r="R32" i="2"/>
  <c r="Q32" i="2"/>
  <c r="P32" i="2"/>
  <c r="O32" i="2"/>
  <c r="N32" i="2"/>
  <c r="E32" i="2"/>
  <c r="W30" i="2"/>
  <c r="V30" i="2"/>
  <c r="U30" i="2"/>
  <c r="T30" i="2"/>
  <c r="R30" i="2"/>
  <c r="Q30" i="2"/>
  <c r="P30" i="2"/>
  <c r="O30" i="2"/>
  <c r="N30" i="2"/>
  <c r="E30" i="2"/>
  <c r="W29" i="2"/>
  <c r="V29" i="2"/>
  <c r="U29" i="2"/>
  <c r="T29" i="2"/>
  <c r="R29" i="2"/>
  <c r="Q29" i="2"/>
  <c r="P29" i="2"/>
  <c r="O29" i="2"/>
  <c r="N29" i="2"/>
  <c r="E29" i="2"/>
  <c r="W28" i="2"/>
  <c r="V28" i="2"/>
  <c r="U28" i="2"/>
  <c r="T28" i="2"/>
  <c r="R28" i="2"/>
  <c r="Q28" i="2"/>
  <c r="P28" i="2"/>
  <c r="O28" i="2"/>
  <c r="N28" i="2"/>
  <c r="E28" i="2"/>
  <c r="W27" i="2"/>
  <c r="V27" i="2"/>
  <c r="U27" i="2"/>
  <c r="T27" i="2"/>
  <c r="R27" i="2"/>
  <c r="Q27" i="2"/>
  <c r="P27" i="2"/>
  <c r="O27" i="2"/>
  <c r="N27" i="2"/>
  <c r="E27" i="2"/>
  <c r="Y30" i="2" l="1"/>
  <c r="Y29" i="2"/>
  <c r="Y35" i="2"/>
  <c r="Y32" i="2"/>
  <c r="Y27" i="2"/>
  <c r="Y33" i="2"/>
  <c r="Y28" i="2"/>
  <c r="Y34" i="2"/>
  <c r="E4" i="2" l="1"/>
  <c r="E5" i="2"/>
  <c r="E6" i="2"/>
  <c r="E7" i="2"/>
  <c r="E9" i="2"/>
  <c r="E10" i="2"/>
  <c r="E11" i="2"/>
  <c r="E12" i="2"/>
  <c r="E134" i="2" l="1"/>
  <c r="W12" i="2"/>
  <c r="V12" i="2"/>
  <c r="U12" i="2"/>
  <c r="T12" i="2"/>
  <c r="R12" i="2"/>
  <c r="Q12" i="2"/>
  <c r="P12" i="2"/>
  <c r="O12" i="2"/>
  <c r="N12" i="2"/>
  <c r="J12" i="2"/>
  <c r="I12" i="2"/>
  <c r="H12" i="2"/>
  <c r="G12" i="2"/>
  <c r="F12" i="2"/>
  <c r="W11" i="2"/>
  <c r="V11" i="2"/>
  <c r="U11" i="2"/>
  <c r="T11" i="2"/>
  <c r="R11" i="2"/>
  <c r="Q11" i="2"/>
  <c r="P11" i="2"/>
  <c r="O11" i="2"/>
  <c r="N11" i="2"/>
  <c r="J11" i="2"/>
  <c r="I11" i="2"/>
  <c r="H11" i="2"/>
  <c r="G11" i="2"/>
  <c r="F11" i="2"/>
  <c r="W10" i="2"/>
  <c r="V10" i="2"/>
  <c r="U10" i="2"/>
  <c r="T10" i="2"/>
  <c r="R10" i="2"/>
  <c r="Q10" i="2"/>
  <c r="P10" i="2"/>
  <c r="O10" i="2"/>
  <c r="N10" i="2"/>
  <c r="J10" i="2"/>
  <c r="I10" i="2"/>
  <c r="H10" i="2"/>
  <c r="G10" i="2"/>
  <c r="F10" i="2"/>
  <c r="W9" i="2"/>
  <c r="V9" i="2"/>
  <c r="U9" i="2"/>
  <c r="T9" i="2"/>
  <c r="R9" i="2"/>
  <c r="Q9" i="2"/>
  <c r="P9" i="2"/>
  <c r="O9" i="2"/>
  <c r="N9" i="2"/>
  <c r="J9" i="2"/>
  <c r="I9" i="2"/>
  <c r="H9" i="2"/>
  <c r="G9" i="2"/>
  <c r="F9" i="2"/>
  <c r="Y9" i="2" l="1"/>
  <c r="Y10" i="2"/>
  <c r="Y11" i="2"/>
  <c r="Y12" i="2"/>
  <c r="W7" i="2" l="1"/>
  <c r="V7" i="2"/>
  <c r="U7" i="2"/>
  <c r="T7" i="2"/>
  <c r="R7" i="2"/>
  <c r="Q7" i="2"/>
  <c r="P7" i="2"/>
  <c r="O7" i="2"/>
  <c r="N7" i="2"/>
  <c r="J7" i="2"/>
  <c r="I7" i="2"/>
  <c r="H7" i="2"/>
  <c r="G7" i="2"/>
  <c r="F7" i="2"/>
  <c r="W6" i="2"/>
  <c r="V6" i="2"/>
  <c r="U6" i="2"/>
  <c r="T6" i="2"/>
  <c r="R6" i="2"/>
  <c r="Q6" i="2"/>
  <c r="P6" i="2"/>
  <c r="O6" i="2"/>
  <c r="N6" i="2"/>
  <c r="J6" i="2"/>
  <c r="I6" i="2"/>
  <c r="H6" i="2"/>
  <c r="G6" i="2"/>
  <c r="F6" i="2"/>
  <c r="W5" i="2"/>
  <c r="V5" i="2"/>
  <c r="U5" i="2"/>
  <c r="T5" i="2"/>
  <c r="R5" i="2"/>
  <c r="Q5" i="2"/>
  <c r="P5" i="2"/>
  <c r="O5" i="2"/>
  <c r="N5" i="2"/>
  <c r="J5" i="2"/>
  <c r="I5" i="2"/>
  <c r="H5" i="2"/>
  <c r="G5" i="2"/>
  <c r="F5" i="2"/>
  <c r="W4" i="2"/>
  <c r="V4" i="2"/>
  <c r="U4" i="2"/>
  <c r="T4" i="2"/>
  <c r="R4" i="2"/>
  <c r="Q4" i="2"/>
  <c r="P4" i="2"/>
  <c r="O4" i="2"/>
  <c r="N4" i="2"/>
  <c r="J4" i="2"/>
  <c r="I4" i="2"/>
  <c r="H4" i="2"/>
  <c r="G4" i="2"/>
  <c r="F4" i="2"/>
  <c r="Y5" i="2" l="1"/>
  <c r="Y6" i="2"/>
  <c r="Y7" i="2"/>
  <c r="Y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E66" authorId="0" shapeId="0" xr:uid="{2417BC13-92D2-904D-8DA1-8216AC06C4DB}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<sst xmlns="http://schemas.openxmlformats.org/spreadsheetml/2006/main" count="266" uniqueCount="57">
  <si>
    <t>single tree</t>
  </si>
  <si>
    <t>multi tree</t>
  </si>
  <si>
    <t>n</t>
  </si>
  <si>
    <t>r</t>
  </si>
  <si>
    <t>p</t>
  </si>
  <si>
    <t>err_gd</t>
  </si>
  <si>
    <t>rnk_gd</t>
  </si>
  <si>
    <t>t_gd</t>
  </si>
  <si>
    <t>err_am</t>
  </si>
  <si>
    <t>rnk_am</t>
  </si>
  <si>
    <t>t_am</t>
  </si>
  <si>
    <t>err_ex</t>
  </si>
  <si>
    <t>rnk_ex</t>
  </si>
  <si>
    <t>t_ex</t>
  </si>
  <si>
    <t>nc_ex</t>
  </si>
  <si>
    <t>gap_ex</t>
  </si>
  <si>
    <t>err_inout</t>
  </si>
  <si>
    <t>rnk_inout</t>
  </si>
  <si>
    <t>t_inout</t>
  </si>
  <si>
    <t>nc_inout</t>
  </si>
  <si>
    <t>gap_inout</t>
  </si>
  <si>
    <t>cutcount_inout</t>
  </si>
  <si>
    <t>nc_inout (final tree)</t>
  </si>
  <si>
    <t>Exact single tree</t>
  </si>
  <si>
    <t>Exact Multi-tree</t>
  </si>
  <si>
    <t>Exact Gurobi</t>
  </si>
  <si>
    <t>gamma mult factor (var/p)</t>
  </si>
  <si>
    <t>gamma mult factor (var on p)</t>
  </si>
  <si>
    <t>runtime (s)</t>
  </si>
  <si>
    <t>Rel. MSE</t>
  </si>
  <si>
    <t>Gap (%)</t>
  </si>
  <si>
    <t>Nodes</t>
  </si>
  <si>
    <t>Cuts</t>
  </si>
  <si>
    <t>Count</t>
  </si>
  <si>
    <t>LaTeX code for the giant table</t>
  </si>
  <si>
    <t># Rank=2</t>
  </si>
  <si>
    <t># Rank=3</t>
  </si>
  <si>
    <t>Rel. MSE AM</t>
  </si>
  <si>
    <t>Percentage of entries for table obtained:</t>
  </si>
  <si>
    <t xml:space="preserve"> </t>
  </si>
  <si>
    <t> </t>
  </si>
  <si>
    <t>&lt;- in prog (ex_2)</t>
  </si>
  <si>
    <t>&lt;- in prog (ex_5)</t>
  </si>
  <si>
    <t>&lt;- in prog (ex_6)</t>
  </si>
  <si>
    <t>&lt;- in prog (ex_4)</t>
  </si>
  <si>
    <t>seed ID</t>
  </si>
  <si>
    <t>Nodes (final tree)</t>
  </si>
  <si>
    <t>Nodes (overall)</t>
  </si>
  <si>
    <t>nc overall</t>
  </si>
  <si>
    <t>Gap (abs)</t>
  </si>
  <si>
    <t>grb</t>
  </si>
  <si>
    <t>nc_grb</t>
  </si>
  <si>
    <t>err_grb</t>
  </si>
  <si>
    <t>rnk_grb</t>
  </si>
  <si>
    <t>t_grb</t>
  </si>
  <si>
    <t>gap_grb</t>
  </si>
  <si>
    <t>count grb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</si>
</sst>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  <scheme val="minor"/>
    </font>
    <font>
      <sz val="11"/>
      <color rgb="FF000000"/>
      <name val="Menlo"/>
      <family val="2"/>
    </font>
    <font>
      <sz val="10"/>
      <color rgb="FF000000"/>
      <name val="Tahoma"/>
      <family val="2"/>
    </font>
    <font>
      <b/>
      <sz val="10"/>
      <color rgb="FF000000"/>
      <name val="Tahoma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5">
    <xf numFmtId="0" fontId="0" fillId="0" borderId="0" xfId="0"/>
    <xf numFmtId="11" fontId="0" fillId="0" borderId="0" xfId="0" applyNumberFormat="1"/>
    <xf numFmtId="10" fontId="0" fillId="0" borderId="0" xfId="0" applyNumberFormat="1"/>
    <xf numFmtId="2" fontId="0" fillId="0" borderId="0" xfId="0" applyNumberFormat="1"/>
    <xf numFmtId="0" fontId="18" fillId="0" borderId="0" xfId="0" applyFont="1"/>
    <xf numFmtId="0" fontId="0" fillId="0" borderId="10" xfId="0" applyBorder="1"/>
    <xf numFmtId="0" fontId="18" fillId="0" borderId="10" xfId="0" applyFont="1" applyBorder="1"/>
    <xf numFmtId="0" fontId="0" fillId="0" borderId="0" xfId="0" applyBorder="1"/>
    <xf numFmtId="11" fontId="18" fillId="0" borderId="0" xfId="0" applyNumberFormat="1" applyFont="1"/>
    <xf numFmtId="0" fontId="19" fillId="0" borderId="0" xfId="0" applyFont="1"/>
    <xf numFmtId="20" fontId="0" fillId="0" borderId="0" xfId="0" applyNumberFormat="1"/>
    <xf numFmtId="21" fontId="0" fillId="0" borderId="0" xfId="0" applyNumberFormat="1"/>
    <xf numFmtId="0" fontId="0" fillId="0" borderId="0" xfId="0" applyNumberFormat="1"/>
    <xf numFmtId="0" fontId="0" fillId="0" borderId="0" xfId="0" applyFont="1"/>
    <xf numFmtId="0" fontId="18" fillId="0" borderId="0" xfId="0" applyFont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A3182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675" sqref="A675:AA706"/>
    </sheetView>
  </sheetViews>
  <sheetFormatPr baseColWidth="10" defaultRowHeight="16" x14ac:dyDescent="0.2"/>
  <cols>
    <col min="16" max="16" width="10.83203125" style="5"/>
    <col min="22" max="22" width="10.83203125" style="5"/>
  </cols>
  <sheetData>
    <row r="1" spans="1:27" x14ac:dyDescent="0.2">
      <c r="P1" s="5" t="s">
        <v>0</v>
      </c>
      <c r="V1" s="5" t="s">
        <v>1</v>
      </c>
    </row>
    <row r="2" spans="1:27" x14ac:dyDescent="0.2">
      <c r="A2" t="s">
        <v>2</v>
      </c>
      <c r="B2" t="s">
        <v>3</v>
      </c>
      <c r="C2" t="s">
        <v>4</v>
      </c>
      <c r="D2" t="s">
        <v>26</v>
      </c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t="s">
        <v>12</v>
      </c>
      <c r="M2" t="s">
        <v>13</v>
      </c>
      <c r="N2" t="s">
        <v>14</v>
      </c>
      <c r="O2" t="s">
        <v>15</v>
      </c>
      <c r="P2" s="5" t="s">
        <v>16</v>
      </c>
      <c r="Q2" t="s">
        <v>17</v>
      </c>
      <c r="R2" t="s">
        <v>18</v>
      </c>
      <c r="S2" t="s">
        <v>19</v>
      </c>
      <c r="T2" t="s">
        <v>20</v>
      </c>
      <c r="U2" t="s">
        <v>21</v>
      </c>
      <c r="V2" s="5" t="s">
        <v>16</v>
      </c>
      <c r="W2" t="s">
        <v>17</v>
      </c>
      <c r="X2" t="s">
        <v>18</v>
      </c>
      <c r="Y2" t="s">
        <v>22</v>
      </c>
      <c r="Z2" t="s">
        <v>20</v>
      </c>
      <c r="AA2" t="s">
        <v>21</v>
      </c>
    </row>
    <row r="3" spans="1:27" x14ac:dyDescent="0.2">
      <c r="A3">
        <v>5</v>
      </c>
      <c r="B3">
        <v>1</v>
      </c>
      <c r="C3">
        <v>0.4</v>
      </c>
      <c r="D3">
        <v>20</v>
      </c>
      <c r="E3">
        <v>7.6884420330793193E-2</v>
      </c>
      <c r="F3">
        <v>1</v>
      </c>
      <c r="G3">
        <v>30.474950844999999</v>
      </c>
      <c r="H3">
        <v>8.12906734133967E-2</v>
      </c>
      <c r="I3">
        <v>1</v>
      </c>
      <c r="J3">
        <v>6.1771900999999997E-2</v>
      </c>
      <c r="K3">
        <v>8.0654183635708795E-2</v>
      </c>
      <c r="L3">
        <v>1</v>
      </c>
      <c r="M3">
        <v>11.039257284</v>
      </c>
      <c r="N3">
        <v>37462</v>
      </c>
      <c r="O3">
        <v>1.05687650241792E-3</v>
      </c>
      <c r="P3" s="5">
        <v>5.5879387782351402E-2</v>
      </c>
      <c r="Q3">
        <v>1</v>
      </c>
      <c r="R3">
        <v>19.508955741000001</v>
      </c>
      <c r="S3">
        <v>1</v>
      </c>
      <c r="T3">
        <v>9.7700552783985795E-4</v>
      </c>
      <c r="U3">
        <v>2</v>
      </c>
      <c r="V3" s="5">
        <v>6.6145776247188898E-2</v>
      </c>
      <c r="W3">
        <v>1</v>
      </c>
      <c r="X3">
        <v>3.5359508769999999</v>
      </c>
      <c r="Y3">
        <v>471</v>
      </c>
      <c r="Z3" s="1">
        <v>5.4104564687698601E-5</v>
      </c>
      <c r="AA3">
        <v>1</v>
      </c>
    </row>
    <row r="4" spans="1:27" x14ac:dyDescent="0.2">
      <c r="A4">
        <v>5</v>
      </c>
      <c r="B4">
        <v>1</v>
      </c>
      <c r="C4">
        <v>0.1</v>
      </c>
      <c r="D4">
        <v>20</v>
      </c>
      <c r="E4">
        <v>0.98010621605570003</v>
      </c>
      <c r="F4">
        <v>1</v>
      </c>
      <c r="G4">
        <v>29.33385994</v>
      </c>
      <c r="H4">
        <v>0.98010621605570003</v>
      </c>
      <c r="I4">
        <v>1</v>
      </c>
      <c r="J4">
        <v>5.0776653999999997E-2</v>
      </c>
      <c r="K4">
        <v>0.98240981034578401</v>
      </c>
      <c r="L4">
        <v>1</v>
      </c>
      <c r="M4">
        <v>5.721353422</v>
      </c>
      <c r="N4">
        <v>66054</v>
      </c>
      <c r="O4" s="1">
        <v>1.64368944687298E-5</v>
      </c>
      <c r="P4" s="5">
        <v>0.98291174746005705</v>
      </c>
      <c r="Q4">
        <v>1</v>
      </c>
      <c r="R4">
        <v>29.410416571999999</v>
      </c>
      <c r="S4">
        <v>377</v>
      </c>
      <c r="T4" s="1">
        <v>5.7043613837072799E-7</v>
      </c>
      <c r="U4">
        <v>380</v>
      </c>
      <c r="V4" s="5">
        <v>0.98346683221484099</v>
      </c>
      <c r="W4">
        <v>1</v>
      </c>
      <c r="X4">
        <v>2.963403655</v>
      </c>
      <c r="Y4">
        <v>687</v>
      </c>
      <c r="Z4" s="1">
        <v>1.1342294601209E-6</v>
      </c>
      <c r="AA4">
        <v>1</v>
      </c>
    </row>
    <row r="5" spans="1:27" x14ac:dyDescent="0.2">
      <c r="A5">
        <v>5</v>
      </c>
      <c r="B5">
        <v>1</v>
      </c>
      <c r="C5">
        <v>0.1</v>
      </c>
      <c r="D5">
        <v>20</v>
      </c>
      <c r="E5">
        <v>0.991851778175451</v>
      </c>
      <c r="F5">
        <v>1</v>
      </c>
      <c r="G5">
        <v>34.914784347000001</v>
      </c>
      <c r="H5">
        <v>0.991851778175451</v>
      </c>
      <c r="I5">
        <v>1</v>
      </c>
      <c r="J5">
        <v>6.6521757000000001E-2</v>
      </c>
      <c r="K5">
        <v>0.94178198321930895</v>
      </c>
      <c r="L5">
        <v>1</v>
      </c>
      <c r="M5">
        <v>7.6747702929999999</v>
      </c>
      <c r="N5">
        <v>66103</v>
      </c>
      <c r="O5" s="1">
        <v>3.4733784013918302E-5</v>
      </c>
      <c r="P5" s="5">
        <v>0.94179175840192497</v>
      </c>
      <c r="Q5">
        <v>1</v>
      </c>
      <c r="R5">
        <v>26.065713025000001</v>
      </c>
      <c r="S5">
        <v>171</v>
      </c>
      <c r="T5" s="1">
        <v>3.4459771660671698E-6</v>
      </c>
      <c r="U5">
        <v>177</v>
      </c>
      <c r="V5" s="5">
        <v>1.0552799010407901</v>
      </c>
      <c r="W5">
        <v>1</v>
      </c>
      <c r="X5">
        <v>3.621885029</v>
      </c>
      <c r="Y5">
        <v>531</v>
      </c>
      <c r="Z5">
        <v>0</v>
      </c>
      <c r="AA5">
        <v>1</v>
      </c>
    </row>
    <row r="6" spans="1:27" x14ac:dyDescent="0.2">
      <c r="A6">
        <v>5</v>
      </c>
      <c r="B6">
        <v>1</v>
      </c>
      <c r="C6">
        <v>0.2</v>
      </c>
      <c r="D6">
        <v>20</v>
      </c>
      <c r="E6">
        <v>0.96853021525026795</v>
      </c>
      <c r="F6">
        <v>1</v>
      </c>
      <c r="G6">
        <v>34.866680715999998</v>
      </c>
      <c r="H6">
        <v>0.968530218436083</v>
      </c>
      <c r="I6">
        <v>1</v>
      </c>
      <c r="J6">
        <v>6.1075364E-2</v>
      </c>
      <c r="K6">
        <v>1.0225195182826201</v>
      </c>
      <c r="L6">
        <v>1</v>
      </c>
      <c r="M6">
        <v>7.8038504690000003</v>
      </c>
      <c r="N6">
        <v>57127</v>
      </c>
      <c r="O6">
        <v>1.99207972488402E-4</v>
      </c>
      <c r="P6" s="5">
        <v>1.0241732165730899</v>
      </c>
      <c r="Q6">
        <v>1</v>
      </c>
      <c r="R6">
        <v>61.635171630000002</v>
      </c>
      <c r="S6">
        <v>1335</v>
      </c>
      <c r="T6" s="1">
        <v>1.51376054892404E-7</v>
      </c>
      <c r="U6">
        <v>1323</v>
      </c>
      <c r="V6" s="5">
        <v>1.0245706598393101</v>
      </c>
      <c r="W6">
        <v>1</v>
      </c>
      <c r="X6">
        <v>3.4435267020000002</v>
      </c>
      <c r="Y6">
        <v>387</v>
      </c>
      <c r="Z6" s="1">
        <v>9.4162205964139906E-5</v>
      </c>
      <c r="AA6">
        <v>1</v>
      </c>
    </row>
    <row r="7" spans="1:27" x14ac:dyDescent="0.2">
      <c r="A7">
        <v>5</v>
      </c>
      <c r="B7">
        <v>1</v>
      </c>
      <c r="C7">
        <v>0.3</v>
      </c>
      <c r="D7">
        <v>20</v>
      </c>
      <c r="E7">
        <v>0.83384717139499698</v>
      </c>
      <c r="F7">
        <v>1</v>
      </c>
      <c r="G7">
        <v>34.833921969000002</v>
      </c>
      <c r="H7">
        <v>0.768602820131568</v>
      </c>
      <c r="I7">
        <v>1</v>
      </c>
      <c r="J7">
        <v>0.114996484</v>
      </c>
      <c r="K7">
        <v>0.42941077288462198</v>
      </c>
      <c r="L7">
        <v>1</v>
      </c>
      <c r="M7">
        <v>28.642491991</v>
      </c>
      <c r="N7">
        <v>77563</v>
      </c>
      <c r="O7">
        <v>3.7193095710499301E-3</v>
      </c>
      <c r="P7" s="5">
        <v>1.1557167809754501</v>
      </c>
      <c r="Q7">
        <v>1</v>
      </c>
      <c r="R7">
        <v>79.500021814999997</v>
      </c>
      <c r="S7">
        <v>1836</v>
      </c>
      <c r="T7">
        <v>3.2766938796260298E-3</v>
      </c>
      <c r="U7">
        <v>1762</v>
      </c>
      <c r="V7" s="5">
        <v>1.17779722740267</v>
      </c>
      <c r="W7">
        <v>1</v>
      </c>
      <c r="X7">
        <v>27.841642737000001</v>
      </c>
      <c r="Y7">
        <v>8211</v>
      </c>
      <c r="Z7" s="1">
        <v>1.3307260897654699E-6</v>
      </c>
      <c r="AA7">
        <v>17</v>
      </c>
    </row>
    <row r="8" spans="1:27" x14ac:dyDescent="0.2">
      <c r="A8">
        <v>5</v>
      </c>
      <c r="B8">
        <v>1</v>
      </c>
      <c r="C8">
        <v>0.3</v>
      </c>
      <c r="D8">
        <v>20</v>
      </c>
      <c r="E8">
        <v>0.80325658192113503</v>
      </c>
      <c r="F8">
        <v>1</v>
      </c>
      <c r="G8">
        <v>29.007308145</v>
      </c>
      <c r="H8">
        <v>0.81583255037330504</v>
      </c>
      <c r="I8">
        <v>1</v>
      </c>
      <c r="J8">
        <v>6.9080542999999994E-2</v>
      </c>
      <c r="K8">
        <v>0.83304993618332601</v>
      </c>
      <c r="L8">
        <v>1</v>
      </c>
      <c r="M8">
        <v>14.889852794999999</v>
      </c>
      <c r="N8">
        <v>119032</v>
      </c>
      <c r="O8">
        <v>2.61317257079229E-4</v>
      </c>
      <c r="P8" s="5">
        <v>1.13206780005689</v>
      </c>
      <c r="Q8">
        <v>1</v>
      </c>
      <c r="R8">
        <v>49.209385697000002</v>
      </c>
      <c r="S8">
        <v>1094</v>
      </c>
      <c r="T8">
        <v>2.43266708072741E-4</v>
      </c>
      <c r="U8">
        <v>1038</v>
      </c>
      <c r="V8" s="5">
        <v>1.12912479556788</v>
      </c>
      <c r="W8">
        <v>1</v>
      </c>
      <c r="X8">
        <v>3.35589776</v>
      </c>
      <c r="Y8">
        <v>1479</v>
      </c>
      <c r="Z8" s="1">
        <v>4.9401408873384004E-7</v>
      </c>
      <c r="AA8">
        <v>1</v>
      </c>
    </row>
    <row r="9" spans="1:27" x14ac:dyDescent="0.2">
      <c r="A9">
        <v>5</v>
      </c>
      <c r="B9">
        <v>1</v>
      </c>
      <c r="C9">
        <v>0.1</v>
      </c>
      <c r="D9">
        <v>20</v>
      </c>
      <c r="E9">
        <v>0.75251787811917004</v>
      </c>
      <c r="F9">
        <v>1</v>
      </c>
      <c r="G9">
        <v>35.047803776000002</v>
      </c>
      <c r="H9">
        <v>0.75251787811917004</v>
      </c>
      <c r="I9">
        <v>1</v>
      </c>
      <c r="J9">
        <v>6.1947123E-2</v>
      </c>
      <c r="K9">
        <v>0.93883664126685096</v>
      </c>
      <c r="L9">
        <v>1</v>
      </c>
      <c r="M9">
        <v>0.73749164599999995</v>
      </c>
      <c r="N9">
        <v>1137</v>
      </c>
      <c r="O9">
        <v>2.92661623662482E-4</v>
      </c>
      <c r="P9" s="5">
        <v>0.67267146439578696</v>
      </c>
      <c r="Q9">
        <v>1</v>
      </c>
      <c r="R9">
        <v>74.757166725999994</v>
      </c>
      <c r="S9">
        <v>2147</v>
      </c>
      <c r="T9">
        <v>3.58091140503988E-4</v>
      </c>
      <c r="U9">
        <v>2132</v>
      </c>
      <c r="V9" s="5">
        <v>0.66026500478142003</v>
      </c>
      <c r="W9">
        <v>1</v>
      </c>
      <c r="X9">
        <v>3.5205542840000001</v>
      </c>
      <c r="Y9">
        <v>783</v>
      </c>
      <c r="Z9" s="1">
        <v>1.66555752641184E-5</v>
      </c>
      <c r="AA9">
        <v>1</v>
      </c>
    </row>
    <row r="10" spans="1:27" x14ac:dyDescent="0.2">
      <c r="A10">
        <v>5</v>
      </c>
      <c r="B10">
        <v>1</v>
      </c>
      <c r="C10">
        <v>0.4</v>
      </c>
      <c r="D10">
        <v>20</v>
      </c>
      <c r="E10">
        <v>0.65864075821105195</v>
      </c>
      <c r="F10">
        <v>1</v>
      </c>
      <c r="G10">
        <v>30.554869750000002</v>
      </c>
      <c r="H10">
        <v>0.48932365023408397</v>
      </c>
      <c r="I10">
        <v>1</v>
      </c>
      <c r="J10">
        <v>0.109507479</v>
      </c>
      <c r="K10">
        <v>0.465862212472203</v>
      </c>
      <c r="L10">
        <v>1</v>
      </c>
      <c r="M10">
        <v>78.060494887000004</v>
      </c>
      <c r="N10">
        <v>514675</v>
      </c>
      <c r="O10">
        <v>2.69760974623056E-4</v>
      </c>
      <c r="P10" s="5">
        <v>0.437673589420911</v>
      </c>
      <c r="Q10">
        <v>1</v>
      </c>
      <c r="R10">
        <v>66.127791463999998</v>
      </c>
      <c r="S10">
        <v>1994</v>
      </c>
      <c r="T10">
        <v>2.5838455683170202E-4</v>
      </c>
      <c r="U10">
        <v>1627</v>
      </c>
      <c r="V10" s="5">
        <v>0.44024487588372602</v>
      </c>
      <c r="W10">
        <v>1</v>
      </c>
      <c r="X10">
        <v>4.0659107729999997</v>
      </c>
      <c r="Y10">
        <v>1195</v>
      </c>
      <c r="Z10">
        <v>2.5152964454030601E-4</v>
      </c>
      <c r="AA10">
        <v>1</v>
      </c>
    </row>
    <row r="11" spans="1:27" x14ac:dyDescent="0.2">
      <c r="A11">
        <v>5</v>
      </c>
      <c r="B11">
        <v>1</v>
      </c>
      <c r="C11">
        <v>0.2</v>
      </c>
      <c r="D11">
        <v>20</v>
      </c>
      <c r="E11">
        <v>0.76986969284822604</v>
      </c>
      <c r="F11">
        <v>1</v>
      </c>
      <c r="G11">
        <v>35.073370986</v>
      </c>
      <c r="H11">
        <v>0.76986969284822604</v>
      </c>
      <c r="I11">
        <v>1</v>
      </c>
      <c r="J11">
        <v>6.1031539000000003E-2</v>
      </c>
      <c r="K11">
        <v>1.13424210379958</v>
      </c>
      <c r="L11">
        <v>1</v>
      </c>
      <c r="M11">
        <v>27.053438903</v>
      </c>
      <c r="N11">
        <v>242183</v>
      </c>
      <c r="O11">
        <v>2.90298353790241E-4</v>
      </c>
      <c r="P11" s="5">
        <v>1.11905084699222</v>
      </c>
      <c r="Q11">
        <v>1</v>
      </c>
      <c r="R11">
        <v>58.155281682999998</v>
      </c>
      <c r="S11">
        <v>1239</v>
      </c>
      <c r="T11" s="1">
        <v>3.4666797942180199E-6</v>
      </c>
      <c r="U11">
        <v>1250</v>
      </c>
      <c r="V11" s="5">
        <v>1.11513091815448</v>
      </c>
      <c r="W11">
        <v>1</v>
      </c>
      <c r="X11">
        <v>3.4208603540000002</v>
      </c>
      <c r="Y11">
        <v>1251</v>
      </c>
      <c r="Z11" s="1">
        <v>9.3030876366743902E-6</v>
      </c>
      <c r="AA11">
        <v>1</v>
      </c>
    </row>
    <row r="12" spans="1:27" x14ac:dyDescent="0.2">
      <c r="A12">
        <v>5</v>
      </c>
      <c r="B12">
        <v>1</v>
      </c>
      <c r="C12">
        <v>0.4</v>
      </c>
      <c r="D12">
        <v>20</v>
      </c>
      <c r="E12">
        <v>9.2366992101494794E-2</v>
      </c>
      <c r="F12">
        <v>1</v>
      </c>
      <c r="G12">
        <v>28.997914264999999</v>
      </c>
      <c r="H12">
        <v>7.7776339777389999E-2</v>
      </c>
      <c r="I12">
        <v>1</v>
      </c>
      <c r="J12">
        <v>7.8759638000000007E-2</v>
      </c>
      <c r="K12">
        <v>7.6438455443787898E-2</v>
      </c>
      <c r="L12">
        <v>1</v>
      </c>
      <c r="M12">
        <v>5.3434719800000003</v>
      </c>
      <c r="N12">
        <v>30910</v>
      </c>
      <c r="O12">
        <v>9.22718851258164E-4</v>
      </c>
      <c r="P12" s="5">
        <v>6.3690599843847104E-2</v>
      </c>
      <c r="Q12">
        <v>1</v>
      </c>
      <c r="R12">
        <v>17.039254653</v>
      </c>
      <c r="S12">
        <v>1</v>
      </c>
      <c r="T12">
        <v>7.70909634513011E-4</v>
      </c>
      <c r="U12">
        <v>3</v>
      </c>
      <c r="V12" s="5">
        <v>4.3624454044464203E-2</v>
      </c>
      <c r="W12">
        <v>1</v>
      </c>
      <c r="X12">
        <v>3.4865012750000002</v>
      </c>
      <c r="Y12">
        <v>1261</v>
      </c>
      <c r="Z12">
        <v>2.16036856116416E-4</v>
      </c>
      <c r="AA12">
        <v>1</v>
      </c>
    </row>
    <row r="13" spans="1:27" x14ac:dyDescent="0.2">
      <c r="A13">
        <v>5</v>
      </c>
      <c r="B13">
        <v>1</v>
      </c>
      <c r="C13">
        <v>0.1</v>
      </c>
      <c r="D13">
        <v>20</v>
      </c>
      <c r="E13">
        <v>0.98555919222458399</v>
      </c>
      <c r="F13">
        <v>1</v>
      </c>
      <c r="G13">
        <v>35.067932781000003</v>
      </c>
      <c r="H13">
        <v>0.98555919222457899</v>
      </c>
      <c r="I13">
        <v>1</v>
      </c>
      <c r="J13">
        <v>6.1417418000000001E-2</v>
      </c>
      <c r="K13">
        <v>0.98555954046779004</v>
      </c>
      <c r="L13">
        <v>1</v>
      </c>
      <c r="M13">
        <v>0.68391502299999996</v>
      </c>
      <c r="N13">
        <v>111</v>
      </c>
      <c r="O13" s="1">
        <v>2.43610299063834E-6</v>
      </c>
      <c r="P13" s="5">
        <v>0.98555892262574596</v>
      </c>
      <c r="Q13">
        <v>1</v>
      </c>
      <c r="R13">
        <v>20.102206586000001</v>
      </c>
      <c r="S13">
        <v>0</v>
      </c>
      <c r="T13" s="1">
        <v>4.33680868994201E-19</v>
      </c>
      <c r="U13">
        <v>1</v>
      </c>
      <c r="V13" s="5">
        <v>0.98745982665865495</v>
      </c>
      <c r="W13">
        <v>1</v>
      </c>
      <c r="X13">
        <v>3.371347573</v>
      </c>
      <c r="Y13">
        <v>471</v>
      </c>
      <c r="Z13" s="1">
        <v>1.32417960919534E-5</v>
      </c>
      <c r="AA13">
        <v>1</v>
      </c>
    </row>
    <row r="14" spans="1:27" x14ac:dyDescent="0.2">
      <c r="A14">
        <v>5</v>
      </c>
      <c r="B14">
        <v>1</v>
      </c>
      <c r="C14">
        <v>0.2</v>
      </c>
      <c r="D14">
        <v>20</v>
      </c>
      <c r="E14">
        <v>0.98041303043777905</v>
      </c>
      <c r="F14">
        <v>1</v>
      </c>
      <c r="G14">
        <v>34.877463093999999</v>
      </c>
      <c r="H14">
        <v>0.98041303043778005</v>
      </c>
      <c r="I14">
        <v>1</v>
      </c>
      <c r="J14">
        <v>6.1044703999999998E-2</v>
      </c>
      <c r="K14">
        <v>0.97126459619989503</v>
      </c>
      <c r="L14">
        <v>1</v>
      </c>
      <c r="M14">
        <v>333.12444216</v>
      </c>
      <c r="N14">
        <v>3195841</v>
      </c>
      <c r="O14" s="1">
        <v>2.4935732026248799E-5</v>
      </c>
      <c r="P14" s="5">
        <v>0.99676136869179399</v>
      </c>
      <c r="Q14">
        <v>1</v>
      </c>
      <c r="R14">
        <v>80.525813392000003</v>
      </c>
      <c r="S14">
        <v>2153</v>
      </c>
      <c r="T14" s="1">
        <v>1.6962886986326101E-5</v>
      </c>
      <c r="U14">
        <v>2144</v>
      </c>
      <c r="V14" s="5">
        <v>0.99834530076514405</v>
      </c>
      <c r="W14">
        <v>1</v>
      </c>
      <c r="X14">
        <v>3.4976446120000002</v>
      </c>
      <c r="Y14">
        <v>531</v>
      </c>
      <c r="Z14" s="1">
        <v>5.5904236546423698E-6</v>
      </c>
      <c r="AA14">
        <v>1</v>
      </c>
    </row>
    <row r="15" spans="1:27" x14ac:dyDescent="0.2">
      <c r="A15">
        <v>5</v>
      </c>
      <c r="B15">
        <v>1</v>
      </c>
      <c r="C15">
        <v>0.2</v>
      </c>
      <c r="D15">
        <v>20</v>
      </c>
      <c r="E15">
        <v>0.94437669246932698</v>
      </c>
      <c r="F15">
        <v>1</v>
      </c>
      <c r="G15">
        <v>35.362233258000003</v>
      </c>
      <c r="H15">
        <v>0.94437985473107999</v>
      </c>
      <c r="I15">
        <v>1</v>
      </c>
      <c r="J15">
        <v>6.2160464999999998E-2</v>
      </c>
      <c r="K15">
        <v>0.94437833752243205</v>
      </c>
      <c r="L15">
        <v>1</v>
      </c>
      <c r="M15">
        <v>6.0732162250000004</v>
      </c>
      <c r="N15">
        <v>52102</v>
      </c>
      <c r="O15" s="1">
        <v>8.4273393816947095E-6</v>
      </c>
      <c r="P15" s="5">
        <v>0.94436192755027304</v>
      </c>
      <c r="Q15">
        <v>1</v>
      </c>
      <c r="R15">
        <v>20.306581510000001</v>
      </c>
      <c r="S15">
        <v>0</v>
      </c>
      <c r="T15" s="1">
        <v>5.0048572582542597E-6</v>
      </c>
      <c r="U15">
        <v>1</v>
      </c>
      <c r="V15" s="5">
        <v>0.93915577895185298</v>
      </c>
      <c r="W15">
        <v>1</v>
      </c>
      <c r="X15">
        <v>3.491305095</v>
      </c>
      <c r="Y15">
        <v>255</v>
      </c>
      <c r="Z15" s="1">
        <v>6.4732042816470399E-6</v>
      </c>
      <c r="AA15">
        <v>1</v>
      </c>
    </row>
    <row r="16" spans="1:27" x14ac:dyDescent="0.2">
      <c r="A16">
        <v>5</v>
      </c>
      <c r="B16">
        <v>1</v>
      </c>
      <c r="C16">
        <v>0.1</v>
      </c>
      <c r="D16">
        <v>20</v>
      </c>
      <c r="E16">
        <v>0.99157350709574998</v>
      </c>
      <c r="F16">
        <v>1</v>
      </c>
      <c r="G16">
        <v>28.997049323999999</v>
      </c>
      <c r="H16">
        <v>0.99157350709574998</v>
      </c>
      <c r="I16">
        <v>1</v>
      </c>
      <c r="J16">
        <v>5.0309881000000001E-2</v>
      </c>
      <c r="K16">
        <v>0.98708940583341198</v>
      </c>
      <c r="L16">
        <v>1</v>
      </c>
      <c r="M16">
        <v>16.357765452999999</v>
      </c>
      <c r="N16">
        <v>174103</v>
      </c>
      <c r="O16" s="1">
        <v>7.3015401518272598E-6</v>
      </c>
      <c r="P16" s="5">
        <v>1.0023348953431299</v>
      </c>
      <c r="Q16">
        <v>1</v>
      </c>
      <c r="R16">
        <v>27.438705962</v>
      </c>
      <c r="S16">
        <v>315</v>
      </c>
      <c r="T16" s="1">
        <v>3.8595128741845701E-6</v>
      </c>
      <c r="U16">
        <v>310</v>
      </c>
      <c r="V16" s="5">
        <v>1.00402623508938</v>
      </c>
      <c r="W16">
        <v>1</v>
      </c>
      <c r="X16">
        <v>3.0012670959999999</v>
      </c>
      <c r="Y16">
        <v>855</v>
      </c>
      <c r="Z16" s="1">
        <v>4.2337391199191001E-10</v>
      </c>
      <c r="AA16">
        <v>1</v>
      </c>
    </row>
    <row r="17" spans="1:27" x14ac:dyDescent="0.2">
      <c r="A17">
        <v>5</v>
      </c>
      <c r="B17">
        <v>1</v>
      </c>
      <c r="C17">
        <v>0.4</v>
      </c>
      <c r="D17">
        <v>20</v>
      </c>
      <c r="E17">
        <v>0.17237331208685899</v>
      </c>
      <c r="F17">
        <v>1</v>
      </c>
      <c r="G17">
        <v>29.070616222999998</v>
      </c>
      <c r="H17">
        <v>0.18529481195938199</v>
      </c>
      <c r="I17">
        <v>1</v>
      </c>
      <c r="J17">
        <v>5.0099810000000002E-2</v>
      </c>
      <c r="K17">
        <v>0.18689503299140001</v>
      </c>
      <c r="L17">
        <v>1</v>
      </c>
      <c r="M17">
        <v>4.1504910150000001</v>
      </c>
      <c r="N17">
        <v>29133</v>
      </c>
      <c r="O17">
        <v>2.25888854398004E-4</v>
      </c>
      <c r="P17" s="5">
        <v>0.147496014851899</v>
      </c>
      <c r="Q17">
        <v>1</v>
      </c>
      <c r="R17">
        <v>16.739364778999999</v>
      </c>
      <c r="S17">
        <v>1</v>
      </c>
      <c r="T17">
        <v>1.84379402941567E-4</v>
      </c>
      <c r="U17">
        <v>3</v>
      </c>
      <c r="V17" s="5">
        <v>0.15575562634544901</v>
      </c>
      <c r="W17">
        <v>1</v>
      </c>
      <c r="X17">
        <v>3.0382892629999998</v>
      </c>
      <c r="Y17">
        <v>567</v>
      </c>
      <c r="Z17" s="1">
        <v>9.0766986011181494E-5</v>
      </c>
      <c r="AA17">
        <v>1</v>
      </c>
    </row>
    <row r="18" spans="1:27" x14ac:dyDescent="0.2">
      <c r="A18">
        <v>5</v>
      </c>
      <c r="B18">
        <v>1</v>
      </c>
      <c r="C18">
        <v>0.1</v>
      </c>
      <c r="D18">
        <v>20</v>
      </c>
      <c r="E18">
        <v>0.813327500578642</v>
      </c>
      <c r="F18">
        <v>1</v>
      </c>
      <c r="G18">
        <v>35.093464763</v>
      </c>
      <c r="H18">
        <v>0.813327500578642</v>
      </c>
      <c r="I18">
        <v>1</v>
      </c>
      <c r="J18">
        <v>9.9861810999999995E-2</v>
      </c>
      <c r="K18">
        <v>0.81386485105115602</v>
      </c>
      <c r="L18">
        <v>1</v>
      </c>
      <c r="M18">
        <v>0.65147529599999998</v>
      </c>
      <c r="N18">
        <v>145</v>
      </c>
      <c r="O18" s="1">
        <v>1.8774818588696001E-8</v>
      </c>
      <c r="P18" s="5">
        <v>0.81332364374134802</v>
      </c>
      <c r="Q18">
        <v>1</v>
      </c>
      <c r="R18">
        <v>19.955653166000001</v>
      </c>
      <c r="S18">
        <v>0</v>
      </c>
      <c r="T18" s="1">
        <v>1.7347234759768E-18</v>
      </c>
      <c r="U18">
        <v>1</v>
      </c>
      <c r="V18" s="5">
        <v>0.81349349555859896</v>
      </c>
      <c r="W18">
        <v>1</v>
      </c>
      <c r="X18">
        <v>3.7413510360000002</v>
      </c>
      <c r="Y18">
        <v>1911</v>
      </c>
      <c r="Z18" s="1">
        <v>1.57532784369335E-8</v>
      </c>
      <c r="AA18">
        <v>1</v>
      </c>
    </row>
    <row r="19" spans="1:27" x14ac:dyDescent="0.2">
      <c r="A19">
        <v>5</v>
      </c>
      <c r="B19">
        <v>1</v>
      </c>
      <c r="C19">
        <v>0.4</v>
      </c>
      <c r="D19">
        <v>20</v>
      </c>
      <c r="E19">
        <v>0.80969703438586405</v>
      </c>
      <c r="F19">
        <v>1</v>
      </c>
      <c r="G19">
        <v>34.860841192999999</v>
      </c>
      <c r="H19">
        <v>0.44254383881752901</v>
      </c>
      <c r="I19">
        <v>1</v>
      </c>
      <c r="J19">
        <v>0.163323677</v>
      </c>
      <c r="K19">
        <v>0.43402723062537901</v>
      </c>
      <c r="L19">
        <v>1</v>
      </c>
      <c r="M19">
        <v>37.461479771</v>
      </c>
      <c r="N19">
        <v>279051</v>
      </c>
      <c r="O19">
        <v>1.2362057018240301E-3</v>
      </c>
      <c r="P19" s="5">
        <v>0.25393630101481901</v>
      </c>
      <c r="Q19">
        <v>1</v>
      </c>
      <c r="R19">
        <v>157.15511436899999</v>
      </c>
      <c r="S19">
        <v>4671</v>
      </c>
      <c r="T19">
        <v>8.6396291155481299E-4</v>
      </c>
      <c r="U19">
        <v>3989</v>
      </c>
      <c r="V19" s="5">
        <v>0.33485095592549902</v>
      </c>
      <c r="W19">
        <v>1</v>
      </c>
      <c r="X19">
        <v>45.723665849</v>
      </c>
      <c r="Y19">
        <v>4986</v>
      </c>
      <c r="Z19">
        <v>1.5147322513724099E-4</v>
      </c>
      <c r="AA19">
        <v>20</v>
      </c>
    </row>
    <row r="20" spans="1:27" x14ac:dyDescent="0.2">
      <c r="A20">
        <v>5</v>
      </c>
      <c r="B20">
        <v>1</v>
      </c>
      <c r="C20">
        <v>0.3</v>
      </c>
      <c r="D20">
        <v>20</v>
      </c>
      <c r="E20">
        <v>0.87284853418364905</v>
      </c>
      <c r="F20">
        <v>1</v>
      </c>
      <c r="G20">
        <v>35.189604418999998</v>
      </c>
      <c r="H20">
        <v>0.87388055336189197</v>
      </c>
      <c r="I20">
        <v>1</v>
      </c>
      <c r="J20">
        <v>6.3619773000000004E-2</v>
      </c>
      <c r="K20">
        <v>1.26322534450094</v>
      </c>
      <c r="L20">
        <v>1</v>
      </c>
      <c r="M20">
        <v>5.3475939559999999</v>
      </c>
      <c r="N20">
        <v>31425</v>
      </c>
      <c r="O20">
        <v>9.3824728590163799E-4</v>
      </c>
      <c r="P20" s="5">
        <v>1.2703388597401399</v>
      </c>
      <c r="Q20">
        <v>1</v>
      </c>
      <c r="R20">
        <v>156.10213001700001</v>
      </c>
      <c r="S20">
        <v>4400</v>
      </c>
      <c r="T20" s="1">
        <v>4.0066127887650103E-8</v>
      </c>
      <c r="U20">
        <v>4365</v>
      </c>
      <c r="V20" s="5">
        <v>1.2708109877234901</v>
      </c>
      <c r="W20">
        <v>1</v>
      </c>
      <c r="X20">
        <v>3.5568730309999999</v>
      </c>
      <c r="Y20">
        <v>375</v>
      </c>
      <c r="Z20">
        <v>2.18587124630492E-4</v>
      </c>
      <c r="AA20">
        <v>1</v>
      </c>
    </row>
    <row r="21" spans="1:27" x14ac:dyDescent="0.2">
      <c r="A21">
        <v>5</v>
      </c>
      <c r="B21">
        <v>1</v>
      </c>
      <c r="C21">
        <v>0.3</v>
      </c>
      <c r="D21">
        <v>20</v>
      </c>
      <c r="E21">
        <v>0.63195266708017295</v>
      </c>
      <c r="F21">
        <v>1</v>
      </c>
      <c r="G21">
        <v>35.046840819000003</v>
      </c>
      <c r="H21">
        <v>0.58366040059968904</v>
      </c>
      <c r="I21">
        <v>1</v>
      </c>
      <c r="J21">
        <v>0.142799859</v>
      </c>
      <c r="K21">
        <v>0.58016461263695795</v>
      </c>
      <c r="L21">
        <v>1</v>
      </c>
      <c r="M21">
        <v>7.7007595430000002</v>
      </c>
      <c r="N21">
        <v>55131</v>
      </c>
      <c r="O21">
        <v>1.1737571088366E-3</v>
      </c>
      <c r="P21" s="5">
        <v>0.58668244818993598</v>
      </c>
      <c r="Q21">
        <v>1</v>
      </c>
      <c r="R21">
        <v>56.210526444999999</v>
      </c>
      <c r="S21">
        <v>1455</v>
      </c>
      <c r="T21">
        <v>7.7815750530052497E-4</v>
      </c>
      <c r="U21">
        <v>1199</v>
      </c>
      <c r="V21" s="5">
        <v>0.54545728250515901</v>
      </c>
      <c r="W21">
        <v>1</v>
      </c>
      <c r="X21">
        <v>6.1213787369999997</v>
      </c>
      <c r="Y21">
        <v>993</v>
      </c>
      <c r="Z21">
        <v>1.0031178620965001E-3</v>
      </c>
      <c r="AA21">
        <v>7</v>
      </c>
    </row>
    <row r="22" spans="1:27" x14ac:dyDescent="0.2">
      <c r="A22">
        <v>5</v>
      </c>
      <c r="B22">
        <v>1</v>
      </c>
      <c r="C22">
        <v>0.4</v>
      </c>
      <c r="D22">
        <v>20</v>
      </c>
      <c r="E22">
        <v>0.75111347463133804</v>
      </c>
      <c r="F22">
        <v>1</v>
      </c>
      <c r="G22">
        <v>34.943136742</v>
      </c>
      <c r="H22">
        <v>0.74594688411745302</v>
      </c>
      <c r="I22">
        <v>1</v>
      </c>
      <c r="J22">
        <v>7.2142831000000004E-2</v>
      </c>
      <c r="K22">
        <v>0.75814641555732398</v>
      </c>
      <c r="L22">
        <v>1</v>
      </c>
      <c r="M22">
        <v>1.3583281330000001</v>
      </c>
      <c r="N22">
        <v>2811</v>
      </c>
      <c r="O22">
        <v>1.46747594982343E-3</v>
      </c>
      <c r="P22" s="5">
        <v>0.74557630217078896</v>
      </c>
      <c r="Q22">
        <v>1</v>
      </c>
      <c r="R22">
        <v>20.106405324000001</v>
      </c>
      <c r="S22">
        <v>1</v>
      </c>
      <c r="T22">
        <v>2.27189816529466E-3</v>
      </c>
      <c r="U22">
        <v>4</v>
      </c>
      <c r="V22" s="5">
        <v>0.74089015224300903</v>
      </c>
      <c r="W22">
        <v>1</v>
      </c>
      <c r="X22">
        <v>5.2831968710000003</v>
      </c>
      <c r="Y22">
        <v>1</v>
      </c>
      <c r="Z22">
        <v>1.8115922090876199E-2</v>
      </c>
      <c r="AA22">
        <v>2</v>
      </c>
    </row>
    <row r="23" spans="1:27" x14ac:dyDescent="0.2">
      <c r="A23">
        <v>5</v>
      </c>
      <c r="B23">
        <v>1</v>
      </c>
      <c r="C23">
        <v>0.1</v>
      </c>
      <c r="D23">
        <v>20</v>
      </c>
      <c r="E23">
        <v>0.94411849507120604</v>
      </c>
      <c r="F23">
        <v>1</v>
      </c>
      <c r="G23">
        <v>35.178938856999999</v>
      </c>
      <c r="H23">
        <v>0.94411849507124501</v>
      </c>
      <c r="I23">
        <v>1</v>
      </c>
      <c r="J23">
        <v>6.9500095999999997E-2</v>
      </c>
      <c r="K23">
        <v>0.94413198263981701</v>
      </c>
      <c r="L23">
        <v>1</v>
      </c>
      <c r="M23">
        <v>0.70882350599999999</v>
      </c>
      <c r="N23">
        <v>111</v>
      </c>
      <c r="O23" s="1">
        <v>5.2841953035454E-11</v>
      </c>
      <c r="P23" s="5">
        <v>0.94411742874287996</v>
      </c>
      <c r="Q23">
        <v>1</v>
      </c>
      <c r="R23">
        <v>20.110897358999999</v>
      </c>
      <c r="S23">
        <v>1</v>
      </c>
      <c r="T23" s="1">
        <v>1.07244549853776E-6</v>
      </c>
      <c r="U23">
        <v>2</v>
      </c>
      <c r="V23" s="5">
        <v>0.95319470200989997</v>
      </c>
      <c r="W23">
        <v>1</v>
      </c>
      <c r="X23">
        <v>3.442907833</v>
      </c>
      <c r="Y23">
        <v>170</v>
      </c>
      <c r="Z23" s="1">
        <v>1.44206808375449E-5</v>
      </c>
      <c r="AA23">
        <v>1</v>
      </c>
    </row>
    <row r="24" spans="1:27" x14ac:dyDescent="0.2">
      <c r="A24">
        <v>5</v>
      </c>
      <c r="B24">
        <v>1</v>
      </c>
      <c r="C24">
        <v>0.3</v>
      </c>
      <c r="D24">
        <v>20</v>
      </c>
      <c r="E24">
        <v>0.98476246997380201</v>
      </c>
      <c r="F24">
        <v>1</v>
      </c>
      <c r="G24">
        <v>30.612031838</v>
      </c>
      <c r="H24">
        <v>0.95854964950219101</v>
      </c>
      <c r="I24">
        <v>1</v>
      </c>
      <c r="J24">
        <v>5.2062866999999999E-2</v>
      </c>
      <c r="K24">
        <v>0.95905835741410494</v>
      </c>
      <c r="L24">
        <v>1</v>
      </c>
      <c r="M24">
        <v>430.32690871099999</v>
      </c>
      <c r="N24">
        <v>3130254</v>
      </c>
      <c r="O24" s="1">
        <v>6.0806457441525597E-5</v>
      </c>
      <c r="P24" s="5">
        <v>0.98506926864614897</v>
      </c>
      <c r="Q24">
        <v>1</v>
      </c>
      <c r="R24">
        <v>117.356284071</v>
      </c>
      <c r="S24">
        <v>2450</v>
      </c>
      <c r="T24" s="1">
        <v>2.1883871171959099E-5</v>
      </c>
      <c r="U24">
        <v>2301</v>
      </c>
      <c r="V24" s="5">
        <v>0.95059819839549198</v>
      </c>
      <c r="W24">
        <v>1</v>
      </c>
      <c r="X24">
        <v>3.3519345</v>
      </c>
      <c r="Y24">
        <v>567</v>
      </c>
      <c r="Z24" s="1">
        <v>2.6820611568584698E-5</v>
      </c>
      <c r="AA24">
        <v>1</v>
      </c>
    </row>
    <row r="25" spans="1:27" x14ac:dyDescent="0.2">
      <c r="A25">
        <v>5</v>
      </c>
      <c r="B25">
        <v>1</v>
      </c>
      <c r="C25">
        <v>0.3</v>
      </c>
      <c r="D25">
        <v>20</v>
      </c>
      <c r="E25">
        <v>0.344585909651769</v>
      </c>
      <c r="F25">
        <v>1</v>
      </c>
      <c r="G25">
        <v>34.850285745000001</v>
      </c>
      <c r="H25">
        <v>0.25174415931091698</v>
      </c>
      <c r="I25">
        <v>1</v>
      </c>
      <c r="J25">
        <v>7.1405502999999995E-2</v>
      </c>
      <c r="K25">
        <v>0.25137265749042098</v>
      </c>
      <c r="L25">
        <v>1</v>
      </c>
      <c r="M25">
        <v>15.061804006999999</v>
      </c>
      <c r="N25">
        <v>141884</v>
      </c>
      <c r="O25">
        <v>1.1459927984525099E-4</v>
      </c>
      <c r="P25" s="5">
        <v>0.42010491840006198</v>
      </c>
      <c r="Q25">
        <v>1</v>
      </c>
      <c r="R25">
        <v>47.530743053000002</v>
      </c>
      <c r="S25">
        <v>1007</v>
      </c>
      <c r="T25" s="1">
        <v>2.91278192255089E-5</v>
      </c>
      <c r="U25">
        <v>871</v>
      </c>
      <c r="V25" s="5">
        <v>0.36825495920090301</v>
      </c>
      <c r="W25">
        <v>1</v>
      </c>
      <c r="X25">
        <v>3.594999842</v>
      </c>
      <c r="Y25">
        <v>999</v>
      </c>
      <c r="Z25" s="1">
        <v>3.06104854344412E-5</v>
      </c>
      <c r="AA25">
        <v>1</v>
      </c>
    </row>
    <row r="26" spans="1:27" x14ac:dyDescent="0.2">
      <c r="A26">
        <v>5</v>
      </c>
      <c r="B26">
        <v>1</v>
      </c>
      <c r="C26">
        <v>0.1</v>
      </c>
      <c r="D26">
        <v>20</v>
      </c>
      <c r="E26">
        <v>0.95047604119344598</v>
      </c>
      <c r="F26">
        <v>1</v>
      </c>
      <c r="G26">
        <v>30.469091141</v>
      </c>
      <c r="H26">
        <v>0.95047604119344598</v>
      </c>
      <c r="I26">
        <v>1</v>
      </c>
      <c r="J26">
        <v>5.3962062999999998E-2</v>
      </c>
      <c r="K26">
        <v>0.96171500811922195</v>
      </c>
      <c r="L26">
        <v>1</v>
      </c>
      <c r="M26">
        <v>17.332855130999999</v>
      </c>
      <c r="N26">
        <v>131843</v>
      </c>
      <c r="O26" s="1">
        <v>7.1243499987494404E-6</v>
      </c>
      <c r="P26" s="5">
        <v>0.95890903373418701</v>
      </c>
      <c r="Q26">
        <v>1</v>
      </c>
      <c r="R26">
        <v>36.110999038999999</v>
      </c>
      <c r="S26">
        <v>531</v>
      </c>
      <c r="T26" s="1">
        <v>3.13498196665828E-7</v>
      </c>
      <c r="U26">
        <v>532</v>
      </c>
      <c r="V26" s="5">
        <v>0.93670698537086905</v>
      </c>
      <c r="W26">
        <v>1</v>
      </c>
      <c r="X26">
        <v>3.022434015</v>
      </c>
      <c r="Y26">
        <v>387</v>
      </c>
      <c r="Z26" s="1">
        <v>6.4669923664047603E-6</v>
      </c>
      <c r="AA26">
        <v>1</v>
      </c>
    </row>
    <row r="27" spans="1:27" x14ac:dyDescent="0.2">
      <c r="A27">
        <v>5</v>
      </c>
      <c r="B27">
        <v>1</v>
      </c>
      <c r="C27">
        <v>0.4</v>
      </c>
      <c r="D27">
        <v>20</v>
      </c>
      <c r="E27">
        <v>0.55152764567231005</v>
      </c>
      <c r="F27">
        <v>1</v>
      </c>
      <c r="G27">
        <v>30.533381940000002</v>
      </c>
      <c r="H27">
        <v>0.55325958483391202</v>
      </c>
      <c r="I27">
        <v>1</v>
      </c>
      <c r="J27">
        <v>6.4277450999999999E-2</v>
      </c>
      <c r="K27">
        <v>0.55325811712358597</v>
      </c>
      <c r="L27">
        <v>1</v>
      </c>
      <c r="M27">
        <v>2.2988326350000001</v>
      </c>
      <c r="N27">
        <v>8496</v>
      </c>
      <c r="O27">
        <v>1.4517343224778E-3</v>
      </c>
      <c r="P27" s="5">
        <v>0.54878061601346295</v>
      </c>
      <c r="Q27">
        <v>1</v>
      </c>
      <c r="R27">
        <v>17.931906567999999</v>
      </c>
      <c r="S27">
        <v>1</v>
      </c>
      <c r="T27">
        <v>8.6823214442799303E-4</v>
      </c>
      <c r="U27">
        <v>2</v>
      </c>
      <c r="V27" s="5">
        <v>0.54827337666922005</v>
      </c>
      <c r="W27">
        <v>1</v>
      </c>
      <c r="X27">
        <v>3.270554846</v>
      </c>
      <c r="Y27">
        <v>471</v>
      </c>
      <c r="Z27">
        <v>4.54172380715628E-4</v>
      </c>
      <c r="AA27">
        <v>1</v>
      </c>
    </row>
    <row r="28" spans="1:27" x14ac:dyDescent="0.2">
      <c r="A28">
        <v>5</v>
      </c>
      <c r="B28">
        <v>1</v>
      </c>
      <c r="C28">
        <v>0.3</v>
      </c>
      <c r="D28">
        <v>20</v>
      </c>
      <c r="E28">
        <v>0.75645437043203201</v>
      </c>
      <c r="F28">
        <v>1</v>
      </c>
      <c r="G28">
        <v>43.595513117000003</v>
      </c>
      <c r="H28">
        <v>0.75645978962736304</v>
      </c>
      <c r="I28">
        <v>1</v>
      </c>
      <c r="J28">
        <v>7.9337705999999994E-2</v>
      </c>
      <c r="K28">
        <v>1.2905612766910499</v>
      </c>
      <c r="L28">
        <v>1</v>
      </c>
      <c r="M28">
        <v>45.292485319000001</v>
      </c>
      <c r="N28">
        <v>132964</v>
      </c>
      <c r="O28">
        <v>3.0650826585425501E-3</v>
      </c>
      <c r="P28" s="5">
        <v>1.2986133756860601</v>
      </c>
      <c r="Q28">
        <v>1</v>
      </c>
      <c r="R28">
        <v>132.004227208</v>
      </c>
      <c r="S28">
        <v>2111</v>
      </c>
      <c r="T28">
        <v>6.7441872663792602E-4</v>
      </c>
      <c r="U28">
        <v>2100</v>
      </c>
      <c r="V28" s="5">
        <v>1.3014308968220301</v>
      </c>
      <c r="W28">
        <v>1</v>
      </c>
      <c r="X28">
        <v>5.1349423029999999</v>
      </c>
      <c r="Y28">
        <v>1887</v>
      </c>
      <c r="Z28" s="1">
        <v>3.2281110590170998E-7</v>
      </c>
      <c r="AA28">
        <v>1</v>
      </c>
    </row>
    <row r="29" spans="1:27" x14ac:dyDescent="0.2">
      <c r="A29">
        <v>5</v>
      </c>
      <c r="B29">
        <v>1</v>
      </c>
      <c r="C29">
        <v>0.4</v>
      </c>
      <c r="D29">
        <v>20</v>
      </c>
      <c r="E29">
        <v>7.6884420330793193E-2</v>
      </c>
      <c r="F29">
        <v>1</v>
      </c>
      <c r="G29">
        <v>30.474950844999999</v>
      </c>
      <c r="H29">
        <v>8.12906734133967E-2</v>
      </c>
      <c r="I29">
        <v>1</v>
      </c>
      <c r="J29">
        <v>6.1771900999999997E-2</v>
      </c>
      <c r="K29">
        <v>8.0654183635708795E-2</v>
      </c>
      <c r="L29">
        <v>1</v>
      </c>
      <c r="M29">
        <v>11.039257284</v>
      </c>
      <c r="N29">
        <v>37462</v>
      </c>
      <c r="O29">
        <v>1.05687650241792E-3</v>
      </c>
      <c r="P29" s="5">
        <v>5.5879387782351402E-2</v>
      </c>
      <c r="Q29">
        <v>1</v>
      </c>
      <c r="R29">
        <v>19.508955741000001</v>
      </c>
      <c r="S29">
        <v>1</v>
      </c>
      <c r="T29">
        <v>9.7700552783985795E-4</v>
      </c>
      <c r="U29">
        <v>2</v>
      </c>
      <c r="V29" s="5">
        <v>6.6145776247188898E-2</v>
      </c>
      <c r="W29">
        <v>1</v>
      </c>
      <c r="X29">
        <v>3.5359508769999999</v>
      </c>
      <c r="Y29">
        <v>471</v>
      </c>
      <c r="Z29" s="1">
        <v>5.4104564687698601E-5</v>
      </c>
      <c r="AA29">
        <v>1</v>
      </c>
    </row>
    <row r="30" spans="1:27" x14ac:dyDescent="0.2">
      <c r="A30">
        <v>5</v>
      </c>
      <c r="B30">
        <v>1</v>
      </c>
      <c r="C30">
        <v>0.1</v>
      </c>
      <c r="D30">
        <v>20</v>
      </c>
      <c r="E30">
        <v>0.98010621605570003</v>
      </c>
      <c r="F30">
        <v>1</v>
      </c>
      <c r="G30">
        <v>29.33385994</v>
      </c>
      <c r="H30">
        <v>0.98010621605570003</v>
      </c>
      <c r="I30">
        <v>1</v>
      </c>
      <c r="J30">
        <v>5.0776653999999997E-2</v>
      </c>
      <c r="K30">
        <v>0.98240981034578401</v>
      </c>
      <c r="L30">
        <v>1</v>
      </c>
      <c r="M30">
        <v>5.721353422</v>
      </c>
      <c r="N30">
        <v>66054</v>
      </c>
      <c r="O30" s="1">
        <v>1.64368944687298E-5</v>
      </c>
      <c r="P30" s="5">
        <v>0.98291174746005705</v>
      </c>
      <c r="Q30">
        <v>1</v>
      </c>
      <c r="R30">
        <v>29.410416571999999</v>
      </c>
      <c r="S30">
        <v>377</v>
      </c>
      <c r="T30" s="1">
        <v>5.7043613837072799E-7</v>
      </c>
      <c r="U30">
        <v>380</v>
      </c>
      <c r="V30" s="5">
        <v>0.98346683221484099</v>
      </c>
      <c r="W30">
        <v>1</v>
      </c>
      <c r="X30">
        <v>2.963403655</v>
      </c>
      <c r="Y30">
        <v>687</v>
      </c>
      <c r="Z30" s="1">
        <v>1.1342294601209E-6</v>
      </c>
      <c r="AA30">
        <v>1</v>
      </c>
    </row>
    <row r="31" spans="1:27" x14ac:dyDescent="0.2">
      <c r="A31">
        <v>5</v>
      </c>
      <c r="B31">
        <v>1</v>
      </c>
      <c r="C31">
        <v>0.1</v>
      </c>
      <c r="D31">
        <v>20</v>
      </c>
      <c r="E31">
        <v>0.991851778175451</v>
      </c>
      <c r="F31">
        <v>1</v>
      </c>
      <c r="G31">
        <v>34.914784347000001</v>
      </c>
      <c r="H31">
        <v>0.991851778175451</v>
      </c>
      <c r="I31">
        <v>1</v>
      </c>
      <c r="J31">
        <v>6.6521757000000001E-2</v>
      </c>
      <c r="K31">
        <v>0.94178198321930895</v>
      </c>
      <c r="L31">
        <v>1</v>
      </c>
      <c r="M31">
        <v>7.6747702929999999</v>
      </c>
      <c r="N31">
        <v>66103</v>
      </c>
      <c r="O31" s="1">
        <v>3.4733784013918302E-5</v>
      </c>
      <c r="P31" s="5">
        <v>0.94179175840192497</v>
      </c>
      <c r="Q31">
        <v>1</v>
      </c>
      <c r="R31">
        <v>26.065713025000001</v>
      </c>
      <c r="S31">
        <v>171</v>
      </c>
      <c r="T31" s="1">
        <v>3.4459771660671698E-6</v>
      </c>
      <c r="U31">
        <v>177</v>
      </c>
      <c r="V31" s="5">
        <v>1.0552799010407901</v>
      </c>
      <c r="W31">
        <v>1</v>
      </c>
      <c r="X31">
        <v>3.621885029</v>
      </c>
      <c r="Y31">
        <v>531</v>
      </c>
      <c r="Z31">
        <v>0</v>
      </c>
      <c r="AA31">
        <v>1</v>
      </c>
    </row>
    <row r="32" spans="1:27" x14ac:dyDescent="0.2">
      <c r="A32">
        <v>5</v>
      </c>
      <c r="B32">
        <v>1</v>
      </c>
      <c r="C32">
        <v>0.2</v>
      </c>
      <c r="D32">
        <v>20</v>
      </c>
      <c r="E32">
        <v>0.96853021525026795</v>
      </c>
      <c r="F32">
        <v>1</v>
      </c>
      <c r="G32">
        <v>34.866680715999998</v>
      </c>
      <c r="H32">
        <v>0.968530218436083</v>
      </c>
      <c r="I32">
        <v>1</v>
      </c>
      <c r="J32">
        <v>6.1075364E-2</v>
      </c>
      <c r="K32">
        <v>1.0225195182826201</v>
      </c>
      <c r="L32">
        <v>1</v>
      </c>
      <c r="M32">
        <v>7.8038504690000003</v>
      </c>
      <c r="N32">
        <v>57127</v>
      </c>
      <c r="O32">
        <v>1.99207972488402E-4</v>
      </c>
      <c r="P32" s="5">
        <v>1.0241732165730899</v>
      </c>
      <c r="Q32">
        <v>1</v>
      </c>
      <c r="R32">
        <v>61.635171630000002</v>
      </c>
      <c r="S32">
        <v>1335</v>
      </c>
      <c r="T32" s="1">
        <v>1.51376054892404E-7</v>
      </c>
      <c r="U32">
        <v>1323</v>
      </c>
      <c r="V32" s="5">
        <v>1.0245706598393101</v>
      </c>
      <c r="W32">
        <v>1</v>
      </c>
      <c r="X32">
        <v>3.4435267020000002</v>
      </c>
      <c r="Y32">
        <v>387</v>
      </c>
      <c r="Z32" s="1">
        <v>9.4162205964139906E-5</v>
      </c>
      <c r="AA32">
        <v>1</v>
      </c>
    </row>
    <row r="33" spans="1:27" x14ac:dyDescent="0.2">
      <c r="A33">
        <v>5</v>
      </c>
      <c r="B33">
        <v>1</v>
      </c>
      <c r="C33">
        <v>0.3</v>
      </c>
      <c r="D33">
        <v>20</v>
      </c>
      <c r="E33">
        <v>0.83384717139499698</v>
      </c>
      <c r="F33">
        <v>1</v>
      </c>
      <c r="G33">
        <v>34.833921969000002</v>
      </c>
      <c r="H33">
        <v>0.768602820131568</v>
      </c>
      <c r="I33">
        <v>1</v>
      </c>
      <c r="J33">
        <v>0.114996484</v>
      </c>
      <c r="K33">
        <v>0.42941077288462198</v>
      </c>
      <c r="L33">
        <v>1</v>
      </c>
      <c r="M33">
        <v>28.642491991</v>
      </c>
      <c r="N33">
        <v>77563</v>
      </c>
      <c r="O33">
        <v>3.7193095710499301E-3</v>
      </c>
      <c r="P33" s="5">
        <v>1.1557167809754501</v>
      </c>
      <c r="Q33">
        <v>1</v>
      </c>
      <c r="R33">
        <v>79.500021814999997</v>
      </c>
      <c r="S33">
        <v>1836</v>
      </c>
      <c r="T33">
        <v>3.2766938796260298E-3</v>
      </c>
      <c r="U33">
        <v>1762</v>
      </c>
      <c r="V33" s="5">
        <v>1.17779722740267</v>
      </c>
      <c r="W33">
        <v>1</v>
      </c>
      <c r="X33">
        <v>27.841642737000001</v>
      </c>
      <c r="Y33">
        <v>8211</v>
      </c>
      <c r="Z33" s="1">
        <v>1.3307260897654699E-6</v>
      </c>
      <c r="AA33">
        <v>17</v>
      </c>
    </row>
    <row r="34" spans="1:27" x14ac:dyDescent="0.2">
      <c r="A34">
        <v>5</v>
      </c>
      <c r="B34">
        <v>1</v>
      </c>
      <c r="C34">
        <v>0.3</v>
      </c>
      <c r="D34">
        <v>20</v>
      </c>
      <c r="E34">
        <v>0.80325658192113503</v>
      </c>
      <c r="F34">
        <v>1</v>
      </c>
      <c r="G34">
        <v>29.007308145</v>
      </c>
      <c r="H34">
        <v>0.81583255037330504</v>
      </c>
      <c r="I34">
        <v>1</v>
      </c>
      <c r="J34">
        <v>6.9080542999999994E-2</v>
      </c>
      <c r="K34">
        <v>0.83304993618332601</v>
      </c>
      <c r="L34">
        <v>1</v>
      </c>
      <c r="M34">
        <v>14.889852794999999</v>
      </c>
      <c r="N34">
        <v>119032</v>
      </c>
      <c r="O34">
        <v>2.61317257079229E-4</v>
      </c>
      <c r="P34" s="5">
        <v>1.13206780005689</v>
      </c>
      <c r="Q34">
        <v>1</v>
      </c>
      <c r="R34">
        <v>49.209385697000002</v>
      </c>
      <c r="S34">
        <v>1094</v>
      </c>
      <c r="T34">
        <v>2.43266708072741E-4</v>
      </c>
      <c r="U34">
        <v>1038</v>
      </c>
      <c r="V34" s="5">
        <v>1.12912479556788</v>
      </c>
      <c r="W34">
        <v>1</v>
      </c>
      <c r="X34">
        <v>3.35589776</v>
      </c>
      <c r="Y34">
        <v>1479</v>
      </c>
      <c r="Z34" s="1">
        <v>4.9401408873384004E-7</v>
      </c>
      <c r="AA34">
        <v>1</v>
      </c>
    </row>
    <row r="35" spans="1:27" x14ac:dyDescent="0.2">
      <c r="A35">
        <v>5</v>
      </c>
      <c r="B35">
        <v>1</v>
      </c>
      <c r="C35">
        <v>0.1</v>
      </c>
      <c r="D35">
        <v>20</v>
      </c>
      <c r="E35">
        <v>0.75251787811917004</v>
      </c>
      <c r="F35">
        <v>1</v>
      </c>
      <c r="G35">
        <v>35.047803776000002</v>
      </c>
      <c r="H35">
        <v>0.75251787811917004</v>
      </c>
      <c r="I35">
        <v>1</v>
      </c>
      <c r="J35">
        <v>6.1947123E-2</v>
      </c>
      <c r="K35">
        <v>0.93883664126685096</v>
      </c>
      <c r="L35">
        <v>1</v>
      </c>
      <c r="M35">
        <v>0.73749164599999995</v>
      </c>
      <c r="N35">
        <v>1137</v>
      </c>
      <c r="O35">
        <v>2.92661623662482E-4</v>
      </c>
      <c r="P35" s="5">
        <v>0.67267146439578696</v>
      </c>
      <c r="Q35">
        <v>1</v>
      </c>
      <c r="R35">
        <v>74.757166725999994</v>
      </c>
      <c r="S35">
        <v>2147</v>
      </c>
      <c r="T35">
        <v>3.58091140503988E-4</v>
      </c>
      <c r="U35">
        <v>2132</v>
      </c>
      <c r="V35" s="5">
        <v>0.66026500478142003</v>
      </c>
      <c r="W35">
        <v>1</v>
      </c>
      <c r="X35">
        <v>3.5205542840000001</v>
      </c>
      <c r="Y35">
        <v>783</v>
      </c>
      <c r="Z35" s="1">
        <v>1.66555752641184E-5</v>
      </c>
      <c r="AA35">
        <v>1</v>
      </c>
    </row>
    <row r="36" spans="1:27" x14ac:dyDescent="0.2">
      <c r="A36">
        <v>5</v>
      </c>
      <c r="B36">
        <v>1</v>
      </c>
      <c r="C36">
        <v>0.4</v>
      </c>
      <c r="D36">
        <v>20</v>
      </c>
      <c r="E36">
        <v>0.65864075821105195</v>
      </c>
      <c r="F36">
        <v>1</v>
      </c>
      <c r="G36">
        <v>30.554869750000002</v>
      </c>
      <c r="H36">
        <v>0.48932365023408397</v>
      </c>
      <c r="I36">
        <v>1</v>
      </c>
      <c r="J36">
        <v>0.109507479</v>
      </c>
      <c r="K36">
        <v>0.465862212472203</v>
      </c>
      <c r="L36">
        <v>1</v>
      </c>
      <c r="M36">
        <v>78.060494887000004</v>
      </c>
      <c r="N36">
        <v>514675</v>
      </c>
      <c r="O36">
        <v>2.69760974623056E-4</v>
      </c>
      <c r="P36" s="5">
        <v>0.437673589420911</v>
      </c>
      <c r="Q36">
        <v>1</v>
      </c>
      <c r="R36">
        <v>66.127791463999998</v>
      </c>
      <c r="S36">
        <v>1994</v>
      </c>
      <c r="T36">
        <v>2.5838455683170202E-4</v>
      </c>
      <c r="U36">
        <v>1627</v>
      </c>
      <c r="V36" s="5">
        <v>0.44024487588372602</v>
      </c>
      <c r="W36">
        <v>1</v>
      </c>
      <c r="X36">
        <v>4.0659107729999997</v>
      </c>
      <c r="Y36">
        <v>1195</v>
      </c>
      <c r="Z36">
        <v>2.5152964454030601E-4</v>
      </c>
      <c r="AA36">
        <v>1</v>
      </c>
    </row>
    <row r="37" spans="1:27" x14ac:dyDescent="0.2">
      <c r="A37">
        <v>5</v>
      </c>
      <c r="B37">
        <v>1</v>
      </c>
      <c r="C37">
        <v>0.2</v>
      </c>
      <c r="D37">
        <v>20</v>
      </c>
      <c r="E37">
        <v>0.76986969284822604</v>
      </c>
      <c r="F37">
        <v>1</v>
      </c>
      <c r="G37">
        <v>35.073370986</v>
      </c>
      <c r="H37">
        <v>0.76986969284822604</v>
      </c>
      <c r="I37">
        <v>1</v>
      </c>
      <c r="J37">
        <v>6.1031539000000003E-2</v>
      </c>
      <c r="K37">
        <v>1.13424210379958</v>
      </c>
      <c r="L37">
        <v>1</v>
      </c>
      <c r="M37">
        <v>27.053438903</v>
      </c>
      <c r="N37">
        <v>242183</v>
      </c>
      <c r="O37">
        <v>2.90298353790241E-4</v>
      </c>
      <c r="P37" s="5">
        <v>1.11905084699222</v>
      </c>
      <c r="Q37">
        <v>1</v>
      </c>
      <c r="R37">
        <v>58.155281682999998</v>
      </c>
      <c r="S37">
        <v>1239</v>
      </c>
      <c r="T37" s="1">
        <v>3.4666797942180199E-6</v>
      </c>
      <c r="U37">
        <v>1250</v>
      </c>
      <c r="V37" s="5">
        <v>1.11513091815448</v>
      </c>
      <c r="W37">
        <v>1</v>
      </c>
      <c r="X37">
        <v>3.4208603540000002</v>
      </c>
      <c r="Y37">
        <v>1251</v>
      </c>
      <c r="Z37" s="1">
        <v>9.3030876366743902E-6</v>
      </c>
      <c r="AA37">
        <v>1</v>
      </c>
    </row>
    <row r="38" spans="1:27" x14ac:dyDescent="0.2">
      <c r="A38">
        <v>5</v>
      </c>
      <c r="B38">
        <v>1</v>
      </c>
      <c r="C38">
        <v>0.4</v>
      </c>
      <c r="D38">
        <v>20</v>
      </c>
      <c r="E38">
        <v>9.2366992101494794E-2</v>
      </c>
      <c r="F38">
        <v>1</v>
      </c>
      <c r="G38">
        <v>28.997914264999999</v>
      </c>
      <c r="H38">
        <v>7.7776339777389999E-2</v>
      </c>
      <c r="I38">
        <v>1</v>
      </c>
      <c r="J38">
        <v>7.8759638000000007E-2</v>
      </c>
      <c r="K38">
        <v>7.6438455443787898E-2</v>
      </c>
      <c r="L38">
        <v>1</v>
      </c>
      <c r="M38">
        <v>5.3434719800000003</v>
      </c>
      <c r="N38">
        <v>30910</v>
      </c>
      <c r="O38">
        <v>9.22718851258164E-4</v>
      </c>
      <c r="P38" s="5">
        <v>6.3690599843847104E-2</v>
      </c>
      <c r="Q38">
        <v>1</v>
      </c>
      <c r="R38">
        <v>17.039254653</v>
      </c>
      <c r="S38">
        <v>1</v>
      </c>
      <c r="T38">
        <v>7.70909634513011E-4</v>
      </c>
      <c r="U38">
        <v>3</v>
      </c>
      <c r="V38" s="5">
        <v>4.3624454044464203E-2</v>
      </c>
      <c r="W38">
        <v>1</v>
      </c>
      <c r="X38">
        <v>3.4865012750000002</v>
      </c>
      <c r="Y38">
        <v>1261</v>
      </c>
      <c r="Z38">
        <v>2.16036856116416E-4</v>
      </c>
      <c r="AA38">
        <v>1</v>
      </c>
    </row>
    <row r="39" spans="1:27" x14ac:dyDescent="0.2">
      <c r="A39">
        <v>5</v>
      </c>
      <c r="B39">
        <v>1</v>
      </c>
      <c r="C39">
        <v>0.1</v>
      </c>
      <c r="D39">
        <v>20</v>
      </c>
      <c r="E39">
        <v>0.98555919222458399</v>
      </c>
      <c r="F39">
        <v>1</v>
      </c>
      <c r="G39">
        <v>35.067932781000003</v>
      </c>
      <c r="H39">
        <v>0.98555919222457899</v>
      </c>
      <c r="I39">
        <v>1</v>
      </c>
      <c r="J39">
        <v>6.1417418000000001E-2</v>
      </c>
      <c r="K39">
        <v>0.98555954046779004</v>
      </c>
      <c r="L39">
        <v>1</v>
      </c>
      <c r="M39">
        <v>0.68391502299999996</v>
      </c>
      <c r="N39">
        <v>111</v>
      </c>
      <c r="O39" s="1">
        <v>2.43610299063834E-6</v>
      </c>
      <c r="P39" s="5">
        <v>0.98555892262574596</v>
      </c>
      <c r="Q39">
        <v>1</v>
      </c>
      <c r="R39">
        <v>20.102206586000001</v>
      </c>
      <c r="S39">
        <v>0</v>
      </c>
      <c r="T39" s="1">
        <v>4.33680868994201E-19</v>
      </c>
      <c r="U39">
        <v>1</v>
      </c>
      <c r="V39" s="5">
        <v>0.98745982665865495</v>
      </c>
      <c r="W39">
        <v>1</v>
      </c>
      <c r="X39">
        <v>3.371347573</v>
      </c>
      <c r="Y39">
        <v>471</v>
      </c>
      <c r="Z39" s="1">
        <v>1.32417960919534E-5</v>
      </c>
      <c r="AA39">
        <v>1</v>
      </c>
    </row>
    <row r="40" spans="1:27" x14ac:dyDescent="0.2">
      <c r="A40">
        <v>5</v>
      </c>
      <c r="B40">
        <v>1</v>
      </c>
      <c r="C40">
        <v>0.2</v>
      </c>
      <c r="D40">
        <v>20</v>
      </c>
      <c r="E40">
        <v>0.98041303043777905</v>
      </c>
      <c r="F40">
        <v>1</v>
      </c>
      <c r="G40">
        <v>34.877463093999999</v>
      </c>
      <c r="H40">
        <v>0.98041303043778005</v>
      </c>
      <c r="I40">
        <v>1</v>
      </c>
      <c r="J40">
        <v>6.1044703999999998E-2</v>
      </c>
      <c r="K40">
        <v>0.97126459619989503</v>
      </c>
      <c r="L40">
        <v>1</v>
      </c>
      <c r="M40">
        <v>333.12444216</v>
      </c>
      <c r="N40">
        <v>3195841</v>
      </c>
      <c r="O40" s="1">
        <v>2.4935732026248799E-5</v>
      </c>
      <c r="P40" s="5">
        <v>0.99676136869179399</v>
      </c>
      <c r="Q40">
        <v>1</v>
      </c>
      <c r="R40">
        <v>80.525813392000003</v>
      </c>
      <c r="S40">
        <v>2153</v>
      </c>
      <c r="T40" s="1">
        <v>1.6962886986326101E-5</v>
      </c>
      <c r="U40">
        <v>2144</v>
      </c>
      <c r="V40" s="5">
        <v>0.99834530076514405</v>
      </c>
      <c r="W40">
        <v>1</v>
      </c>
      <c r="X40">
        <v>3.4976446120000002</v>
      </c>
      <c r="Y40">
        <v>531</v>
      </c>
      <c r="Z40" s="1">
        <v>5.5904236546423698E-6</v>
      </c>
      <c r="AA40">
        <v>1</v>
      </c>
    </row>
    <row r="41" spans="1:27" x14ac:dyDescent="0.2">
      <c r="A41">
        <v>5</v>
      </c>
      <c r="B41">
        <v>1</v>
      </c>
      <c r="C41">
        <v>0.2</v>
      </c>
      <c r="D41">
        <v>20</v>
      </c>
      <c r="E41">
        <v>0.94437669246932698</v>
      </c>
      <c r="F41">
        <v>1</v>
      </c>
      <c r="G41">
        <v>35.362233258000003</v>
      </c>
      <c r="H41">
        <v>0.94437985473107999</v>
      </c>
      <c r="I41">
        <v>1</v>
      </c>
      <c r="J41">
        <v>6.2160464999999998E-2</v>
      </c>
      <c r="K41">
        <v>0.94437833752243205</v>
      </c>
      <c r="L41">
        <v>1</v>
      </c>
      <c r="M41">
        <v>6.0732162250000004</v>
      </c>
      <c r="N41">
        <v>52102</v>
      </c>
      <c r="O41" s="1">
        <v>8.4273393816947095E-6</v>
      </c>
      <c r="P41" s="5">
        <v>0.94436192755027304</v>
      </c>
      <c r="Q41">
        <v>1</v>
      </c>
      <c r="R41">
        <v>20.306581510000001</v>
      </c>
      <c r="S41">
        <v>0</v>
      </c>
      <c r="T41" s="1">
        <v>5.0048572582542597E-6</v>
      </c>
      <c r="U41">
        <v>1</v>
      </c>
      <c r="V41" s="5">
        <v>0.93915577895185298</v>
      </c>
      <c r="W41">
        <v>1</v>
      </c>
      <c r="X41">
        <v>3.491305095</v>
      </c>
      <c r="Y41">
        <v>255</v>
      </c>
      <c r="Z41" s="1">
        <v>6.4732042816470399E-6</v>
      </c>
      <c r="AA41">
        <v>1</v>
      </c>
    </row>
    <row r="42" spans="1:27" x14ac:dyDescent="0.2">
      <c r="A42">
        <v>5</v>
      </c>
      <c r="B42">
        <v>1</v>
      </c>
      <c r="C42">
        <v>0.1</v>
      </c>
      <c r="D42">
        <v>20</v>
      </c>
      <c r="E42">
        <v>0.99157350709574998</v>
      </c>
      <c r="F42">
        <v>1</v>
      </c>
      <c r="G42">
        <v>28.997049323999999</v>
      </c>
      <c r="H42">
        <v>0.99157350709574998</v>
      </c>
      <c r="I42">
        <v>1</v>
      </c>
      <c r="J42">
        <v>5.0309881000000001E-2</v>
      </c>
      <c r="K42">
        <v>0.98708940583341198</v>
      </c>
      <c r="L42">
        <v>1</v>
      </c>
      <c r="M42">
        <v>16.357765452999999</v>
      </c>
      <c r="N42">
        <v>174103</v>
      </c>
      <c r="O42" s="1">
        <v>7.3015401518272598E-6</v>
      </c>
      <c r="P42" s="5">
        <v>1.0023348953431299</v>
      </c>
      <c r="Q42">
        <v>1</v>
      </c>
      <c r="R42">
        <v>27.438705962</v>
      </c>
      <c r="S42">
        <v>315</v>
      </c>
      <c r="T42" s="1">
        <v>3.8595128741845701E-6</v>
      </c>
      <c r="U42">
        <v>310</v>
      </c>
      <c r="V42" s="5">
        <v>1.00402623508938</v>
      </c>
      <c r="W42">
        <v>1</v>
      </c>
      <c r="X42">
        <v>3.0012670959999999</v>
      </c>
      <c r="Y42">
        <v>855</v>
      </c>
      <c r="Z42" s="1">
        <v>4.2337391199191001E-10</v>
      </c>
      <c r="AA42">
        <v>1</v>
      </c>
    </row>
    <row r="43" spans="1:27" x14ac:dyDescent="0.2">
      <c r="A43">
        <v>5</v>
      </c>
      <c r="B43">
        <v>1</v>
      </c>
      <c r="C43">
        <v>0.4</v>
      </c>
      <c r="D43">
        <v>20</v>
      </c>
      <c r="E43">
        <v>0.17237331208685899</v>
      </c>
      <c r="F43">
        <v>1</v>
      </c>
      <c r="G43">
        <v>29.070616222999998</v>
      </c>
      <c r="H43">
        <v>0.18529481195938199</v>
      </c>
      <c r="I43">
        <v>1</v>
      </c>
      <c r="J43">
        <v>5.0099810000000002E-2</v>
      </c>
      <c r="K43">
        <v>0.18689503299140001</v>
      </c>
      <c r="L43">
        <v>1</v>
      </c>
      <c r="M43">
        <v>4.1504910150000001</v>
      </c>
      <c r="N43">
        <v>29133</v>
      </c>
      <c r="O43">
        <v>2.25888854398004E-4</v>
      </c>
      <c r="P43" s="5">
        <v>0.147496014851899</v>
      </c>
      <c r="Q43">
        <v>1</v>
      </c>
      <c r="R43">
        <v>16.739364778999999</v>
      </c>
      <c r="S43">
        <v>1</v>
      </c>
      <c r="T43">
        <v>1.84379402941567E-4</v>
      </c>
      <c r="U43">
        <v>3</v>
      </c>
      <c r="V43" s="5">
        <v>0.15575562634544901</v>
      </c>
      <c r="W43">
        <v>1</v>
      </c>
      <c r="X43">
        <v>3.0382892629999998</v>
      </c>
      <c r="Y43">
        <v>567</v>
      </c>
      <c r="Z43" s="1">
        <v>9.0766986011181494E-5</v>
      </c>
      <c r="AA43">
        <v>1</v>
      </c>
    </row>
    <row r="44" spans="1:27" x14ac:dyDescent="0.2">
      <c r="A44">
        <v>5</v>
      </c>
      <c r="B44">
        <v>1</v>
      </c>
      <c r="C44">
        <v>0.1</v>
      </c>
      <c r="D44">
        <v>20</v>
      </c>
      <c r="E44">
        <v>0.813327500578642</v>
      </c>
      <c r="F44">
        <v>1</v>
      </c>
      <c r="G44">
        <v>35.093464763</v>
      </c>
      <c r="H44">
        <v>0.813327500578642</v>
      </c>
      <c r="I44">
        <v>1</v>
      </c>
      <c r="J44">
        <v>9.9861810999999995E-2</v>
      </c>
      <c r="K44">
        <v>0.81386485105115602</v>
      </c>
      <c r="L44">
        <v>1</v>
      </c>
      <c r="M44">
        <v>0.65147529599999998</v>
      </c>
      <c r="N44">
        <v>145</v>
      </c>
      <c r="O44" s="1">
        <v>1.8774818588696001E-8</v>
      </c>
      <c r="P44" s="5">
        <v>0.81332364374134802</v>
      </c>
      <c r="Q44">
        <v>1</v>
      </c>
      <c r="R44">
        <v>19.955653166000001</v>
      </c>
      <c r="S44">
        <v>0</v>
      </c>
      <c r="T44" s="1">
        <v>1.7347234759768E-18</v>
      </c>
      <c r="U44">
        <v>1</v>
      </c>
      <c r="V44" s="5">
        <v>0.81349349555859896</v>
      </c>
      <c r="W44">
        <v>1</v>
      </c>
      <c r="X44">
        <v>3.7413510360000002</v>
      </c>
      <c r="Y44">
        <v>1911</v>
      </c>
      <c r="Z44" s="1">
        <v>1.57532784369335E-8</v>
      </c>
      <c r="AA44">
        <v>1</v>
      </c>
    </row>
    <row r="45" spans="1:27" x14ac:dyDescent="0.2">
      <c r="A45">
        <v>5</v>
      </c>
      <c r="B45">
        <v>1</v>
      </c>
      <c r="C45">
        <v>0.4</v>
      </c>
      <c r="D45">
        <v>20</v>
      </c>
      <c r="E45">
        <v>0.80969703438586405</v>
      </c>
      <c r="F45">
        <v>1</v>
      </c>
      <c r="G45">
        <v>34.860841192999999</v>
      </c>
      <c r="H45">
        <v>0.44254383881752901</v>
      </c>
      <c r="I45">
        <v>1</v>
      </c>
      <c r="J45">
        <v>0.163323677</v>
      </c>
      <c r="K45">
        <v>0.43402723062537901</v>
      </c>
      <c r="L45">
        <v>1</v>
      </c>
      <c r="M45">
        <v>37.461479771</v>
      </c>
      <c r="N45">
        <v>279051</v>
      </c>
      <c r="O45">
        <v>1.2362057018240301E-3</v>
      </c>
      <c r="P45" s="5">
        <v>0.25393630101481901</v>
      </c>
      <c r="Q45">
        <v>1</v>
      </c>
      <c r="R45">
        <v>157.15511436899999</v>
      </c>
      <c r="S45">
        <v>4671</v>
      </c>
      <c r="T45">
        <v>8.6396291155481299E-4</v>
      </c>
      <c r="U45">
        <v>3989</v>
      </c>
      <c r="V45" s="5">
        <v>0.33485095592549902</v>
      </c>
      <c r="W45">
        <v>1</v>
      </c>
      <c r="X45">
        <v>45.723665849</v>
      </c>
      <c r="Y45">
        <v>4986</v>
      </c>
      <c r="Z45">
        <v>1.5147322513724099E-4</v>
      </c>
      <c r="AA45">
        <v>20</v>
      </c>
    </row>
    <row r="46" spans="1:27" x14ac:dyDescent="0.2">
      <c r="A46">
        <v>5</v>
      </c>
      <c r="B46">
        <v>1</v>
      </c>
      <c r="C46">
        <v>0.3</v>
      </c>
      <c r="D46">
        <v>20</v>
      </c>
      <c r="E46">
        <v>0.87284853418364905</v>
      </c>
      <c r="F46">
        <v>1</v>
      </c>
      <c r="G46">
        <v>35.189604418999998</v>
      </c>
      <c r="H46">
        <v>0.87388055336189197</v>
      </c>
      <c r="I46">
        <v>1</v>
      </c>
      <c r="J46">
        <v>6.3619773000000004E-2</v>
      </c>
      <c r="K46">
        <v>1.26322534450094</v>
      </c>
      <c r="L46">
        <v>1</v>
      </c>
      <c r="M46">
        <v>5.3475939559999999</v>
      </c>
      <c r="N46">
        <v>31425</v>
      </c>
      <c r="O46">
        <v>9.3824728590163799E-4</v>
      </c>
      <c r="P46" s="5">
        <v>1.2703388597401399</v>
      </c>
      <c r="Q46">
        <v>1</v>
      </c>
      <c r="R46">
        <v>156.10213001700001</v>
      </c>
      <c r="S46">
        <v>4400</v>
      </c>
      <c r="T46" s="1">
        <v>4.0066127887650103E-8</v>
      </c>
      <c r="U46">
        <v>4365</v>
      </c>
      <c r="V46" s="5">
        <v>1.2708109877234901</v>
      </c>
      <c r="W46">
        <v>1</v>
      </c>
      <c r="X46">
        <v>3.5568730309999999</v>
      </c>
      <c r="Y46">
        <v>375</v>
      </c>
      <c r="Z46">
        <v>2.18587124630492E-4</v>
      </c>
      <c r="AA46">
        <v>1</v>
      </c>
    </row>
    <row r="47" spans="1:27" x14ac:dyDescent="0.2">
      <c r="A47">
        <v>5</v>
      </c>
      <c r="B47">
        <v>1</v>
      </c>
      <c r="C47">
        <v>0.3</v>
      </c>
      <c r="D47">
        <v>20</v>
      </c>
      <c r="E47">
        <v>0.63195266708017295</v>
      </c>
      <c r="F47">
        <v>1</v>
      </c>
      <c r="G47">
        <v>35.046840819000003</v>
      </c>
      <c r="H47">
        <v>0.58366040059968904</v>
      </c>
      <c r="I47">
        <v>1</v>
      </c>
      <c r="J47">
        <v>0.142799859</v>
      </c>
      <c r="K47">
        <v>0.58016461263695795</v>
      </c>
      <c r="L47">
        <v>1</v>
      </c>
      <c r="M47">
        <v>7.7007595430000002</v>
      </c>
      <c r="N47">
        <v>55131</v>
      </c>
      <c r="O47">
        <v>1.1737571088366E-3</v>
      </c>
      <c r="P47" s="5">
        <v>0.58668244818993598</v>
      </c>
      <c r="Q47">
        <v>1</v>
      </c>
      <c r="R47">
        <v>56.210526444999999</v>
      </c>
      <c r="S47">
        <v>1455</v>
      </c>
      <c r="T47">
        <v>7.7815750530052497E-4</v>
      </c>
      <c r="U47">
        <v>1199</v>
      </c>
      <c r="V47" s="5">
        <v>0.54545728250515901</v>
      </c>
      <c r="W47">
        <v>1</v>
      </c>
      <c r="X47">
        <v>6.1213787369999997</v>
      </c>
      <c r="Y47">
        <v>993</v>
      </c>
      <c r="Z47">
        <v>1.0031178620965001E-3</v>
      </c>
      <c r="AA47">
        <v>7</v>
      </c>
    </row>
    <row r="48" spans="1:27" x14ac:dyDescent="0.2">
      <c r="A48">
        <v>5</v>
      </c>
      <c r="B48">
        <v>1</v>
      </c>
      <c r="C48">
        <v>0.4</v>
      </c>
      <c r="D48">
        <v>20</v>
      </c>
      <c r="E48">
        <v>0.75111347463133804</v>
      </c>
      <c r="F48">
        <v>1</v>
      </c>
      <c r="G48">
        <v>34.943136742</v>
      </c>
      <c r="H48">
        <v>0.74594688411745302</v>
      </c>
      <c r="I48">
        <v>1</v>
      </c>
      <c r="J48">
        <v>7.2142831000000004E-2</v>
      </c>
      <c r="K48">
        <v>0.75814641555732398</v>
      </c>
      <c r="L48">
        <v>1</v>
      </c>
      <c r="M48">
        <v>1.3583281330000001</v>
      </c>
      <c r="N48">
        <v>2811</v>
      </c>
      <c r="O48">
        <v>1.46747594982343E-3</v>
      </c>
      <c r="P48" s="5">
        <v>0.74557630217078896</v>
      </c>
      <c r="Q48">
        <v>1</v>
      </c>
      <c r="R48">
        <v>20.106405324000001</v>
      </c>
      <c r="S48">
        <v>1</v>
      </c>
      <c r="T48">
        <v>2.27189816529466E-3</v>
      </c>
      <c r="U48">
        <v>4</v>
      </c>
      <c r="V48" s="5">
        <v>0.74089015224300903</v>
      </c>
      <c r="W48">
        <v>1</v>
      </c>
      <c r="X48">
        <v>5.2831968710000003</v>
      </c>
      <c r="Y48">
        <v>1</v>
      </c>
      <c r="Z48">
        <v>1.8115922090876199E-2</v>
      </c>
      <c r="AA48">
        <v>2</v>
      </c>
    </row>
    <row r="49" spans="1:27" x14ac:dyDescent="0.2">
      <c r="A49">
        <v>5</v>
      </c>
      <c r="B49">
        <v>1</v>
      </c>
      <c r="C49">
        <v>0.1</v>
      </c>
      <c r="D49">
        <v>20</v>
      </c>
      <c r="E49">
        <v>0.94411849507120604</v>
      </c>
      <c r="F49">
        <v>1</v>
      </c>
      <c r="G49">
        <v>35.178938856999999</v>
      </c>
      <c r="H49">
        <v>0.94411849507124501</v>
      </c>
      <c r="I49">
        <v>1</v>
      </c>
      <c r="J49">
        <v>6.9500095999999997E-2</v>
      </c>
      <c r="K49">
        <v>0.94413198263981701</v>
      </c>
      <c r="L49">
        <v>1</v>
      </c>
      <c r="M49">
        <v>0.70882350599999999</v>
      </c>
      <c r="N49">
        <v>111</v>
      </c>
      <c r="O49" s="1">
        <v>5.2841953035454E-11</v>
      </c>
      <c r="P49" s="5">
        <v>0.94411742874287996</v>
      </c>
      <c r="Q49">
        <v>1</v>
      </c>
      <c r="R49">
        <v>20.110897358999999</v>
      </c>
      <c r="S49">
        <v>1</v>
      </c>
      <c r="T49" s="1">
        <v>1.07244549853776E-6</v>
      </c>
      <c r="U49">
        <v>2</v>
      </c>
      <c r="V49" s="5">
        <v>0.95319470200989997</v>
      </c>
      <c r="W49">
        <v>1</v>
      </c>
      <c r="X49">
        <v>3.442907833</v>
      </c>
      <c r="Y49">
        <v>170</v>
      </c>
      <c r="Z49" s="1">
        <v>1.44206808375449E-5</v>
      </c>
      <c r="AA49">
        <v>1</v>
      </c>
    </row>
    <row r="50" spans="1:27" x14ac:dyDescent="0.2">
      <c r="A50">
        <v>5</v>
      </c>
      <c r="B50">
        <v>1</v>
      </c>
      <c r="C50">
        <v>0.3</v>
      </c>
      <c r="D50">
        <v>20</v>
      </c>
      <c r="E50">
        <v>0.98476246997380201</v>
      </c>
      <c r="F50">
        <v>1</v>
      </c>
      <c r="G50">
        <v>30.612031838</v>
      </c>
      <c r="H50">
        <v>0.95854964950219101</v>
      </c>
      <c r="I50">
        <v>1</v>
      </c>
      <c r="J50">
        <v>5.2062866999999999E-2</v>
      </c>
      <c r="K50">
        <v>0.95905835741410494</v>
      </c>
      <c r="L50">
        <v>1</v>
      </c>
      <c r="M50">
        <v>430.32690871099999</v>
      </c>
      <c r="N50">
        <v>3130254</v>
      </c>
      <c r="O50" s="1">
        <v>6.0806457441525597E-5</v>
      </c>
      <c r="P50" s="5">
        <v>0.98506926864614897</v>
      </c>
      <c r="Q50">
        <v>1</v>
      </c>
      <c r="R50">
        <v>117.356284071</v>
      </c>
      <c r="S50">
        <v>2450</v>
      </c>
      <c r="T50" s="1">
        <v>2.1883871171959099E-5</v>
      </c>
      <c r="U50">
        <v>2301</v>
      </c>
      <c r="V50" s="5">
        <v>0.95059819839549198</v>
      </c>
      <c r="W50">
        <v>1</v>
      </c>
      <c r="X50">
        <v>3.3519345</v>
      </c>
      <c r="Y50">
        <v>567</v>
      </c>
      <c r="Z50" s="1">
        <v>2.6820611568584698E-5</v>
      </c>
      <c r="AA50">
        <v>1</v>
      </c>
    </row>
    <row r="51" spans="1:27" x14ac:dyDescent="0.2">
      <c r="A51">
        <v>5</v>
      </c>
      <c r="B51">
        <v>1</v>
      </c>
      <c r="C51">
        <v>0.3</v>
      </c>
      <c r="D51">
        <v>20</v>
      </c>
      <c r="E51">
        <v>0.344585909651769</v>
      </c>
      <c r="F51">
        <v>1</v>
      </c>
      <c r="G51">
        <v>34.850285745000001</v>
      </c>
      <c r="H51">
        <v>0.25174415931091698</v>
      </c>
      <c r="I51">
        <v>1</v>
      </c>
      <c r="J51">
        <v>7.1405502999999995E-2</v>
      </c>
      <c r="K51">
        <v>0.25137265749042098</v>
      </c>
      <c r="L51">
        <v>1</v>
      </c>
      <c r="M51">
        <v>15.061804006999999</v>
      </c>
      <c r="N51">
        <v>141884</v>
      </c>
      <c r="O51">
        <v>1.1459927984525099E-4</v>
      </c>
      <c r="P51" s="5">
        <v>0.42010491840006198</v>
      </c>
      <c r="Q51">
        <v>1</v>
      </c>
      <c r="R51">
        <v>47.530743053000002</v>
      </c>
      <c r="S51">
        <v>1007</v>
      </c>
      <c r="T51" s="1">
        <v>2.91278192255089E-5</v>
      </c>
      <c r="U51">
        <v>871</v>
      </c>
      <c r="V51" s="5">
        <v>0.36825495920090301</v>
      </c>
      <c r="W51">
        <v>1</v>
      </c>
      <c r="X51">
        <v>3.594999842</v>
      </c>
      <c r="Y51">
        <v>999</v>
      </c>
      <c r="Z51" s="1">
        <v>3.06104854344412E-5</v>
      </c>
      <c r="AA51">
        <v>1</v>
      </c>
    </row>
    <row r="52" spans="1:27" x14ac:dyDescent="0.2">
      <c r="A52">
        <v>5</v>
      </c>
      <c r="B52">
        <v>1</v>
      </c>
      <c r="C52">
        <v>0.1</v>
      </c>
      <c r="D52">
        <v>20</v>
      </c>
      <c r="E52">
        <v>0.95047604119344598</v>
      </c>
      <c r="F52">
        <v>1</v>
      </c>
      <c r="G52">
        <v>30.469091141</v>
      </c>
      <c r="H52">
        <v>0.95047604119344598</v>
      </c>
      <c r="I52">
        <v>1</v>
      </c>
      <c r="J52">
        <v>5.3962062999999998E-2</v>
      </c>
      <c r="K52">
        <v>0.96171500811922195</v>
      </c>
      <c r="L52">
        <v>1</v>
      </c>
      <c r="M52">
        <v>17.332855130999999</v>
      </c>
      <c r="N52">
        <v>131843</v>
      </c>
      <c r="O52" s="1">
        <v>7.1243499987494404E-6</v>
      </c>
      <c r="P52" s="5">
        <v>0.95890903373418701</v>
      </c>
      <c r="Q52">
        <v>1</v>
      </c>
      <c r="R52">
        <v>36.110999038999999</v>
      </c>
      <c r="S52">
        <v>531</v>
      </c>
      <c r="T52" s="1">
        <v>3.13498196665828E-7</v>
      </c>
      <c r="U52">
        <v>532</v>
      </c>
      <c r="V52" s="5">
        <v>0.93670698537086905</v>
      </c>
      <c r="W52">
        <v>1</v>
      </c>
      <c r="X52">
        <v>3.022434015</v>
      </c>
      <c r="Y52">
        <v>387</v>
      </c>
      <c r="Z52" s="1">
        <v>6.4669923664047603E-6</v>
      </c>
      <c r="AA52">
        <v>1</v>
      </c>
    </row>
    <row r="53" spans="1:27" x14ac:dyDescent="0.2">
      <c r="A53">
        <v>5</v>
      </c>
      <c r="B53">
        <v>1</v>
      </c>
      <c r="C53">
        <v>0.4</v>
      </c>
      <c r="D53">
        <v>20</v>
      </c>
      <c r="E53">
        <v>0.55152764567231005</v>
      </c>
      <c r="F53">
        <v>1</v>
      </c>
      <c r="G53">
        <v>30.533381940000002</v>
      </c>
      <c r="H53">
        <v>0.55325958483391202</v>
      </c>
      <c r="I53">
        <v>1</v>
      </c>
      <c r="J53">
        <v>6.4277450999999999E-2</v>
      </c>
      <c r="K53">
        <v>0.55325811712358597</v>
      </c>
      <c r="L53">
        <v>1</v>
      </c>
      <c r="M53">
        <v>2.2988326350000001</v>
      </c>
      <c r="N53">
        <v>8496</v>
      </c>
      <c r="O53">
        <v>1.4517343224778E-3</v>
      </c>
      <c r="P53" s="5">
        <v>0.54878061601346295</v>
      </c>
      <c r="Q53">
        <v>1</v>
      </c>
      <c r="R53">
        <v>17.931906567999999</v>
      </c>
      <c r="S53">
        <v>1</v>
      </c>
      <c r="T53">
        <v>8.6823214442799303E-4</v>
      </c>
      <c r="U53">
        <v>2</v>
      </c>
      <c r="V53" s="5">
        <v>0.54827337666922005</v>
      </c>
      <c r="W53">
        <v>1</v>
      </c>
      <c r="X53">
        <v>3.270554846</v>
      </c>
      <c r="Y53">
        <v>471</v>
      </c>
      <c r="Z53">
        <v>4.54172380715628E-4</v>
      </c>
      <c r="AA53">
        <v>1</v>
      </c>
    </row>
    <row r="54" spans="1:27" x14ac:dyDescent="0.2">
      <c r="A54">
        <v>5</v>
      </c>
      <c r="B54">
        <v>1</v>
      </c>
      <c r="C54">
        <v>0.3</v>
      </c>
      <c r="D54">
        <v>20</v>
      </c>
      <c r="E54">
        <v>0.75645437043203201</v>
      </c>
      <c r="F54">
        <v>1</v>
      </c>
      <c r="G54">
        <v>43.595513117000003</v>
      </c>
      <c r="H54">
        <v>0.75645978962736304</v>
      </c>
      <c r="I54">
        <v>1</v>
      </c>
      <c r="J54">
        <v>7.9337705999999994E-2</v>
      </c>
      <c r="K54">
        <v>1.2905612766910499</v>
      </c>
      <c r="L54">
        <v>1</v>
      </c>
      <c r="M54">
        <v>45.292485319000001</v>
      </c>
      <c r="N54">
        <v>132964</v>
      </c>
      <c r="O54">
        <v>3.0650826585425501E-3</v>
      </c>
      <c r="P54" s="5">
        <v>1.2986133756860601</v>
      </c>
      <c r="Q54">
        <v>1</v>
      </c>
      <c r="R54">
        <v>132.004227208</v>
      </c>
      <c r="S54">
        <v>2111</v>
      </c>
      <c r="T54">
        <v>6.7441872663792602E-4</v>
      </c>
      <c r="U54">
        <v>2100</v>
      </c>
      <c r="V54" s="5">
        <v>1.3014308968220301</v>
      </c>
      <c r="W54">
        <v>1</v>
      </c>
      <c r="X54">
        <v>5.1349423029999999</v>
      </c>
      <c r="Y54">
        <v>1887</v>
      </c>
      <c r="Z54" s="1">
        <v>3.2281110590170998E-7</v>
      </c>
      <c r="AA54">
        <v>1</v>
      </c>
    </row>
    <row r="55" spans="1:27" x14ac:dyDescent="0.2">
      <c r="A55">
        <v>5</v>
      </c>
      <c r="B55">
        <v>1</v>
      </c>
      <c r="C55">
        <v>0.1</v>
      </c>
      <c r="D55">
        <v>20</v>
      </c>
      <c r="E55">
        <v>0.98974167533916801</v>
      </c>
      <c r="F55">
        <v>1</v>
      </c>
      <c r="G55">
        <v>31.210518142000002</v>
      </c>
      <c r="H55">
        <v>0.98974167533916801</v>
      </c>
      <c r="I55">
        <v>1</v>
      </c>
      <c r="J55">
        <v>6.3914072000000002E-2</v>
      </c>
      <c r="K55">
        <v>0.98347183432336704</v>
      </c>
      <c r="L55">
        <v>1</v>
      </c>
      <c r="M55">
        <v>11.314242122</v>
      </c>
      <c r="N55">
        <v>69767</v>
      </c>
      <c r="O55" s="1">
        <v>5.7403069002592801E-6</v>
      </c>
      <c r="P55" s="5">
        <v>0.98369149716749005</v>
      </c>
      <c r="Q55">
        <v>1</v>
      </c>
      <c r="R55">
        <v>60.182849038000001</v>
      </c>
      <c r="S55">
        <v>1455</v>
      </c>
      <c r="T55" s="1">
        <v>1.5773881819551099E-7</v>
      </c>
      <c r="U55">
        <v>1438</v>
      </c>
      <c r="V55" s="5">
        <v>0.98395968862919603</v>
      </c>
      <c r="W55">
        <v>1</v>
      </c>
      <c r="X55">
        <v>3.3550884980000002</v>
      </c>
      <c r="Y55">
        <v>315</v>
      </c>
      <c r="Z55" s="1">
        <v>5.74045941497021E-6</v>
      </c>
      <c r="AA55">
        <v>1</v>
      </c>
    </row>
    <row r="56" spans="1:27" x14ac:dyDescent="0.2">
      <c r="A56">
        <v>5</v>
      </c>
      <c r="B56">
        <v>1</v>
      </c>
      <c r="C56">
        <v>0.2</v>
      </c>
      <c r="D56">
        <v>20</v>
      </c>
      <c r="E56">
        <v>0.91889734754290198</v>
      </c>
      <c r="F56">
        <v>1</v>
      </c>
      <c r="G56">
        <v>34.873272835999998</v>
      </c>
      <c r="H56">
        <v>0.91889734754290198</v>
      </c>
      <c r="I56">
        <v>1</v>
      </c>
      <c r="J56">
        <v>6.0994215999999997E-2</v>
      </c>
      <c r="K56">
        <v>1.2171302292421</v>
      </c>
      <c r="L56">
        <v>1</v>
      </c>
      <c r="M56">
        <v>535.83654114299998</v>
      </c>
      <c r="N56">
        <v>3561709</v>
      </c>
      <c r="O56">
        <v>1.3657845597980699E-4</v>
      </c>
      <c r="P56" s="5">
        <v>0.45118567112366498</v>
      </c>
      <c r="Q56">
        <v>1</v>
      </c>
      <c r="R56">
        <v>41.883193386999999</v>
      </c>
      <c r="S56">
        <v>591</v>
      </c>
      <c r="T56" s="1">
        <v>7.0387404739278397E-6</v>
      </c>
      <c r="U56">
        <v>591</v>
      </c>
      <c r="V56" s="5">
        <v>1.21299904973502</v>
      </c>
      <c r="W56">
        <v>1</v>
      </c>
      <c r="X56">
        <v>3.721759171</v>
      </c>
      <c r="Y56">
        <v>3295</v>
      </c>
      <c r="Z56" s="1">
        <v>1.9253961802238801E-6</v>
      </c>
      <c r="AA56">
        <v>1</v>
      </c>
    </row>
    <row r="57" spans="1:27" x14ac:dyDescent="0.2">
      <c r="A57">
        <v>5</v>
      </c>
      <c r="B57">
        <v>1</v>
      </c>
      <c r="C57">
        <v>0.2</v>
      </c>
      <c r="D57">
        <v>20</v>
      </c>
      <c r="E57">
        <v>0.650081456365042</v>
      </c>
      <c r="F57">
        <v>1</v>
      </c>
      <c r="G57">
        <v>46.953117216999999</v>
      </c>
      <c r="H57">
        <v>0.650081456365042</v>
      </c>
      <c r="I57">
        <v>1</v>
      </c>
      <c r="J57">
        <v>9.0742412999999994E-2</v>
      </c>
      <c r="K57">
        <v>0.30724176827675798</v>
      </c>
      <c r="L57">
        <v>1</v>
      </c>
      <c r="M57">
        <v>6.4941185600000004</v>
      </c>
      <c r="N57">
        <v>6355</v>
      </c>
      <c r="O57">
        <v>3.7962630797885302E-3</v>
      </c>
      <c r="P57" s="5">
        <v>0.32743874639943898</v>
      </c>
      <c r="Q57">
        <v>1</v>
      </c>
      <c r="R57">
        <v>39.092186351999999</v>
      </c>
      <c r="S57">
        <v>255</v>
      </c>
      <c r="T57">
        <v>1.11219955695313E-3</v>
      </c>
      <c r="U57">
        <v>267</v>
      </c>
      <c r="V57" s="5">
        <v>0.30124798902219202</v>
      </c>
      <c r="W57">
        <v>1</v>
      </c>
      <c r="X57">
        <v>5.1494219719999998</v>
      </c>
      <c r="Y57">
        <v>315</v>
      </c>
      <c r="Z57">
        <v>4.3247329043449802E-4</v>
      </c>
      <c r="AA57">
        <v>1</v>
      </c>
    </row>
    <row r="58" spans="1:27" x14ac:dyDescent="0.2">
      <c r="A58">
        <v>5</v>
      </c>
      <c r="B58">
        <v>1</v>
      </c>
      <c r="C58">
        <v>0.2</v>
      </c>
      <c r="D58">
        <v>20</v>
      </c>
      <c r="E58">
        <v>0.89114488546722304</v>
      </c>
      <c r="F58">
        <v>1</v>
      </c>
      <c r="G58">
        <v>29.087637689000001</v>
      </c>
      <c r="H58">
        <v>0.89114488546722304</v>
      </c>
      <c r="I58">
        <v>1</v>
      </c>
      <c r="J58">
        <v>5.0554531E-2</v>
      </c>
      <c r="K58">
        <v>0.78745665744015603</v>
      </c>
      <c r="L58">
        <v>1</v>
      </c>
      <c r="M58">
        <v>1302.9375280469999</v>
      </c>
      <c r="N58">
        <v>2566191</v>
      </c>
      <c r="O58">
        <v>4.0351456518927797E-4</v>
      </c>
      <c r="P58" s="5">
        <v>0.88064936680782702</v>
      </c>
      <c r="Q58">
        <v>1</v>
      </c>
      <c r="R58">
        <v>172.58625764000001</v>
      </c>
      <c r="S58">
        <v>5317</v>
      </c>
      <c r="T58">
        <v>0</v>
      </c>
      <c r="U58">
        <v>5309</v>
      </c>
      <c r="V58" s="5">
        <v>1.1450026621028899</v>
      </c>
      <c r="W58">
        <v>1</v>
      </c>
      <c r="X58">
        <v>2.9837713849999998</v>
      </c>
      <c r="Y58">
        <v>1395</v>
      </c>
      <c r="Z58">
        <v>1.72607170063357E-4</v>
      </c>
      <c r="AA58">
        <v>1</v>
      </c>
    </row>
    <row r="59" spans="1:27" x14ac:dyDescent="0.2">
      <c r="A59">
        <v>5</v>
      </c>
      <c r="B59">
        <v>1</v>
      </c>
      <c r="C59">
        <v>0.2</v>
      </c>
      <c r="D59">
        <v>20</v>
      </c>
      <c r="E59">
        <v>0.990190176542592</v>
      </c>
      <c r="F59">
        <v>1</v>
      </c>
      <c r="G59">
        <v>34.973376993999999</v>
      </c>
      <c r="H59">
        <v>0.990190176542592</v>
      </c>
      <c r="I59">
        <v>1</v>
      </c>
      <c r="J59">
        <v>6.8688353999999993E-2</v>
      </c>
      <c r="K59">
        <v>0.94346681070027105</v>
      </c>
      <c r="L59">
        <v>1</v>
      </c>
      <c r="M59">
        <v>3600.5147583930002</v>
      </c>
      <c r="N59">
        <v>6698118</v>
      </c>
      <c r="O59">
        <v>3.0503114915347802E-4</v>
      </c>
      <c r="P59" s="5">
        <v>0.95763500493454701</v>
      </c>
      <c r="Q59">
        <v>1</v>
      </c>
      <c r="R59">
        <v>120.337133423</v>
      </c>
      <c r="S59">
        <v>3519</v>
      </c>
      <c r="T59" s="1">
        <v>1.0516386633768699E-5</v>
      </c>
      <c r="U59">
        <v>3173</v>
      </c>
      <c r="V59" s="5">
        <v>1.06002839653681</v>
      </c>
      <c r="W59">
        <v>1</v>
      </c>
      <c r="X59">
        <v>3.990508991</v>
      </c>
      <c r="Y59">
        <v>1686</v>
      </c>
      <c r="Z59">
        <v>1.46229844385566E-4</v>
      </c>
      <c r="AA59">
        <v>1</v>
      </c>
    </row>
    <row r="60" spans="1:27" x14ac:dyDescent="0.2">
      <c r="A60">
        <v>5</v>
      </c>
      <c r="B60">
        <v>1</v>
      </c>
      <c r="C60">
        <v>0.2</v>
      </c>
      <c r="D60">
        <v>20</v>
      </c>
      <c r="E60">
        <v>0.98897635579135701</v>
      </c>
      <c r="F60">
        <v>1</v>
      </c>
      <c r="G60">
        <v>35.048187388000002</v>
      </c>
      <c r="H60">
        <v>0.98895089552459703</v>
      </c>
      <c r="I60">
        <v>1</v>
      </c>
      <c r="J60">
        <v>6.0279749000000001E-2</v>
      </c>
      <c r="K60">
        <v>1.0290310186060101</v>
      </c>
      <c r="L60">
        <v>1</v>
      </c>
      <c r="M60">
        <v>3600.4653144059998</v>
      </c>
      <c r="N60">
        <v>28011963</v>
      </c>
      <c r="O60" s="1">
        <v>1.93501211002977E-5</v>
      </c>
      <c r="P60" s="5">
        <v>1.0232803053665001</v>
      </c>
      <c r="Q60">
        <v>1</v>
      </c>
      <c r="R60">
        <v>33.125862793000003</v>
      </c>
      <c r="S60">
        <v>471</v>
      </c>
      <c r="T60" s="1">
        <v>7.2111137027733396E-6</v>
      </c>
      <c r="U60">
        <v>481</v>
      </c>
      <c r="V60" s="5">
        <v>0.95616872608153802</v>
      </c>
      <c r="W60">
        <v>1</v>
      </c>
      <c r="X60">
        <v>4.0195827790000003</v>
      </c>
      <c r="Y60">
        <v>1537</v>
      </c>
      <c r="Z60" s="1">
        <v>9.7363650157979503E-6</v>
      </c>
      <c r="AA60">
        <v>1</v>
      </c>
    </row>
    <row r="61" spans="1:27" x14ac:dyDescent="0.2">
      <c r="A61">
        <v>5</v>
      </c>
      <c r="B61">
        <v>1</v>
      </c>
      <c r="C61">
        <v>0.4</v>
      </c>
      <c r="D61">
        <v>20</v>
      </c>
      <c r="E61">
        <v>0.90181686156145702</v>
      </c>
      <c r="F61">
        <v>1</v>
      </c>
      <c r="G61">
        <v>34.969666166000003</v>
      </c>
      <c r="H61">
        <v>0.61843501456944605</v>
      </c>
      <c r="I61">
        <v>1</v>
      </c>
      <c r="J61">
        <v>0.15870598299999999</v>
      </c>
      <c r="K61">
        <v>0.61261895202252004</v>
      </c>
      <c r="L61">
        <v>1</v>
      </c>
      <c r="M61">
        <v>3600.9567246189999</v>
      </c>
      <c r="N61">
        <v>3201658</v>
      </c>
      <c r="O61">
        <v>3.2544223723895901E-4</v>
      </c>
      <c r="P61" s="5">
        <v>0.885583187133963</v>
      </c>
      <c r="Q61">
        <v>1</v>
      </c>
      <c r="R61">
        <v>103.45734597400001</v>
      </c>
      <c r="S61">
        <v>2728</v>
      </c>
      <c r="T61">
        <v>1.2618947502424701E-4</v>
      </c>
      <c r="U61">
        <v>2470</v>
      </c>
      <c r="V61" s="5">
        <v>0.70671229514372003</v>
      </c>
      <c r="W61">
        <v>1</v>
      </c>
      <c r="X61">
        <v>31.113582832999999</v>
      </c>
      <c r="Y61">
        <v>8608</v>
      </c>
      <c r="Z61">
        <v>1.1077830589638999E-4</v>
      </c>
      <c r="AA61">
        <v>11</v>
      </c>
    </row>
    <row r="62" spans="1:27" x14ac:dyDescent="0.2">
      <c r="A62">
        <v>5</v>
      </c>
      <c r="B62">
        <v>1</v>
      </c>
      <c r="C62">
        <v>0.3</v>
      </c>
      <c r="D62">
        <v>20</v>
      </c>
      <c r="E62">
        <v>0.89843313433538496</v>
      </c>
      <c r="F62">
        <v>1</v>
      </c>
      <c r="G62">
        <v>30.933888516</v>
      </c>
      <c r="H62">
        <v>0.89837816337451104</v>
      </c>
      <c r="I62">
        <v>1</v>
      </c>
      <c r="J62">
        <v>5.5945903999999998E-2</v>
      </c>
      <c r="K62">
        <v>0.898379420711924</v>
      </c>
      <c r="L62">
        <v>1</v>
      </c>
      <c r="M62">
        <v>5.2982404220000001</v>
      </c>
      <c r="N62">
        <v>46074</v>
      </c>
      <c r="O62">
        <v>1.3246481495510199E-4</v>
      </c>
      <c r="P62" s="5">
        <v>0.898294892212124</v>
      </c>
      <c r="Q62">
        <v>1</v>
      </c>
      <c r="R62">
        <v>19.674178817000001</v>
      </c>
      <c r="S62">
        <v>1</v>
      </c>
      <c r="T62" s="1">
        <v>1.6281720265956099E-5</v>
      </c>
      <c r="U62">
        <v>2</v>
      </c>
      <c r="V62" s="5">
        <v>0.898294892212124</v>
      </c>
      <c r="W62">
        <v>1</v>
      </c>
      <c r="X62">
        <v>3.7266228140000002</v>
      </c>
      <c r="Y62">
        <v>1</v>
      </c>
      <c r="Z62" s="1">
        <v>4.0375276638558E-5</v>
      </c>
      <c r="AA62">
        <v>1</v>
      </c>
    </row>
    <row r="63" spans="1:27" x14ac:dyDescent="0.2">
      <c r="A63">
        <v>5</v>
      </c>
      <c r="B63">
        <v>1</v>
      </c>
      <c r="C63">
        <v>0.3</v>
      </c>
      <c r="D63">
        <v>20</v>
      </c>
      <c r="E63">
        <v>0.86164572706700204</v>
      </c>
      <c r="F63">
        <v>1</v>
      </c>
      <c r="G63">
        <v>31.895698907</v>
      </c>
      <c r="H63">
        <v>0.86002036063165499</v>
      </c>
      <c r="I63">
        <v>1</v>
      </c>
      <c r="J63">
        <v>5.6793903999999999E-2</v>
      </c>
      <c r="K63">
        <v>0.85978910908099104</v>
      </c>
      <c r="L63">
        <v>1</v>
      </c>
      <c r="M63">
        <v>9.5021662150000008</v>
      </c>
      <c r="N63">
        <v>45264</v>
      </c>
      <c r="O63">
        <v>9.3964491627129799E-4</v>
      </c>
      <c r="P63" s="5">
        <v>0.84808402368939895</v>
      </c>
      <c r="Q63">
        <v>1</v>
      </c>
      <c r="R63">
        <v>21.306298099999999</v>
      </c>
      <c r="S63">
        <v>1</v>
      </c>
      <c r="T63">
        <v>8.8127045009631002E-4</v>
      </c>
      <c r="U63">
        <v>5</v>
      </c>
      <c r="V63" s="5">
        <v>0.84808402368939895</v>
      </c>
      <c r="W63">
        <v>1</v>
      </c>
      <c r="X63">
        <v>4.3046618849999998</v>
      </c>
      <c r="Y63">
        <v>1</v>
      </c>
      <c r="Z63">
        <v>9.0690867977441503E-4</v>
      </c>
      <c r="AA63">
        <v>1</v>
      </c>
    </row>
    <row r="64" spans="1:27" x14ac:dyDescent="0.2">
      <c r="A64">
        <v>5</v>
      </c>
      <c r="B64">
        <v>1</v>
      </c>
      <c r="C64">
        <v>0.4</v>
      </c>
      <c r="D64">
        <v>20</v>
      </c>
      <c r="E64">
        <v>0.52024525360409801</v>
      </c>
      <c r="F64">
        <v>1</v>
      </c>
      <c r="G64">
        <v>30.593076100000001</v>
      </c>
      <c r="H64">
        <v>0.49142166176831098</v>
      </c>
      <c r="I64">
        <v>1</v>
      </c>
      <c r="J64">
        <v>9.6143839999999994E-2</v>
      </c>
      <c r="K64">
        <v>0.486987070232971</v>
      </c>
      <c r="L64">
        <v>1</v>
      </c>
      <c r="M64">
        <v>9.7777857519999998</v>
      </c>
      <c r="N64">
        <v>58443</v>
      </c>
      <c r="O64">
        <v>7.2377602384987496E-4</v>
      </c>
      <c r="P64" s="5">
        <v>0.490306503345256</v>
      </c>
      <c r="Q64">
        <v>1</v>
      </c>
      <c r="R64">
        <v>25.042471707000001</v>
      </c>
      <c r="S64">
        <v>250</v>
      </c>
      <c r="T64">
        <v>7.2856254479321204E-4</v>
      </c>
      <c r="U64">
        <v>201</v>
      </c>
      <c r="V64" s="5">
        <v>0.490306503345256</v>
      </c>
      <c r="W64">
        <v>1</v>
      </c>
      <c r="X64">
        <v>4.9503576300000001</v>
      </c>
      <c r="Y64">
        <v>1</v>
      </c>
      <c r="Z64">
        <v>7.00891674328629E-4</v>
      </c>
      <c r="AA64">
        <v>1</v>
      </c>
    </row>
    <row r="65" spans="1:27" x14ac:dyDescent="0.2">
      <c r="A65">
        <v>5</v>
      </c>
      <c r="B65">
        <v>1</v>
      </c>
      <c r="C65">
        <v>0.4</v>
      </c>
      <c r="D65">
        <v>20</v>
      </c>
      <c r="E65">
        <v>0.31783173079823401</v>
      </c>
      <c r="F65">
        <v>1</v>
      </c>
      <c r="G65">
        <v>29.936198214000001</v>
      </c>
      <c r="H65">
        <v>0.311787725800378</v>
      </c>
      <c r="I65">
        <v>1</v>
      </c>
      <c r="J65">
        <v>0.111765579</v>
      </c>
      <c r="K65">
        <v>0.31621520829850902</v>
      </c>
      <c r="L65">
        <v>1</v>
      </c>
      <c r="M65">
        <v>31.547733898000001</v>
      </c>
      <c r="N65">
        <v>200067</v>
      </c>
      <c r="O65">
        <v>4.0476546942276297E-3</v>
      </c>
      <c r="P65" s="5">
        <v>0.30860216616331299</v>
      </c>
      <c r="Q65">
        <v>1</v>
      </c>
      <c r="R65">
        <v>19.416927271999999</v>
      </c>
      <c r="S65">
        <v>1</v>
      </c>
      <c r="T65">
        <v>3.6071511141722002E-3</v>
      </c>
      <c r="U65">
        <v>3</v>
      </c>
      <c r="V65" s="5">
        <v>0.30860216616331299</v>
      </c>
      <c r="W65">
        <v>1</v>
      </c>
      <c r="X65">
        <v>3.9956304629999999</v>
      </c>
      <c r="Y65">
        <v>1</v>
      </c>
      <c r="Z65">
        <v>3.1422254982237299E-3</v>
      </c>
      <c r="AA65">
        <v>1</v>
      </c>
    </row>
    <row r="66" spans="1:27" x14ac:dyDescent="0.2">
      <c r="A66">
        <v>5</v>
      </c>
      <c r="B66">
        <v>1</v>
      </c>
      <c r="C66">
        <v>0.3</v>
      </c>
      <c r="D66">
        <v>20</v>
      </c>
      <c r="E66">
        <v>0.302333283855863</v>
      </c>
      <c r="F66">
        <v>1</v>
      </c>
      <c r="G66">
        <v>30.862535203</v>
      </c>
      <c r="H66">
        <v>0.38124024359684999</v>
      </c>
      <c r="I66">
        <v>1</v>
      </c>
      <c r="J66">
        <v>0.144185752</v>
      </c>
      <c r="K66">
        <v>0.39428597523745701</v>
      </c>
      <c r="L66">
        <v>1</v>
      </c>
      <c r="M66">
        <v>37.126508690999998</v>
      </c>
      <c r="N66">
        <v>135756</v>
      </c>
      <c r="O66">
        <v>3.6591310009796902E-3</v>
      </c>
      <c r="P66" s="5">
        <v>0.37590968863001401</v>
      </c>
      <c r="Q66">
        <v>1</v>
      </c>
      <c r="R66">
        <v>21.012967027999998</v>
      </c>
      <c r="S66">
        <v>1</v>
      </c>
      <c r="T66">
        <v>1.3263147579215999E-3</v>
      </c>
      <c r="U66">
        <v>3</v>
      </c>
      <c r="V66" s="5">
        <v>0.37590968863001401</v>
      </c>
      <c r="W66">
        <v>1</v>
      </c>
      <c r="X66">
        <v>4.3388627619999998</v>
      </c>
      <c r="Y66">
        <v>1</v>
      </c>
      <c r="Z66">
        <v>1.5513930757902099E-3</v>
      </c>
      <c r="AA66">
        <v>1</v>
      </c>
    </row>
    <row r="67" spans="1:27" x14ac:dyDescent="0.2">
      <c r="A67">
        <v>5</v>
      </c>
      <c r="B67">
        <v>1</v>
      </c>
      <c r="C67">
        <v>0.1</v>
      </c>
      <c r="D67">
        <v>20</v>
      </c>
      <c r="E67">
        <v>0.88663458602294498</v>
      </c>
      <c r="F67">
        <v>1</v>
      </c>
      <c r="G67">
        <v>34.292780952999998</v>
      </c>
      <c r="H67">
        <v>0.88663458602322798</v>
      </c>
      <c r="I67">
        <v>1</v>
      </c>
      <c r="J67">
        <v>6.2727093999999997E-2</v>
      </c>
      <c r="K67">
        <v>0.73936895661058899</v>
      </c>
      <c r="L67">
        <v>1</v>
      </c>
      <c r="M67">
        <v>13.97333581</v>
      </c>
      <c r="N67">
        <v>120623</v>
      </c>
      <c r="O67" s="1">
        <v>4.21516187578685E-5</v>
      </c>
      <c r="P67" s="5">
        <v>0.73843585217138097</v>
      </c>
      <c r="Q67">
        <v>1</v>
      </c>
      <c r="R67">
        <v>47.306594105999999</v>
      </c>
      <c r="S67">
        <v>1200</v>
      </c>
      <c r="T67" s="1">
        <v>2.1417930359769299E-6</v>
      </c>
      <c r="U67">
        <v>1186</v>
      </c>
      <c r="V67" s="5">
        <v>1.1395033797815699</v>
      </c>
      <c r="W67">
        <v>1</v>
      </c>
      <c r="X67">
        <v>4.2546136509999997</v>
      </c>
      <c r="Y67">
        <v>951</v>
      </c>
      <c r="Z67">
        <v>0</v>
      </c>
      <c r="AA67">
        <v>1</v>
      </c>
    </row>
    <row r="68" spans="1:27" x14ac:dyDescent="0.2">
      <c r="A68">
        <v>5</v>
      </c>
      <c r="B68">
        <v>1</v>
      </c>
      <c r="C68">
        <v>0.2</v>
      </c>
      <c r="D68">
        <v>20</v>
      </c>
      <c r="E68">
        <v>0.75870205400118895</v>
      </c>
      <c r="F68">
        <v>1</v>
      </c>
      <c r="G68">
        <v>30.200994916999999</v>
      </c>
      <c r="H68">
        <v>0.75870208527507499</v>
      </c>
      <c r="I68">
        <v>1</v>
      </c>
      <c r="J68">
        <v>5.2964410000000003E-2</v>
      </c>
      <c r="K68">
        <v>0.62874138344832597</v>
      </c>
      <c r="L68">
        <v>1</v>
      </c>
      <c r="M68">
        <v>6.2203467420000003</v>
      </c>
      <c r="N68">
        <v>36177</v>
      </c>
      <c r="O68">
        <v>3.6059215726558198E-4</v>
      </c>
      <c r="P68" s="5">
        <v>0.98275169536668405</v>
      </c>
      <c r="Q68">
        <v>1</v>
      </c>
      <c r="R68">
        <v>74.485140313000002</v>
      </c>
      <c r="S68">
        <v>1977</v>
      </c>
      <c r="T68" s="1">
        <v>5.85638802650598E-5</v>
      </c>
      <c r="U68">
        <v>1949</v>
      </c>
      <c r="V68" s="5">
        <v>0.64966245076737705</v>
      </c>
      <c r="W68">
        <v>1</v>
      </c>
      <c r="X68">
        <v>3.5427858190000001</v>
      </c>
      <c r="Y68">
        <v>447</v>
      </c>
      <c r="Z68">
        <v>2.56763710754101E-4</v>
      </c>
      <c r="AA68">
        <v>1</v>
      </c>
    </row>
    <row r="69" spans="1:27" x14ac:dyDescent="0.2">
      <c r="A69">
        <v>5</v>
      </c>
      <c r="B69">
        <v>1</v>
      </c>
      <c r="C69">
        <v>0.2</v>
      </c>
      <c r="D69">
        <v>20</v>
      </c>
      <c r="E69">
        <v>0.94499679133533698</v>
      </c>
      <c r="F69">
        <v>1</v>
      </c>
      <c r="G69">
        <v>30.416339666999999</v>
      </c>
      <c r="H69">
        <v>0.94475964869610396</v>
      </c>
      <c r="I69">
        <v>1</v>
      </c>
      <c r="J69">
        <v>6.2642726999999995E-2</v>
      </c>
      <c r="K69">
        <v>1.0631080985878401</v>
      </c>
      <c r="L69">
        <v>1</v>
      </c>
      <c r="M69">
        <v>36.670556699000002</v>
      </c>
      <c r="N69">
        <v>218490</v>
      </c>
      <c r="O69">
        <v>1.82190855206432E-4</v>
      </c>
      <c r="P69" s="5">
        <v>1.06801212474485</v>
      </c>
      <c r="Q69">
        <v>1</v>
      </c>
      <c r="R69">
        <v>52.794451006000003</v>
      </c>
      <c r="S69">
        <v>1017</v>
      </c>
      <c r="T69">
        <v>1.27798970358014E-4</v>
      </c>
      <c r="U69">
        <v>917</v>
      </c>
      <c r="V69" s="5">
        <v>1.0506481995071599</v>
      </c>
      <c r="W69">
        <v>1</v>
      </c>
      <c r="X69">
        <v>4.2866499400000002</v>
      </c>
      <c r="Y69">
        <v>831</v>
      </c>
      <c r="Z69" s="1">
        <v>3.7972918157182901E-5</v>
      </c>
      <c r="AA69">
        <v>1</v>
      </c>
    </row>
    <row r="70" spans="1:27" x14ac:dyDescent="0.2">
      <c r="A70">
        <v>5</v>
      </c>
      <c r="B70">
        <v>1</v>
      </c>
      <c r="C70">
        <v>0.4</v>
      </c>
      <c r="D70">
        <v>20</v>
      </c>
      <c r="E70">
        <v>0.490120855565711</v>
      </c>
      <c r="F70">
        <v>1</v>
      </c>
      <c r="G70">
        <v>32.341099632000002</v>
      </c>
      <c r="H70">
        <v>0.48280925248189699</v>
      </c>
      <c r="I70">
        <v>1</v>
      </c>
      <c r="J70">
        <v>0.111198749</v>
      </c>
      <c r="K70">
        <v>0.48175705407443697</v>
      </c>
      <c r="L70">
        <v>1</v>
      </c>
      <c r="M70">
        <v>32.148479909999999</v>
      </c>
      <c r="N70">
        <v>279470</v>
      </c>
      <c r="O70">
        <v>7.2863964705272E-4</v>
      </c>
      <c r="P70" s="5">
        <v>0.53456024013201098</v>
      </c>
      <c r="Q70">
        <v>1</v>
      </c>
      <c r="R70">
        <v>59.121104723000002</v>
      </c>
      <c r="S70">
        <v>1449</v>
      </c>
      <c r="T70">
        <v>3.6117816580380399E-4</v>
      </c>
      <c r="U70">
        <v>1195</v>
      </c>
      <c r="V70" s="5">
        <v>0.48141580154605002</v>
      </c>
      <c r="W70">
        <v>1</v>
      </c>
      <c r="X70">
        <v>11.311200301</v>
      </c>
      <c r="Y70">
        <v>1747</v>
      </c>
      <c r="Z70">
        <v>8.1436083306556095E-4</v>
      </c>
      <c r="AA70">
        <v>8</v>
      </c>
    </row>
    <row r="71" spans="1:27" x14ac:dyDescent="0.2">
      <c r="A71">
        <v>5</v>
      </c>
      <c r="B71">
        <v>1</v>
      </c>
      <c r="C71">
        <v>0.4</v>
      </c>
      <c r="D71">
        <v>20</v>
      </c>
      <c r="E71">
        <v>0.28865944559109402</v>
      </c>
      <c r="F71">
        <v>1</v>
      </c>
      <c r="G71">
        <v>36.775491268000003</v>
      </c>
      <c r="H71">
        <v>0.21486691859711601</v>
      </c>
      <c r="I71">
        <v>1</v>
      </c>
      <c r="J71">
        <v>0.247805839</v>
      </c>
      <c r="K71">
        <v>0.20300698129309799</v>
      </c>
      <c r="L71">
        <v>1</v>
      </c>
      <c r="M71">
        <v>6.4794391060000001</v>
      </c>
      <c r="N71">
        <v>15540</v>
      </c>
      <c r="O71">
        <v>2.5165589229683102E-3</v>
      </c>
      <c r="P71" s="5">
        <v>0.20373324762615899</v>
      </c>
      <c r="Q71">
        <v>1</v>
      </c>
      <c r="R71">
        <v>27.700536093</v>
      </c>
      <c r="S71">
        <v>1</v>
      </c>
      <c r="T71">
        <v>1.8837870917970401E-3</v>
      </c>
      <c r="U71">
        <v>4</v>
      </c>
      <c r="V71" s="5">
        <v>0.20373324762615899</v>
      </c>
      <c r="W71">
        <v>1</v>
      </c>
      <c r="X71">
        <v>5.665266237</v>
      </c>
      <c r="Y71">
        <v>1</v>
      </c>
      <c r="Z71">
        <v>1.62669845834345E-3</v>
      </c>
      <c r="AA71">
        <v>1</v>
      </c>
    </row>
    <row r="72" spans="1:27" x14ac:dyDescent="0.2">
      <c r="A72">
        <v>5</v>
      </c>
      <c r="B72">
        <v>1</v>
      </c>
      <c r="C72">
        <v>0.1</v>
      </c>
      <c r="D72">
        <v>20</v>
      </c>
      <c r="E72">
        <v>0.99724646524773697</v>
      </c>
      <c r="F72">
        <v>1</v>
      </c>
      <c r="G72">
        <v>32.636289134000002</v>
      </c>
      <c r="H72">
        <v>0.99724646524773697</v>
      </c>
      <c r="I72">
        <v>1</v>
      </c>
      <c r="J72">
        <v>5.8323818999999999E-2</v>
      </c>
      <c r="K72">
        <v>1.0079081809100401</v>
      </c>
      <c r="L72">
        <v>1</v>
      </c>
      <c r="M72">
        <v>51.232274748999998</v>
      </c>
      <c r="N72">
        <v>691344</v>
      </c>
      <c r="O72" s="1">
        <v>1.4757466059167599E-6</v>
      </c>
      <c r="P72" s="5">
        <v>0.98889389588632304</v>
      </c>
      <c r="Q72">
        <v>1</v>
      </c>
      <c r="R72">
        <v>53.218015256000001</v>
      </c>
      <c r="S72">
        <v>1308</v>
      </c>
      <c r="T72" s="1">
        <v>8.8833765866995399E-7</v>
      </c>
      <c r="U72">
        <v>1282</v>
      </c>
      <c r="V72" s="5">
        <v>0.98925285006783403</v>
      </c>
      <c r="W72">
        <v>1</v>
      </c>
      <c r="X72">
        <v>3.6430552820000002</v>
      </c>
      <c r="Y72">
        <v>567</v>
      </c>
      <c r="Z72" s="1">
        <v>1.8264543871456499E-7</v>
      </c>
      <c r="AA72">
        <v>1</v>
      </c>
    </row>
    <row r="73" spans="1:27" x14ac:dyDescent="0.2">
      <c r="A73">
        <v>5</v>
      </c>
      <c r="B73">
        <v>1</v>
      </c>
      <c r="C73">
        <v>0.2</v>
      </c>
      <c r="D73">
        <v>20</v>
      </c>
      <c r="E73">
        <v>0.50326854764909001</v>
      </c>
      <c r="F73">
        <v>1</v>
      </c>
      <c r="G73">
        <v>31.978872643999999</v>
      </c>
      <c r="H73">
        <v>0.49150198108363302</v>
      </c>
      <c r="I73">
        <v>1</v>
      </c>
      <c r="J73">
        <v>7.7963559000000002E-2</v>
      </c>
      <c r="K73">
        <v>0.49136078959899998</v>
      </c>
      <c r="L73">
        <v>1</v>
      </c>
      <c r="M73">
        <v>8.8272240849999992</v>
      </c>
      <c r="N73">
        <v>48897</v>
      </c>
      <c r="O73">
        <v>1.98111642074616E-4</v>
      </c>
      <c r="P73" s="5">
        <v>0.51916623608674395</v>
      </c>
      <c r="Q73">
        <v>1</v>
      </c>
      <c r="R73">
        <v>97.245221877999995</v>
      </c>
      <c r="S73">
        <v>2881</v>
      </c>
      <c r="T73" s="1">
        <v>2.1415134498055299E-5</v>
      </c>
      <c r="U73">
        <v>2360</v>
      </c>
      <c r="V73" s="5">
        <v>0.49391383635276098</v>
      </c>
      <c r="W73">
        <v>1</v>
      </c>
      <c r="X73">
        <v>5.7555282769999998</v>
      </c>
      <c r="Y73">
        <v>131</v>
      </c>
      <c r="Z73">
        <v>1.5266398368994901E-4</v>
      </c>
      <c r="AA73">
        <v>3</v>
      </c>
    </row>
    <row r="74" spans="1:27" x14ac:dyDescent="0.2">
      <c r="A74">
        <v>5</v>
      </c>
      <c r="B74">
        <v>1</v>
      </c>
      <c r="C74">
        <v>0.1</v>
      </c>
      <c r="D74">
        <v>20</v>
      </c>
      <c r="E74">
        <v>0.89554465866255994</v>
      </c>
      <c r="F74">
        <v>1</v>
      </c>
      <c r="G74">
        <v>35.834132578000002</v>
      </c>
      <c r="H74">
        <v>0.89554465866255994</v>
      </c>
      <c r="I74">
        <v>1</v>
      </c>
      <c r="J74">
        <v>6.1400652E-2</v>
      </c>
      <c r="K74">
        <v>1.0834357531062699</v>
      </c>
      <c r="L74">
        <v>1</v>
      </c>
      <c r="M74">
        <v>14.945372531</v>
      </c>
      <c r="N74">
        <v>52758</v>
      </c>
      <c r="O74">
        <v>1.08306672746527E-4</v>
      </c>
      <c r="P74" s="5">
        <v>1.0883313245965101</v>
      </c>
      <c r="Q74">
        <v>1</v>
      </c>
      <c r="R74">
        <v>76.750761002999994</v>
      </c>
      <c r="S74">
        <v>1117</v>
      </c>
      <c r="T74" s="1">
        <v>2.8355127645804301E-6</v>
      </c>
      <c r="U74">
        <v>1100</v>
      </c>
      <c r="V74" s="5">
        <v>0.78077577425824796</v>
      </c>
      <c r="W74">
        <v>1</v>
      </c>
      <c r="X74">
        <v>5.7924995099999999</v>
      </c>
      <c r="Y74">
        <v>315</v>
      </c>
      <c r="Z74" s="1">
        <v>6.3151905233239895E-5</v>
      </c>
      <c r="AA74">
        <v>1</v>
      </c>
    </row>
    <row r="75" spans="1:27" x14ac:dyDescent="0.2">
      <c r="A75">
        <v>5</v>
      </c>
      <c r="B75">
        <v>1</v>
      </c>
      <c r="C75">
        <v>0.1</v>
      </c>
      <c r="D75">
        <v>20</v>
      </c>
      <c r="E75">
        <v>0.98967046257458302</v>
      </c>
      <c r="F75">
        <v>1</v>
      </c>
      <c r="G75">
        <v>31.594605596000001</v>
      </c>
      <c r="H75">
        <v>0.98967046257458302</v>
      </c>
      <c r="I75">
        <v>1</v>
      </c>
      <c r="J75">
        <v>5.6900198999999999E-2</v>
      </c>
      <c r="K75">
        <v>0.98317650783942201</v>
      </c>
      <c r="L75">
        <v>1</v>
      </c>
      <c r="M75">
        <v>46.402968045000001</v>
      </c>
      <c r="N75">
        <v>305610</v>
      </c>
      <c r="O75" s="1">
        <v>3.8931694612831499E-6</v>
      </c>
      <c r="P75" s="5">
        <v>0.98473775525846197</v>
      </c>
      <c r="Q75">
        <v>1</v>
      </c>
      <c r="R75">
        <v>77.880938142999995</v>
      </c>
      <c r="S75">
        <v>1011</v>
      </c>
      <c r="T75" s="1">
        <v>2.51084081363914E-6</v>
      </c>
      <c r="U75">
        <v>999</v>
      </c>
      <c r="V75" s="5">
        <v>0.981544400760331</v>
      </c>
      <c r="W75">
        <v>1</v>
      </c>
      <c r="X75">
        <v>3.711802075</v>
      </c>
      <c r="Y75">
        <v>255</v>
      </c>
      <c r="Z75" s="1">
        <v>1.1582224770925899E-6</v>
      </c>
      <c r="AA75">
        <v>1</v>
      </c>
    </row>
    <row r="76" spans="1:27" x14ac:dyDescent="0.2">
      <c r="A76">
        <v>5</v>
      </c>
      <c r="B76">
        <v>1</v>
      </c>
      <c r="C76">
        <v>0.1</v>
      </c>
      <c r="D76">
        <v>20</v>
      </c>
      <c r="E76">
        <v>0.99935205466444699</v>
      </c>
      <c r="F76">
        <v>1</v>
      </c>
      <c r="G76">
        <v>35.790450004999997</v>
      </c>
      <c r="H76">
        <v>0.99935205466444699</v>
      </c>
      <c r="I76">
        <v>1</v>
      </c>
      <c r="J76">
        <v>6.4232708999999999E-2</v>
      </c>
      <c r="K76">
        <v>1.0016788894399</v>
      </c>
      <c r="L76">
        <v>1</v>
      </c>
      <c r="M76">
        <v>43.233538052</v>
      </c>
      <c r="N76">
        <v>417191</v>
      </c>
      <c r="O76" s="1">
        <v>9.0628701263084593E-6</v>
      </c>
      <c r="P76" s="5">
        <v>0.99809887905815498</v>
      </c>
      <c r="Q76">
        <v>1</v>
      </c>
      <c r="R76">
        <v>80.112476091999994</v>
      </c>
      <c r="S76">
        <v>1478</v>
      </c>
      <c r="T76" s="1">
        <v>3.4713981031670801E-6</v>
      </c>
      <c r="U76">
        <v>1451</v>
      </c>
      <c r="V76" s="5">
        <v>0.99913059979621699</v>
      </c>
      <c r="W76">
        <v>1</v>
      </c>
      <c r="X76">
        <v>4.315433209</v>
      </c>
      <c r="Y76">
        <v>1011</v>
      </c>
      <c r="Z76" s="1">
        <v>1.00697767940922E-10</v>
      </c>
      <c r="AA76">
        <v>1</v>
      </c>
    </row>
    <row r="77" spans="1:27" x14ac:dyDescent="0.2">
      <c r="A77">
        <v>5</v>
      </c>
      <c r="B77">
        <v>1</v>
      </c>
      <c r="C77">
        <v>0.1</v>
      </c>
      <c r="D77">
        <v>20</v>
      </c>
      <c r="E77">
        <v>0.97639838020290204</v>
      </c>
      <c r="F77">
        <v>1</v>
      </c>
      <c r="G77">
        <v>37.930381517999997</v>
      </c>
      <c r="H77">
        <v>0.97639838020290204</v>
      </c>
      <c r="I77">
        <v>1</v>
      </c>
      <c r="J77">
        <v>9.6032175999999997E-2</v>
      </c>
      <c r="K77">
        <v>0.96609670840380102</v>
      </c>
      <c r="L77">
        <v>1</v>
      </c>
      <c r="M77">
        <v>12.915302719</v>
      </c>
      <c r="N77">
        <v>78786</v>
      </c>
      <c r="O77" s="1">
        <v>3.2264220224398303E-5</v>
      </c>
      <c r="P77" s="5">
        <v>0.96548982959464502</v>
      </c>
      <c r="Q77">
        <v>1</v>
      </c>
      <c r="R77">
        <v>46.904493744</v>
      </c>
      <c r="S77">
        <v>471</v>
      </c>
      <c r="T77" s="1">
        <v>2.7271635663032699E-5</v>
      </c>
      <c r="U77">
        <v>470</v>
      </c>
      <c r="V77" s="5">
        <v>0.99998000811980503</v>
      </c>
      <c r="W77">
        <v>1</v>
      </c>
      <c r="X77">
        <v>6.4297901519999998</v>
      </c>
      <c r="Y77">
        <v>2900</v>
      </c>
      <c r="Z77" s="1">
        <v>2.38337826731493E-9</v>
      </c>
      <c r="AA77">
        <v>1</v>
      </c>
    </row>
    <row r="78" spans="1:27" x14ac:dyDescent="0.2">
      <c r="A78">
        <v>5</v>
      </c>
      <c r="B78">
        <v>1</v>
      </c>
      <c r="C78">
        <v>0.4</v>
      </c>
      <c r="D78">
        <v>20</v>
      </c>
      <c r="E78">
        <v>0.90695474929591302</v>
      </c>
      <c r="F78">
        <v>1</v>
      </c>
      <c r="G78">
        <v>31.285789068</v>
      </c>
      <c r="H78">
        <v>0.90687294001151297</v>
      </c>
      <c r="I78">
        <v>1</v>
      </c>
      <c r="J78">
        <v>6.7906349000000005E-2</v>
      </c>
      <c r="K78">
        <v>0.90690111483899405</v>
      </c>
      <c r="L78">
        <v>1</v>
      </c>
      <c r="M78">
        <v>5.4221398340000002</v>
      </c>
      <c r="N78">
        <v>32472</v>
      </c>
      <c r="O78">
        <v>7.3068305016477098E-4</v>
      </c>
      <c r="P78" s="5">
        <v>0.90533348756006804</v>
      </c>
      <c r="Q78">
        <v>1</v>
      </c>
      <c r="R78">
        <v>18.266489066999998</v>
      </c>
      <c r="S78">
        <v>1</v>
      </c>
      <c r="T78">
        <v>4.3279883595244401E-4</v>
      </c>
      <c r="U78">
        <v>4</v>
      </c>
      <c r="V78" s="5">
        <v>0.90533348756006804</v>
      </c>
      <c r="W78">
        <v>1</v>
      </c>
      <c r="X78">
        <v>3.5683408679999999</v>
      </c>
      <c r="Y78">
        <v>1</v>
      </c>
      <c r="Z78">
        <v>6.0499691385368305E-4</v>
      </c>
      <c r="AA78">
        <v>1</v>
      </c>
    </row>
    <row r="79" spans="1:27" x14ac:dyDescent="0.2">
      <c r="A79">
        <v>5</v>
      </c>
      <c r="B79">
        <v>1</v>
      </c>
      <c r="C79">
        <v>0.3</v>
      </c>
      <c r="D79">
        <v>20</v>
      </c>
      <c r="E79">
        <v>0.85698319254398803</v>
      </c>
      <c r="F79">
        <v>1</v>
      </c>
      <c r="G79">
        <v>38.062195936999998</v>
      </c>
      <c r="H79">
        <v>0.85664048858471298</v>
      </c>
      <c r="I79">
        <v>1</v>
      </c>
      <c r="J79">
        <v>9.5549832000000001E-2</v>
      </c>
      <c r="K79">
        <v>0.85660006087391405</v>
      </c>
      <c r="L79">
        <v>1</v>
      </c>
      <c r="M79">
        <v>22.391898684000001</v>
      </c>
      <c r="N79">
        <v>89231</v>
      </c>
      <c r="O79">
        <v>1.1369016027984399E-4</v>
      </c>
      <c r="P79" s="5">
        <v>0.86049410967544004</v>
      </c>
      <c r="Q79">
        <v>1</v>
      </c>
      <c r="R79">
        <v>48.541648489000004</v>
      </c>
      <c r="S79">
        <v>695</v>
      </c>
      <c r="T79" s="1">
        <v>2.2379839063502099E-5</v>
      </c>
      <c r="U79">
        <v>549</v>
      </c>
      <c r="V79" s="5">
        <v>0.85627515201037296</v>
      </c>
      <c r="W79">
        <v>1</v>
      </c>
      <c r="X79">
        <v>5.4926072960000001</v>
      </c>
      <c r="Y79">
        <v>89</v>
      </c>
      <c r="Z79">
        <v>1.08072667094507E-4</v>
      </c>
      <c r="AA79">
        <v>1</v>
      </c>
    </row>
    <row r="80" spans="1:27" x14ac:dyDescent="0.2">
      <c r="A80">
        <v>5</v>
      </c>
      <c r="B80">
        <v>1</v>
      </c>
      <c r="C80">
        <v>0.1</v>
      </c>
      <c r="D80">
        <v>20</v>
      </c>
      <c r="E80">
        <v>0.93657340185534699</v>
      </c>
      <c r="F80">
        <v>1</v>
      </c>
      <c r="G80">
        <v>37.882545038000004</v>
      </c>
      <c r="H80">
        <v>0.93657340185535298</v>
      </c>
      <c r="I80">
        <v>1</v>
      </c>
      <c r="J80">
        <v>9.8503438999999998E-2</v>
      </c>
      <c r="K80">
        <v>1.0149913773947701</v>
      </c>
      <c r="L80">
        <v>1</v>
      </c>
      <c r="M80">
        <v>12.577127517999999</v>
      </c>
      <c r="N80">
        <v>42993</v>
      </c>
      <c r="O80" s="1">
        <v>5.4400201719428902E-5</v>
      </c>
      <c r="P80" s="5">
        <v>1.0042556818585999</v>
      </c>
      <c r="Q80">
        <v>1</v>
      </c>
      <c r="R80">
        <v>34.552993903000001</v>
      </c>
      <c r="S80">
        <v>171</v>
      </c>
      <c r="T80" s="1">
        <v>5.0200642056789903E-5</v>
      </c>
      <c r="U80">
        <v>177</v>
      </c>
      <c r="V80" s="5">
        <v>0.878662620904619</v>
      </c>
      <c r="W80">
        <v>1</v>
      </c>
      <c r="X80">
        <v>4.9503204849999998</v>
      </c>
      <c r="Y80">
        <v>207</v>
      </c>
      <c r="Z80" s="1">
        <v>5.5446381708817099E-5</v>
      </c>
      <c r="AA80">
        <v>1</v>
      </c>
    </row>
    <row r="81" spans="1:27" x14ac:dyDescent="0.2">
      <c r="A81">
        <v>5</v>
      </c>
      <c r="B81">
        <v>1</v>
      </c>
      <c r="C81">
        <v>0.3</v>
      </c>
      <c r="D81">
        <v>20</v>
      </c>
      <c r="E81">
        <v>0.42851504310199401</v>
      </c>
      <c r="F81">
        <v>1</v>
      </c>
      <c r="G81">
        <v>38.588649912000001</v>
      </c>
      <c r="H81">
        <v>0.419691366290043</v>
      </c>
      <c r="I81">
        <v>1</v>
      </c>
      <c r="J81">
        <v>0.222280952</v>
      </c>
      <c r="K81">
        <v>0.41977399208319399</v>
      </c>
      <c r="L81">
        <v>1</v>
      </c>
      <c r="M81">
        <v>21.091503926000001</v>
      </c>
      <c r="N81">
        <v>54780</v>
      </c>
      <c r="O81">
        <v>3.73461536406161E-3</v>
      </c>
      <c r="P81" s="5">
        <v>0.41805267819805197</v>
      </c>
      <c r="Q81">
        <v>1</v>
      </c>
      <c r="R81">
        <v>26.589704834999999</v>
      </c>
      <c r="S81">
        <v>1</v>
      </c>
      <c r="T81">
        <v>2.0870561001229402E-3</v>
      </c>
      <c r="U81">
        <v>2</v>
      </c>
      <c r="V81" s="5">
        <v>0.41805267819805197</v>
      </c>
      <c r="W81">
        <v>1</v>
      </c>
      <c r="X81">
        <v>5.7363730479999999</v>
      </c>
      <c r="Y81">
        <v>1</v>
      </c>
      <c r="Z81">
        <v>2.02502569616053E-3</v>
      </c>
      <c r="AA81">
        <v>1</v>
      </c>
    </row>
    <row r="82" spans="1:27" x14ac:dyDescent="0.2">
      <c r="A82">
        <v>5</v>
      </c>
      <c r="B82">
        <v>1</v>
      </c>
      <c r="C82">
        <v>0.4</v>
      </c>
      <c r="D82">
        <v>20</v>
      </c>
      <c r="E82">
        <v>9.8284078928069701E-2</v>
      </c>
      <c r="F82">
        <v>1</v>
      </c>
      <c r="G82">
        <v>39.324598895999998</v>
      </c>
      <c r="H82">
        <v>0.13165253923237599</v>
      </c>
      <c r="I82">
        <v>1</v>
      </c>
      <c r="J82">
        <v>0.130599034</v>
      </c>
      <c r="K82">
        <v>0.130407871127732</v>
      </c>
      <c r="L82">
        <v>1</v>
      </c>
      <c r="M82">
        <v>35.893970736</v>
      </c>
      <c r="N82">
        <v>74322</v>
      </c>
      <c r="O82">
        <v>2.5855755094754602E-3</v>
      </c>
      <c r="P82" s="5">
        <v>0.11868950327137499</v>
      </c>
      <c r="Q82">
        <v>1</v>
      </c>
      <c r="R82">
        <v>23.240912606999999</v>
      </c>
      <c r="S82">
        <v>1</v>
      </c>
      <c r="T82">
        <v>2.5174340656670601E-3</v>
      </c>
      <c r="U82">
        <v>2</v>
      </c>
      <c r="V82" s="5">
        <v>0.11868950327137601</v>
      </c>
      <c r="W82">
        <v>1</v>
      </c>
      <c r="X82">
        <v>6.3072434919999996</v>
      </c>
      <c r="Y82">
        <v>1</v>
      </c>
      <c r="Z82">
        <v>7.6795346609759198E-4</v>
      </c>
      <c r="AA82">
        <v>1</v>
      </c>
    </row>
    <row r="83" spans="1:27" x14ac:dyDescent="0.2">
      <c r="A83">
        <v>5</v>
      </c>
      <c r="B83">
        <v>1</v>
      </c>
      <c r="C83">
        <v>0.2</v>
      </c>
      <c r="D83">
        <v>20</v>
      </c>
      <c r="E83">
        <v>0.79178044327667896</v>
      </c>
      <c r="F83">
        <v>1</v>
      </c>
      <c r="G83">
        <v>40.092314547000001</v>
      </c>
      <c r="H83">
        <v>0.77647304208641899</v>
      </c>
      <c r="I83">
        <v>1</v>
      </c>
      <c r="J83">
        <v>0.17293217699999999</v>
      </c>
      <c r="K83">
        <v>0.73743633174724299</v>
      </c>
      <c r="L83">
        <v>1</v>
      </c>
      <c r="M83">
        <v>16.197325762999998</v>
      </c>
      <c r="N83">
        <v>17386</v>
      </c>
      <c r="O83">
        <v>1.3135147919669499E-3</v>
      </c>
      <c r="P83" s="5">
        <v>0.81963941222985304</v>
      </c>
      <c r="Q83">
        <v>1</v>
      </c>
      <c r="R83">
        <v>61.556449405999999</v>
      </c>
      <c r="S83">
        <v>829</v>
      </c>
      <c r="T83">
        <v>1.1589243830899801E-3</v>
      </c>
      <c r="U83">
        <v>816</v>
      </c>
      <c r="V83" s="5">
        <v>0.73145037166507798</v>
      </c>
      <c r="W83">
        <v>1</v>
      </c>
      <c r="X83">
        <v>5.5512709559999998</v>
      </c>
      <c r="Y83">
        <v>387</v>
      </c>
      <c r="Z83">
        <v>1.27284566360896E-3</v>
      </c>
      <c r="AA83">
        <v>1</v>
      </c>
    </row>
    <row r="84" spans="1:27" x14ac:dyDescent="0.2">
      <c r="A84">
        <v>5</v>
      </c>
      <c r="B84">
        <v>1</v>
      </c>
      <c r="C84">
        <v>0.2</v>
      </c>
      <c r="D84">
        <v>20</v>
      </c>
      <c r="E84">
        <v>0.95569702941211498</v>
      </c>
      <c r="F84">
        <v>1</v>
      </c>
      <c r="G84">
        <v>31.638084741</v>
      </c>
      <c r="H84">
        <v>0.95529568746039695</v>
      </c>
      <c r="I84">
        <v>1</v>
      </c>
      <c r="J84">
        <v>7.8156212000000003E-2</v>
      </c>
      <c r="K84">
        <v>0.97341827298859696</v>
      </c>
      <c r="L84">
        <v>1</v>
      </c>
      <c r="M84">
        <v>265.01729476999998</v>
      </c>
      <c r="N84">
        <v>899366</v>
      </c>
      <c r="O84">
        <v>2.4734724340480502E-4</v>
      </c>
      <c r="P84" s="5">
        <v>0.97560480193833099</v>
      </c>
      <c r="Q84">
        <v>1</v>
      </c>
      <c r="R84">
        <v>82.146441894000006</v>
      </c>
      <c r="S84">
        <v>2008</v>
      </c>
      <c r="T84" s="1">
        <v>3.94832849569606E-6</v>
      </c>
      <c r="U84">
        <v>1846</v>
      </c>
      <c r="V84" s="5">
        <v>0.97350216248469801</v>
      </c>
      <c r="W84">
        <v>1</v>
      </c>
      <c r="X84">
        <v>4.4715307849999997</v>
      </c>
      <c r="Y84">
        <v>1694</v>
      </c>
      <c r="Z84" s="1">
        <v>5.50284256753373E-5</v>
      </c>
      <c r="AA84">
        <v>1</v>
      </c>
    </row>
    <row r="85" spans="1:27" x14ac:dyDescent="0.2">
      <c r="A85">
        <v>5</v>
      </c>
      <c r="B85">
        <v>1</v>
      </c>
      <c r="C85">
        <v>0.2</v>
      </c>
      <c r="D85">
        <v>20</v>
      </c>
      <c r="E85">
        <v>0.73198713904753299</v>
      </c>
      <c r="F85">
        <v>1</v>
      </c>
      <c r="G85">
        <v>37.701579037000002</v>
      </c>
      <c r="H85">
        <v>0.73198716717379197</v>
      </c>
      <c r="I85">
        <v>1</v>
      </c>
      <c r="J85">
        <v>7.2598884000000002E-2</v>
      </c>
      <c r="K85">
        <v>0.90975883863088003</v>
      </c>
      <c r="L85">
        <v>1</v>
      </c>
      <c r="M85">
        <v>6.5179037830000004</v>
      </c>
      <c r="N85">
        <v>16848</v>
      </c>
      <c r="O85">
        <v>5.7523877019693905E-4</v>
      </c>
      <c r="P85" s="5">
        <v>0.65032235840527497</v>
      </c>
      <c r="Q85">
        <v>1</v>
      </c>
      <c r="R85">
        <v>287.10749495699997</v>
      </c>
      <c r="S85">
        <v>5236</v>
      </c>
      <c r="T85" s="1">
        <v>1.2501353979788001E-9</v>
      </c>
      <c r="U85">
        <v>5200</v>
      </c>
      <c r="V85" s="5">
        <v>0.64388919243595799</v>
      </c>
      <c r="W85">
        <v>1</v>
      </c>
      <c r="X85">
        <v>5.4031164929999997</v>
      </c>
      <c r="Y85">
        <v>627</v>
      </c>
      <c r="Z85" s="1">
        <v>1.8538500208595201E-5</v>
      </c>
      <c r="AA85">
        <v>1</v>
      </c>
    </row>
    <row r="86" spans="1:27" x14ac:dyDescent="0.2">
      <c r="A86">
        <v>5</v>
      </c>
      <c r="B86">
        <v>1</v>
      </c>
      <c r="C86">
        <v>0.4</v>
      </c>
      <c r="D86">
        <v>20</v>
      </c>
      <c r="E86">
        <v>0.29685532278412902</v>
      </c>
      <c r="F86">
        <v>1</v>
      </c>
      <c r="G86">
        <v>31.550826435000001</v>
      </c>
      <c r="H86">
        <v>0.15333776186850101</v>
      </c>
      <c r="I86">
        <v>1</v>
      </c>
      <c r="J86">
        <v>7.8986683000000002E-2</v>
      </c>
      <c r="K86">
        <v>0.152281155730253</v>
      </c>
      <c r="L86">
        <v>1</v>
      </c>
      <c r="M86">
        <v>310.56709880599999</v>
      </c>
      <c r="N86">
        <v>2998696</v>
      </c>
      <c r="O86">
        <v>2.23889746210237E-4</v>
      </c>
      <c r="P86" s="5">
        <v>0.22321573190591401</v>
      </c>
      <c r="Q86">
        <v>1</v>
      </c>
      <c r="R86">
        <v>117.174550814</v>
      </c>
      <c r="S86">
        <v>3938</v>
      </c>
      <c r="T86">
        <v>1.95726227724294E-4</v>
      </c>
      <c r="U86">
        <v>3310</v>
      </c>
      <c r="V86" s="5">
        <v>0.229035040111956</v>
      </c>
      <c r="W86">
        <v>1</v>
      </c>
      <c r="X86">
        <v>4.4092917199999997</v>
      </c>
      <c r="Y86">
        <v>550</v>
      </c>
      <c r="Z86">
        <v>1.09372249651825E-3</v>
      </c>
      <c r="AA86">
        <v>2</v>
      </c>
    </row>
    <row r="87" spans="1:27" x14ac:dyDescent="0.2">
      <c r="A87">
        <v>5</v>
      </c>
      <c r="B87">
        <v>1</v>
      </c>
      <c r="C87">
        <v>0.3</v>
      </c>
      <c r="D87">
        <v>20</v>
      </c>
      <c r="E87">
        <v>0.97838261101943202</v>
      </c>
      <c r="F87">
        <v>1</v>
      </c>
      <c r="G87">
        <v>31.518692749</v>
      </c>
      <c r="H87">
        <v>0.97838261101943202</v>
      </c>
      <c r="I87">
        <v>1</v>
      </c>
      <c r="J87">
        <v>5.3792921E-2</v>
      </c>
      <c r="K87">
        <v>1.1369815328695301</v>
      </c>
      <c r="L87">
        <v>1</v>
      </c>
      <c r="M87">
        <v>3600.425315643</v>
      </c>
      <c r="N87">
        <v>20164170</v>
      </c>
      <c r="O87">
        <v>2.5642628639244099E-4</v>
      </c>
      <c r="P87" s="5">
        <v>0.88615253701185803</v>
      </c>
      <c r="Q87">
        <v>1</v>
      </c>
      <c r="R87">
        <v>102.04217308299999</v>
      </c>
      <c r="S87">
        <v>3535</v>
      </c>
      <c r="T87" s="1">
        <v>2.8990676437367399E-6</v>
      </c>
      <c r="U87">
        <v>2928</v>
      </c>
      <c r="V87" s="5">
        <v>0.78419186217329495</v>
      </c>
      <c r="W87">
        <v>1</v>
      </c>
      <c r="X87">
        <v>5.6266901599999999</v>
      </c>
      <c r="Y87">
        <v>1675</v>
      </c>
      <c r="Z87" s="1">
        <v>2.44616569111677E-6</v>
      </c>
      <c r="AA87">
        <v>3</v>
      </c>
    </row>
    <row r="88" spans="1:27" x14ac:dyDescent="0.2">
      <c r="A88">
        <v>5</v>
      </c>
      <c r="B88">
        <v>1</v>
      </c>
      <c r="C88">
        <v>0.3</v>
      </c>
      <c r="D88">
        <v>20</v>
      </c>
      <c r="E88">
        <v>0.70814501069901103</v>
      </c>
      <c r="F88">
        <v>1</v>
      </c>
      <c r="G88">
        <v>33.896858019</v>
      </c>
      <c r="H88">
        <v>0.836020063187217</v>
      </c>
      <c r="I88">
        <v>1</v>
      </c>
      <c r="J88">
        <v>0.131851827</v>
      </c>
      <c r="K88">
        <v>0.85218373866973995</v>
      </c>
      <c r="L88">
        <v>1</v>
      </c>
      <c r="M88">
        <v>3600.5574199729999</v>
      </c>
      <c r="N88">
        <v>23971947</v>
      </c>
      <c r="O88">
        <v>5.3139229908516397E-4</v>
      </c>
      <c r="P88" s="5">
        <v>1.1408099342524001</v>
      </c>
      <c r="Q88">
        <v>1</v>
      </c>
      <c r="R88">
        <v>100.332216175</v>
      </c>
      <c r="S88">
        <v>3050</v>
      </c>
      <c r="T88">
        <v>1.6797045564743201E-4</v>
      </c>
      <c r="U88">
        <v>2689</v>
      </c>
      <c r="V88" s="5">
        <v>0.89020861892912295</v>
      </c>
      <c r="W88">
        <v>1</v>
      </c>
      <c r="X88">
        <v>60.216629668000003</v>
      </c>
      <c r="Y88">
        <v>12760</v>
      </c>
      <c r="Z88" s="1">
        <v>9.6204423672280292E-6</v>
      </c>
      <c r="AA88">
        <v>20</v>
      </c>
    </row>
    <row r="89" spans="1:27" x14ac:dyDescent="0.2">
      <c r="A89">
        <v>10</v>
      </c>
      <c r="B89">
        <v>1</v>
      </c>
      <c r="C89">
        <v>0.3</v>
      </c>
      <c r="D89">
        <v>20</v>
      </c>
      <c r="E89">
        <v>0.14798160336869001</v>
      </c>
      <c r="F89">
        <v>1</v>
      </c>
      <c r="G89">
        <v>30.108409852000001</v>
      </c>
      <c r="H89">
        <v>0.15708077286841199</v>
      </c>
      <c r="I89">
        <v>1</v>
      </c>
      <c r="J89">
        <v>6.0403181E-2</v>
      </c>
      <c r="K89">
        <v>0.15678612283819199</v>
      </c>
      <c r="L89">
        <v>1</v>
      </c>
      <c r="M89">
        <v>3600.5988812099999</v>
      </c>
      <c r="N89">
        <v>1065195</v>
      </c>
      <c r="O89">
        <v>1.05670526365138E-2</v>
      </c>
      <c r="P89" s="5">
        <v>0.114887962030913</v>
      </c>
      <c r="Q89">
        <v>1</v>
      </c>
      <c r="R89">
        <v>19.473029255</v>
      </c>
      <c r="S89">
        <v>1</v>
      </c>
      <c r="T89">
        <v>7.2020593097604703E-4</v>
      </c>
      <c r="U89">
        <v>4</v>
      </c>
      <c r="V89" s="5">
        <v>0.114331413633394</v>
      </c>
      <c r="W89">
        <v>1</v>
      </c>
      <c r="X89">
        <v>10.507607590999999</v>
      </c>
      <c r="Y89">
        <v>3042</v>
      </c>
      <c r="Z89" s="1">
        <v>9.1027363675083505E-5</v>
      </c>
      <c r="AA89">
        <v>1</v>
      </c>
    </row>
    <row r="90" spans="1:27" x14ac:dyDescent="0.2">
      <c r="A90">
        <v>10</v>
      </c>
      <c r="B90">
        <v>1</v>
      </c>
      <c r="C90">
        <v>0.1</v>
      </c>
      <c r="D90">
        <v>20</v>
      </c>
      <c r="E90">
        <v>0.96485018158463398</v>
      </c>
      <c r="F90">
        <v>1</v>
      </c>
      <c r="G90">
        <v>29.096417458000001</v>
      </c>
      <c r="H90">
        <v>0.96481586149255605</v>
      </c>
      <c r="I90">
        <v>1</v>
      </c>
      <c r="J90">
        <v>4.7327978E-2</v>
      </c>
      <c r="K90">
        <v>0.86966306546892203</v>
      </c>
      <c r="L90">
        <v>1</v>
      </c>
      <c r="M90">
        <v>3600.542338834</v>
      </c>
      <c r="N90">
        <v>1231345</v>
      </c>
      <c r="O90">
        <v>6.5313904964071398E-2</v>
      </c>
      <c r="P90" s="5">
        <v>1.23446966496193</v>
      </c>
      <c r="Q90">
        <v>1</v>
      </c>
      <c r="R90">
        <v>557.71541589399999</v>
      </c>
      <c r="S90">
        <v>12194</v>
      </c>
      <c r="T90" s="1">
        <v>1.3187128222735801E-7</v>
      </c>
      <c r="U90">
        <v>12187</v>
      </c>
      <c r="V90" s="5">
        <v>1.03222300961396</v>
      </c>
      <c r="W90">
        <v>1</v>
      </c>
      <c r="X90">
        <v>6.7367523560000002</v>
      </c>
      <c r="Y90">
        <v>7372</v>
      </c>
      <c r="Z90" s="1">
        <v>4.38310457695489E-6</v>
      </c>
      <c r="AA90">
        <v>1</v>
      </c>
    </row>
    <row r="91" spans="1:27" x14ac:dyDescent="0.2">
      <c r="A91">
        <v>10</v>
      </c>
      <c r="B91">
        <v>1</v>
      </c>
      <c r="C91">
        <v>0.4</v>
      </c>
      <c r="D91">
        <v>20</v>
      </c>
      <c r="E91">
        <v>0.34212962682043002</v>
      </c>
      <c r="F91">
        <v>1</v>
      </c>
      <c r="G91">
        <v>35.106648950999997</v>
      </c>
      <c r="H91">
        <v>0.273032541510563</v>
      </c>
      <c r="I91">
        <v>1</v>
      </c>
      <c r="J91">
        <v>0.26319561400000002</v>
      </c>
      <c r="K91">
        <v>0.27342859323757301</v>
      </c>
      <c r="L91">
        <v>1</v>
      </c>
      <c r="M91">
        <v>3601.0011757550001</v>
      </c>
      <c r="N91">
        <v>696239</v>
      </c>
      <c r="O91">
        <v>0.12397083693019401</v>
      </c>
      <c r="P91" s="5">
        <v>0.34863323555412801</v>
      </c>
      <c r="Q91">
        <v>1</v>
      </c>
      <c r="R91">
        <v>357.903612942</v>
      </c>
      <c r="S91">
        <v>8072</v>
      </c>
      <c r="T91">
        <v>1.1168123505316201E-2</v>
      </c>
      <c r="U91">
        <v>6396</v>
      </c>
      <c r="V91" s="5">
        <v>0.35067782606515102</v>
      </c>
      <c r="W91">
        <v>1</v>
      </c>
      <c r="X91">
        <v>2270.6751923729998</v>
      </c>
      <c r="Y91">
        <v>95331</v>
      </c>
      <c r="Z91">
        <v>5.5779234952768597E-3</v>
      </c>
      <c r="AA91">
        <v>20</v>
      </c>
    </row>
    <row r="92" spans="1:27" x14ac:dyDescent="0.2">
      <c r="A92">
        <v>10</v>
      </c>
      <c r="B92">
        <v>1</v>
      </c>
      <c r="C92">
        <v>0.4</v>
      </c>
      <c r="D92">
        <v>20</v>
      </c>
      <c r="E92">
        <v>0.139444394591832</v>
      </c>
      <c r="F92">
        <v>1</v>
      </c>
      <c r="G92">
        <v>34.839075575999999</v>
      </c>
      <c r="H92">
        <v>0.14012716650846599</v>
      </c>
      <c r="I92">
        <v>1</v>
      </c>
      <c r="J92">
        <v>6.9271795999999997E-2</v>
      </c>
      <c r="K92">
        <v>0.13552117723765</v>
      </c>
      <c r="L92">
        <v>1</v>
      </c>
      <c r="M92">
        <v>3601.1270945890001</v>
      </c>
      <c r="N92">
        <v>981842</v>
      </c>
      <c r="O92">
        <v>2.4790322580351101E-2</v>
      </c>
      <c r="P92" s="5">
        <v>0.126174981144556</v>
      </c>
      <c r="Q92">
        <v>1</v>
      </c>
      <c r="R92">
        <v>23.153293960999999</v>
      </c>
      <c r="S92">
        <v>45</v>
      </c>
      <c r="T92">
        <v>6.4460725130910303E-3</v>
      </c>
      <c r="U92">
        <v>33</v>
      </c>
      <c r="V92" s="5">
        <v>0.122547824277773</v>
      </c>
      <c r="W92">
        <v>1</v>
      </c>
      <c r="X92">
        <v>8.9856338999999998</v>
      </c>
      <c r="Y92">
        <v>4016</v>
      </c>
      <c r="Z92">
        <v>3.5366126619469302E-3</v>
      </c>
      <c r="AA92">
        <v>1</v>
      </c>
    </row>
    <row r="93" spans="1:27" x14ac:dyDescent="0.2">
      <c r="A93">
        <v>10</v>
      </c>
      <c r="B93">
        <v>1</v>
      </c>
      <c r="C93">
        <v>0.2</v>
      </c>
      <c r="D93">
        <v>20</v>
      </c>
      <c r="E93">
        <v>0.84650819637640395</v>
      </c>
      <c r="F93">
        <v>1</v>
      </c>
      <c r="G93">
        <v>43.485891287999998</v>
      </c>
      <c r="H93">
        <v>0.78817829942933904</v>
      </c>
      <c r="I93">
        <v>1</v>
      </c>
      <c r="J93">
        <v>0.116760979</v>
      </c>
      <c r="K93">
        <v>1.1727038747054099</v>
      </c>
      <c r="L93">
        <v>1</v>
      </c>
      <c r="M93">
        <v>3601.804773071</v>
      </c>
      <c r="N93">
        <v>663273</v>
      </c>
      <c r="O93">
        <v>8.5166809425585299E-2</v>
      </c>
      <c r="P93" s="5">
        <v>0.49690869264083698</v>
      </c>
      <c r="Q93">
        <v>1</v>
      </c>
      <c r="R93">
        <v>438.64948235399999</v>
      </c>
      <c r="S93">
        <v>6145</v>
      </c>
      <c r="T93">
        <v>3.0948151728828399E-3</v>
      </c>
      <c r="U93">
        <v>4648</v>
      </c>
      <c r="V93" s="5">
        <v>0.47044486145199499</v>
      </c>
      <c r="W93">
        <v>1</v>
      </c>
      <c r="X93">
        <v>2362.5501822689998</v>
      </c>
      <c r="Y93">
        <v>59380</v>
      </c>
      <c r="Z93">
        <v>9.1710389793647207E-3</v>
      </c>
      <c r="AA93">
        <v>20</v>
      </c>
    </row>
    <row r="94" spans="1:27" x14ac:dyDescent="0.2">
      <c r="A94">
        <v>10</v>
      </c>
      <c r="B94">
        <v>1</v>
      </c>
      <c r="C94">
        <v>0.1</v>
      </c>
      <c r="D94">
        <v>20</v>
      </c>
      <c r="E94">
        <v>0.96704601365584597</v>
      </c>
      <c r="F94">
        <v>1</v>
      </c>
      <c r="G94">
        <v>35.129707650999997</v>
      </c>
      <c r="H94">
        <v>0.96800201209167402</v>
      </c>
      <c r="I94">
        <v>1</v>
      </c>
      <c r="J94">
        <v>7.6113642999999995E-2</v>
      </c>
      <c r="K94">
        <v>0.87132873308317904</v>
      </c>
      <c r="L94">
        <v>1</v>
      </c>
      <c r="M94">
        <v>3600.6226486710002</v>
      </c>
      <c r="N94">
        <v>846042</v>
      </c>
      <c r="O94">
        <v>2.7471045393836199E-2</v>
      </c>
      <c r="P94" s="5">
        <v>1.08312509381932</v>
      </c>
      <c r="Q94">
        <v>1</v>
      </c>
      <c r="R94">
        <v>493.26616220199998</v>
      </c>
      <c r="S94">
        <v>13306</v>
      </c>
      <c r="T94">
        <v>2.99970329177369E-4</v>
      </c>
      <c r="U94">
        <v>9196</v>
      </c>
      <c r="V94" s="5">
        <v>1.0728458290226299</v>
      </c>
      <c r="W94">
        <v>1</v>
      </c>
      <c r="X94">
        <v>27.571401674000001</v>
      </c>
      <c r="Y94">
        <v>1</v>
      </c>
      <c r="Z94">
        <v>1.37889378627994E-3</v>
      </c>
      <c r="AA94">
        <v>2</v>
      </c>
    </row>
    <row r="95" spans="1:27" x14ac:dyDescent="0.2">
      <c r="A95">
        <v>10</v>
      </c>
      <c r="B95">
        <v>1</v>
      </c>
      <c r="C95">
        <v>0.3</v>
      </c>
      <c r="D95">
        <v>20</v>
      </c>
      <c r="E95">
        <v>0.26893532308116702</v>
      </c>
      <c r="F95">
        <v>1</v>
      </c>
      <c r="G95">
        <v>35.004166861000002</v>
      </c>
      <c r="H95">
        <v>0.26043337322977</v>
      </c>
      <c r="I95">
        <v>1</v>
      </c>
      <c r="J95">
        <v>8.2233664999999997E-2</v>
      </c>
      <c r="K95">
        <v>0.26728907652031902</v>
      </c>
      <c r="L95">
        <v>1</v>
      </c>
      <c r="M95">
        <v>3601.5695546299999</v>
      </c>
      <c r="N95">
        <v>776269</v>
      </c>
      <c r="O95">
        <v>7.5721743089221805E-2</v>
      </c>
      <c r="P95" s="5">
        <v>0.35415216663413301</v>
      </c>
      <c r="Q95">
        <v>1</v>
      </c>
      <c r="R95">
        <v>371.25974707300003</v>
      </c>
      <c r="S95">
        <v>9941</v>
      </c>
      <c r="T95">
        <v>5.50872072411212E-3</v>
      </c>
      <c r="U95">
        <v>6756</v>
      </c>
      <c r="V95" s="5">
        <v>0.31684432503404802</v>
      </c>
      <c r="W95">
        <v>1</v>
      </c>
      <c r="X95">
        <v>1635.155366601</v>
      </c>
      <c r="Y95">
        <v>61876</v>
      </c>
      <c r="Z95">
        <v>2.7305606114600401E-3</v>
      </c>
      <c r="AA95">
        <v>20</v>
      </c>
    </row>
    <row r="96" spans="1:27" x14ac:dyDescent="0.2">
      <c r="A96">
        <v>10</v>
      </c>
      <c r="B96">
        <v>1</v>
      </c>
      <c r="C96">
        <v>0.3</v>
      </c>
      <c r="D96">
        <v>20</v>
      </c>
      <c r="E96">
        <v>4.6554682165891599E-2</v>
      </c>
      <c r="F96">
        <v>1</v>
      </c>
      <c r="G96">
        <v>29.073410044999999</v>
      </c>
      <c r="H96">
        <v>7.1441153140096206E-2</v>
      </c>
      <c r="I96">
        <v>1</v>
      </c>
      <c r="J96">
        <v>9.0947407999999993E-2</v>
      </c>
      <c r="K96">
        <v>7.1330310867727703E-2</v>
      </c>
      <c r="L96">
        <v>1</v>
      </c>
      <c r="M96">
        <v>3600.6592347619999</v>
      </c>
      <c r="N96">
        <v>1117097</v>
      </c>
      <c r="O96">
        <v>0.20138112943599301</v>
      </c>
      <c r="P96" s="5">
        <v>5.7825225399632398E-2</v>
      </c>
      <c r="Q96">
        <v>1</v>
      </c>
      <c r="R96">
        <v>20.181855583000001</v>
      </c>
      <c r="S96">
        <v>1</v>
      </c>
      <c r="T96">
        <v>5.7185087534514702E-3</v>
      </c>
      <c r="U96">
        <v>4</v>
      </c>
      <c r="V96" s="5">
        <v>5.1982036098483002E-2</v>
      </c>
      <c r="W96">
        <v>1</v>
      </c>
      <c r="X96">
        <v>6.7874928710000004</v>
      </c>
      <c r="Y96">
        <v>2037</v>
      </c>
      <c r="Z96">
        <v>1.25275150140202E-3</v>
      </c>
      <c r="AA96">
        <v>1</v>
      </c>
    </row>
    <row r="97" spans="1:27" x14ac:dyDescent="0.2">
      <c r="A97">
        <v>10</v>
      </c>
      <c r="B97">
        <v>1</v>
      </c>
      <c r="C97">
        <v>0.2</v>
      </c>
      <c r="D97">
        <v>20</v>
      </c>
      <c r="E97">
        <v>0.58655231123948903</v>
      </c>
      <c r="F97">
        <v>1</v>
      </c>
      <c r="G97">
        <v>43.053165964000002</v>
      </c>
      <c r="H97">
        <v>0.59145577462745802</v>
      </c>
      <c r="I97">
        <v>1</v>
      </c>
      <c r="J97">
        <v>0.16601866400000001</v>
      </c>
      <c r="K97">
        <v>0.591340440313739</v>
      </c>
      <c r="L97">
        <v>1</v>
      </c>
      <c r="M97">
        <v>3602.371499713</v>
      </c>
      <c r="N97">
        <v>609201</v>
      </c>
      <c r="O97">
        <v>1.30194037142228E-2</v>
      </c>
      <c r="P97" s="5">
        <v>0.58808105840363201</v>
      </c>
      <c r="Q97">
        <v>1</v>
      </c>
      <c r="R97">
        <v>28.934373767</v>
      </c>
      <c r="S97">
        <v>7</v>
      </c>
      <c r="T97">
        <v>2.0586500174287702E-3</v>
      </c>
      <c r="U97">
        <v>13</v>
      </c>
      <c r="V97" s="5">
        <v>0.583947357880229</v>
      </c>
      <c r="W97">
        <v>1</v>
      </c>
      <c r="X97">
        <v>21.078488052000001</v>
      </c>
      <c r="Y97">
        <v>1</v>
      </c>
      <c r="Z97">
        <v>5.0903218901407702E-3</v>
      </c>
      <c r="AA97">
        <v>2</v>
      </c>
    </row>
    <row r="98" spans="1:27" x14ac:dyDescent="0.2">
      <c r="A98">
        <v>10</v>
      </c>
      <c r="B98">
        <v>1</v>
      </c>
      <c r="C98">
        <v>0.1</v>
      </c>
      <c r="D98">
        <v>20</v>
      </c>
      <c r="E98">
        <v>0.950504913080359</v>
      </c>
      <c r="F98">
        <v>1</v>
      </c>
      <c r="G98">
        <v>34.937172083</v>
      </c>
      <c r="H98">
        <v>0.95050594823260603</v>
      </c>
      <c r="I98">
        <v>1</v>
      </c>
      <c r="J98">
        <v>5.6218737999999997E-2</v>
      </c>
      <c r="K98">
        <v>0.86206480320065504</v>
      </c>
      <c r="L98">
        <v>1</v>
      </c>
      <c r="M98">
        <v>3601.7845473430002</v>
      </c>
      <c r="N98">
        <v>861909</v>
      </c>
      <c r="O98">
        <v>8.5455129213136694E-3</v>
      </c>
      <c r="P98" s="5">
        <v>1.08548490598026</v>
      </c>
      <c r="Q98">
        <v>1</v>
      </c>
      <c r="R98">
        <v>350.09942742499999</v>
      </c>
      <c r="S98">
        <v>6526</v>
      </c>
      <c r="T98">
        <v>3.5474158528878797E-4</v>
      </c>
      <c r="U98">
        <v>6123</v>
      </c>
      <c r="V98" s="5">
        <v>0.86680096792448202</v>
      </c>
      <c r="W98">
        <v>1</v>
      </c>
      <c r="X98">
        <v>7.3933461449999998</v>
      </c>
      <c r="Y98">
        <v>6604</v>
      </c>
      <c r="Z98" s="1">
        <v>2.9750484238463799E-5</v>
      </c>
      <c r="AA98">
        <v>1</v>
      </c>
    </row>
    <row r="99" spans="1:27" x14ac:dyDescent="0.2">
      <c r="A99">
        <v>10</v>
      </c>
      <c r="B99">
        <v>1</v>
      </c>
      <c r="C99">
        <v>0.3</v>
      </c>
      <c r="D99">
        <v>20</v>
      </c>
      <c r="E99">
        <v>0.34333841293179901</v>
      </c>
      <c r="F99">
        <v>1</v>
      </c>
      <c r="G99">
        <v>35.083483506999997</v>
      </c>
      <c r="H99">
        <v>0.32763091650508502</v>
      </c>
      <c r="I99">
        <v>1</v>
      </c>
      <c r="J99">
        <v>0.142605753</v>
      </c>
      <c r="K99">
        <v>0.32967522790502601</v>
      </c>
      <c r="L99">
        <v>1</v>
      </c>
      <c r="M99">
        <v>3600.680616999</v>
      </c>
      <c r="N99">
        <v>1260373</v>
      </c>
      <c r="O99">
        <v>0.136927785750494</v>
      </c>
      <c r="P99" s="5">
        <v>0.34245191338763398</v>
      </c>
      <c r="Q99">
        <v>1</v>
      </c>
      <c r="R99">
        <v>198.756667636</v>
      </c>
      <c r="S99">
        <v>3788</v>
      </c>
      <c r="T99">
        <v>9.6591084556589806E-3</v>
      </c>
      <c r="U99">
        <v>2927</v>
      </c>
      <c r="V99" s="5">
        <v>0.28804937325489799</v>
      </c>
      <c r="W99">
        <v>1</v>
      </c>
      <c r="X99">
        <v>466.38317923599999</v>
      </c>
      <c r="Y99">
        <v>18548</v>
      </c>
      <c r="Z99">
        <v>4.9396801384775603E-3</v>
      </c>
      <c r="AA99">
        <v>20</v>
      </c>
    </row>
    <row r="100" spans="1:27" x14ac:dyDescent="0.2">
      <c r="A100">
        <v>10</v>
      </c>
      <c r="B100">
        <v>1</v>
      </c>
      <c r="C100">
        <v>0.4</v>
      </c>
      <c r="D100">
        <v>20</v>
      </c>
      <c r="E100">
        <v>0.41100217442037101</v>
      </c>
      <c r="F100">
        <v>1</v>
      </c>
      <c r="G100">
        <v>35.010497847000003</v>
      </c>
      <c r="H100">
        <v>0.202547131257724</v>
      </c>
      <c r="I100">
        <v>1</v>
      </c>
      <c r="J100">
        <v>0.152160668</v>
      </c>
      <c r="K100">
        <v>0.20160835552005199</v>
      </c>
      <c r="L100">
        <v>1</v>
      </c>
      <c r="M100">
        <v>3600.7122651640002</v>
      </c>
      <c r="N100">
        <v>933436</v>
      </c>
      <c r="O100">
        <v>2.4241491309306001E-2</v>
      </c>
      <c r="P100" s="5">
        <v>0.36238158108801699</v>
      </c>
      <c r="Q100">
        <v>1</v>
      </c>
      <c r="R100">
        <v>201.697709387</v>
      </c>
      <c r="S100">
        <v>3754</v>
      </c>
      <c r="T100">
        <v>2.6996482226379001E-3</v>
      </c>
      <c r="U100">
        <v>3480</v>
      </c>
      <c r="V100" s="5">
        <v>0.110594154345152</v>
      </c>
      <c r="W100">
        <v>1</v>
      </c>
      <c r="X100">
        <v>1684.0396225720001</v>
      </c>
      <c r="Y100">
        <v>42346</v>
      </c>
      <c r="Z100">
        <v>1.3760783966972299E-3</v>
      </c>
      <c r="AA100">
        <v>20</v>
      </c>
    </row>
    <row r="101" spans="1:27" x14ac:dyDescent="0.2">
      <c r="A101">
        <v>10</v>
      </c>
      <c r="B101">
        <v>1</v>
      </c>
      <c r="C101">
        <v>0.4</v>
      </c>
      <c r="D101">
        <v>20</v>
      </c>
      <c r="E101">
        <v>0.15927908855113701</v>
      </c>
      <c r="F101">
        <v>1</v>
      </c>
      <c r="G101">
        <v>35.147062167999998</v>
      </c>
      <c r="H101">
        <v>0.13894580537946599</v>
      </c>
      <c r="I101">
        <v>1</v>
      </c>
      <c r="J101">
        <v>0.12393271</v>
      </c>
      <c r="K101">
        <v>0.13957759536780801</v>
      </c>
      <c r="L101">
        <v>1</v>
      </c>
      <c r="M101">
        <v>3600.648338166</v>
      </c>
      <c r="N101">
        <v>910861</v>
      </c>
      <c r="O101">
        <v>2.81830903113418E-2</v>
      </c>
      <c r="P101" s="5">
        <v>0.21197400530010099</v>
      </c>
      <c r="Q101">
        <v>1</v>
      </c>
      <c r="R101">
        <v>336.75874859100003</v>
      </c>
      <c r="S101">
        <v>5029</v>
      </c>
      <c r="T101">
        <v>3.8068891246837901E-3</v>
      </c>
      <c r="U101">
        <v>4181</v>
      </c>
      <c r="V101" s="5">
        <v>0.11706784669780999</v>
      </c>
      <c r="W101">
        <v>1</v>
      </c>
      <c r="X101">
        <v>136.67957322199999</v>
      </c>
      <c r="Y101">
        <v>6725</v>
      </c>
      <c r="Z101">
        <v>3.1748970457538498E-3</v>
      </c>
      <c r="AA101">
        <v>12</v>
      </c>
    </row>
    <row r="102" spans="1:27" x14ac:dyDescent="0.2">
      <c r="A102">
        <v>10</v>
      </c>
      <c r="B102">
        <v>1</v>
      </c>
      <c r="C102">
        <v>0.1</v>
      </c>
      <c r="D102">
        <v>20</v>
      </c>
      <c r="E102">
        <v>0.94496022521559098</v>
      </c>
      <c r="F102">
        <v>1</v>
      </c>
      <c r="G102">
        <v>28.997780514999999</v>
      </c>
      <c r="H102">
        <v>0.94496022521558998</v>
      </c>
      <c r="I102">
        <v>1</v>
      </c>
      <c r="J102">
        <v>4.7054656E-2</v>
      </c>
      <c r="K102">
        <v>1.1082313131227699</v>
      </c>
      <c r="L102">
        <v>1</v>
      </c>
      <c r="M102">
        <v>3601.1022918419999</v>
      </c>
      <c r="N102">
        <v>588219</v>
      </c>
      <c r="O102">
        <v>6.8635024234843897E-2</v>
      </c>
      <c r="P102" s="5">
        <v>0.62593215239292399</v>
      </c>
      <c r="Q102">
        <v>1</v>
      </c>
      <c r="R102">
        <v>350.31210941500001</v>
      </c>
      <c r="S102">
        <v>6895</v>
      </c>
      <c r="T102" s="1">
        <v>1.93619085961382E-6</v>
      </c>
      <c r="U102">
        <v>6873</v>
      </c>
      <c r="V102" s="5">
        <v>1.2341854758595201</v>
      </c>
      <c r="W102">
        <v>1</v>
      </c>
      <c r="X102">
        <v>6.8140575429999997</v>
      </c>
      <c r="Y102">
        <v>11707</v>
      </c>
      <c r="Z102" s="1">
        <v>3.9942547949700599E-7</v>
      </c>
      <c r="AA102">
        <v>1</v>
      </c>
    </row>
    <row r="103" spans="1:27" x14ac:dyDescent="0.2">
      <c r="A103">
        <v>10</v>
      </c>
      <c r="B103">
        <v>1</v>
      </c>
      <c r="C103">
        <v>0.2</v>
      </c>
      <c r="D103">
        <v>20</v>
      </c>
      <c r="E103">
        <v>0.38009291790370497</v>
      </c>
      <c r="F103">
        <v>1</v>
      </c>
      <c r="G103">
        <v>30.160178127999998</v>
      </c>
      <c r="H103">
        <v>0.38546936439160601</v>
      </c>
      <c r="I103">
        <v>1</v>
      </c>
      <c r="J103">
        <v>0.15665103799999999</v>
      </c>
      <c r="K103">
        <v>0.872524679669193</v>
      </c>
      <c r="L103">
        <v>1</v>
      </c>
      <c r="M103">
        <v>3600.488127353</v>
      </c>
      <c r="N103">
        <v>619013</v>
      </c>
      <c r="O103">
        <v>0.42646846502631103</v>
      </c>
      <c r="P103" s="5">
        <v>1.2502189168869</v>
      </c>
      <c r="Q103">
        <v>1</v>
      </c>
      <c r="R103">
        <v>3323.0564629800001</v>
      </c>
      <c r="S103">
        <v>109414</v>
      </c>
      <c r="T103">
        <v>4.1881842678402302E-3</v>
      </c>
      <c r="U103">
        <v>61522</v>
      </c>
      <c r="V103" s="5">
        <v>0.50516203342447397</v>
      </c>
      <c r="W103">
        <v>1</v>
      </c>
      <c r="X103">
        <v>2924.2446717070002</v>
      </c>
      <c r="Y103">
        <v>118423</v>
      </c>
      <c r="Z103">
        <v>1.44146439201351E-2</v>
      </c>
      <c r="AA103">
        <v>20</v>
      </c>
    </row>
    <row r="104" spans="1:27" x14ac:dyDescent="0.2">
      <c r="A104">
        <v>10</v>
      </c>
      <c r="B104">
        <v>1</v>
      </c>
      <c r="C104">
        <v>0.3</v>
      </c>
      <c r="D104">
        <v>20</v>
      </c>
      <c r="E104">
        <v>0.20769256568705599</v>
      </c>
      <c r="F104">
        <v>1</v>
      </c>
      <c r="G104">
        <v>34.878415060000002</v>
      </c>
      <c r="H104">
        <v>0.22778384955911701</v>
      </c>
      <c r="I104">
        <v>1</v>
      </c>
      <c r="J104">
        <v>0.132953825</v>
      </c>
      <c r="K104">
        <v>0.22720763934504701</v>
      </c>
      <c r="L104">
        <v>1</v>
      </c>
      <c r="M104">
        <v>3600.8808203469998</v>
      </c>
      <c r="N104">
        <v>898296</v>
      </c>
      <c r="O104">
        <v>5.39897302279541E-2</v>
      </c>
      <c r="P104" s="5">
        <v>0.27509032931460398</v>
      </c>
      <c r="Q104">
        <v>1</v>
      </c>
      <c r="R104">
        <v>238.37541236199999</v>
      </c>
      <c r="S104">
        <v>5646</v>
      </c>
      <c r="T104">
        <v>7.2659579505447401E-3</v>
      </c>
      <c r="U104">
        <v>4435</v>
      </c>
      <c r="V104" s="5">
        <v>0.23656464238350799</v>
      </c>
      <c r="W104">
        <v>1</v>
      </c>
      <c r="X104">
        <v>498.15624970900001</v>
      </c>
      <c r="Y104">
        <v>19598</v>
      </c>
      <c r="Z104">
        <v>3.6217071689443798E-3</v>
      </c>
      <c r="AA104">
        <v>20</v>
      </c>
    </row>
    <row r="105" spans="1:27" x14ac:dyDescent="0.2">
      <c r="A105">
        <v>10</v>
      </c>
      <c r="B105">
        <v>1</v>
      </c>
      <c r="C105">
        <v>0.2</v>
      </c>
      <c r="D105">
        <v>20</v>
      </c>
      <c r="E105">
        <v>0.56109647435902199</v>
      </c>
      <c r="F105">
        <v>1</v>
      </c>
      <c r="G105">
        <v>42.987082497999999</v>
      </c>
      <c r="H105">
        <v>0.43824706045332701</v>
      </c>
      <c r="I105">
        <v>1</v>
      </c>
      <c r="J105">
        <v>0.33339602499999998</v>
      </c>
      <c r="K105">
        <v>0.41586338555385799</v>
      </c>
      <c r="L105">
        <v>1</v>
      </c>
      <c r="M105">
        <v>3601.002441651</v>
      </c>
      <c r="N105">
        <v>574873</v>
      </c>
      <c r="O105">
        <v>0.13565353132883101</v>
      </c>
      <c r="P105" s="5">
        <v>0.46373523936710298</v>
      </c>
      <c r="Q105">
        <v>1</v>
      </c>
      <c r="R105">
        <v>669.91410166200001</v>
      </c>
      <c r="S105">
        <v>11432</v>
      </c>
      <c r="T105">
        <v>1.61576863419757E-3</v>
      </c>
      <c r="U105">
        <v>7937</v>
      </c>
      <c r="V105" s="5">
        <v>0.41586575500220102</v>
      </c>
      <c r="W105">
        <v>1</v>
      </c>
      <c r="X105">
        <v>2566.002236713</v>
      </c>
      <c r="Y105">
        <v>117990</v>
      </c>
      <c r="Z105">
        <v>3.5940407197485001E-3</v>
      </c>
      <c r="AA105">
        <v>20</v>
      </c>
    </row>
    <row r="106" spans="1:27" x14ac:dyDescent="0.2">
      <c r="A106">
        <v>10</v>
      </c>
      <c r="B106">
        <v>1</v>
      </c>
      <c r="C106">
        <v>0.4</v>
      </c>
      <c r="D106">
        <v>20</v>
      </c>
      <c r="E106">
        <v>5.3945015061433801E-2</v>
      </c>
      <c r="F106">
        <v>1</v>
      </c>
      <c r="G106">
        <v>43.844478219000003</v>
      </c>
      <c r="H106">
        <v>6.4904951415141202E-2</v>
      </c>
      <c r="I106">
        <v>1</v>
      </c>
      <c r="J106">
        <v>0.40486179900000002</v>
      </c>
      <c r="K106">
        <v>6.3617394743129996E-2</v>
      </c>
      <c r="L106">
        <v>1</v>
      </c>
      <c r="M106">
        <v>3600.9848686310002</v>
      </c>
      <c r="N106">
        <v>799016</v>
      </c>
      <c r="O106">
        <v>2.0075910608142001E-2</v>
      </c>
      <c r="P106" s="5">
        <v>4.2514669845397202E-2</v>
      </c>
      <c r="Q106">
        <v>1</v>
      </c>
      <c r="R106">
        <v>30.343143849000001</v>
      </c>
      <c r="S106">
        <v>1</v>
      </c>
      <c r="T106">
        <v>6.9299190881220102E-3</v>
      </c>
      <c r="U106">
        <v>4</v>
      </c>
      <c r="V106" s="5">
        <v>4.2514669852567598E-2</v>
      </c>
      <c r="W106">
        <v>1</v>
      </c>
      <c r="X106">
        <v>7.7828225529999999</v>
      </c>
      <c r="Y106">
        <v>1</v>
      </c>
      <c r="Z106">
        <v>6.3830984790309497E-3</v>
      </c>
      <c r="AA106">
        <v>1</v>
      </c>
    </row>
    <row r="107" spans="1:27" x14ac:dyDescent="0.2">
      <c r="A107">
        <v>10</v>
      </c>
      <c r="B107">
        <v>1</v>
      </c>
      <c r="C107">
        <v>0.3</v>
      </c>
      <c r="D107">
        <v>20</v>
      </c>
      <c r="E107">
        <v>0.17414510064719499</v>
      </c>
      <c r="F107">
        <v>1</v>
      </c>
      <c r="G107">
        <v>35.551913333000002</v>
      </c>
      <c r="H107">
        <v>0.15190950550534099</v>
      </c>
      <c r="I107">
        <v>1</v>
      </c>
      <c r="J107">
        <v>0.12138821299999999</v>
      </c>
      <c r="K107">
        <v>0.148935923812135</v>
      </c>
      <c r="L107">
        <v>1</v>
      </c>
      <c r="M107">
        <v>3601.1902833280001</v>
      </c>
      <c r="N107">
        <v>155971</v>
      </c>
      <c r="O107">
        <v>0.10636818314296199</v>
      </c>
      <c r="P107" s="5">
        <v>0.12834151113932801</v>
      </c>
      <c r="Q107">
        <v>1</v>
      </c>
      <c r="R107">
        <v>27.682750646999999</v>
      </c>
      <c r="S107">
        <v>7</v>
      </c>
      <c r="T107">
        <v>2.01345293340474E-3</v>
      </c>
      <c r="U107">
        <v>14</v>
      </c>
      <c r="V107" s="5">
        <v>0.12834151113932901</v>
      </c>
      <c r="W107">
        <v>1</v>
      </c>
      <c r="X107">
        <v>7.9567473529999999</v>
      </c>
      <c r="Y107">
        <v>7</v>
      </c>
      <c r="Z107">
        <v>1.9472486740814399E-3</v>
      </c>
      <c r="AA107">
        <v>1</v>
      </c>
    </row>
    <row r="108" spans="1:27" x14ac:dyDescent="0.2">
      <c r="A108">
        <v>10</v>
      </c>
      <c r="B108">
        <v>1</v>
      </c>
      <c r="C108">
        <v>0.4</v>
      </c>
      <c r="D108">
        <v>20</v>
      </c>
      <c r="E108">
        <v>0.156397359262753</v>
      </c>
      <c r="F108">
        <v>1</v>
      </c>
      <c r="G108">
        <v>25.490478379999999</v>
      </c>
      <c r="H108">
        <v>0.13745605923461901</v>
      </c>
      <c r="I108">
        <v>1</v>
      </c>
      <c r="J108">
        <v>9.7379310999999996E-2</v>
      </c>
      <c r="K108">
        <v>0.13473722235323701</v>
      </c>
      <c r="L108">
        <v>1</v>
      </c>
      <c r="M108">
        <v>3602.151255799</v>
      </c>
      <c r="N108">
        <v>347544</v>
      </c>
      <c r="O108">
        <v>4.75904787500631E-2</v>
      </c>
      <c r="P108" s="5">
        <v>0.12998961506385801</v>
      </c>
      <c r="Q108">
        <v>1</v>
      </c>
      <c r="R108">
        <v>19.884052903000001</v>
      </c>
      <c r="S108">
        <v>1</v>
      </c>
      <c r="T108">
        <v>7.8533042278335907E-3</v>
      </c>
      <c r="U108">
        <v>5</v>
      </c>
      <c r="V108" s="5">
        <v>0.12998961506385801</v>
      </c>
      <c r="W108">
        <v>1</v>
      </c>
      <c r="X108">
        <v>7.4060713299999996</v>
      </c>
      <c r="Y108">
        <v>45</v>
      </c>
      <c r="Z108">
        <v>7.7873885174235503E-3</v>
      </c>
      <c r="AA108">
        <v>1</v>
      </c>
    </row>
    <row r="109" spans="1:27" x14ac:dyDescent="0.2">
      <c r="A109">
        <v>10</v>
      </c>
      <c r="B109">
        <v>1</v>
      </c>
      <c r="C109">
        <v>0.4</v>
      </c>
      <c r="D109">
        <v>20</v>
      </c>
      <c r="E109">
        <v>3.6878933454116601E-2</v>
      </c>
      <c r="F109">
        <v>1</v>
      </c>
      <c r="G109">
        <v>32.330720747999997</v>
      </c>
      <c r="H109">
        <v>6.8380115627239793E-2</v>
      </c>
      <c r="I109">
        <v>1</v>
      </c>
      <c r="J109">
        <v>7.8897343999999994E-2</v>
      </c>
      <c r="K109">
        <v>7.0117652371296996E-2</v>
      </c>
      <c r="L109">
        <v>1</v>
      </c>
      <c r="M109">
        <v>3601.2060281559998</v>
      </c>
      <c r="N109">
        <v>372439</v>
      </c>
      <c r="O109">
        <v>1.5787097970274999E-2</v>
      </c>
      <c r="P109" s="5">
        <v>6.1279279848675997E-2</v>
      </c>
      <c r="Q109">
        <v>1</v>
      </c>
      <c r="R109">
        <v>23.379924569</v>
      </c>
      <c r="S109">
        <v>1</v>
      </c>
      <c r="T109">
        <v>6.1009730594516701E-3</v>
      </c>
      <c r="U109">
        <v>5</v>
      </c>
      <c r="V109" s="5">
        <v>6.1279279842592398E-2</v>
      </c>
      <c r="W109">
        <v>1</v>
      </c>
      <c r="X109">
        <v>6.4340755280000002</v>
      </c>
      <c r="Y109">
        <v>1</v>
      </c>
      <c r="Z109">
        <v>8.3864081177059593E-3</v>
      </c>
      <c r="AA109">
        <v>1</v>
      </c>
    </row>
    <row r="110" spans="1:27" x14ac:dyDescent="0.2">
      <c r="A110">
        <v>10</v>
      </c>
      <c r="B110">
        <v>1</v>
      </c>
      <c r="C110">
        <v>0.4</v>
      </c>
      <c r="D110">
        <v>20</v>
      </c>
      <c r="E110">
        <v>0.26501236179868998</v>
      </c>
      <c r="F110">
        <v>1</v>
      </c>
      <c r="G110">
        <v>33.416751283000004</v>
      </c>
      <c r="H110">
        <v>0.262169322251181</v>
      </c>
      <c r="I110">
        <v>1</v>
      </c>
      <c r="J110">
        <v>0.114114745</v>
      </c>
      <c r="K110">
        <v>0.26330464695369299</v>
      </c>
      <c r="L110">
        <v>1</v>
      </c>
      <c r="M110">
        <v>3600.8083978969998</v>
      </c>
      <c r="N110">
        <v>352907</v>
      </c>
      <c r="O110">
        <v>5.7511070576428097E-2</v>
      </c>
      <c r="P110" s="5">
        <v>0.25445624571686698</v>
      </c>
      <c r="Q110">
        <v>1</v>
      </c>
      <c r="R110">
        <v>26.009110436</v>
      </c>
      <c r="S110">
        <v>1</v>
      </c>
      <c r="T110">
        <v>6.9008531558313298E-3</v>
      </c>
      <c r="U110">
        <v>5</v>
      </c>
      <c r="V110" s="5">
        <v>0.25445624571686698</v>
      </c>
      <c r="W110">
        <v>1</v>
      </c>
      <c r="X110">
        <v>7.5986780840000003</v>
      </c>
      <c r="Y110">
        <v>1</v>
      </c>
      <c r="Z110">
        <v>6.9074315379377103E-3</v>
      </c>
      <c r="AA110">
        <v>1</v>
      </c>
    </row>
    <row r="111" spans="1:27" x14ac:dyDescent="0.2">
      <c r="A111">
        <v>10</v>
      </c>
      <c r="B111">
        <v>1</v>
      </c>
      <c r="C111">
        <v>0.3</v>
      </c>
      <c r="D111">
        <v>20</v>
      </c>
      <c r="E111">
        <v>0.405363644515432</v>
      </c>
      <c r="F111">
        <v>1</v>
      </c>
      <c r="G111">
        <v>43.637810287999997</v>
      </c>
      <c r="H111">
        <v>0.41129322212463498</v>
      </c>
      <c r="I111">
        <v>1</v>
      </c>
      <c r="J111">
        <v>0.10079508299999999</v>
      </c>
      <c r="K111">
        <v>0.41103533708144901</v>
      </c>
      <c r="L111">
        <v>1</v>
      </c>
      <c r="M111">
        <v>3601.6071884050002</v>
      </c>
      <c r="N111">
        <v>1084195</v>
      </c>
      <c r="O111">
        <v>1.00995276755178E-2</v>
      </c>
      <c r="P111" s="5">
        <v>0.41915614560403402</v>
      </c>
      <c r="Q111">
        <v>1</v>
      </c>
      <c r="R111">
        <v>218.54329300000001</v>
      </c>
      <c r="S111">
        <v>3152</v>
      </c>
      <c r="T111">
        <v>3.2317417129733E-3</v>
      </c>
      <c r="U111">
        <v>2730</v>
      </c>
      <c r="V111" s="5">
        <v>0.33296639652577598</v>
      </c>
      <c r="W111">
        <v>1</v>
      </c>
      <c r="X111">
        <v>436.62936401600001</v>
      </c>
      <c r="Y111">
        <v>22700</v>
      </c>
      <c r="Z111">
        <v>1.78258527205005E-3</v>
      </c>
      <c r="AA111">
        <v>19</v>
      </c>
    </row>
    <row r="112" spans="1:27" x14ac:dyDescent="0.2">
      <c r="A112">
        <v>10</v>
      </c>
      <c r="B112">
        <v>1</v>
      </c>
      <c r="C112">
        <v>0.2</v>
      </c>
      <c r="D112">
        <v>20</v>
      </c>
      <c r="E112">
        <v>0.79812460194605495</v>
      </c>
      <c r="F112">
        <v>1</v>
      </c>
      <c r="G112">
        <v>34.123880165999999</v>
      </c>
      <c r="H112">
        <v>0.79539001882024696</v>
      </c>
      <c r="I112">
        <v>1</v>
      </c>
      <c r="J112">
        <v>9.4540449999999998E-2</v>
      </c>
      <c r="K112">
        <v>1.0591057516028499</v>
      </c>
      <c r="L112">
        <v>1</v>
      </c>
      <c r="M112">
        <v>3600.848158929</v>
      </c>
      <c r="N112">
        <v>277139</v>
      </c>
      <c r="O112">
        <v>4.61548218017271E-2</v>
      </c>
      <c r="P112" s="5">
        <v>0.58268812532758696</v>
      </c>
      <c r="Q112">
        <v>1</v>
      </c>
      <c r="R112">
        <v>603.25527622499999</v>
      </c>
      <c r="S112">
        <v>4111</v>
      </c>
      <c r="T112">
        <v>1.0586389765748999E-3</v>
      </c>
      <c r="U112">
        <v>3786</v>
      </c>
      <c r="V112" s="5">
        <v>1.0739591926950101</v>
      </c>
      <c r="W112">
        <v>1</v>
      </c>
      <c r="X112">
        <v>25.307602968000001</v>
      </c>
      <c r="Y112">
        <v>2940</v>
      </c>
      <c r="Z112">
        <v>9.8731670168847297E-4</v>
      </c>
      <c r="AA112">
        <v>1</v>
      </c>
    </row>
    <row r="113" spans="1:27" x14ac:dyDescent="0.2">
      <c r="A113">
        <v>10</v>
      </c>
      <c r="B113">
        <v>1</v>
      </c>
      <c r="C113">
        <v>0.1</v>
      </c>
      <c r="D113">
        <v>20</v>
      </c>
      <c r="E113">
        <v>0.93116174299783006</v>
      </c>
      <c r="F113">
        <v>1</v>
      </c>
      <c r="G113">
        <v>33.690213472000003</v>
      </c>
      <c r="H113">
        <v>0.91071843382099704</v>
      </c>
      <c r="I113">
        <v>1</v>
      </c>
      <c r="J113">
        <v>0.10914499699999999</v>
      </c>
      <c r="K113">
        <v>0.88720670910683797</v>
      </c>
      <c r="L113">
        <v>1</v>
      </c>
      <c r="M113">
        <v>3600.7028641779998</v>
      </c>
      <c r="N113">
        <v>1190633</v>
      </c>
      <c r="O113">
        <v>4.1752161108399299E-3</v>
      </c>
      <c r="P113" s="5">
        <v>0.96862208330558996</v>
      </c>
      <c r="Q113">
        <v>1</v>
      </c>
      <c r="R113">
        <v>181.33080688000001</v>
      </c>
      <c r="S113">
        <v>3416</v>
      </c>
      <c r="T113" s="1">
        <v>2.50169352262021E-5</v>
      </c>
      <c r="U113">
        <v>3201</v>
      </c>
      <c r="V113" s="5">
        <v>0.90223352929237999</v>
      </c>
      <c r="W113">
        <v>1</v>
      </c>
      <c r="X113">
        <v>8.9120390680000003</v>
      </c>
      <c r="Y113">
        <v>2932</v>
      </c>
      <c r="Z113" s="1">
        <v>2.80500935803595E-5</v>
      </c>
      <c r="AA113">
        <v>1</v>
      </c>
    </row>
    <row r="114" spans="1:27" x14ac:dyDescent="0.2">
      <c r="A114">
        <v>10</v>
      </c>
      <c r="B114">
        <v>1</v>
      </c>
      <c r="C114">
        <v>0.1</v>
      </c>
      <c r="D114">
        <v>20</v>
      </c>
      <c r="E114">
        <v>0.96684304076338901</v>
      </c>
      <c r="F114">
        <v>1</v>
      </c>
      <c r="G114">
        <v>34.584638691000002</v>
      </c>
      <c r="H114">
        <v>0.96684304076338901</v>
      </c>
      <c r="I114">
        <v>1</v>
      </c>
      <c r="J114">
        <v>4.4496602000000003E-2</v>
      </c>
      <c r="K114">
        <v>1.0539710341854001</v>
      </c>
      <c r="L114">
        <v>1</v>
      </c>
      <c r="M114">
        <v>3601.0885493669998</v>
      </c>
      <c r="N114">
        <v>209227</v>
      </c>
      <c r="O114">
        <v>5.3663013610519998E-2</v>
      </c>
      <c r="P114" s="5">
        <v>0.87860232046789599</v>
      </c>
      <c r="Q114">
        <v>1</v>
      </c>
      <c r="R114">
        <v>671.50718552299998</v>
      </c>
      <c r="S114">
        <v>4580</v>
      </c>
      <c r="T114" s="1">
        <v>3.4395998533831501E-6</v>
      </c>
      <c r="U114">
        <v>4569</v>
      </c>
      <c r="V114" s="5">
        <v>1.21593812460613</v>
      </c>
      <c r="W114">
        <v>1</v>
      </c>
      <c r="X114">
        <v>24.984080540000001</v>
      </c>
      <c r="Y114">
        <v>12118</v>
      </c>
      <c r="Z114" s="1">
        <v>9.7557157532901506E-8</v>
      </c>
      <c r="AA114">
        <v>1</v>
      </c>
    </row>
    <row r="115" spans="1:27" x14ac:dyDescent="0.2">
      <c r="A115">
        <v>10</v>
      </c>
      <c r="B115">
        <v>1</v>
      </c>
      <c r="C115">
        <v>0.2</v>
      </c>
      <c r="D115">
        <v>20</v>
      </c>
      <c r="E115">
        <v>0.54708605811394695</v>
      </c>
      <c r="F115">
        <v>1</v>
      </c>
      <c r="G115">
        <v>34.329549761999999</v>
      </c>
      <c r="H115">
        <v>0.54190702174490302</v>
      </c>
      <c r="I115">
        <v>1</v>
      </c>
      <c r="J115">
        <v>7.0697687999999995E-2</v>
      </c>
      <c r="K115">
        <v>0.82811101847580304</v>
      </c>
      <c r="L115">
        <v>1</v>
      </c>
      <c r="M115">
        <v>3601.0786914400001</v>
      </c>
      <c r="N115">
        <v>724474</v>
      </c>
      <c r="O115">
        <v>7.9458205882445995E-2</v>
      </c>
      <c r="P115" s="5">
        <v>0.336718268512327</v>
      </c>
      <c r="Q115">
        <v>1</v>
      </c>
      <c r="R115">
        <v>316.88235393000002</v>
      </c>
      <c r="S115">
        <v>6782</v>
      </c>
      <c r="T115" s="1">
        <v>2.54378213687678E-6</v>
      </c>
      <c r="U115">
        <v>6718</v>
      </c>
      <c r="V115" s="5">
        <v>0.33752988025357</v>
      </c>
      <c r="W115">
        <v>1</v>
      </c>
      <c r="X115">
        <v>8.6308924149999999</v>
      </c>
      <c r="Y115">
        <v>3416</v>
      </c>
      <c r="Z115" s="1">
        <v>1.16940052948821E-5</v>
      </c>
      <c r="AA115">
        <v>1</v>
      </c>
    </row>
    <row r="116" spans="1:27" x14ac:dyDescent="0.2">
      <c r="A116">
        <v>10</v>
      </c>
      <c r="B116">
        <v>1</v>
      </c>
      <c r="C116">
        <v>0.4</v>
      </c>
      <c r="D116">
        <v>20</v>
      </c>
      <c r="E116">
        <v>0.121691506833812</v>
      </c>
      <c r="F116">
        <v>1</v>
      </c>
      <c r="G116">
        <v>30.273147473000002</v>
      </c>
      <c r="H116">
        <v>0.118693052925248</v>
      </c>
      <c r="I116">
        <v>1</v>
      </c>
      <c r="J116">
        <v>0.11062543800000001</v>
      </c>
      <c r="K116">
        <v>0.118921110420229</v>
      </c>
      <c r="L116">
        <v>1</v>
      </c>
      <c r="M116">
        <v>3600.5960627959998</v>
      </c>
      <c r="N116">
        <v>776879</v>
      </c>
      <c r="O116">
        <v>3.5421110753627902E-2</v>
      </c>
      <c r="P116" s="5">
        <v>0.107584452383669</v>
      </c>
      <c r="Q116">
        <v>1</v>
      </c>
      <c r="R116">
        <v>19.441764227</v>
      </c>
      <c r="S116">
        <v>1</v>
      </c>
      <c r="T116">
        <v>5.9596655937261796E-3</v>
      </c>
      <c r="U116">
        <v>4</v>
      </c>
      <c r="V116" s="5">
        <v>0.10758445238627801</v>
      </c>
      <c r="W116">
        <v>1</v>
      </c>
      <c r="X116">
        <v>5.6146817049999997</v>
      </c>
      <c r="Y116">
        <v>1</v>
      </c>
      <c r="Z116">
        <v>6.1835938160875702E-3</v>
      </c>
      <c r="AA116">
        <v>1</v>
      </c>
    </row>
    <row r="117" spans="1:27" x14ac:dyDescent="0.2">
      <c r="A117">
        <v>10</v>
      </c>
      <c r="B117">
        <v>1</v>
      </c>
      <c r="C117">
        <v>0.3</v>
      </c>
      <c r="D117">
        <v>20</v>
      </c>
      <c r="E117">
        <v>0.56209210279629795</v>
      </c>
      <c r="F117">
        <v>1</v>
      </c>
      <c r="G117">
        <v>60.180831656000002</v>
      </c>
      <c r="H117">
        <v>0.53129466775853895</v>
      </c>
      <c r="I117">
        <v>1</v>
      </c>
      <c r="J117">
        <v>8.1884369999999998E-2</v>
      </c>
      <c r="K117">
        <v>0.53275056745135796</v>
      </c>
      <c r="L117">
        <v>1</v>
      </c>
      <c r="M117">
        <v>3605.1831659260001</v>
      </c>
      <c r="N117">
        <v>208350</v>
      </c>
      <c r="O117">
        <v>3.5459909528700699E-2</v>
      </c>
      <c r="P117" s="5">
        <v>0.49494126651925002</v>
      </c>
      <c r="Q117">
        <v>1</v>
      </c>
      <c r="R117">
        <v>49.456783586999997</v>
      </c>
      <c r="S117">
        <v>1</v>
      </c>
      <c r="T117">
        <v>4.1247779266195203E-3</v>
      </c>
      <c r="U117">
        <v>4</v>
      </c>
      <c r="V117" s="5">
        <v>0.49494126651848602</v>
      </c>
      <c r="W117">
        <v>1</v>
      </c>
      <c r="X117">
        <v>16.916787648</v>
      </c>
      <c r="Y117">
        <v>1</v>
      </c>
      <c r="Z117">
        <v>3.8428706522581901E-3</v>
      </c>
      <c r="AA117">
        <v>1</v>
      </c>
    </row>
    <row r="118" spans="1:27" x14ac:dyDescent="0.2">
      <c r="A118">
        <v>10</v>
      </c>
      <c r="B118">
        <v>1</v>
      </c>
      <c r="C118">
        <v>0.1</v>
      </c>
      <c r="D118">
        <v>20</v>
      </c>
      <c r="E118">
        <v>0.96432842262134899</v>
      </c>
      <c r="F118">
        <v>1</v>
      </c>
      <c r="G118">
        <v>24.244340851</v>
      </c>
      <c r="H118">
        <v>0.96430305597291499</v>
      </c>
      <c r="I118">
        <v>1</v>
      </c>
      <c r="J118">
        <v>3.3826901999999999E-2</v>
      </c>
      <c r="K118">
        <v>0.88805788548832698</v>
      </c>
      <c r="L118">
        <v>1</v>
      </c>
      <c r="M118">
        <v>3601.0445441639999</v>
      </c>
      <c r="N118">
        <v>539134</v>
      </c>
      <c r="O118">
        <v>1.0403147618130101E-2</v>
      </c>
      <c r="P118" s="5">
        <v>1.0518684531464899</v>
      </c>
      <c r="Q118">
        <v>1</v>
      </c>
      <c r="R118">
        <v>815.90376321999997</v>
      </c>
      <c r="S118">
        <v>7005</v>
      </c>
      <c r="T118" s="1">
        <v>9.3430784171844001E-8</v>
      </c>
      <c r="U118">
        <v>6998</v>
      </c>
      <c r="V118" s="5">
        <v>1.0852367409313901</v>
      </c>
      <c r="W118">
        <v>1</v>
      </c>
      <c r="X118">
        <v>17.688114707</v>
      </c>
      <c r="Y118">
        <v>3914</v>
      </c>
      <c r="Z118" s="1">
        <v>5.6156051449107001E-5</v>
      </c>
      <c r="AA118">
        <v>1</v>
      </c>
    </row>
    <row r="119" spans="1:27" x14ac:dyDescent="0.2">
      <c r="A119">
        <v>10</v>
      </c>
      <c r="B119">
        <v>1</v>
      </c>
      <c r="C119">
        <v>0.4</v>
      </c>
      <c r="D119">
        <v>20</v>
      </c>
      <c r="E119">
        <v>7.3309096726713902E-2</v>
      </c>
      <c r="F119">
        <v>1</v>
      </c>
      <c r="G119">
        <v>32.373894311000001</v>
      </c>
      <c r="H119">
        <v>9.3868799159013194E-2</v>
      </c>
      <c r="I119">
        <v>1</v>
      </c>
      <c r="J119">
        <v>5.8320298E-2</v>
      </c>
      <c r="K119">
        <v>9.4128839484544299E-2</v>
      </c>
      <c r="L119">
        <v>1</v>
      </c>
      <c r="M119">
        <v>3600.446836221</v>
      </c>
      <c r="N119">
        <v>922113</v>
      </c>
      <c r="O119">
        <v>1.90140793441155E-2</v>
      </c>
      <c r="P119" s="5">
        <v>8.3320994250541305E-2</v>
      </c>
      <c r="Q119">
        <v>1</v>
      </c>
      <c r="R119">
        <v>19.783869603999999</v>
      </c>
      <c r="S119">
        <v>1</v>
      </c>
      <c r="T119">
        <v>4.00704860423112E-3</v>
      </c>
      <c r="U119">
        <v>6</v>
      </c>
      <c r="V119" s="5">
        <v>8.3320994207891005E-2</v>
      </c>
      <c r="W119">
        <v>1</v>
      </c>
      <c r="X119">
        <v>4.1806611729999998</v>
      </c>
      <c r="Y119">
        <v>23</v>
      </c>
      <c r="Z119">
        <v>3.1018004534722398E-3</v>
      </c>
      <c r="AA119">
        <v>1</v>
      </c>
    </row>
    <row r="120" spans="1:27" x14ac:dyDescent="0.2">
      <c r="A120">
        <v>10</v>
      </c>
      <c r="B120">
        <v>1</v>
      </c>
      <c r="C120">
        <v>0.4</v>
      </c>
      <c r="D120">
        <v>20</v>
      </c>
      <c r="E120">
        <v>0.21108357498799701</v>
      </c>
      <c r="F120">
        <v>1</v>
      </c>
      <c r="G120">
        <v>30.856143847999999</v>
      </c>
      <c r="H120">
        <v>0.21429007936569899</v>
      </c>
      <c r="I120">
        <v>1</v>
      </c>
      <c r="J120">
        <v>4.1199455000000003E-2</v>
      </c>
      <c r="K120">
        <v>0.21509452568009199</v>
      </c>
      <c r="L120">
        <v>1</v>
      </c>
      <c r="M120">
        <v>3600.96668877</v>
      </c>
      <c r="N120">
        <v>652275</v>
      </c>
      <c r="O120">
        <v>1.16887689099094E-2</v>
      </c>
      <c r="P120" s="5">
        <v>0.16954526499325601</v>
      </c>
      <c r="Q120">
        <v>1</v>
      </c>
      <c r="R120">
        <v>22.940334273000001</v>
      </c>
      <c r="S120">
        <v>1</v>
      </c>
      <c r="T120">
        <v>1.75685804474107E-3</v>
      </c>
      <c r="U120">
        <v>4</v>
      </c>
      <c r="V120" s="5">
        <v>0.16954526499325601</v>
      </c>
      <c r="W120">
        <v>1</v>
      </c>
      <c r="X120">
        <v>6.2175812190000004</v>
      </c>
      <c r="Y120">
        <v>1</v>
      </c>
      <c r="Z120">
        <v>1.7962383944290501E-3</v>
      </c>
      <c r="AA120">
        <v>1</v>
      </c>
    </row>
    <row r="121" spans="1:27" x14ac:dyDescent="0.2">
      <c r="A121">
        <v>10</v>
      </c>
      <c r="B121">
        <v>1</v>
      </c>
      <c r="C121">
        <v>0.1</v>
      </c>
      <c r="D121">
        <v>20</v>
      </c>
      <c r="E121">
        <v>0.95303657848715295</v>
      </c>
      <c r="F121">
        <v>1</v>
      </c>
      <c r="G121">
        <v>29.777409542000001</v>
      </c>
      <c r="H121">
        <v>0.92188020864855802</v>
      </c>
      <c r="I121">
        <v>1</v>
      </c>
      <c r="J121">
        <v>4.8519893000000001E-2</v>
      </c>
      <c r="K121">
        <v>0.80078201335977806</v>
      </c>
      <c r="L121">
        <v>1</v>
      </c>
      <c r="M121">
        <v>3600.8500910429998</v>
      </c>
      <c r="N121">
        <v>846581</v>
      </c>
      <c r="O121">
        <v>1.39670754987819E-2</v>
      </c>
      <c r="P121" s="5">
        <v>1.1006076714016799</v>
      </c>
      <c r="Q121">
        <v>1</v>
      </c>
      <c r="R121">
        <v>230.261540669</v>
      </c>
      <c r="S121">
        <v>3854</v>
      </c>
      <c r="T121" s="1">
        <v>4.7262362560487799E-5</v>
      </c>
      <c r="U121">
        <v>3839</v>
      </c>
      <c r="V121" s="5">
        <v>1.0971064600167399</v>
      </c>
      <c r="W121">
        <v>1</v>
      </c>
      <c r="X121">
        <v>12.687689215000001</v>
      </c>
      <c r="Y121">
        <v>1</v>
      </c>
      <c r="Z121">
        <v>7.6659030563810601E-4</v>
      </c>
      <c r="AA121">
        <v>2</v>
      </c>
    </row>
    <row r="122" spans="1:27" x14ac:dyDescent="0.2">
      <c r="A122">
        <v>10</v>
      </c>
      <c r="B122">
        <v>1</v>
      </c>
      <c r="C122">
        <v>0.4</v>
      </c>
      <c r="D122">
        <v>20</v>
      </c>
      <c r="E122">
        <v>0.10866285107915</v>
      </c>
      <c r="F122">
        <v>1</v>
      </c>
      <c r="G122">
        <v>60.107211536000001</v>
      </c>
      <c r="H122">
        <v>0.117310437187987</v>
      </c>
      <c r="I122">
        <v>1</v>
      </c>
      <c r="J122">
        <v>8.6975179999999999E-2</v>
      </c>
      <c r="K122">
        <v>0.117573327426756</v>
      </c>
      <c r="L122">
        <v>1</v>
      </c>
      <c r="M122">
        <v>3605.2209947450001</v>
      </c>
      <c r="N122">
        <v>189294</v>
      </c>
      <c r="O122">
        <v>3.4817339452985097E-2</v>
      </c>
      <c r="P122" s="5">
        <v>8.2494960997411604E-2</v>
      </c>
      <c r="Q122">
        <v>1</v>
      </c>
      <c r="R122">
        <v>59.365069587000001</v>
      </c>
      <c r="S122">
        <v>91</v>
      </c>
      <c r="T122">
        <v>1.07704136138537E-2</v>
      </c>
      <c r="U122">
        <v>59</v>
      </c>
      <c r="V122" s="5">
        <v>8.2494960999065295E-2</v>
      </c>
      <c r="W122">
        <v>1</v>
      </c>
      <c r="X122">
        <v>125.638788074</v>
      </c>
      <c r="Y122">
        <v>86</v>
      </c>
      <c r="Z122">
        <v>9.7250540951281297E-3</v>
      </c>
      <c r="AA122">
        <v>11</v>
      </c>
    </row>
    <row r="123" spans="1:27" x14ac:dyDescent="0.2">
      <c r="A123">
        <v>10</v>
      </c>
      <c r="B123">
        <v>1</v>
      </c>
      <c r="C123">
        <v>0.1</v>
      </c>
      <c r="D123">
        <v>20</v>
      </c>
      <c r="E123">
        <v>0.935986889557475</v>
      </c>
      <c r="F123">
        <v>1</v>
      </c>
      <c r="G123">
        <v>30.664899332000001</v>
      </c>
      <c r="H123">
        <v>0.92366072977156599</v>
      </c>
      <c r="I123">
        <v>1</v>
      </c>
      <c r="J123">
        <v>9.3506631000000007E-2</v>
      </c>
      <c r="K123">
        <v>0.82372519808993705</v>
      </c>
      <c r="L123">
        <v>1</v>
      </c>
      <c r="M123">
        <v>3600.5906669679998</v>
      </c>
      <c r="N123">
        <v>809750</v>
      </c>
      <c r="O123">
        <v>5.6363615113861299E-3</v>
      </c>
      <c r="P123" s="5">
        <v>0.83060801934071105</v>
      </c>
      <c r="Q123">
        <v>1</v>
      </c>
      <c r="R123">
        <v>294.785108648</v>
      </c>
      <c r="S123">
        <v>5261</v>
      </c>
      <c r="T123" s="1">
        <v>8.6125671449562E-5</v>
      </c>
      <c r="U123">
        <v>5181</v>
      </c>
      <c r="V123" s="5">
        <v>1.0835361763225999</v>
      </c>
      <c r="W123">
        <v>1</v>
      </c>
      <c r="X123">
        <v>10.297364303</v>
      </c>
      <c r="Y123">
        <v>4387</v>
      </c>
      <c r="Z123">
        <v>1.5517554230298701E-4</v>
      </c>
      <c r="AA123">
        <v>1</v>
      </c>
    </row>
    <row r="124" spans="1:27" x14ac:dyDescent="0.2">
      <c r="A124">
        <v>10</v>
      </c>
      <c r="B124">
        <v>1</v>
      </c>
      <c r="C124">
        <v>0.2</v>
      </c>
      <c r="D124">
        <v>20</v>
      </c>
      <c r="E124">
        <v>0.81903177461961996</v>
      </c>
      <c r="F124">
        <v>1</v>
      </c>
      <c r="G124">
        <v>30.391157699000001</v>
      </c>
      <c r="H124">
        <v>0.79670183747652801</v>
      </c>
      <c r="I124">
        <v>1</v>
      </c>
      <c r="J124">
        <v>9.4048255999999997E-2</v>
      </c>
      <c r="K124">
        <v>1.06601953313661</v>
      </c>
      <c r="L124">
        <v>1</v>
      </c>
      <c r="M124">
        <v>3601.7969712260001</v>
      </c>
      <c r="N124">
        <v>178866</v>
      </c>
      <c r="O124">
        <v>6.15030991035765E-2</v>
      </c>
      <c r="P124" s="5">
        <v>1.0684875465063</v>
      </c>
      <c r="Q124">
        <v>1</v>
      </c>
      <c r="R124">
        <v>619.51104682599998</v>
      </c>
      <c r="S124">
        <v>4217</v>
      </c>
      <c r="T124" s="1">
        <v>3.6069918135248001E-5</v>
      </c>
      <c r="U124">
        <v>4129</v>
      </c>
      <c r="V124" s="5">
        <v>0.611878875220908</v>
      </c>
      <c r="W124">
        <v>1</v>
      </c>
      <c r="X124">
        <v>20.839863963999999</v>
      </c>
      <c r="Y124">
        <v>2232</v>
      </c>
      <c r="Z124">
        <v>4.4280731686197002E-4</v>
      </c>
      <c r="AA124">
        <v>1</v>
      </c>
    </row>
    <row r="125" spans="1:27" x14ac:dyDescent="0.2">
      <c r="A125">
        <v>10</v>
      </c>
      <c r="B125">
        <v>1</v>
      </c>
      <c r="C125">
        <v>0.1</v>
      </c>
      <c r="D125">
        <v>20</v>
      </c>
      <c r="E125">
        <v>0.979500540932147</v>
      </c>
      <c r="F125">
        <v>1</v>
      </c>
      <c r="G125">
        <v>34.593900775999998</v>
      </c>
      <c r="H125">
        <v>0.97950057006881297</v>
      </c>
      <c r="I125">
        <v>1</v>
      </c>
      <c r="J125">
        <v>4.4063814999999999E-2</v>
      </c>
      <c r="K125">
        <v>1.0517571374432799</v>
      </c>
      <c r="L125">
        <v>1</v>
      </c>
      <c r="M125">
        <v>3602.0062296599999</v>
      </c>
      <c r="N125">
        <v>322276</v>
      </c>
      <c r="O125">
        <v>2.37304269865212E-2</v>
      </c>
      <c r="P125" s="5">
        <v>0.99383264910349001</v>
      </c>
      <c r="Q125">
        <v>1</v>
      </c>
      <c r="R125">
        <v>776.47422451</v>
      </c>
      <c r="S125">
        <v>5675</v>
      </c>
      <c r="T125">
        <v>3.47001355874142E-4</v>
      </c>
      <c r="U125">
        <v>5340</v>
      </c>
      <c r="V125" s="5">
        <v>0.90649159748254204</v>
      </c>
      <c r="W125">
        <v>1</v>
      </c>
      <c r="X125">
        <v>25.338776179</v>
      </c>
      <c r="Y125">
        <v>5921</v>
      </c>
      <c r="Z125">
        <v>2.44144375442803E-4</v>
      </c>
      <c r="AA125">
        <v>1</v>
      </c>
    </row>
    <row r="126" spans="1:27" x14ac:dyDescent="0.2">
      <c r="A126">
        <v>10</v>
      </c>
      <c r="B126">
        <v>1</v>
      </c>
      <c r="C126">
        <v>0.4</v>
      </c>
      <c r="D126">
        <v>20</v>
      </c>
      <c r="E126">
        <v>0.19098628800530701</v>
      </c>
      <c r="F126">
        <v>1</v>
      </c>
      <c r="G126">
        <v>38.421816516</v>
      </c>
      <c r="H126">
        <v>0.14439995151284901</v>
      </c>
      <c r="I126">
        <v>1</v>
      </c>
      <c r="J126">
        <v>8.6717449000000002E-2</v>
      </c>
      <c r="K126">
        <v>0.145995859939653</v>
      </c>
      <c r="L126">
        <v>1</v>
      </c>
      <c r="M126">
        <v>3603.6536086579999</v>
      </c>
      <c r="N126">
        <v>226460</v>
      </c>
      <c r="O126">
        <v>0.189088620450302</v>
      </c>
      <c r="P126" s="5">
        <v>6.94635840920238E-2</v>
      </c>
      <c r="Q126">
        <v>1</v>
      </c>
      <c r="R126">
        <v>736.01166651599999</v>
      </c>
      <c r="S126">
        <v>5030</v>
      </c>
      <c r="T126">
        <v>3.5547817605537302E-3</v>
      </c>
      <c r="U126">
        <v>4295</v>
      </c>
      <c r="V126" s="5">
        <v>0.150164086148735</v>
      </c>
      <c r="W126">
        <v>1</v>
      </c>
      <c r="X126">
        <v>235.63766508</v>
      </c>
      <c r="Y126">
        <v>4827</v>
      </c>
      <c r="Z126">
        <v>3.69869190590532E-3</v>
      </c>
      <c r="AA126">
        <v>10</v>
      </c>
    </row>
    <row r="127" spans="1:27" x14ac:dyDescent="0.2">
      <c r="A127">
        <v>10</v>
      </c>
      <c r="B127">
        <v>1</v>
      </c>
      <c r="C127">
        <v>0.1</v>
      </c>
      <c r="D127">
        <v>20</v>
      </c>
      <c r="E127">
        <v>0.96850487963965004</v>
      </c>
      <c r="F127">
        <v>1</v>
      </c>
      <c r="G127">
        <v>31.474868400999998</v>
      </c>
      <c r="H127">
        <v>0.96850487963965004</v>
      </c>
      <c r="I127">
        <v>1</v>
      </c>
      <c r="J127">
        <v>4.4019080000000002E-2</v>
      </c>
      <c r="K127">
        <v>1.15261609561273</v>
      </c>
      <c r="L127">
        <v>1</v>
      </c>
      <c r="M127">
        <v>3600.9301748439998</v>
      </c>
      <c r="N127">
        <v>407697</v>
      </c>
      <c r="O127">
        <v>3.9365152602032397E-2</v>
      </c>
      <c r="P127" s="5">
        <v>0.74303268040834602</v>
      </c>
      <c r="Q127">
        <v>1</v>
      </c>
      <c r="R127">
        <v>639.73759482000003</v>
      </c>
      <c r="S127">
        <v>4765</v>
      </c>
      <c r="T127" s="1">
        <v>4.18858413457623E-6</v>
      </c>
      <c r="U127">
        <v>4770</v>
      </c>
      <c r="V127" s="5">
        <v>1.04435493829709</v>
      </c>
      <c r="W127">
        <v>1</v>
      </c>
      <c r="X127">
        <v>23.464051230999999</v>
      </c>
      <c r="Y127">
        <v>12487</v>
      </c>
      <c r="Z127" s="1">
        <v>9.6070312116669498E-7</v>
      </c>
      <c r="AA127">
        <v>1</v>
      </c>
    </row>
    <row r="128" spans="1:27" x14ac:dyDescent="0.2">
      <c r="A128">
        <v>10</v>
      </c>
      <c r="B128">
        <v>1</v>
      </c>
      <c r="C128">
        <v>0.4</v>
      </c>
      <c r="D128">
        <v>20</v>
      </c>
      <c r="E128">
        <v>0.140627380860467</v>
      </c>
      <c r="F128">
        <v>1</v>
      </c>
      <c r="G128">
        <v>41.968470496000002</v>
      </c>
      <c r="H128">
        <v>0.146664016060742</v>
      </c>
      <c r="I128">
        <v>1</v>
      </c>
      <c r="J128">
        <v>9.8352556999999993E-2</v>
      </c>
      <c r="K128">
        <v>0.14667470295094401</v>
      </c>
      <c r="L128">
        <v>1</v>
      </c>
      <c r="M128">
        <v>3601.2621623199998</v>
      </c>
      <c r="N128">
        <v>453226</v>
      </c>
      <c r="O128">
        <v>1.67388232998106E-2</v>
      </c>
      <c r="P128" s="5">
        <v>0.10018923253588501</v>
      </c>
      <c r="Q128">
        <v>1</v>
      </c>
      <c r="R128">
        <v>26.485838610999998</v>
      </c>
      <c r="S128">
        <v>1</v>
      </c>
      <c r="T128">
        <v>3.4896962032751602E-3</v>
      </c>
      <c r="U128">
        <v>4</v>
      </c>
      <c r="V128" s="5">
        <v>0.10018923253588501</v>
      </c>
      <c r="W128">
        <v>1</v>
      </c>
      <c r="X128">
        <v>7.045620564</v>
      </c>
      <c r="Y128">
        <v>1</v>
      </c>
      <c r="Z128">
        <v>2.4220059719019501E-3</v>
      </c>
      <c r="AA128">
        <v>1</v>
      </c>
    </row>
    <row r="129" spans="1:27" x14ac:dyDescent="0.2">
      <c r="A129">
        <v>10</v>
      </c>
      <c r="B129">
        <v>1</v>
      </c>
      <c r="C129">
        <v>0.2</v>
      </c>
      <c r="D129">
        <v>20</v>
      </c>
      <c r="E129">
        <v>0.52854411782742805</v>
      </c>
      <c r="F129">
        <v>1</v>
      </c>
      <c r="G129">
        <v>31.31632102</v>
      </c>
      <c r="H129">
        <v>0.54429934669107005</v>
      </c>
      <c r="I129">
        <v>1</v>
      </c>
      <c r="J129">
        <v>6.5054374999999998E-2</v>
      </c>
      <c r="K129">
        <v>0.54264568877889596</v>
      </c>
      <c r="L129">
        <v>1</v>
      </c>
      <c r="M129">
        <v>3600.9309638640002</v>
      </c>
      <c r="N129">
        <v>344829</v>
      </c>
      <c r="O129">
        <v>4.9596474114619697E-2</v>
      </c>
      <c r="P129" s="5">
        <v>0.57392883898730496</v>
      </c>
      <c r="Q129">
        <v>1</v>
      </c>
      <c r="R129">
        <v>740.02424092399997</v>
      </c>
      <c r="S129">
        <v>6109</v>
      </c>
      <c r="T129">
        <v>2.0019463444812999E-3</v>
      </c>
      <c r="U129">
        <v>5231</v>
      </c>
      <c r="V129" s="5">
        <v>0.54662038976254101</v>
      </c>
      <c r="W129">
        <v>1</v>
      </c>
      <c r="X129">
        <v>32.577598162999998</v>
      </c>
      <c r="Y129">
        <v>7</v>
      </c>
      <c r="Z129">
        <v>5.0876032504932603E-3</v>
      </c>
      <c r="AA129">
        <v>4</v>
      </c>
    </row>
    <row r="130" spans="1:27" x14ac:dyDescent="0.2">
      <c r="A130">
        <v>10</v>
      </c>
      <c r="B130">
        <v>1</v>
      </c>
      <c r="C130">
        <v>0.1</v>
      </c>
      <c r="D130">
        <v>20</v>
      </c>
      <c r="E130">
        <v>0.99122859565016097</v>
      </c>
      <c r="F130">
        <v>1</v>
      </c>
      <c r="G130">
        <v>35.030811663000001</v>
      </c>
      <c r="H130">
        <v>0.99122859565028698</v>
      </c>
      <c r="I130">
        <v>1</v>
      </c>
      <c r="J130">
        <v>4.6336161000000001E-2</v>
      </c>
      <c r="K130">
        <v>1.0446930931557701</v>
      </c>
      <c r="L130">
        <v>1</v>
      </c>
      <c r="M130">
        <v>3600.568461456</v>
      </c>
      <c r="N130">
        <v>245251</v>
      </c>
      <c r="O130">
        <v>4.2967899335798199E-2</v>
      </c>
      <c r="P130" s="5">
        <v>0.98442643178246103</v>
      </c>
      <c r="Q130">
        <v>1</v>
      </c>
      <c r="R130">
        <v>1947.082153781</v>
      </c>
      <c r="S130">
        <v>12736</v>
      </c>
      <c r="T130" s="1">
        <v>2.1060671956396601E-10</v>
      </c>
      <c r="U130">
        <v>12737</v>
      </c>
      <c r="V130" s="5">
        <v>1.07340587454905</v>
      </c>
      <c r="W130">
        <v>1</v>
      </c>
      <c r="X130">
        <v>21.604897278999999</v>
      </c>
      <c r="Y130">
        <v>10427</v>
      </c>
      <c r="Z130" s="1">
        <v>2.8676300630608997E-7</v>
      </c>
      <c r="AA130">
        <v>1</v>
      </c>
    </row>
    <row r="131" spans="1:27" x14ac:dyDescent="0.2">
      <c r="A131">
        <v>10</v>
      </c>
      <c r="B131">
        <v>1</v>
      </c>
      <c r="C131">
        <v>0.3</v>
      </c>
      <c r="D131">
        <v>20</v>
      </c>
      <c r="E131">
        <v>0.37700850696302901</v>
      </c>
      <c r="F131">
        <v>1</v>
      </c>
      <c r="G131">
        <v>40.919119084999998</v>
      </c>
      <c r="H131">
        <v>0.29697058327012898</v>
      </c>
      <c r="I131">
        <v>1</v>
      </c>
      <c r="J131">
        <v>7.4474464000000004E-2</v>
      </c>
      <c r="K131">
        <v>0.29623203030116901</v>
      </c>
      <c r="L131">
        <v>1</v>
      </c>
      <c r="M131">
        <v>3601.6919931040002</v>
      </c>
      <c r="N131">
        <v>598135</v>
      </c>
      <c r="O131">
        <v>1.35354204839575E-2</v>
      </c>
      <c r="P131" s="5">
        <v>0.25695527642285898</v>
      </c>
      <c r="Q131">
        <v>1</v>
      </c>
      <c r="R131">
        <v>155.48647353300001</v>
      </c>
      <c r="S131">
        <v>2718</v>
      </c>
      <c r="T131">
        <v>3.8155718609983398E-4</v>
      </c>
      <c r="U131">
        <v>2255</v>
      </c>
      <c r="V131" s="5">
        <v>0.23779322448227799</v>
      </c>
      <c r="W131">
        <v>1</v>
      </c>
      <c r="X131">
        <v>10.313339475999999</v>
      </c>
      <c r="Y131">
        <v>1950</v>
      </c>
      <c r="Z131">
        <v>6.3033851713273305E-4</v>
      </c>
      <c r="AA131">
        <v>1</v>
      </c>
    </row>
    <row r="132" spans="1:27" x14ac:dyDescent="0.2">
      <c r="A132">
        <v>10</v>
      </c>
      <c r="B132">
        <v>1</v>
      </c>
      <c r="C132">
        <v>0.1</v>
      </c>
      <c r="D132">
        <v>20</v>
      </c>
      <c r="E132">
        <v>0.98867530660855796</v>
      </c>
      <c r="F132">
        <v>1</v>
      </c>
      <c r="G132">
        <v>32.113406953999998</v>
      </c>
      <c r="H132">
        <v>0.98867530660855796</v>
      </c>
      <c r="I132">
        <v>1</v>
      </c>
      <c r="J132">
        <v>4.2507085999999999E-2</v>
      </c>
      <c r="K132">
        <v>0.80870007670220501</v>
      </c>
      <c r="L132">
        <v>1</v>
      </c>
      <c r="M132">
        <v>3600.4856546139999</v>
      </c>
      <c r="N132">
        <v>1084055</v>
      </c>
      <c r="O132">
        <v>8.4864161049845697E-3</v>
      </c>
      <c r="P132" s="5">
        <v>1.06226637982588</v>
      </c>
      <c r="Q132">
        <v>1</v>
      </c>
      <c r="R132">
        <v>407.95392583699999</v>
      </c>
      <c r="S132">
        <v>12837</v>
      </c>
      <c r="T132" s="1">
        <v>4.9964872971789899E-5</v>
      </c>
      <c r="U132">
        <v>9460</v>
      </c>
      <c r="V132" s="5">
        <v>1.06449129825544</v>
      </c>
      <c r="W132">
        <v>1</v>
      </c>
      <c r="X132">
        <v>16.504948787</v>
      </c>
      <c r="Y132">
        <v>8415</v>
      </c>
      <c r="Z132" s="1">
        <v>6.1704568164006298E-5</v>
      </c>
      <c r="AA132">
        <v>1</v>
      </c>
    </row>
    <row r="133" spans="1:27" x14ac:dyDescent="0.2">
      <c r="A133">
        <v>10</v>
      </c>
      <c r="B133">
        <v>1</v>
      </c>
      <c r="C133">
        <v>0.4</v>
      </c>
      <c r="D133">
        <v>20</v>
      </c>
      <c r="E133">
        <v>0.358269106441095</v>
      </c>
      <c r="F133">
        <v>1</v>
      </c>
      <c r="G133">
        <v>30.951495449999999</v>
      </c>
      <c r="H133">
        <v>0.29219454063100497</v>
      </c>
      <c r="I133">
        <v>1</v>
      </c>
      <c r="J133">
        <v>5.5180121999999998E-2</v>
      </c>
      <c r="K133">
        <v>0.292682238425303</v>
      </c>
      <c r="L133">
        <v>1</v>
      </c>
      <c r="M133">
        <v>3601.3095066189999</v>
      </c>
      <c r="N133">
        <v>338265</v>
      </c>
      <c r="O133">
        <v>8.4494825689677797E-2</v>
      </c>
      <c r="P133" s="5">
        <v>0.227117919610581</v>
      </c>
      <c r="Q133">
        <v>1</v>
      </c>
      <c r="R133">
        <v>469.54920302400001</v>
      </c>
      <c r="S133">
        <v>3322</v>
      </c>
      <c r="T133">
        <v>1.08011221987651E-2</v>
      </c>
      <c r="U133">
        <v>2974</v>
      </c>
      <c r="V133" s="5">
        <v>0.32504230688472402</v>
      </c>
      <c r="W133">
        <v>1</v>
      </c>
      <c r="X133">
        <v>533.195122266</v>
      </c>
      <c r="Y133">
        <v>7448</v>
      </c>
      <c r="Z133">
        <v>5.1417334262691102E-3</v>
      </c>
      <c r="AA133">
        <v>20</v>
      </c>
    </row>
    <row r="134" spans="1:27" x14ac:dyDescent="0.2">
      <c r="A134">
        <v>10</v>
      </c>
      <c r="B134">
        <v>1</v>
      </c>
      <c r="C134">
        <v>0.2</v>
      </c>
      <c r="D134">
        <v>20</v>
      </c>
      <c r="E134">
        <v>0.89013080166007197</v>
      </c>
      <c r="F134">
        <v>1</v>
      </c>
      <c r="G134">
        <v>32.357851429999997</v>
      </c>
      <c r="H134">
        <v>0.87873134210550696</v>
      </c>
      <c r="I134">
        <v>1</v>
      </c>
      <c r="J134">
        <v>0.220122656</v>
      </c>
      <c r="K134">
        <v>0.87151071014071602</v>
      </c>
      <c r="L134">
        <v>1</v>
      </c>
      <c r="M134">
        <v>3601.0462180210002</v>
      </c>
      <c r="N134">
        <v>250435</v>
      </c>
      <c r="O134">
        <v>0.15721327811558899</v>
      </c>
      <c r="P134" s="5">
        <v>0.91930305644506305</v>
      </c>
      <c r="Q134">
        <v>1</v>
      </c>
      <c r="R134">
        <v>617.05753877400002</v>
      </c>
      <c r="S134">
        <v>4839</v>
      </c>
      <c r="T134">
        <v>2.0915764492028198E-3</v>
      </c>
      <c r="U134">
        <v>4275</v>
      </c>
      <c r="V134" s="5">
        <v>0.88962595872445605</v>
      </c>
      <c r="W134">
        <v>1</v>
      </c>
      <c r="X134">
        <v>1206.80240157</v>
      </c>
      <c r="Y134">
        <v>15206</v>
      </c>
      <c r="Z134">
        <v>1.1107842855050099E-3</v>
      </c>
      <c r="AA134">
        <v>20</v>
      </c>
    </row>
    <row r="135" spans="1:27" x14ac:dyDescent="0.2">
      <c r="A135">
        <v>10</v>
      </c>
      <c r="B135">
        <v>1</v>
      </c>
      <c r="C135">
        <v>0.3</v>
      </c>
      <c r="D135">
        <v>20</v>
      </c>
      <c r="E135">
        <v>0.51158732440837296</v>
      </c>
      <c r="F135">
        <v>1</v>
      </c>
      <c r="G135">
        <v>33.717600365000003</v>
      </c>
      <c r="H135">
        <v>0.40744633116748402</v>
      </c>
      <c r="I135">
        <v>1</v>
      </c>
      <c r="J135">
        <v>5.6663177000000002E-2</v>
      </c>
      <c r="K135">
        <v>0.40832211644198202</v>
      </c>
      <c r="L135">
        <v>1</v>
      </c>
      <c r="M135">
        <v>3601.0658089550002</v>
      </c>
      <c r="N135">
        <v>246580</v>
      </c>
      <c r="O135">
        <v>6.8508136737845504E-2</v>
      </c>
      <c r="P135" s="5">
        <v>0.32909322439682598</v>
      </c>
      <c r="Q135">
        <v>1</v>
      </c>
      <c r="R135">
        <v>505.96769270099998</v>
      </c>
      <c r="S135">
        <v>4034</v>
      </c>
      <c r="T135">
        <v>2.3391919602697101E-3</v>
      </c>
      <c r="U135">
        <v>3049</v>
      </c>
      <c r="V135" s="5">
        <v>0.46175841844864102</v>
      </c>
      <c r="W135">
        <v>1</v>
      </c>
      <c r="X135">
        <v>1672.808744467</v>
      </c>
      <c r="Y135">
        <v>21797</v>
      </c>
      <c r="Z135">
        <v>1.7868069654943799E-3</v>
      </c>
      <c r="AA135">
        <v>20</v>
      </c>
    </row>
    <row r="136" spans="1:27" x14ac:dyDescent="0.2">
      <c r="A136">
        <v>10</v>
      </c>
      <c r="B136">
        <v>1</v>
      </c>
      <c r="C136">
        <v>0.3</v>
      </c>
      <c r="D136">
        <v>20</v>
      </c>
      <c r="E136">
        <v>0.35172533704969</v>
      </c>
      <c r="F136">
        <v>1</v>
      </c>
      <c r="G136">
        <v>29.648048502999998</v>
      </c>
      <c r="H136">
        <v>0.35115075268104401</v>
      </c>
      <c r="I136">
        <v>1</v>
      </c>
      <c r="J136">
        <v>7.3142999E-2</v>
      </c>
      <c r="K136">
        <v>0.35110287082247699</v>
      </c>
      <c r="L136">
        <v>1</v>
      </c>
      <c r="M136">
        <v>3602.5997679070001</v>
      </c>
      <c r="N136">
        <v>400763</v>
      </c>
      <c r="O136">
        <v>5.8043162209813204E-3</v>
      </c>
      <c r="P136" s="5">
        <v>0.34915853465329699</v>
      </c>
      <c r="Q136">
        <v>1</v>
      </c>
      <c r="R136">
        <v>22.982220091999999</v>
      </c>
      <c r="S136">
        <v>1</v>
      </c>
      <c r="T136">
        <v>1.9924880320463202E-3</v>
      </c>
      <c r="U136">
        <v>5</v>
      </c>
      <c r="V136" s="5">
        <v>0.349158534651899</v>
      </c>
      <c r="W136">
        <v>1</v>
      </c>
      <c r="X136">
        <v>8.7525111599999992</v>
      </c>
      <c r="Y136">
        <v>1</v>
      </c>
      <c r="Z136">
        <v>2.7699936108325201E-3</v>
      </c>
      <c r="AA136">
        <v>1</v>
      </c>
    </row>
    <row r="137" spans="1:27" x14ac:dyDescent="0.2">
      <c r="A137">
        <v>10</v>
      </c>
      <c r="B137">
        <v>1</v>
      </c>
      <c r="C137">
        <v>0.4</v>
      </c>
      <c r="D137">
        <v>20</v>
      </c>
      <c r="E137">
        <v>0.32848042560719398</v>
      </c>
      <c r="F137">
        <v>1</v>
      </c>
      <c r="G137">
        <v>35.553308041999998</v>
      </c>
      <c r="H137">
        <v>0.31248052785483099</v>
      </c>
      <c r="I137">
        <v>1</v>
      </c>
      <c r="J137">
        <v>9.9488196000000001E-2</v>
      </c>
      <c r="K137">
        <v>0.31924981020543902</v>
      </c>
      <c r="L137">
        <v>1</v>
      </c>
      <c r="M137">
        <v>3602.5851381319999</v>
      </c>
      <c r="N137">
        <v>189398</v>
      </c>
      <c r="O137">
        <v>0.13450626555586701</v>
      </c>
      <c r="P137" s="5">
        <v>0.30711855375492503</v>
      </c>
      <c r="Q137">
        <v>1</v>
      </c>
      <c r="R137">
        <v>184.478381146</v>
      </c>
      <c r="S137">
        <v>1198</v>
      </c>
      <c r="T137">
        <v>6.0860912931600597E-3</v>
      </c>
      <c r="U137">
        <v>942</v>
      </c>
      <c r="V137" s="5">
        <v>0.30711855375525499</v>
      </c>
      <c r="W137">
        <v>1</v>
      </c>
      <c r="X137">
        <v>12.859508406</v>
      </c>
      <c r="Y137">
        <v>772</v>
      </c>
      <c r="Z137">
        <v>8.14500051415179E-3</v>
      </c>
      <c r="AA137">
        <v>1</v>
      </c>
    </row>
    <row r="138" spans="1:27" x14ac:dyDescent="0.2">
      <c r="A138">
        <v>10</v>
      </c>
      <c r="B138">
        <v>1</v>
      </c>
      <c r="C138">
        <v>0.1</v>
      </c>
      <c r="D138">
        <v>20</v>
      </c>
      <c r="E138">
        <v>0.91950848244943095</v>
      </c>
      <c r="F138">
        <v>1</v>
      </c>
      <c r="G138">
        <v>41.148786772000001</v>
      </c>
      <c r="H138">
        <v>0.91951311643160905</v>
      </c>
      <c r="I138">
        <v>1</v>
      </c>
      <c r="J138">
        <v>6.8603498999999998E-2</v>
      </c>
      <c r="K138">
        <v>0.66171023534991302</v>
      </c>
      <c r="L138">
        <v>1</v>
      </c>
      <c r="M138">
        <v>3601.2314009850002</v>
      </c>
      <c r="N138">
        <v>799510</v>
      </c>
      <c r="O138">
        <v>1.6157856616167001E-2</v>
      </c>
      <c r="P138" s="5">
        <v>1.02039614879413</v>
      </c>
      <c r="Q138">
        <v>1</v>
      </c>
      <c r="R138">
        <v>436.90525601299998</v>
      </c>
      <c r="S138">
        <v>7452</v>
      </c>
      <c r="T138">
        <v>0</v>
      </c>
      <c r="U138">
        <v>7454</v>
      </c>
      <c r="V138" s="5">
        <v>1.21252820449728</v>
      </c>
      <c r="W138">
        <v>1</v>
      </c>
      <c r="X138">
        <v>10.459606356</v>
      </c>
      <c r="Y138">
        <v>4897</v>
      </c>
      <c r="Z138" s="1">
        <v>5.7780020830400203E-8</v>
      </c>
      <c r="AA138">
        <v>1</v>
      </c>
    </row>
    <row r="139" spans="1:27" x14ac:dyDescent="0.2">
      <c r="A139">
        <v>10</v>
      </c>
      <c r="B139">
        <v>1</v>
      </c>
      <c r="C139">
        <v>0.3</v>
      </c>
      <c r="D139">
        <v>20</v>
      </c>
      <c r="E139">
        <v>0.387805835040547</v>
      </c>
      <c r="F139">
        <v>1</v>
      </c>
      <c r="G139">
        <v>28.973747324000001</v>
      </c>
      <c r="H139">
        <v>0.38002875673720099</v>
      </c>
      <c r="I139">
        <v>1</v>
      </c>
      <c r="J139">
        <v>0.119211228</v>
      </c>
      <c r="K139">
        <v>0.38005872121801698</v>
      </c>
      <c r="L139">
        <v>1</v>
      </c>
      <c r="M139">
        <v>3601.7864342829998</v>
      </c>
      <c r="N139">
        <v>344950</v>
      </c>
      <c r="O139">
        <v>7.0860984295158802E-2</v>
      </c>
      <c r="P139" s="5">
        <v>0.35144834228141297</v>
      </c>
      <c r="Q139">
        <v>1</v>
      </c>
      <c r="R139">
        <v>852.36621576200002</v>
      </c>
      <c r="S139">
        <v>7876</v>
      </c>
      <c r="T139">
        <v>1.1841046553517399E-2</v>
      </c>
      <c r="U139">
        <v>5839</v>
      </c>
      <c r="V139" s="5">
        <v>0.33203472424068903</v>
      </c>
      <c r="W139">
        <v>1</v>
      </c>
      <c r="X139">
        <v>1247.2085332940001</v>
      </c>
      <c r="Y139">
        <v>12510</v>
      </c>
      <c r="Z139">
        <v>5.8687464803299696E-3</v>
      </c>
      <c r="AA139">
        <v>20</v>
      </c>
    </row>
    <row r="140" spans="1:27" x14ac:dyDescent="0.2">
      <c r="A140">
        <v>10</v>
      </c>
      <c r="B140">
        <v>1</v>
      </c>
      <c r="C140">
        <v>0.3</v>
      </c>
      <c r="D140">
        <v>20</v>
      </c>
      <c r="E140">
        <v>0.47368472067373502</v>
      </c>
      <c r="F140">
        <v>1</v>
      </c>
      <c r="G140">
        <v>32.101806322000002</v>
      </c>
      <c r="H140">
        <v>0.40888973523668598</v>
      </c>
      <c r="I140">
        <v>1</v>
      </c>
      <c r="J140">
        <v>0.149401544</v>
      </c>
      <c r="K140">
        <v>0.41000997773306302</v>
      </c>
      <c r="L140">
        <v>1</v>
      </c>
      <c r="M140">
        <v>3600.6642749359999</v>
      </c>
      <c r="N140">
        <v>308427</v>
      </c>
      <c r="O140">
        <v>7.4379472840000405E-2</v>
      </c>
      <c r="P140" s="5">
        <v>0.59636904381319999</v>
      </c>
      <c r="Q140">
        <v>1</v>
      </c>
      <c r="R140">
        <v>485.12758020899997</v>
      </c>
      <c r="S140">
        <v>3778</v>
      </c>
      <c r="T140">
        <v>3.7798016308466199E-3</v>
      </c>
      <c r="U140">
        <v>3440</v>
      </c>
      <c r="V140" s="5">
        <v>0.55830954233896901</v>
      </c>
      <c r="W140">
        <v>1</v>
      </c>
      <c r="X140">
        <v>1937.1373399070001</v>
      </c>
      <c r="Y140">
        <v>24546</v>
      </c>
      <c r="Z140">
        <v>2.6117897195682598E-3</v>
      </c>
      <c r="AA140">
        <v>20</v>
      </c>
    </row>
    <row r="141" spans="1:27" x14ac:dyDescent="0.2">
      <c r="A141">
        <v>10</v>
      </c>
      <c r="B141">
        <v>1</v>
      </c>
      <c r="C141">
        <v>0.2</v>
      </c>
      <c r="D141">
        <v>20</v>
      </c>
      <c r="E141">
        <v>0.77856369330791597</v>
      </c>
      <c r="F141">
        <v>1</v>
      </c>
      <c r="G141">
        <v>34.796301831999997</v>
      </c>
      <c r="H141">
        <v>0.70466753662810799</v>
      </c>
      <c r="I141">
        <v>1</v>
      </c>
      <c r="J141">
        <v>0.183085213</v>
      </c>
      <c r="K141">
        <v>0.54673249009682801</v>
      </c>
      <c r="L141">
        <v>1</v>
      </c>
      <c r="M141">
        <v>3602.5590432670001</v>
      </c>
      <c r="N141">
        <v>159045</v>
      </c>
      <c r="O141">
        <v>0.18052324771164399</v>
      </c>
      <c r="P141" s="5">
        <v>0.54839496673492205</v>
      </c>
      <c r="Q141">
        <v>1</v>
      </c>
      <c r="R141">
        <v>633.404968962</v>
      </c>
      <c r="S141">
        <v>4261</v>
      </c>
      <c r="T141">
        <v>1.5324875600886401E-3</v>
      </c>
      <c r="U141">
        <v>3952</v>
      </c>
      <c r="V141" s="5">
        <v>0.93368063642267196</v>
      </c>
      <c r="W141">
        <v>1</v>
      </c>
      <c r="X141">
        <v>25.705002382</v>
      </c>
      <c r="Y141">
        <v>3231</v>
      </c>
      <c r="Z141">
        <v>4.59148301702155E-4</v>
      </c>
      <c r="AA141">
        <v>1</v>
      </c>
    </row>
    <row r="142" spans="1:27" x14ac:dyDescent="0.2">
      <c r="A142">
        <v>10</v>
      </c>
      <c r="B142">
        <v>1</v>
      </c>
      <c r="C142">
        <v>0.2</v>
      </c>
      <c r="D142">
        <v>20</v>
      </c>
      <c r="E142">
        <v>0.60271541413732799</v>
      </c>
      <c r="F142">
        <v>1</v>
      </c>
      <c r="G142">
        <v>32.007618530000002</v>
      </c>
      <c r="H142">
        <v>0.59934931345812004</v>
      </c>
      <c r="I142">
        <v>1</v>
      </c>
      <c r="J142">
        <v>0.125404549</v>
      </c>
      <c r="K142">
        <v>0.60411397893540597</v>
      </c>
      <c r="L142">
        <v>1</v>
      </c>
      <c r="M142">
        <v>3600.8958430839998</v>
      </c>
      <c r="N142">
        <v>809818</v>
      </c>
      <c r="O142">
        <v>5.8551037976606303E-2</v>
      </c>
      <c r="P142" s="5">
        <v>0.64484860801816501</v>
      </c>
      <c r="Q142">
        <v>1</v>
      </c>
      <c r="R142">
        <v>800.98625757299999</v>
      </c>
      <c r="S142">
        <v>14818</v>
      </c>
      <c r="T142">
        <v>4.0534167542856598E-3</v>
      </c>
      <c r="U142">
        <v>10420</v>
      </c>
      <c r="V142" s="5">
        <v>0.63769145249210402</v>
      </c>
      <c r="W142">
        <v>1</v>
      </c>
      <c r="X142">
        <v>752.468269846</v>
      </c>
      <c r="Y142">
        <v>22837</v>
      </c>
      <c r="Z142">
        <v>2.0469724791551901E-3</v>
      </c>
      <c r="AA142">
        <v>20</v>
      </c>
    </row>
    <row r="143" spans="1:27" x14ac:dyDescent="0.2">
      <c r="A143">
        <v>10</v>
      </c>
      <c r="B143">
        <v>1</v>
      </c>
      <c r="C143">
        <v>0.1</v>
      </c>
      <c r="D143">
        <v>20</v>
      </c>
      <c r="E143">
        <v>0.72017534356751101</v>
      </c>
      <c r="F143">
        <v>1</v>
      </c>
      <c r="G143">
        <v>33.41679413</v>
      </c>
      <c r="H143">
        <v>0.70560371724381998</v>
      </c>
      <c r="I143">
        <v>1</v>
      </c>
      <c r="J143">
        <v>7.8012227000000003E-2</v>
      </c>
      <c r="K143">
        <v>0.70557964518854199</v>
      </c>
      <c r="L143">
        <v>1</v>
      </c>
      <c r="M143">
        <v>3601.1220743499998</v>
      </c>
      <c r="N143">
        <v>551895</v>
      </c>
      <c r="O143">
        <v>2.4207955854835799E-3</v>
      </c>
      <c r="P143" s="5">
        <v>0.82723086677603297</v>
      </c>
      <c r="Q143">
        <v>1</v>
      </c>
      <c r="R143">
        <v>2520.8934331820001</v>
      </c>
      <c r="S143">
        <v>20449</v>
      </c>
      <c r="T143">
        <v>3.7195758913404598E-4</v>
      </c>
      <c r="U143">
        <v>19004</v>
      </c>
      <c r="V143" s="5">
        <v>0.79198894407355702</v>
      </c>
      <c r="W143">
        <v>1</v>
      </c>
      <c r="X143">
        <v>203.73058471600001</v>
      </c>
      <c r="Y143">
        <v>5983</v>
      </c>
      <c r="Z143">
        <v>4.8557481710763401E-4</v>
      </c>
      <c r="AA143">
        <v>9</v>
      </c>
    </row>
    <row r="144" spans="1:27" x14ac:dyDescent="0.2">
      <c r="A144">
        <v>10</v>
      </c>
      <c r="B144">
        <v>1</v>
      </c>
      <c r="C144">
        <v>0.4</v>
      </c>
      <c r="D144">
        <v>20</v>
      </c>
      <c r="E144">
        <v>0.16660011972913899</v>
      </c>
      <c r="F144">
        <v>1</v>
      </c>
      <c r="G144">
        <v>35.048484340000002</v>
      </c>
      <c r="H144">
        <v>0.15071247796919299</v>
      </c>
      <c r="I144">
        <v>1</v>
      </c>
      <c r="J144">
        <v>9.5640676999999993E-2</v>
      </c>
      <c r="K144">
        <v>0.14790445890604401</v>
      </c>
      <c r="L144">
        <v>1</v>
      </c>
      <c r="M144">
        <v>3601.2698555689999</v>
      </c>
      <c r="N144">
        <v>198568</v>
      </c>
      <c r="O144">
        <v>6.5735314296482203E-2</v>
      </c>
      <c r="P144" s="5">
        <v>0.22181481135547201</v>
      </c>
      <c r="Q144">
        <v>1</v>
      </c>
      <c r="R144">
        <v>1656.7072979919999</v>
      </c>
      <c r="S144">
        <v>14894</v>
      </c>
      <c r="T144">
        <v>4.7562121399691796E-3</v>
      </c>
      <c r="U144">
        <v>9650</v>
      </c>
      <c r="V144" s="5">
        <v>0.154645645549918</v>
      </c>
      <c r="W144">
        <v>1</v>
      </c>
      <c r="X144">
        <v>1428.4358851259999</v>
      </c>
      <c r="Y144">
        <v>11898</v>
      </c>
      <c r="Z144">
        <v>7.41979360399186E-3</v>
      </c>
      <c r="AA144">
        <v>15</v>
      </c>
    </row>
    <row r="145" spans="1:27" x14ac:dyDescent="0.2">
      <c r="A145">
        <v>10</v>
      </c>
      <c r="B145">
        <v>1</v>
      </c>
      <c r="C145">
        <v>0.1</v>
      </c>
      <c r="D145">
        <v>20</v>
      </c>
      <c r="E145">
        <v>0.98408043836408399</v>
      </c>
      <c r="F145">
        <v>1</v>
      </c>
      <c r="G145">
        <v>34.809925116000002</v>
      </c>
      <c r="H145">
        <v>0.98408043836408399</v>
      </c>
      <c r="I145">
        <v>1</v>
      </c>
      <c r="J145">
        <v>4.6636790999999997E-2</v>
      </c>
      <c r="K145">
        <v>0.90791041175507803</v>
      </c>
      <c r="L145">
        <v>1</v>
      </c>
      <c r="M145">
        <v>3601.7371985320001</v>
      </c>
      <c r="N145">
        <v>286054</v>
      </c>
      <c r="O145">
        <v>2.1359763248250001E-2</v>
      </c>
      <c r="P145" s="5">
        <v>0.79736839689992101</v>
      </c>
      <c r="Q145">
        <v>1</v>
      </c>
      <c r="R145">
        <v>537.663470566</v>
      </c>
      <c r="S145">
        <v>3502</v>
      </c>
      <c r="T145" s="1">
        <v>2.1556460374931501E-5</v>
      </c>
      <c r="U145">
        <v>3492</v>
      </c>
      <c r="V145" s="5">
        <v>1.0094349454898299</v>
      </c>
      <c r="W145">
        <v>1</v>
      </c>
      <c r="X145">
        <v>24.789496840999998</v>
      </c>
      <c r="Y145">
        <v>5341</v>
      </c>
      <c r="Z145">
        <v>1.07004533119736E-4</v>
      </c>
      <c r="AA145">
        <v>1</v>
      </c>
    </row>
    <row r="146" spans="1:27" x14ac:dyDescent="0.2">
      <c r="A146">
        <v>10</v>
      </c>
      <c r="B146">
        <v>1</v>
      </c>
      <c r="C146">
        <v>0.1</v>
      </c>
      <c r="D146">
        <v>20</v>
      </c>
      <c r="E146">
        <v>0.928281454918225</v>
      </c>
      <c r="F146">
        <v>1</v>
      </c>
      <c r="G146">
        <v>35.110720303999997</v>
      </c>
      <c r="H146">
        <v>0.923490767838412</v>
      </c>
      <c r="I146">
        <v>1</v>
      </c>
      <c r="J146">
        <v>0.19788043399999999</v>
      </c>
      <c r="K146">
        <v>1.318569161603</v>
      </c>
      <c r="L146">
        <v>1</v>
      </c>
      <c r="M146">
        <v>3602.0733040320001</v>
      </c>
      <c r="N146">
        <v>283827</v>
      </c>
      <c r="O146">
        <v>0.168575129438817</v>
      </c>
      <c r="P146" s="5">
        <v>1.1397970157380299</v>
      </c>
      <c r="Q146">
        <v>1</v>
      </c>
      <c r="R146">
        <v>569.69077381199997</v>
      </c>
      <c r="S146">
        <v>3660</v>
      </c>
      <c r="T146">
        <v>3.1308938379335199E-3</v>
      </c>
      <c r="U146">
        <v>3670</v>
      </c>
      <c r="V146" s="5">
        <v>1.32935317498759</v>
      </c>
      <c r="W146">
        <v>1</v>
      </c>
      <c r="X146">
        <v>2700.2521799820001</v>
      </c>
      <c r="Y146">
        <v>33917</v>
      </c>
      <c r="Z146">
        <v>9.2221959917065909E-3</v>
      </c>
      <c r="AA146">
        <v>20</v>
      </c>
    </row>
    <row r="147" spans="1:27" x14ac:dyDescent="0.2">
      <c r="A147">
        <v>10</v>
      </c>
      <c r="B147">
        <v>1</v>
      </c>
      <c r="C147">
        <v>0.1</v>
      </c>
      <c r="D147">
        <v>20</v>
      </c>
      <c r="E147">
        <v>0.96571490496963996</v>
      </c>
      <c r="F147">
        <v>1</v>
      </c>
      <c r="G147">
        <v>61.541400779999996</v>
      </c>
      <c r="H147">
        <v>0.96571490497003398</v>
      </c>
      <c r="I147">
        <v>1</v>
      </c>
      <c r="J147">
        <v>6.0212792000000001E-2</v>
      </c>
      <c r="K147">
        <v>0.91963529402907096</v>
      </c>
      <c r="L147">
        <v>1</v>
      </c>
      <c r="M147">
        <v>3602.3801415299999</v>
      </c>
      <c r="N147">
        <v>244583</v>
      </c>
      <c r="O147">
        <v>9.6395758931666596E-3</v>
      </c>
      <c r="P147" s="5">
        <v>0.86741080450399</v>
      </c>
      <c r="Q147">
        <v>1</v>
      </c>
      <c r="R147">
        <v>1570.8896718179999</v>
      </c>
      <c r="S147">
        <v>9082</v>
      </c>
      <c r="T147">
        <v>1.5274999879765801E-4</v>
      </c>
      <c r="U147">
        <v>6754</v>
      </c>
      <c r="V147" s="5">
        <v>0.92667348920601</v>
      </c>
      <c r="W147">
        <v>1</v>
      </c>
      <c r="X147">
        <v>45.358985982</v>
      </c>
      <c r="Y147">
        <v>5516</v>
      </c>
      <c r="Z147" s="1">
        <v>7.5410000416888405E-5</v>
      </c>
      <c r="AA147">
        <v>1</v>
      </c>
    </row>
    <row r="148" spans="1:27" x14ac:dyDescent="0.2">
      <c r="A148">
        <v>10</v>
      </c>
      <c r="B148">
        <v>1</v>
      </c>
      <c r="C148">
        <v>0.1</v>
      </c>
      <c r="D148">
        <v>20</v>
      </c>
      <c r="E148">
        <v>0.94664806766612097</v>
      </c>
      <c r="F148">
        <v>1</v>
      </c>
      <c r="G148">
        <v>68.771475647000003</v>
      </c>
      <c r="H148">
        <v>0.94342008946490397</v>
      </c>
      <c r="I148">
        <v>1</v>
      </c>
      <c r="J148">
        <v>0.355675503</v>
      </c>
      <c r="K148">
        <v>0.91897408657736601</v>
      </c>
      <c r="L148">
        <v>1</v>
      </c>
      <c r="M148">
        <v>3608.1516394260002</v>
      </c>
      <c r="N148">
        <v>147289</v>
      </c>
      <c r="O148">
        <v>0.13609797683192601</v>
      </c>
      <c r="P148" s="5">
        <v>0.81291017357229001</v>
      </c>
      <c r="Q148">
        <v>1</v>
      </c>
      <c r="R148">
        <v>1681.675049744</v>
      </c>
      <c r="S148">
        <v>6898</v>
      </c>
      <c r="T148">
        <v>1.66118752662119E-3</v>
      </c>
      <c r="U148">
        <v>6663</v>
      </c>
      <c r="V148" s="5">
        <v>1.0839033113382199</v>
      </c>
      <c r="W148">
        <v>1</v>
      </c>
      <c r="X148">
        <v>269.04492670799999</v>
      </c>
      <c r="Y148">
        <v>13219</v>
      </c>
      <c r="Z148">
        <v>5.3744931563709502E-3</v>
      </c>
      <c r="AA148">
        <v>8</v>
      </c>
    </row>
    <row r="149" spans="1:27" x14ac:dyDescent="0.2">
      <c r="A149">
        <v>10</v>
      </c>
      <c r="B149">
        <v>1</v>
      </c>
      <c r="C149">
        <v>0.2</v>
      </c>
      <c r="D149">
        <v>20</v>
      </c>
      <c r="E149">
        <v>0.75108130723669397</v>
      </c>
      <c r="F149">
        <v>1</v>
      </c>
      <c r="G149">
        <v>70.195110792999998</v>
      </c>
      <c r="H149">
        <v>0.74574694803962904</v>
      </c>
      <c r="I149">
        <v>1</v>
      </c>
      <c r="J149">
        <v>0.145549181</v>
      </c>
      <c r="K149">
        <v>0.92951979625877301</v>
      </c>
      <c r="L149">
        <v>1</v>
      </c>
      <c r="M149">
        <v>3603.4026690109999</v>
      </c>
      <c r="N149">
        <v>145721</v>
      </c>
      <c r="O149">
        <v>7.8038080965196599E-2</v>
      </c>
      <c r="P149" s="5">
        <v>0.56975686587434005</v>
      </c>
      <c r="Q149">
        <v>1</v>
      </c>
      <c r="R149">
        <v>1176.566740598</v>
      </c>
      <c r="S149">
        <v>4871</v>
      </c>
      <c r="T149">
        <v>2.2873363834374199E-3</v>
      </c>
      <c r="U149">
        <v>4473</v>
      </c>
      <c r="V149" s="5">
        <v>0.93042553578145204</v>
      </c>
      <c r="W149">
        <v>1</v>
      </c>
      <c r="X149">
        <v>818.32388311099999</v>
      </c>
      <c r="Y149">
        <v>12004</v>
      </c>
      <c r="Z149">
        <v>1.8157228947282E-3</v>
      </c>
      <c r="AA149">
        <v>15</v>
      </c>
    </row>
    <row r="150" spans="1:27" x14ac:dyDescent="0.2">
      <c r="A150">
        <v>10</v>
      </c>
      <c r="B150">
        <v>1</v>
      </c>
      <c r="C150">
        <v>0.2</v>
      </c>
      <c r="D150">
        <v>20</v>
      </c>
      <c r="E150">
        <v>0.49855358848321402</v>
      </c>
      <c r="F150">
        <v>1</v>
      </c>
      <c r="G150">
        <v>29.859079599000001</v>
      </c>
      <c r="H150">
        <v>0.47318666986465102</v>
      </c>
      <c r="I150">
        <v>1</v>
      </c>
      <c r="J150">
        <v>9.1190654999999995E-2</v>
      </c>
      <c r="K150">
        <v>0.26111638121035102</v>
      </c>
      <c r="L150">
        <v>1</v>
      </c>
      <c r="M150">
        <v>3603.6337042760001</v>
      </c>
      <c r="N150">
        <v>239195</v>
      </c>
      <c r="O150">
        <v>0.105234298468861</v>
      </c>
      <c r="P150" s="5">
        <v>0.76158517171337303</v>
      </c>
      <c r="Q150">
        <v>1</v>
      </c>
      <c r="R150">
        <v>613.12937741099995</v>
      </c>
      <c r="S150">
        <v>4302</v>
      </c>
      <c r="T150">
        <v>2.3971985908261498E-3</v>
      </c>
      <c r="U150">
        <v>4248</v>
      </c>
      <c r="V150" s="5">
        <v>0.761949026277703</v>
      </c>
      <c r="W150">
        <v>1</v>
      </c>
      <c r="X150">
        <v>24.356072327</v>
      </c>
      <c r="Y150">
        <v>2924</v>
      </c>
      <c r="Z150">
        <v>9.8919659738322396E-4</v>
      </c>
      <c r="AA150">
        <v>1</v>
      </c>
    </row>
    <row r="151" spans="1:27" x14ac:dyDescent="0.2">
      <c r="A151">
        <v>10</v>
      </c>
      <c r="B151">
        <v>1</v>
      </c>
      <c r="C151">
        <v>0.2</v>
      </c>
      <c r="D151">
        <v>20</v>
      </c>
      <c r="E151">
        <v>0.87119914933763998</v>
      </c>
      <c r="F151">
        <v>1</v>
      </c>
      <c r="G151">
        <v>33.192711645000003</v>
      </c>
      <c r="H151">
        <v>0.77845075185502899</v>
      </c>
      <c r="I151">
        <v>1</v>
      </c>
      <c r="J151">
        <v>0.19948628299999999</v>
      </c>
      <c r="K151">
        <v>0.77798405315441899</v>
      </c>
      <c r="L151">
        <v>1</v>
      </c>
      <c r="M151">
        <v>3600.5724234610002</v>
      </c>
      <c r="N151">
        <v>739273</v>
      </c>
      <c r="O151">
        <v>0.12878101638886799</v>
      </c>
      <c r="P151" s="5">
        <v>0.97109630299917904</v>
      </c>
      <c r="Q151">
        <v>1</v>
      </c>
      <c r="R151">
        <v>306.404434536</v>
      </c>
      <c r="S151">
        <v>7085</v>
      </c>
      <c r="T151">
        <v>1.3552337114044401E-3</v>
      </c>
      <c r="U151">
        <v>5277</v>
      </c>
      <c r="V151" s="5">
        <v>0.979655060447159</v>
      </c>
      <c r="W151">
        <v>1</v>
      </c>
      <c r="X151">
        <v>853.41337470500002</v>
      </c>
      <c r="Y151">
        <v>41504</v>
      </c>
      <c r="Z151">
        <v>1.16558512414458E-3</v>
      </c>
      <c r="AA151">
        <v>14</v>
      </c>
    </row>
    <row r="152" spans="1:27" x14ac:dyDescent="0.2">
      <c r="A152">
        <v>10</v>
      </c>
      <c r="B152">
        <v>1</v>
      </c>
      <c r="C152">
        <v>0.3</v>
      </c>
      <c r="D152">
        <v>20</v>
      </c>
      <c r="E152">
        <v>8.7049402154135896E-2</v>
      </c>
      <c r="F152">
        <v>1</v>
      </c>
      <c r="G152">
        <v>38.383777629999997</v>
      </c>
      <c r="H152">
        <v>0.108679232267881</v>
      </c>
      <c r="I152">
        <v>1</v>
      </c>
      <c r="J152">
        <v>0.10514050599999999</v>
      </c>
      <c r="K152">
        <v>0.102404131159093</v>
      </c>
      <c r="L152">
        <v>1</v>
      </c>
      <c r="M152">
        <v>3600.792948974</v>
      </c>
      <c r="N152">
        <v>292205</v>
      </c>
      <c r="O152">
        <v>9.9793578172352598E-2</v>
      </c>
      <c r="P152" s="5">
        <v>8.2466190796628897E-2</v>
      </c>
      <c r="Q152">
        <v>1</v>
      </c>
      <c r="R152">
        <v>28.748427817</v>
      </c>
      <c r="S152">
        <v>1</v>
      </c>
      <c r="T152">
        <v>2.5371086498552999E-2</v>
      </c>
      <c r="U152">
        <v>3</v>
      </c>
      <c r="V152" s="5">
        <v>8.2466190796628897E-2</v>
      </c>
      <c r="W152">
        <v>1</v>
      </c>
      <c r="X152">
        <v>10.509443785</v>
      </c>
      <c r="Y152">
        <v>1</v>
      </c>
      <c r="Z152">
        <v>7.39516842939336E-3</v>
      </c>
      <c r="AA152">
        <v>1</v>
      </c>
    </row>
    <row r="153" spans="1:27" x14ac:dyDescent="0.2">
      <c r="A153">
        <v>10</v>
      </c>
      <c r="B153">
        <v>1</v>
      </c>
      <c r="C153">
        <v>0.3</v>
      </c>
      <c r="D153">
        <v>20</v>
      </c>
      <c r="E153">
        <v>0.15307476386509999</v>
      </c>
      <c r="F153">
        <v>1</v>
      </c>
      <c r="G153">
        <v>32.028380433000002</v>
      </c>
      <c r="H153">
        <v>0.171117434050019</v>
      </c>
      <c r="I153">
        <v>1</v>
      </c>
      <c r="J153">
        <v>9.1413135000000006E-2</v>
      </c>
      <c r="K153">
        <v>0.17338401056523001</v>
      </c>
      <c r="L153">
        <v>1</v>
      </c>
      <c r="M153">
        <v>3600.7863762830002</v>
      </c>
      <c r="N153">
        <v>869553</v>
      </c>
      <c r="O153">
        <v>3.4453467252476701E-2</v>
      </c>
      <c r="P153" s="5">
        <v>0.29117145341036099</v>
      </c>
      <c r="Q153">
        <v>1</v>
      </c>
      <c r="R153">
        <v>475.29208393200003</v>
      </c>
      <c r="S153">
        <v>8807</v>
      </c>
      <c r="T153">
        <v>2.8861402342900098E-3</v>
      </c>
      <c r="U153">
        <v>6998</v>
      </c>
      <c r="V153" s="5">
        <v>0.20375993553955599</v>
      </c>
      <c r="W153">
        <v>1</v>
      </c>
      <c r="X153">
        <v>1747.7157809299999</v>
      </c>
      <c r="Y153">
        <v>46635</v>
      </c>
      <c r="Z153">
        <v>1.4857789356627E-3</v>
      </c>
      <c r="AA153">
        <v>20</v>
      </c>
    </row>
    <row r="154" spans="1:27" x14ac:dyDescent="0.2">
      <c r="A154">
        <v>10</v>
      </c>
      <c r="B154">
        <v>1</v>
      </c>
      <c r="C154">
        <v>0.3</v>
      </c>
      <c r="D154">
        <v>20</v>
      </c>
      <c r="E154">
        <v>0.55885047321273895</v>
      </c>
      <c r="F154">
        <v>1</v>
      </c>
      <c r="G154">
        <v>33.521292052</v>
      </c>
      <c r="H154">
        <v>0.55998556093082597</v>
      </c>
      <c r="I154">
        <v>1</v>
      </c>
      <c r="J154">
        <v>5.9500746E-2</v>
      </c>
      <c r="K154">
        <v>0.56169000214891596</v>
      </c>
      <c r="L154">
        <v>1</v>
      </c>
      <c r="M154">
        <v>3601.2434496229998</v>
      </c>
      <c r="N154">
        <v>271771</v>
      </c>
      <c r="O154">
        <v>8.1488128259817202E-2</v>
      </c>
      <c r="P154" s="5">
        <v>0.59445617517705096</v>
      </c>
      <c r="Q154">
        <v>1</v>
      </c>
      <c r="R154">
        <v>669.42491173999997</v>
      </c>
      <c r="S154">
        <v>4837</v>
      </c>
      <c r="T154">
        <v>4.7078345637748802E-3</v>
      </c>
      <c r="U154">
        <v>4219</v>
      </c>
      <c r="V154" s="5">
        <v>0.57052441132126097</v>
      </c>
      <c r="W154">
        <v>1</v>
      </c>
      <c r="X154">
        <v>2639.5089731620001</v>
      </c>
      <c r="Y154">
        <v>30983</v>
      </c>
      <c r="Z154">
        <v>2.6216155994576102E-3</v>
      </c>
      <c r="AA154">
        <v>20</v>
      </c>
    </row>
    <row r="155" spans="1:27" x14ac:dyDescent="0.2">
      <c r="A155">
        <v>10</v>
      </c>
      <c r="B155">
        <v>1</v>
      </c>
      <c r="C155">
        <v>0.4</v>
      </c>
      <c r="D155">
        <v>20</v>
      </c>
      <c r="E155">
        <v>0.554246739679777</v>
      </c>
      <c r="F155">
        <v>1</v>
      </c>
      <c r="G155">
        <v>33.855004049000001</v>
      </c>
      <c r="H155">
        <v>0.33359667390858799</v>
      </c>
      <c r="I155">
        <v>1</v>
      </c>
      <c r="J155">
        <v>0.12720241199999999</v>
      </c>
      <c r="K155">
        <v>0.32835051402616999</v>
      </c>
      <c r="L155">
        <v>1</v>
      </c>
      <c r="M155">
        <v>3601.0442818639999</v>
      </c>
      <c r="N155">
        <v>267491</v>
      </c>
      <c r="O155">
        <v>9.3769729807106295E-2</v>
      </c>
      <c r="P155" s="5">
        <v>0.93645564857807295</v>
      </c>
      <c r="Q155">
        <v>1</v>
      </c>
      <c r="R155">
        <v>973.24129223600005</v>
      </c>
      <c r="S155">
        <v>8060</v>
      </c>
      <c r="T155">
        <v>3.6181866265752498E-3</v>
      </c>
      <c r="U155">
        <v>5817</v>
      </c>
      <c r="V155" s="5">
        <v>0.396627377549025</v>
      </c>
      <c r="W155">
        <v>1</v>
      </c>
      <c r="X155">
        <v>2785.803429216</v>
      </c>
      <c r="Y155">
        <v>21068</v>
      </c>
      <c r="Z155">
        <v>3.6727826345064198E-2</v>
      </c>
      <c r="AA155">
        <v>20</v>
      </c>
    </row>
    <row r="156" spans="1:27" x14ac:dyDescent="0.2">
      <c r="A156">
        <v>10</v>
      </c>
      <c r="B156">
        <v>1</v>
      </c>
      <c r="C156">
        <v>0.2</v>
      </c>
      <c r="D156">
        <v>20</v>
      </c>
      <c r="E156">
        <v>0.55050452724160204</v>
      </c>
      <c r="F156">
        <v>1</v>
      </c>
      <c r="G156">
        <v>31.89882399</v>
      </c>
      <c r="H156">
        <v>0.406357969202434</v>
      </c>
      <c r="I156">
        <v>1</v>
      </c>
      <c r="J156">
        <v>0.233275925</v>
      </c>
      <c r="K156">
        <v>0.406481260176493</v>
      </c>
      <c r="L156">
        <v>1</v>
      </c>
      <c r="M156">
        <v>3601.107047645</v>
      </c>
      <c r="N156">
        <v>395479</v>
      </c>
      <c r="O156">
        <v>3.8618224025615398E-2</v>
      </c>
      <c r="P156" s="5">
        <v>0.49536312348116701</v>
      </c>
      <c r="Q156">
        <v>1</v>
      </c>
      <c r="R156">
        <v>844.71589460099995</v>
      </c>
      <c r="S156">
        <v>6463</v>
      </c>
      <c r="T156">
        <v>5.0310594865061696E-3</v>
      </c>
      <c r="U156">
        <v>5366</v>
      </c>
      <c r="V156" s="5">
        <v>0.47217528858102797</v>
      </c>
      <c r="W156">
        <v>1</v>
      </c>
      <c r="X156">
        <v>2628.9532319320001</v>
      </c>
      <c r="Y156">
        <v>24333</v>
      </c>
      <c r="Z156">
        <v>4.0765030125038702E-2</v>
      </c>
      <c r="AA156">
        <v>20</v>
      </c>
    </row>
    <row r="157" spans="1:27" x14ac:dyDescent="0.2">
      <c r="A157">
        <v>10</v>
      </c>
      <c r="B157">
        <v>1</v>
      </c>
      <c r="C157">
        <v>0.4</v>
      </c>
      <c r="D157">
        <v>20</v>
      </c>
      <c r="E157">
        <v>4.7298637215966902E-2</v>
      </c>
      <c r="F157">
        <v>1</v>
      </c>
      <c r="G157">
        <v>34.442985084</v>
      </c>
      <c r="H157">
        <v>5.70158599078028E-2</v>
      </c>
      <c r="I157">
        <v>1</v>
      </c>
      <c r="J157">
        <v>8.5007320999999997E-2</v>
      </c>
      <c r="K157">
        <v>5.7091167475615698E-2</v>
      </c>
      <c r="L157">
        <v>1</v>
      </c>
      <c r="M157">
        <v>3603.7075537720002</v>
      </c>
      <c r="N157">
        <v>282328</v>
      </c>
      <c r="O157">
        <v>4.3802369740483002E-2</v>
      </c>
      <c r="P157" s="5">
        <v>3.6614336112297502E-2</v>
      </c>
      <c r="Q157">
        <v>1</v>
      </c>
      <c r="R157">
        <v>26.152139547000001</v>
      </c>
      <c r="S157">
        <v>1</v>
      </c>
      <c r="T157">
        <v>4.3066167434929704E-3</v>
      </c>
      <c r="U157">
        <v>4</v>
      </c>
      <c r="V157" s="5">
        <v>3.6614336091629299E-2</v>
      </c>
      <c r="W157">
        <v>1</v>
      </c>
      <c r="X157">
        <v>9.105558126</v>
      </c>
      <c r="Y157">
        <v>1</v>
      </c>
      <c r="Z157">
        <v>4.4122930593124502E-3</v>
      </c>
      <c r="AA157">
        <v>1</v>
      </c>
    </row>
    <row r="158" spans="1:27" x14ac:dyDescent="0.2">
      <c r="A158">
        <v>10</v>
      </c>
      <c r="B158">
        <v>1</v>
      </c>
      <c r="C158">
        <v>0.2</v>
      </c>
      <c r="D158">
        <v>20</v>
      </c>
      <c r="E158">
        <v>0.85920834262543999</v>
      </c>
      <c r="F158">
        <v>1</v>
      </c>
      <c r="G158">
        <v>30.262827161000001</v>
      </c>
      <c r="H158">
        <v>0.81672386418964404</v>
      </c>
      <c r="I158">
        <v>1</v>
      </c>
      <c r="J158">
        <v>0.228256124</v>
      </c>
      <c r="K158">
        <v>0.89696359258261504</v>
      </c>
      <c r="L158">
        <v>1</v>
      </c>
      <c r="M158">
        <v>3600.769254066</v>
      </c>
      <c r="N158">
        <v>693223</v>
      </c>
      <c r="O158">
        <v>6.87613112717953E-2</v>
      </c>
      <c r="P158" s="5">
        <v>0.75233668101531703</v>
      </c>
      <c r="Q158">
        <v>1</v>
      </c>
      <c r="R158">
        <v>483.19692037499999</v>
      </c>
      <c r="S158">
        <v>14259</v>
      </c>
      <c r="T158">
        <v>1.3317760942946301E-3</v>
      </c>
      <c r="U158">
        <v>9952</v>
      </c>
      <c r="V158" s="5">
        <v>0.90838604344810003</v>
      </c>
      <c r="W158">
        <v>1</v>
      </c>
      <c r="X158">
        <v>2304.6891214130001</v>
      </c>
      <c r="Y158">
        <v>62570</v>
      </c>
      <c r="Z158">
        <v>1.5084169974509301E-3</v>
      </c>
      <c r="AA158">
        <v>20</v>
      </c>
    </row>
    <row r="159" spans="1:27" x14ac:dyDescent="0.2">
      <c r="A159">
        <v>10</v>
      </c>
      <c r="B159">
        <v>1</v>
      </c>
      <c r="C159">
        <v>0.1</v>
      </c>
      <c r="D159">
        <v>20</v>
      </c>
      <c r="E159">
        <v>0.87808986326264304</v>
      </c>
      <c r="F159">
        <v>1</v>
      </c>
      <c r="G159">
        <v>32.088478490999996</v>
      </c>
      <c r="H159">
        <v>0.87810147980658104</v>
      </c>
      <c r="I159">
        <v>1</v>
      </c>
      <c r="J159">
        <v>4.2588421000000001E-2</v>
      </c>
      <c r="K159">
        <v>0.87810212827609602</v>
      </c>
      <c r="L159">
        <v>1</v>
      </c>
      <c r="M159">
        <v>474.37095029900001</v>
      </c>
      <c r="N159">
        <v>222558</v>
      </c>
      <c r="O159">
        <v>2.15769794217557E-4</v>
      </c>
      <c r="P159" s="5">
        <v>0.87809495937501503</v>
      </c>
      <c r="Q159">
        <v>1</v>
      </c>
      <c r="R159">
        <v>21.477373129</v>
      </c>
      <c r="S159">
        <v>1</v>
      </c>
      <c r="T159" s="1">
        <v>2.2780882775644199E-5</v>
      </c>
      <c r="U159">
        <v>2</v>
      </c>
      <c r="V159" s="5">
        <v>0.87809495937501802</v>
      </c>
      <c r="W159">
        <v>1</v>
      </c>
      <c r="X159">
        <v>5.0397062210000003</v>
      </c>
      <c r="Y159">
        <v>1</v>
      </c>
      <c r="Z159">
        <v>1.4253073355810801E-4</v>
      </c>
      <c r="AA159">
        <v>1</v>
      </c>
    </row>
    <row r="160" spans="1:27" x14ac:dyDescent="0.2">
      <c r="A160">
        <v>10</v>
      </c>
      <c r="B160">
        <v>1</v>
      </c>
      <c r="C160">
        <v>0.3</v>
      </c>
      <c r="D160">
        <v>20</v>
      </c>
      <c r="E160">
        <v>0.432309496535705</v>
      </c>
      <c r="F160">
        <v>1</v>
      </c>
      <c r="G160">
        <v>34.073408452999999</v>
      </c>
      <c r="H160">
        <v>0.32238286016156098</v>
      </c>
      <c r="I160">
        <v>1</v>
      </c>
      <c r="J160">
        <v>0.22058891799999999</v>
      </c>
      <c r="K160">
        <v>0.32195806364692597</v>
      </c>
      <c r="L160">
        <v>1</v>
      </c>
      <c r="M160">
        <v>3600.5647856760002</v>
      </c>
      <c r="N160">
        <v>1141474</v>
      </c>
      <c r="O160">
        <v>1.9859942391532201E-2</v>
      </c>
      <c r="P160" s="5">
        <v>0.45762238204453798</v>
      </c>
      <c r="Q160">
        <v>1</v>
      </c>
      <c r="R160">
        <v>728.434985815</v>
      </c>
      <c r="S160">
        <v>21343</v>
      </c>
      <c r="T160">
        <v>3.51714997328028E-3</v>
      </c>
      <c r="U160">
        <v>13864</v>
      </c>
      <c r="V160" s="5">
        <v>0.25339178869976298</v>
      </c>
      <c r="W160">
        <v>1</v>
      </c>
      <c r="X160">
        <v>2685.9149073540002</v>
      </c>
      <c r="Y160">
        <v>60793</v>
      </c>
      <c r="Z160">
        <v>4.01632502973856E-2</v>
      </c>
      <c r="AA160">
        <v>20</v>
      </c>
    </row>
    <row r="161" spans="1:27" x14ac:dyDescent="0.2">
      <c r="A161">
        <v>10</v>
      </c>
      <c r="B161">
        <v>1</v>
      </c>
      <c r="C161">
        <v>0.3</v>
      </c>
      <c r="D161">
        <v>20</v>
      </c>
      <c r="E161">
        <v>0.59021028639307005</v>
      </c>
      <c r="F161">
        <v>1</v>
      </c>
      <c r="G161">
        <v>30.871501756000001</v>
      </c>
      <c r="H161">
        <v>0.50413171752071295</v>
      </c>
      <c r="I161">
        <v>1</v>
      </c>
      <c r="J161">
        <v>9.8831866000000004E-2</v>
      </c>
      <c r="K161">
        <v>0.50201231820277004</v>
      </c>
      <c r="L161">
        <v>1</v>
      </c>
      <c r="M161">
        <v>3600.857133431</v>
      </c>
      <c r="N161">
        <v>705056</v>
      </c>
      <c r="O161">
        <v>5.5061121223921802E-2</v>
      </c>
      <c r="P161" s="5">
        <v>0.55147973803922301</v>
      </c>
      <c r="Q161">
        <v>1</v>
      </c>
      <c r="R161">
        <v>489.58379186500002</v>
      </c>
      <c r="S161">
        <v>10225</v>
      </c>
      <c r="T161">
        <v>2.83739779565567E-3</v>
      </c>
      <c r="U161">
        <v>7108</v>
      </c>
      <c r="V161" s="5">
        <v>0.57164008802768396</v>
      </c>
      <c r="W161">
        <v>1</v>
      </c>
      <c r="X161">
        <v>2467.215257116</v>
      </c>
      <c r="Y161">
        <v>58560</v>
      </c>
      <c r="Z161">
        <v>2.78742023165962E-3</v>
      </c>
      <c r="AA161">
        <v>20</v>
      </c>
    </row>
    <row r="162" spans="1:27" x14ac:dyDescent="0.2">
      <c r="A162">
        <v>10</v>
      </c>
      <c r="B162">
        <v>1</v>
      </c>
      <c r="C162">
        <v>0.1</v>
      </c>
      <c r="D162">
        <v>20</v>
      </c>
      <c r="E162">
        <v>0.80072682360764802</v>
      </c>
      <c r="F162">
        <v>1</v>
      </c>
      <c r="G162">
        <v>33.595644978000003</v>
      </c>
      <c r="H162">
        <v>0.683388581522687</v>
      </c>
      <c r="I162">
        <v>1</v>
      </c>
      <c r="J162">
        <v>0.25425370000000003</v>
      </c>
      <c r="K162">
        <v>0.67854324564611501</v>
      </c>
      <c r="L162">
        <v>1</v>
      </c>
      <c r="M162">
        <v>3601.2721695670002</v>
      </c>
      <c r="N162">
        <v>1339275</v>
      </c>
      <c r="O162">
        <v>1.15825402434293E-2</v>
      </c>
      <c r="P162" s="5">
        <v>0.78808566971202099</v>
      </c>
      <c r="Q162">
        <v>1</v>
      </c>
      <c r="R162">
        <v>347.27256370399999</v>
      </c>
      <c r="S162">
        <v>6042</v>
      </c>
      <c r="T162">
        <v>7.5683042873179996E-4</v>
      </c>
      <c r="U162">
        <v>5578</v>
      </c>
      <c r="V162" s="5">
        <v>0.72663773488154604</v>
      </c>
      <c r="W162">
        <v>1</v>
      </c>
      <c r="X162">
        <v>2490.9054870320001</v>
      </c>
      <c r="Y162">
        <v>90347</v>
      </c>
      <c r="Z162">
        <v>6.8815587876932399E-3</v>
      </c>
      <c r="AA162">
        <v>20</v>
      </c>
    </row>
    <row r="163" spans="1:27" x14ac:dyDescent="0.2">
      <c r="A163">
        <v>10</v>
      </c>
      <c r="B163">
        <v>1</v>
      </c>
      <c r="C163">
        <v>0.3</v>
      </c>
      <c r="D163">
        <v>20</v>
      </c>
      <c r="E163">
        <v>0.74657171174603199</v>
      </c>
      <c r="F163">
        <v>1</v>
      </c>
      <c r="G163">
        <v>65.268933197999999</v>
      </c>
      <c r="H163">
        <v>0.73526691991566495</v>
      </c>
      <c r="I163">
        <v>1</v>
      </c>
      <c r="J163">
        <v>0.31589968800000001</v>
      </c>
      <c r="K163">
        <v>0.34320471881138098</v>
      </c>
      <c r="L163">
        <v>1</v>
      </c>
      <c r="M163">
        <v>3604.0641776110001</v>
      </c>
      <c r="N163">
        <v>109614</v>
      </c>
      <c r="O163">
        <v>0.426008306982467</v>
      </c>
      <c r="P163" s="5">
        <v>0.363311326387461</v>
      </c>
      <c r="Q163">
        <v>1</v>
      </c>
      <c r="R163">
        <v>1306.220580965</v>
      </c>
      <c r="S163">
        <v>6069</v>
      </c>
      <c r="T163">
        <v>5.1951352519281598E-3</v>
      </c>
      <c r="U163">
        <v>5338</v>
      </c>
      <c r="V163" s="5">
        <v>1.1897827191512</v>
      </c>
      <c r="W163">
        <v>1</v>
      </c>
      <c r="X163">
        <v>1335.045068163</v>
      </c>
      <c r="Y163">
        <v>15238</v>
      </c>
      <c r="Z163">
        <v>3.3744068146267501E-3</v>
      </c>
      <c r="AA163">
        <v>17</v>
      </c>
    </row>
    <row r="164" spans="1:27" x14ac:dyDescent="0.2">
      <c r="A164">
        <v>10</v>
      </c>
      <c r="B164">
        <v>1</v>
      </c>
      <c r="C164">
        <v>0.2</v>
      </c>
      <c r="D164">
        <v>20</v>
      </c>
      <c r="E164">
        <v>0.50853803732443503</v>
      </c>
      <c r="F164">
        <v>1</v>
      </c>
      <c r="G164">
        <v>33.530079272000002</v>
      </c>
      <c r="H164">
        <v>0.50888262047228705</v>
      </c>
      <c r="I164">
        <v>1</v>
      </c>
      <c r="J164">
        <v>0.106104607</v>
      </c>
      <c r="K164">
        <v>0.50895029877770703</v>
      </c>
      <c r="L164">
        <v>1</v>
      </c>
      <c r="M164">
        <v>1916.067232844</v>
      </c>
      <c r="N164">
        <v>1107488</v>
      </c>
      <c r="O164">
        <v>1.21960530174334E-2</v>
      </c>
      <c r="P164" s="5">
        <v>0.50844473963493697</v>
      </c>
      <c r="Q164">
        <v>1</v>
      </c>
      <c r="R164">
        <v>22.085915161999999</v>
      </c>
      <c r="S164">
        <v>1</v>
      </c>
      <c r="T164">
        <v>4.4236507457477902E-3</v>
      </c>
      <c r="U164">
        <v>4</v>
      </c>
      <c r="V164" s="5">
        <v>0.50844473964617798</v>
      </c>
      <c r="W164">
        <v>1</v>
      </c>
      <c r="X164">
        <v>5.3252419199999999</v>
      </c>
      <c r="Y164">
        <v>1</v>
      </c>
      <c r="Z164">
        <v>4.8171524296758399E-3</v>
      </c>
      <c r="AA164">
        <v>1</v>
      </c>
    </row>
    <row r="165" spans="1:27" x14ac:dyDescent="0.2">
      <c r="A165">
        <v>10</v>
      </c>
      <c r="B165">
        <v>1</v>
      </c>
      <c r="C165">
        <v>0.3</v>
      </c>
      <c r="D165">
        <v>20</v>
      </c>
      <c r="E165">
        <v>0.16658850263886499</v>
      </c>
      <c r="F165">
        <v>1</v>
      </c>
      <c r="G165">
        <v>31.297805408999999</v>
      </c>
      <c r="H165">
        <v>0.187626332995947</v>
      </c>
      <c r="I165">
        <v>1</v>
      </c>
      <c r="J165">
        <v>8.8401339999999995E-2</v>
      </c>
      <c r="K165">
        <v>0.18996076940183601</v>
      </c>
      <c r="L165">
        <v>1</v>
      </c>
      <c r="M165">
        <v>3600.9208765510002</v>
      </c>
      <c r="N165">
        <v>233177</v>
      </c>
      <c r="O165">
        <v>0.101891022271356</v>
      </c>
      <c r="P165" s="5">
        <v>0.31792660453642202</v>
      </c>
      <c r="Q165">
        <v>1</v>
      </c>
      <c r="R165">
        <v>644.93756896299999</v>
      </c>
      <c r="S165">
        <v>6331</v>
      </c>
      <c r="T165">
        <v>4.6736176155111001E-3</v>
      </c>
      <c r="U165">
        <v>4806</v>
      </c>
      <c r="V165" s="5">
        <v>0.22055092774929599</v>
      </c>
      <c r="W165">
        <v>1</v>
      </c>
      <c r="X165">
        <v>2597.7270545390002</v>
      </c>
      <c r="Y165">
        <v>19570</v>
      </c>
      <c r="Z165">
        <v>1.13193995314052E-2</v>
      </c>
      <c r="AA165">
        <v>20</v>
      </c>
    </row>
    <row r="166" spans="1:27" x14ac:dyDescent="0.2">
      <c r="A166">
        <v>10</v>
      </c>
      <c r="B166">
        <v>1</v>
      </c>
      <c r="C166">
        <v>0.2</v>
      </c>
      <c r="D166">
        <v>20</v>
      </c>
      <c r="E166">
        <v>0.56404733429955001</v>
      </c>
      <c r="F166">
        <v>1</v>
      </c>
      <c r="G166">
        <v>32.140073180000002</v>
      </c>
      <c r="H166">
        <v>0.59426527297949405</v>
      </c>
      <c r="I166">
        <v>1</v>
      </c>
      <c r="J166">
        <v>0.110471151</v>
      </c>
      <c r="K166">
        <v>0.59521865631986004</v>
      </c>
      <c r="L166">
        <v>1</v>
      </c>
      <c r="M166">
        <v>3600.6830173879998</v>
      </c>
      <c r="N166">
        <v>713009</v>
      </c>
      <c r="O166">
        <v>6.5535554794440204E-2</v>
      </c>
      <c r="P166" s="5">
        <v>1.20844297216727</v>
      </c>
      <c r="Q166">
        <v>1</v>
      </c>
      <c r="R166">
        <v>392.21767455200001</v>
      </c>
      <c r="S166">
        <v>7003</v>
      </c>
      <c r="T166">
        <v>2.05109702734909E-3</v>
      </c>
      <c r="U166">
        <v>4842</v>
      </c>
      <c r="V166" s="5">
        <v>0.61531253218647597</v>
      </c>
      <c r="W166">
        <v>1</v>
      </c>
      <c r="X166">
        <v>2740.6482699009998</v>
      </c>
      <c r="Y166">
        <v>13573</v>
      </c>
      <c r="Z166">
        <v>1.2428441581292299E-2</v>
      </c>
      <c r="AA166">
        <v>20</v>
      </c>
    </row>
    <row r="167" spans="1:27" x14ac:dyDescent="0.2">
      <c r="A167">
        <v>10</v>
      </c>
      <c r="B167">
        <v>1</v>
      </c>
      <c r="C167">
        <v>0.2</v>
      </c>
      <c r="D167">
        <v>20</v>
      </c>
      <c r="E167">
        <v>0.76079408657591596</v>
      </c>
      <c r="F167">
        <v>1</v>
      </c>
      <c r="G167">
        <v>30.281856582</v>
      </c>
      <c r="H167">
        <v>0.68183760480678002</v>
      </c>
      <c r="I167">
        <v>1</v>
      </c>
      <c r="J167">
        <v>0.16950169100000001</v>
      </c>
      <c r="K167">
        <v>0.842595869638883</v>
      </c>
      <c r="L167">
        <v>1</v>
      </c>
      <c r="M167">
        <v>3601.3503307420001</v>
      </c>
      <c r="N167">
        <v>256908</v>
      </c>
      <c r="O167">
        <v>0.12844286225724999</v>
      </c>
      <c r="P167" s="5">
        <v>0.85970716609090703</v>
      </c>
      <c r="Q167">
        <v>1</v>
      </c>
      <c r="R167">
        <v>1106.8395489659999</v>
      </c>
      <c r="S167">
        <v>8303</v>
      </c>
      <c r="T167">
        <v>2.6290934566721102E-3</v>
      </c>
      <c r="U167">
        <v>7429</v>
      </c>
      <c r="V167" s="5">
        <v>0.86088389622293504</v>
      </c>
      <c r="W167">
        <v>1</v>
      </c>
      <c r="X167">
        <v>2910.0314822169998</v>
      </c>
      <c r="Y167">
        <v>32602</v>
      </c>
      <c r="Z167">
        <v>1.3820770324747799E-2</v>
      </c>
      <c r="AA167">
        <v>20</v>
      </c>
    </row>
    <row r="168" spans="1:27" x14ac:dyDescent="0.2">
      <c r="A168">
        <v>10</v>
      </c>
      <c r="B168">
        <v>1</v>
      </c>
      <c r="C168">
        <v>0.4</v>
      </c>
      <c r="D168">
        <v>20</v>
      </c>
      <c r="E168">
        <v>5.9149285561345903E-2</v>
      </c>
      <c r="F168">
        <v>1</v>
      </c>
      <c r="G168">
        <v>41.027200071000003</v>
      </c>
      <c r="H168">
        <v>8.7523037052992803E-2</v>
      </c>
      <c r="I168">
        <v>1</v>
      </c>
      <c r="J168">
        <v>0.1108941</v>
      </c>
      <c r="K168">
        <v>8.6456460397205004E-2</v>
      </c>
      <c r="L168">
        <v>1</v>
      </c>
      <c r="M168">
        <v>3603.5199388770002</v>
      </c>
      <c r="N168">
        <v>485509</v>
      </c>
      <c r="O168">
        <v>2.8559051949518001E-2</v>
      </c>
      <c r="P168" s="5">
        <v>6.8762800137351698E-2</v>
      </c>
      <c r="Q168">
        <v>1</v>
      </c>
      <c r="R168">
        <v>30.405221012999998</v>
      </c>
      <c r="S168">
        <v>63</v>
      </c>
      <c r="T168">
        <v>5.1817778138285499E-3</v>
      </c>
      <c r="U168">
        <v>44</v>
      </c>
      <c r="V168" s="5">
        <v>6.8762800140512295E-2</v>
      </c>
      <c r="W168">
        <v>1</v>
      </c>
      <c r="X168">
        <v>6.9287338250000001</v>
      </c>
      <c r="Y168">
        <v>72</v>
      </c>
      <c r="Z168">
        <v>4.4686447138846397E-3</v>
      </c>
      <c r="AA168">
        <v>1</v>
      </c>
    </row>
    <row r="169" spans="1:27" x14ac:dyDescent="0.2">
      <c r="A169">
        <v>10</v>
      </c>
      <c r="B169">
        <v>1</v>
      </c>
      <c r="C169">
        <v>0.1</v>
      </c>
      <c r="D169">
        <v>20</v>
      </c>
      <c r="E169">
        <v>0.96695550395132301</v>
      </c>
      <c r="F169">
        <v>1</v>
      </c>
      <c r="G169">
        <v>30.692787715000001</v>
      </c>
      <c r="H169">
        <v>0.966955503951339</v>
      </c>
      <c r="I169">
        <v>1</v>
      </c>
      <c r="J169">
        <v>4.0741120999999998E-2</v>
      </c>
      <c r="K169">
        <v>1.1517349315123899</v>
      </c>
      <c r="L169">
        <v>1</v>
      </c>
      <c r="M169">
        <v>3600.4546420719998</v>
      </c>
      <c r="N169">
        <v>556729</v>
      </c>
      <c r="O169">
        <v>5.1662453432358403E-2</v>
      </c>
      <c r="P169" s="5">
        <v>1.0387231619689701</v>
      </c>
      <c r="Q169">
        <v>1</v>
      </c>
      <c r="R169">
        <v>235.12518172899999</v>
      </c>
      <c r="S169">
        <v>4201</v>
      </c>
      <c r="T169">
        <v>4.3698920252789499E-4</v>
      </c>
      <c r="U169">
        <v>4205</v>
      </c>
      <c r="V169" s="5">
        <v>1.1608801529185599</v>
      </c>
      <c r="W169">
        <v>1</v>
      </c>
      <c r="X169">
        <v>9.3875422470000007</v>
      </c>
      <c r="Y169">
        <v>4347</v>
      </c>
      <c r="Z169" s="1">
        <v>6.6355181325763999E-5</v>
      </c>
      <c r="AA169">
        <v>1</v>
      </c>
    </row>
    <row r="170" spans="1:27" x14ac:dyDescent="0.2">
      <c r="A170">
        <v>10</v>
      </c>
      <c r="B170">
        <v>1</v>
      </c>
      <c r="C170">
        <v>0.3</v>
      </c>
      <c r="D170">
        <v>20</v>
      </c>
      <c r="E170">
        <v>0.48498662874990101</v>
      </c>
      <c r="F170">
        <v>1</v>
      </c>
      <c r="G170">
        <v>30.783044752999999</v>
      </c>
      <c r="H170">
        <v>0.31661640645460298</v>
      </c>
      <c r="I170">
        <v>1</v>
      </c>
      <c r="J170">
        <v>7.7868470999999995E-2</v>
      </c>
      <c r="K170">
        <v>0.31967584743588701</v>
      </c>
      <c r="L170">
        <v>1</v>
      </c>
      <c r="M170">
        <v>3601.7274745220002</v>
      </c>
      <c r="N170">
        <v>538903</v>
      </c>
      <c r="O170">
        <v>8.8056886184480307E-2</v>
      </c>
      <c r="P170" s="5">
        <v>0.41573674129774002</v>
      </c>
      <c r="Q170">
        <v>1</v>
      </c>
      <c r="R170">
        <v>630.44671620899999</v>
      </c>
      <c r="S170">
        <v>11201</v>
      </c>
      <c r="T170">
        <v>4.4356416078744597E-3</v>
      </c>
      <c r="U170">
        <v>7485</v>
      </c>
      <c r="V170" s="5">
        <v>0.80835616647241904</v>
      </c>
      <c r="W170">
        <v>1</v>
      </c>
      <c r="X170">
        <v>2822.3381247430002</v>
      </c>
      <c r="Y170">
        <v>42888</v>
      </c>
      <c r="Z170">
        <v>1.58600475036773E-2</v>
      </c>
      <c r="AA170">
        <v>20</v>
      </c>
    </row>
    <row r="171" spans="1:27" x14ac:dyDescent="0.2">
      <c r="A171">
        <v>10</v>
      </c>
      <c r="B171">
        <v>1</v>
      </c>
      <c r="C171">
        <v>0.4</v>
      </c>
      <c r="D171">
        <v>20</v>
      </c>
      <c r="E171">
        <v>0.35978768405006101</v>
      </c>
      <c r="F171">
        <v>1</v>
      </c>
      <c r="G171">
        <v>60.877466028000001</v>
      </c>
      <c r="H171">
        <v>0.34120702991208701</v>
      </c>
      <c r="I171">
        <v>1</v>
      </c>
      <c r="J171">
        <v>0.344808222</v>
      </c>
      <c r="K171">
        <v>0.341333192917814</v>
      </c>
      <c r="L171">
        <v>1</v>
      </c>
      <c r="M171">
        <v>3603.6926593110002</v>
      </c>
      <c r="N171">
        <v>167784</v>
      </c>
      <c r="O171">
        <v>0.23935868889117601</v>
      </c>
      <c r="P171" s="5">
        <v>0.37099668288849602</v>
      </c>
      <c r="Q171">
        <v>1</v>
      </c>
      <c r="R171">
        <v>1218.083925899</v>
      </c>
      <c r="S171">
        <v>6089</v>
      </c>
      <c r="T171">
        <v>1.39351434874328E-2</v>
      </c>
      <c r="U171">
        <v>4927</v>
      </c>
      <c r="V171" s="5">
        <v>0.25534156063406499</v>
      </c>
      <c r="W171">
        <v>1</v>
      </c>
      <c r="X171">
        <v>2574.3480701950002</v>
      </c>
      <c r="Y171">
        <v>28454</v>
      </c>
      <c r="Z171">
        <v>7.0952543200490902E-3</v>
      </c>
      <c r="AA171">
        <v>20</v>
      </c>
    </row>
    <row r="172" spans="1:27" x14ac:dyDescent="0.2">
      <c r="A172">
        <v>10</v>
      </c>
      <c r="B172">
        <v>1</v>
      </c>
      <c r="C172">
        <v>0.1</v>
      </c>
      <c r="D172">
        <v>20</v>
      </c>
      <c r="E172">
        <v>0.93537045751469605</v>
      </c>
      <c r="F172">
        <v>1</v>
      </c>
      <c r="G172">
        <v>36.359559527000002</v>
      </c>
      <c r="H172">
        <v>0.90617756941712202</v>
      </c>
      <c r="I172">
        <v>1</v>
      </c>
      <c r="J172">
        <v>8.3270406000000005E-2</v>
      </c>
      <c r="K172">
        <v>1.0198730203926001</v>
      </c>
      <c r="L172">
        <v>1</v>
      </c>
      <c r="M172">
        <v>3602.1217058329999</v>
      </c>
      <c r="N172">
        <v>348593</v>
      </c>
      <c r="O172">
        <v>1.7958441718539601E-2</v>
      </c>
      <c r="P172" s="5">
        <v>1.0372873586559599</v>
      </c>
      <c r="Q172">
        <v>1</v>
      </c>
      <c r="R172">
        <v>975.04150752600003</v>
      </c>
      <c r="S172">
        <v>8497</v>
      </c>
      <c r="T172">
        <v>3.5599343713379301E-4</v>
      </c>
      <c r="U172">
        <v>6510</v>
      </c>
      <c r="V172" s="5">
        <v>0.859376729060497</v>
      </c>
      <c r="W172">
        <v>1</v>
      </c>
      <c r="X172">
        <v>21.285867818</v>
      </c>
      <c r="Y172">
        <v>4065</v>
      </c>
      <c r="Z172">
        <v>3.7195043133982E-4</v>
      </c>
      <c r="AA172">
        <v>1</v>
      </c>
    </row>
    <row r="173" spans="1:27" x14ac:dyDescent="0.2">
      <c r="A173">
        <v>10</v>
      </c>
      <c r="B173">
        <v>1</v>
      </c>
      <c r="C173">
        <v>0.2</v>
      </c>
      <c r="D173">
        <v>20</v>
      </c>
      <c r="E173">
        <v>0.81495399594308104</v>
      </c>
      <c r="F173">
        <v>1</v>
      </c>
      <c r="G173">
        <v>35.155778179000002</v>
      </c>
      <c r="H173">
        <v>0.81095291272979397</v>
      </c>
      <c r="I173">
        <v>1</v>
      </c>
      <c r="J173">
        <v>9.2156667999999997E-2</v>
      </c>
      <c r="K173">
        <v>0.81535607030841295</v>
      </c>
      <c r="L173">
        <v>1</v>
      </c>
      <c r="M173">
        <v>3600.4159738180001</v>
      </c>
      <c r="N173">
        <v>1072024</v>
      </c>
      <c r="O173">
        <v>4.7345975091058499E-2</v>
      </c>
      <c r="P173" s="5">
        <v>0.99329398203421104</v>
      </c>
      <c r="Q173">
        <v>1</v>
      </c>
      <c r="R173">
        <v>1159.541558636</v>
      </c>
      <c r="S173">
        <v>36831</v>
      </c>
      <c r="T173">
        <v>3.50140491732653E-4</v>
      </c>
      <c r="U173">
        <v>22840</v>
      </c>
      <c r="V173" s="5">
        <v>0.99676313675839801</v>
      </c>
      <c r="W173">
        <v>1</v>
      </c>
      <c r="X173">
        <v>2867.174289605</v>
      </c>
      <c r="Y173">
        <v>244836</v>
      </c>
      <c r="Z173">
        <v>9.0632745013703004E-4</v>
      </c>
      <c r="AA173">
        <v>20</v>
      </c>
    </row>
    <row r="174" spans="1:27" x14ac:dyDescent="0.2">
      <c r="A174">
        <v>10</v>
      </c>
      <c r="B174">
        <v>1</v>
      </c>
      <c r="C174">
        <v>0.1</v>
      </c>
      <c r="D174">
        <v>20</v>
      </c>
      <c r="E174">
        <v>0.78329168978119601</v>
      </c>
      <c r="F174">
        <v>1</v>
      </c>
      <c r="G174">
        <v>33.419897691999999</v>
      </c>
      <c r="H174">
        <v>0.79100504975798502</v>
      </c>
      <c r="I174">
        <v>1</v>
      </c>
      <c r="J174">
        <v>6.9610099999999994E-2</v>
      </c>
      <c r="K174">
        <v>0.79552398463232699</v>
      </c>
      <c r="L174">
        <v>1</v>
      </c>
      <c r="M174">
        <v>3600.423279656</v>
      </c>
      <c r="N174">
        <v>1742360</v>
      </c>
      <c r="O174">
        <v>2.65931672362462E-3</v>
      </c>
      <c r="P174" s="5">
        <v>0.81262143810036602</v>
      </c>
      <c r="Q174">
        <v>1</v>
      </c>
      <c r="R174">
        <v>183.57109247700001</v>
      </c>
      <c r="S174">
        <v>3801</v>
      </c>
      <c r="T174">
        <v>1.7125159189787799E-4</v>
      </c>
      <c r="U174">
        <v>3720</v>
      </c>
      <c r="V174" s="5">
        <v>0.82226724354688496</v>
      </c>
      <c r="W174">
        <v>1</v>
      </c>
      <c r="X174">
        <v>6.4161652719999998</v>
      </c>
      <c r="Y174">
        <v>3540</v>
      </c>
      <c r="Z174">
        <v>1.5694347785908801E-4</v>
      </c>
      <c r="AA174">
        <v>1</v>
      </c>
    </row>
    <row r="175" spans="1:27" x14ac:dyDescent="0.2">
      <c r="A175">
        <v>10</v>
      </c>
      <c r="B175">
        <v>1</v>
      </c>
      <c r="C175">
        <v>0.2</v>
      </c>
      <c r="D175">
        <v>20</v>
      </c>
      <c r="E175">
        <v>0.79064879104791597</v>
      </c>
      <c r="F175">
        <v>1</v>
      </c>
      <c r="G175">
        <v>33.719683414999999</v>
      </c>
      <c r="H175">
        <v>0.69149092090459297</v>
      </c>
      <c r="I175">
        <v>1</v>
      </c>
      <c r="J175">
        <v>0.178701953</v>
      </c>
      <c r="K175">
        <v>0.70107654018207199</v>
      </c>
      <c r="L175">
        <v>1</v>
      </c>
      <c r="M175">
        <v>3601.033919598</v>
      </c>
      <c r="N175">
        <v>316928</v>
      </c>
      <c r="O175">
        <v>3.9587869280579502E-2</v>
      </c>
      <c r="P175" s="5">
        <v>0.76472155743005199</v>
      </c>
      <c r="Q175">
        <v>1</v>
      </c>
      <c r="R175">
        <v>2865.404890839</v>
      </c>
      <c r="S175">
        <v>26819</v>
      </c>
      <c r="T175">
        <v>9.8516098504293492E-4</v>
      </c>
      <c r="U175">
        <v>17452</v>
      </c>
      <c r="V175" s="5">
        <v>0.71763009071262296</v>
      </c>
      <c r="W175">
        <v>1</v>
      </c>
      <c r="X175">
        <v>2910.823051848</v>
      </c>
      <c r="Y175">
        <v>25283</v>
      </c>
      <c r="Z175">
        <v>2.46150273107008E-2</v>
      </c>
      <c r="AA175">
        <v>20</v>
      </c>
    </row>
    <row r="176" spans="1:27" x14ac:dyDescent="0.2">
      <c r="A176">
        <v>10</v>
      </c>
      <c r="B176">
        <v>1</v>
      </c>
      <c r="C176">
        <v>0.3</v>
      </c>
      <c r="D176">
        <v>20</v>
      </c>
      <c r="E176">
        <v>0.49342573371816101</v>
      </c>
      <c r="F176">
        <v>1</v>
      </c>
      <c r="G176">
        <v>32.909650790000001</v>
      </c>
      <c r="H176">
        <v>0.39110417867279601</v>
      </c>
      <c r="I176">
        <v>1</v>
      </c>
      <c r="J176">
        <v>0.31950188499999999</v>
      </c>
      <c r="K176">
        <v>0.38214023841349898</v>
      </c>
      <c r="L176">
        <v>1</v>
      </c>
      <c r="M176">
        <v>3602.031838893</v>
      </c>
      <c r="N176">
        <v>713296</v>
      </c>
      <c r="O176">
        <v>0.16521578476808299</v>
      </c>
      <c r="P176" s="5">
        <v>0.30863173033425501</v>
      </c>
      <c r="Q176">
        <v>1</v>
      </c>
      <c r="R176">
        <v>326.88306012999999</v>
      </c>
      <c r="S176">
        <v>6228</v>
      </c>
      <c r="T176">
        <v>7.8900176475780095E-3</v>
      </c>
      <c r="U176">
        <v>5653</v>
      </c>
      <c r="V176" s="5">
        <v>0.33429435396857998</v>
      </c>
      <c r="W176">
        <v>1</v>
      </c>
      <c r="X176">
        <v>398.52181987500001</v>
      </c>
      <c r="Y176">
        <v>17750</v>
      </c>
      <c r="Z176">
        <v>4.6334242529857397E-3</v>
      </c>
      <c r="AA176">
        <v>20</v>
      </c>
    </row>
    <row r="177" spans="1:27" x14ac:dyDescent="0.2">
      <c r="A177">
        <v>10</v>
      </c>
      <c r="B177">
        <v>1</v>
      </c>
      <c r="C177">
        <v>0.4</v>
      </c>
      <c r="D177">
        <v>20</v>
      </c>
      <c r="E177">
        <v>0.22180038953299699</v>
      </c>
      <c r="F177">
        <v>1</v>
      </c>
      <c r="G177">
        <v>33.015510622000001</v>
      </c>
      <c r="H177">
        <v>0.14804956438163799</v>
      </c>
      <c r="I177">
        <v>1</v>
      </c>
      <c r="J177">
        <v>0.11050702599999999</v>
      </c>
      <c r="K177">
        <v>0.14675377590937799</v>
      </c>
      <c r="L177">
        <v>1</v>
      </c>
      <c r="M177">
        <v>3601.2251692750001</v>
      </c>
      <c r="N177">
        <v>776881</v>
      </c>
      <c r="O177">
        <v>3.4383968751221503E-2</v>
      </c>
      <c r="P177" s="5">
        <v>0.24371589797205201</v>
      </c>
      <c r="Q177">
        <v>1</v>
      </c>
      <c r="R177">
        <v>238.24925298100001</v>
      </c>
      <c r="S177">
        <v>4223</v>
      </c>
      <c r="T177">
        <v>7.3593497281700896E-3</v>
      </c>
      <c r="U177">
        <v>3588</v>
      </c>
      <c r="V177" s="5">
        <v>0.15264787450707801</v>
      </c>
      <c r="W177">
        <v>1</v>
      </c>
      <c r="X177">
        <v>529.89586001700002</v>
      </c>
      <c r="Y177">
        <v>18900</v>
      </c>
      <c r="Z177">
        <v>5.7289920628332798E-3</v>
      </c>
      <c r="AA177">
        <v>14</v>
      </c>
    </row>
    <row r="178" spans="1:27" x14ac:dyDescent="0.2">
      <c r="A178">
        <v>10</v>
      </c>
      <c r="B178">
        <v>1</v>
      </c>
      <c r="C178">
        <v>0.4</v>
      </c>
      <c r="D178">
        <v>20</v>
      </c>
      <c r="E178">
        <v>0.20741826294351901</v>
      </c>
      <c r="F178">
        <v>1</v>
      </c>
      <c r="G178">
        <v>29.806195708000001</v>
      </c>
      <c r="H178">
        <v>0.208061080650874</v>
      </c>
      <c r="I178">
        <v>1</v>
      </c>
      <c r="J178">
        <v>5.0949066000000001E-2</v>
      </c>
      <c r="K178">
        <v>0.20804752550953401</v>
      </c>
      <c r="L178">
        <v>1</v>
      </c>
      <c r="M178">
        <v>3601.2499087750002</v>
      </c>
      <c r="N178">
        <v>274880</v>
      </c>
      <c r="O178">
        <v>9.2710803269660802E-2</v>
      </c>
      <c r="P178" s="5">
        <v>0.20601083757796801</v>
      </c>
      <c r="Q178">
        <v>1</v>
      </c>
      <c r="R178">
        <v>22.838102540000001</v>
      </c>
      <c r="S178">
        <v>1</v>
      </c>
      <c r="T178">
        <v>5.62856949737433E-3</v>
      </c>
      <c r="U178">
        <v>4</v>
      </c>
      <c r="V178" s="5">
        <v>0.20601083757796099</v>
      </c>
      <c r="W178">
        <v>1</v>
      </c>
      <c r="X178">
        <v>7.8176526700000002</v>
      </c>
      <c r="Y178">
        <v>1</v>
      </c>
      <c r="Z178">
        <v>4.1266751647823698E-3</v>
      </c>
      <c r="AA178">
        <v>1</v>
      </c>
    </row>
    <row r="179" spans="1:27" x14ac:dyDescent="0.2">
      <c r="A179">
        <v>10</v>
      </c>
      <c r="B179">
        <v>1</v>
      </c>
      <c r="C179">
        <v>0.1</v>
      </c>
      <c r="D179">
        <v>20</v>
      </c>
      <c r="E179">
        <v>0.98413785865348202</v>
      </c>
      <c r="F179">
        <v>1</v>
      </c>
      <c r="G179">
        <v>30.898310823999999</v>
      </c>
      <c r="H179">
        <v>0.98413785865348402</v>
      </c>
      <c r="I179">
        <v>1</v>
      </c>
      <c r="J179">
        <v>3.9668095E-2</v>
      </c>
      <c r="K179">
        <v>1.04655939464498</v>
      </c>
      <c r="L179">
        <v>1</v>
      </c>
      <c r="M179">
        <v>3601.0728655439998</v>
      </c>
      <c r="N179">
        <v>362147</v>
      </c>
      <c r="O179">
        <v>1.7104218985867801E-2</v>
      </c>
      <c r="P179" s="5">
        <v>1.0736733293701399</v>
      </c>
      <c r="Q179">
        <v>1</v>
      </c>
      <c r="R179">
        <v>796.82757232200004</v>
      </c>
      <c r="S179">
        <v>5705</v>
      </c>
      <c r="T179" s="1">
        <v>2.3920558218093401E-6</v>
      </c>
      <c r="U179">
        <v>5705</v>
      </c>
      <c r="V179" s="5">
        <v>1.0799817850509901</v>
      </c>
      <c r="W179">
        <v>1</v>
      </c>
      <c r="X179">
        <v>13.207944156</v>
      </c>
      <c r="Y179">
        <v>2301</v>
      </c>
      <c r="Z179">
        <v>1.9860939082151199E-4</v>
      </c>
      <c r="AA179">
        <v>1</v>
      </c>
    </row>
    <row r="180" spans="1:27" x14ac:dyDescent="0.2">
      <c r="A180">
        <v>10</v>
      </c>
      <c r="B180">
        <v>1</v>
      </c>
      <c r="C180">
        <v>0.1</v>
      </c>
      <c r="D180">
        <v>20</v>
      </c>
      <c r="E180">
        <v>0.98614667773214604</v>
      </c>
      <c r="F180">
        <v>1</v>
      </c>
      <c r="G180">
        <v>34.299038015000001</v>
      </c>
      <c r="H180">
        <v>0.97335567861857397</v>
      </c>
      <c r="I180">
        <v>1</v>
      </c>
      <c r="J180">
        <v>8.1767554000000006E-2</v>
      </c>
      <c r="K180">
        <v>0.99060762765692101</v>
      </c>
      <c r="L180">
        <v>1</v>
      </c>
      <c r="M180">
        <v>3600.429981409</v>
      </c>
      <c r="N180">
        <v>1013256</v>
      </c>
      <c r="O180">
        <v>7.4553793724982899E-3</v>
      </c>
      <c r="P180" s="5">
        <v>1.0329986665575801</v>
      </c>
      <c r="Q180">
        <v>1</v>
      </c>
      <c r="R180">
        <v>488.749480807</v>
      </c>
      <c r="S180">
        <v>10606</v>
      </c>
      <c r="T180" s="1">
        <v>9.4916194260177807E-8</v>
      </c>
      <c r="U180">
        <v>10604</v>
      </c>
      <c r="V180" s="5">
        <v>0.94133875868424399</v>
      </c>
      <c r="W180">
        <v>1</v>
      </c>
      <c r="X180">
        <v>7.5098127779999997</v>
      </c>
      <c r="Y180">
        <v>7785</v>
      </c>
      <c r="Z180" s="1">
        <v>1.04240465367139E-7</v>
      </c>
      <c r="AA180">
        <v>1</v>
      </c>
    </row>
    <row r="181" spans="1:27" x14ac:dyDescent="0.2">
      <c r="A181">
        <v>10</v>
      </c>
      <c r="B181">
        <v>1</v>
      </c>
      <c r="C181">
        <v>0.4</v>
      </c>
      <c r="D181">
        <v>20</v>
      </c>
      <c r="E181">
        <v>5.1302974997387098E-2</v>
      </c>
      <c r="F181">
        <v>1</v>
      </c>
      <c r="G181">
        <v>30.005897923999999</v>
      </c>
      <c r="H181">
        <v>8.6995839121215598E-2</v>
      </c>
      <c r="I181">
        <v>1</v>
      </c>
      <c r="J181">
        <v>5.2224158E-2</v>
      </c>
      <c r="K181">
        <v>7.1566441116349994E-2</v>
      </c>
      <c r="L181">
        <v>1</v>
      </c>
      <c r="M181">
        <v>3600.8658309699999</v>
      </c>
      <c r="N181">
        <v>353809</v>
      </c>
      <c r="O181">
        <v>8.0652168089665396E-2</v>
      </c>
      <c r="P181" s="5">
        <v>7.5367918995138297E-2</v>
      </c>
      <c r="Q181">
        <v>1</v>
      </c>
      <c r="R181">
        <v>22.687779472999999</v>
      </c>
      <c r="S181">
        <v>1</v>
      </c>
      <c r="T181">
        <v>1.5732032210037301E-3</v>
      </c>
      <c r="U181">
        <v>3</v>
      </c>
      <c r="V181" s="5">
        <v>7.5367918995138894E-2</v>
      </c>
      <c r="W181">
        <v>1</v>
      </c>
      <c r="X181">
        <v>7.5321439989999996</v>
      </c>
      <c r="Y181">
        <v>1</v>
      </c>
      <c r="Z181">
        <v>4.2292631584728199E-4</v>
      </c>
      <c r="AA181">
        <v>1</v>
      </c>
    </row>
    <row r="182" spans="1:27" x14ac:dyDescent="0.2">
      <c r="A182">
        <v>10</v>
      </c>
      <c r="B182">
        <v>1</v>
      </c>
      <c r="C182">
        <v>0.4</v>
      </c>
      <c r="D182">
        <v>20</v>
      </c>
      <c r="E182">
        <v>0.210811736427156</v>
      </c>
      <c r="F182">
        <v>1</v>
      </c>
      <c r="G182">
        <v>33.980047495000001</v>
      </c>
      <c r="H182">
        <v>0.146693923075256</v>
      </c>
      <c r="I182">
        <v>1</v>
      </c>
      <c r="J182">
        <v>0.11456519</v>
      </c>
      <c r="K182">
        <v>0.15188259658845499</v>
      </c>
      <c r="L182">
        <v>1</v>
      </c>
      <c r="M182">
        <v>3600.721718109</v>
      </c>
      <c r="N182">
        <v>862346</v>
      </c>
      <c r="O182">
        <v>7.5560501384995093E-2</v>
      </c>
      <c r="P182" s="5">
        <v>0.199132491441008</v>
      </c>
      <c r="Q182">
        <v>1</v>
      </c>
      <c r="R182">
        <v>223.726177221</v>
      </c>
      <c r="S182">
        <v>5515</v>
      </c>
      <c r="T182">
        <v>1.3412697764211501E-2</v>
      </c>
      <c r="U182">
        <v>4473</v>
      </c>
      <c r="V182" s="5">
        <v>0.15001084337606399</v>
      </c>
      <c r="W182">
        <v>1</v>
      </c>
      <c r="X182">
        <v>572.06293045300004</v>
      </c>
      <c r="Y182">
        <v>14391</v>
      </c>
      <c r="Z182">
        <v>6.8470036399999002E-3</v>
      </c>
      <c r="AA182">
        <v>20</v>
      </c>
    </row>
    <row r="183" spans="1:27" x14ac:dyDescent="0.2">
      <c r="A183">
        <v>10</v>
      </c>
      <c r="B183">
        <v>1</v>
      </c>
      <c r="C183">
        <v>0.3</v>
      </c>
      <c r="D183">
        <v>20</v>
      </c>
      <c r="E183">
        <v>0.47020029591003598</v>
      </c>
      <c r="F183">
        <v>1</v>
      </c>
      <c r="G183">
        <v>32.708932590000003</v>
      </c>
      <c r="H183">
        <v>0.448298260306631</v>
      </c>
      <c r="I183">
        <v>1</v>
      </c>
      <c r="J183">
        <v>0.11183741899999999</v>
      </c>
      <c r="K183">
        <v>0.465013819071455</v>
      </c>
      <c r="L183">
        <v>1</v>
      </c>
      <c r="M183">
        <v>3600.8561358530001</v>
      </c>
      <c r="N183">
        <v>749204</v>
      </c>
      <c r="O183">
        <v>0.11024519951879599</v>
      </c>
      <c r="P183" s="5">
        <v>0.75712396574879604</v>
      </c>
      <c r="Q183">
        <v>1</v>
      </c>
      <c r="R183">
        <v>366.93164199300003</v>
      </c>
      <c r="S183">
        <v>6648</v>
      </c>
      <c r="T183">
        <v>6.6928434510702397E-3</v>
      </c>
      <c r="U183">
        <v>5088</v>
      </c>
      <c r="V183" s="5">
        <v>0.53063226395254504</v>
      </c>
      <c r="W183">
        <v>1</v>
      </c>
      <c r="X183">
        <v>2272.3153805460001</v>
      </c>
      <c r="Y183">
        <v>57431</v>
      </c>
      <c r="Z183">
        <v>8.4570567723354292E-3</v>
      </c>
      <c r="AA183">
        <v>20</v>
      </c>
    </row>
    <row r="184" spans="1:27" x14ac:dyDescent="0.2">
      <c r="A184">
        <v>10</v>
      </c>
      <c r="B184">
        <v>1</v>
      </c>
      <c r="C184">
        <v>0.4</v>
      </c>
      <c r="D184">
        <v>20</v>
      </c>
      <c r="E184">
        <v>7.4724402424151695E-2</v>
      </c>
      <c r="F184">
        <v>1</v>
      </c>
      <c r="G184">
        <v>30.076533635000001</v>
      </c>
      <c r="H184">
        <v>0.100479196596251</v>
      </c>
      <c r="I184">
        <v>1</v>
      </c>
      <c r="J184">
        <v>5.1778289999999998E-2</v>
      </c>
      <c r="K184">
        <v>0.10105425058855801</v>
      </c>
      <c r="L184">
        <v>1</v>
      </c>
      <c r="M184">
        <v>3600.5670491599999</v>
      </c>
      <c r="N184">
        <v>647575</v>
      </c>
      <c r="O184">
        <v>1.84159997409203E-2</v>
      </c>
      <c r="P184" s="5">
        <v>8.8793427098408803E-2</v>
      </c>
      <c r="Q184">
        <v>1</v>
      </c>
      <c r="R184">
        <v>19.046265117000001</v>
      </c>
      <c r="S184">
        <v>1</v>
      </c>
      <c r="T184">
        <v>1.1307252842642701E-3</v>
      </c>
      <c r="U184">
        <v>4</v>
      </c>
      <c r="V184" s="5">
        <v>8.87934271505888E-2</v>
      </c>
      <c r="W184">
        <v>1</v>
      </c>
      <c r="X184">
        <v>4.7483209390000001</v>
      </c>
      <c r="Y184">
        <v>1</v>
      </c>
      <c r="Z184">
        <v>1.4640792063610999E-3</v>
      </c>
      <c r="AA184">
        <v>1</v>
      </c>
    </row>
    <row r="185" spans="1:27" x14ac:dyDescent="0.2">
      <c r="A185">
        <v>10</v>
      </c>
      <c r="B185">
        <v>1</v>
      </c>
      <c r="C185">
        <v>0.2</v>
      </c>
      <c r="D185">
        <v>20</v>
      </c>
      <c r="E185">
        <v>0.66077722399473204</v>
      </c>
      <c r="F185">
        <v>1</v>
      </c>
      <c r="G185">
        <v>30.463116081999999</v>
      </c>
      <c r="H185">
        <v>0.665353142246361</v>
      </c>
      <c r="I185">
        <v>1</v>
      </c>
      <c r="J185">
        <v>8.4018809999999999E-2</v>
      </c>
      <c r="K185">
        <v>0.71535859698803494</v>
      </c>
      <c r="L185">
        <v>1</v>
      </c>
      <c r="M185">
        <v>3600.65765427</v>
      </c>
      <c r="N185">
        <v>1051428</v>
      </c>
      <c r="O185">
        <v>2.72656718871928E-2</v>
      </c>
      <c r="P185" s="5">
        <v>0.62181264984756301</v>
      </c>
      <c r="Q185">
        <v>1</v>
      </c>
      <c r="R185">
        <v>232.876795405</v>
      </c>
      <c r="S185">
        <v>2702</v>
      </c>
      <c r="T185">
        <v>5.2077734251163499E-3</v>
      </c>
      <c r="U185">
        <v>2486</v>
      </c>
      <c r="V185" s="5">
        <v>0.72426172760907104</v>
      </c>
      <c r="W185">
        <v>1</v>
      </c>
      <c r="X185">
        <v>20.111793101</v>
      </c>
      <c r="Y185">
        <v>23</v>
      </c>
      <c r="Z185">
        <v>5.2860782753603097E-3</v>
      </c>
      <c r="AA185">
        <v>9</v>
      </c>
    </row>
    <row r="186" spans="1:27" x14ac:dyDescent="0.2">
      <c r="A186">
        <v>10</v>
      </c>
      <c r="B186">
        <v>1</v>
      </c>
      <c r="C186">
        <v>0.1</v>
      </c>
      <c r="D186">
        <v>20</v>
      </c>
      <c r="E186">
        <v>0.92816503773743997</v>
      </c>
      <c r="F186">
        <v>1</v>
      </c>
      <c r="G186">
        <v>30.388417030999999</v>
      </c>
      <c r="H186">
        <v>0.92571086523073798</v>
      </c>
      <c r="I186">
        <v>1</v>
      </c>
      <c r="J186">
        <v>6.5067432999999994E-2</v>
      </c>
      <c r="K186">
        <v>0.88961673080147596</v>
      </c>
      <c r="L186">
        <v>1</v>
      </c>
      <c r="M186">
        <v>3600.756720503</v>
      </c>
      <c r="N186">
        <v>774855</v>
      </c>
      <c r="O186">
        <v>1.37081949841366E-2</v>
      </c>
      <c r="P186" s="5">
        <v>1.1394493810106401</v>
      </c>
      <c r="Q186">
        <v>1</v>
      </c>
      <c r="R186">
        <v>357.88934778100003</v>
      </c>
      <c r="S186">
        <v>7679</v>
      </c>
      <c r="T186">
        <v>6.3848513982134303E-4</v>
      </c>
      <c r="U186">
        <v>6269</v>
      </c>
      <c r="V186" s="5">
        <v>0.75468477448037097</v>
      </c>
      <c r="W186">
        <v>1</v>
      </c>
      <c r="X186">
        <v>12.559911311</v>
      </c>
      <c r="Y186">
        <v>1</v>
      </c>
      <c r="Z186">
        <v>1.4364631618596199E-3</v>
      </c>
      <c r="AA186">
        <v>4</v>
      </c>
    </row>
    <row r="187" spans="1:27" x14ac:dyDescent="0.2">
      <c r="A187">
        <v>10</v>
      </c>
      <c r="B187">
        <v>1</v>
      </c>
      <c r="C187">
        <v>0.1</v>
      </c>
      <c r="D187">
        <v>20</v>
      </c>
      <c r="E187">
        <v>0.98392710102256697</v>
      </c>
      <c r="F187">
        <v>1</v>
      </c>
      <c r="G187">
        <v>30.895422098000001</v>
      </c>
      <c r="H187">
        <v>0.98392710102256697</v>
      </c>
      <c r="I187">
        <v>1</v>
      </c>
      <c r="J187">
        <v>4.1213279999999998E-2</v>
      </c>
      <c r="K187">
        <v>1.03745886935944</v>
      </c>
      <c r="L187">
        <v>1</v>
      </c>
      <c r="M187">
        <v>3600.7280467410001</v>
      </c>
      <c r="N187">
        <v>883506</v>
      </c>
      <c r="O187">
        <v>2.52337300992557E-2</v>
      </c>
      <c r="P187" s="5">
        <v>1.08336880702314</v>
      </c>
      <c r="Q187">
        <v>1</v>
      </c>
      <c r="R187">
        <v>551.57436752499996</v>
      </c>
      <c r="S187">
        <v>11185</v>
      </c>
      <c r="T187" s="1">
        <v>8.3739262746185199E-10</v>
      </c>
      <c r="U187">
        <v>11183</v>
      </c>
      <c r="V187" s="5">
        <v>1.09108036301881</v>
      </c>
      <c r="W187">
        <v>1</v>
      </c>
      <c r="X187">
        <v>8.2577157999999997</v>
      </c>
      <c r="Y187">
        <v>7744</v>
      </c>
      <c r="Z187" s="1">
        <v>5.5255667819054097E-8</v>
      </c>
      <c r="AA187">
        <v>1</v>
      </c>
    </row>
    <row r="188" spans="1:27" x14ac:dyDescent="0.2">
      <c r="A188">
        <v>10</v>
      </c>
      <c r="B188">
        <v>1</v>
      </c>
      <c r="C188">
        <v>0.4</v>
      </c>
      <c r="D188">
        <v>20</v>
      </c>
      <c r="E188">
        <v>0.22816794322086201</v>
      </c>
      <c r="F188">
        <v>1</v>
      </c>
      <c r="G188">
        <v>31.874199361999999</v>
      </c>
      <c r="H188">
        <v>0.18255124513090201</v>
      </c>
      <c r="I188">
        <v>1</v>
      </c>
      <c r="J188">
        <v>5.5259970999999998E-2</v>
      </c>
      <c r="K188">
        <v>0.18106403760024201</v>
      </c>
      <c r="L188">
        <v>1</v>
      </c>
      <c r="M188">
        <v>3601.1335987749999</v>
      </c>
      <c r="N188">
        <v>724058</v>
      </c>
      <c r="O188">
        <v>3.3154108429599198E-2</v>
      </c>
      <c r="P188" s="5">
        <v>0.17937107524659299</v>
      </c>
      <c r="Q188">
        <v>1</v>
      </c>
      <c r="R188">
        <v>22.850611032</v>
      </c>
      <c r="S188">
        <v>39</v>
      </c>
      <c r="T188">
        <v>8.3559905182277704E-3</v>
      </c>
      <c r="U188">
        <v>29</v>
      </c>
      <c r="V188" s="5">
        <v>0.17937107524659299</v>
      </c>
      <c r="W188">
        <v>1</v>
      </c>
      <c r="X188">
        <v>6.7289346349999999</v>
      </c>
      <c r="Y188">
        <v>39</v>
      </c>
      <c r="Z188">
        <v>8.2698818622391999E-3</v>
      </c>
      <c r="AA188">
        <v>1</v>
      </c>
    </row>
    <row r="189" spans="1:27" x14ac:dyDescent="0.2">
      <c r="A189">
        <v>10</v>
      </c>
      <c r="B189">
        <v>1</v>
      </c>
      <c r="C189">
        <v>0.1</v>
      </c>
      <c r="D189">
        <v>20</v>
      </c>
      <c r="E189">
        <v>0.90865754229868201</v>
      </c>
      <c r="F189">
        <v>1</v>
      </c>
      <c r="G189">
        <v>30.55809013</v>
      </c>
      <c r="H189">
        <v>0.90865754825534795</v>
      </c>
      <c r="I189">
        <v>1</v>
      </c>
      <c r="J189">
        <v>3.5931339999999999E-2</v>
      </c>
      <c r="K189">
        <v>0.91141552446047103</v>
      </c>
      <c r="L189">
        <v>1</v>
      </c>
      <c r="M189">
        <v>3601.2792737519999</v>
      </c>
      <c r="N189">
        <v>286988</v>
      </c>
      <c r="O189">
        <v>6.86652441146407E-3</v>
      </c>
      <c r="P189" s="5">
        <v>1.13665604054938</v>
      </c>
      <c r="Q189">
        <v>1</v>
      </c>
      <c r="R189">
        <v>1846.7925207369999</v>
      </c>
      <c r="S189">
        <v>13627</v>
      </c>
      <c r="T189" s="1">
        <v>9.75098979338895E-9</v>
      </c>
      <c r="U189">
        <v>13621</v>
      </c>
      <c r="V189" s="5">
        <v>0.90930775451287704</v>
      </c>
      <c r="W189">
        <v>1</v>
      </c>
      <c r="X189">
        <v>19.042941113000001</v>
      </c>
      <c r="Y189">
        <v>7050</v>
      </c>
      <c r="Z189" s="1">
        <v>3.0831401320874301E-10</v>
      </c>
      <c r="AA189">
        <v>1</v>
      </c>
    </row>
    <row r="190" spans="1:27" x14ac:dyDescent="0.2">
      <c r="A190">
        <v>10</v>
      </c>
      <c r="B190">
        <v>1</v>
      </c>
      <c r="C190">
        <v>0.2</v>
      </c>
      <c r="D190">
        <v>20</v>
      </c>
      <c r="E190">
        <v>0.71020008058973305</v>
      </c>
      <c r="F190">
        <v>1</v>
      </c>
      <c r="G190">
        <v>32.073241308</v>
      </c>
      <c r="H190">
        <v>0.65626281601733105</v>
      </c>
      <c r="I190">
        <v>1</v>
      </c>
      <c r="J190">
        <v>0.100496804</v>
      </c>
      <c r="K190">
        <v>0.65654061536665298</v>
      </c>
      <c r="L190">
        <v>1</v>
      </c>
      <c r="M190">
        <v>3600.7952727040001</v>
      </c>
      <c r="N190">
        <v>636362</v>
      </c>
      <c r="O190">
        <v>5.5919527648874999E-2</v>
      </c>
      <c r="P190" s="5">
        <v>0.87165520208226499</v>
      </c>
      <c r="Q190">
        <v>1</v>
      </c>
      <c r="R190">
        <v>295.616935754</v>
      </c>
      <c r="S190">
        <v>5508</v>
      </c>
      <c r="T190">
        <v>1.63471193932679E-3</v>
      </c>
      <c r="U190">
        <v>4072</v>
      </c>
      <c r="V190" s="5">
        <v>0.69508410676183396</v>
      </c>
      <c r="W190">
        <v>1</v>
      </c>
      <c r="X190">
        <v>2830.950124252</v>
      </c>
      <c r="Y190">
        <v>71501</v>
      </c>
      <c r="Z190">
        <v>7.9747332315690204E-3</v>
      </c>
      <c r="AA190">
        <v>20</v>
      </c>
    </row>
    <row r="191" spans="1:27" x14ac:dyDescent="0.2">
      <c r="A191">
        <v>10</v>
      </c>
      <c r="B191">
        <v>1</v>
      </c>
      <c r="C191">
        <v>0.1</v>
      </c>
      <c r="D191">
        <v>20</v>
      </c>
      <c r="E191">
        <v>0.95645684383996998</v>
      </c>
      <c r="F191">
        <v>1</v>
      </c>
      <c r="G191">
        <v>34.137587684000003</v>
      </c>
      <c r="H191">
        <v>0.947539871514127</v>
      </c>
      <c r="I191">
        <v>1</v>
      </c>
      <c r="J191">
        <v>0.210084669</v>
      </c>
      <c r="K191">
        <v>0.99242568199848502</v>
      </c>
      <c r="L191">
        <v>1</v>
      </c>
      <c r="M191">
        <v>3600.6460195730001</v>
      </c>
      <c r="N191">
        <v>1416320</v>
      </c>
      <c r="O191">
        <v>9.3283400846857403E-3</v>
      </c>
      <c r="P191" s="5">
        <v>0.92064018000484704</v>
      </c>
      <c r="Q191">
        <v>1</v>
      </c>
      <c r="R191">
        <v>270.87410177100003</v>
      </c>
      <c r="S191">
        <v>7021</v>
      </c>
      <c r="T191">
        <v>5.0845405988626802E-4</v>
      </c>
      <c r="U191">
        <v>6076</v>
      </c>
      <c r="V191" s="5">
        <v>0.96884228790281801</v>
      </c>
      <c r="W191">
        <v>1</v>
      </c>
      <c r="X191">
        <v>8.1839842540000003</v>
      </c>
      <c r="Y191">
        <v>0</v>
      </c>
      <c r="Z191">
        <v>1.4751802119649701E-3</v>
      </c>
      <c r="AA191">
        <v>2</v>
      </c>
    </row>
    <row r="192" spans="1:27" x14ac:dyDescent="0.2">
      <c r="A192">
        <v>10</v>
      </c>
      <c r="B192">
        <v>1</v>
      </c>
      <c r="C192">
        <v>0.4</v>
      </c>
      <c r="D192">
        <v>20</v>
      </c>
      <c r="E192">
        <v>0.16972442609164701</v>
      </c>
      <c r="F192">
        <v>1</v>
      </c>
      <c r="G192">
        <v>33.963695387000001</v>
      </c>
      <c r="H192">
        <v>0.13694873758942899</v>
      </c>
      <c r="I192">
        <v>1</v>
      </c>
      <c r="J192">
        <v>0.127342656</v>
      </c>
      <c r="K192">
        <v>0.13655492111099199</v>
      </c>
      <c r="L192">
        <v>1</v>
      </c>
      <c r="M192">
        <v>3600.7553507699999</v>
      </c>
      <c r="N192">
        <v>1049610</v>
      </c>
      <c r="O192">
        <v>1.63539464658626E-2</v>
      </c>
      <c r="P192" s="5">
        <v>0.22898691281594699</v>
      </c>
      <c r="Q192">
        <v>1</v>
      </c>
      <c r="R192">
        <v>140.44762939500001</v>
      </c>
      <c r="S192">
        <v>2938</v>
      </c>
      <c r="T192">
        <v>4.4737227343802904E-3</v>
      </c>
      <c r="U192">
        <v>2435</v>
      </c>
      <c r="V192" s="5">
        <v>0.14748434720083201</v>
      </c>
      <c r="W192">
        <v>1</v>
      </c>
      <c r="X192">
        <v>12.159415116</v>
      </c>
      <c r="Y192">
        <v>1</v>
      </c>
      <c r="Z192">
        <v>1.16655681959562E-2</v>
      </c>
      <c r="AA192">
        <v>4</v>
      </c>
    </row>
    <row r="193" spans="1:27" x14ac:dyDescent="0.2">
      <c r="A193">
        <v>10</v>
      </c>
      <c r="B193">
        <v>1</v>
      </c>
      <c r="C193">
        <v>0.2</v>
      </c>
      <c r="D193">
        <v>20</v>
      </c>
      <c r="E193">
        <v>0.68212454990748295</v>
      </c>
      <c r="F193">
        <v>1</v>
      </c>
      <c r="G193">
        <v>40.957433352999999</v>
      </c>
      <c r="H193">
        <v>0.68214885998956198</v>
      </c>
      <c r="I193">
        <v>1</v>
      </c>
      <c r="J193">
        <v>0.146369105</v>
      </c>
      <c r="K193">
        <v>1.1523991562378699</v>
      </c>
      <c r="L193">
        <v>1</v>
      </c>
      <c r="M193">
        <v>3601.4669026900001</v>
      </c>
      <c r="N193">
        <v>647915</v>
      </c>
      <c r="O193">
        <v>1.89825848785059E-2</v>
      </c>
      <c r="P193" s="5">
        <v>0.31407514288450999</v>
      </c>
      <c r="Q193">
        <v>1</v>
      </c>
      <c r="R193">
        <v>366.81201776799998</v>
      </c>
      <c r="S193">
        <v>5688</v>
      </c>
      <c r="T193" s="1">
        <v>1.5715236287350201E-5</v>
      </c>
      <c r="U193">
        <v>5690</v>
      </c>
      <c r="V193" s="5">
        <v>0.31417368836246801</v>
      </c>
      <c r="W193">
        <v>1</v>
      </c>
      <c r="X193">
        <v>13.404368249999999</v>
      </c>
      <c r="Y193">
        <v>13149</v>
      </c>
      <c r="Z193" s="1">
        <v>3.9953942210235698E-8</v>
      </c>
      <c r="AA193">
        <v>1</v>
      </c>
    </row>
    <row r="194" spans="1:27" x14ac:dyDescent="0.2">
      <c r="A194">
        <v>10</v>
      </c>
      <c r="B194">
        <v>1</v>
      </c>
      <c r="C194">
        <v>0.2</v>
      </c>
      <c r="D194">
        <v>20</v>
      </c>
      <c r="E194">
        <v>0.55860526862201898</v>
      </c>
      <c r="F194">
        <v>1</v>
      </c>
      <c r="G194">
        <v>34.481599850000002</v>
      </c>
      <c r="H194">
        <v>0.59957149270757804</v>
      </c>
      <c r="I194">
        <v>1</v>
      </c>
      <c r="J194">
        <v>0.136008304</v>
      </c>
      <c r="K194">
        <v>0.81144472080776497</v>
      </c>
      <c r="L194">
        <v>1</v>
      </c>
      <c r="M194">
        <v>3601.0657925280002</v>
      </c>
      <c r="N194">
        <v>1048328</v>
      </c>
      <c r="O194">
        <v>0.12071750236392</v>
      </c>
      <c r="P194" s="5">
        <v>0.84563115303935199</v>
      </c>
      <c r="Q194">
        <v>1</v>
      </c>
      <c r="R194">
        <v>348.34795043299999</v>
      </c>
      <c r="S194">
        <v>6146</v>
      </c>
      <c r="T194">
        <v>3.23876497922981E-3</v>
      </c>
      <c r="U194">
        <v>6147</v>
      </c>
      <c r="V194" s="5">
        <v>0.50249369329677995</v>
      </c>
      <c r="W194">
        <v>1</v>
      </c>
      <c r="X194">
        <v>229.08834623499999</v>
      </c>
      <c r="Y194">
        <v>45458</v>
      </c>
      <c r="Z194">
        <v>3.74104893080029E-3</v>
      </c>
      <c r="AA194">
        <v>15</v>
      </c>
    </row>
    <row r="195" spans="1:27" x14ac:dyDescent="0.2">
      <c r="A195">
        <v>10</v>
      </c>
      <c r="B195">
        <v>1</v>
      </c>
      <c r="C195">
        <v>0.3</v>
      </c>
      <c r="D195">
        <v>20</v>
      </c>
      <c r="E195">
        <v>0.35049605915333298</v>
      </c>
      <c r="F195">
        <v>1</v>
      </c>
      <c r="G195">
        <v>32.047106194999998</v>
      </c>
      <c r="H195">
        <v>0.35452181038520802</v>
      </c>
      <c r="I195">
        <v>1</v>
      </c>
      <c r="J195">
        <v>5.7768824000000003E-2</v>
      </c>
      <c r="K195">
        <v>0.35578901101028598</v>
      </c>
      <c r="L195">
        <v>1</v>
      </c>
      <c r="M195">
        <v>3601.746964126</v>
      </c>
      <c r="N195">
        <v>957283</v>
      </c>
      <c r="O195">
        <v>2.6823785500311201E-2</v>
      </c>
      <c r="P195" s="5">
        <v>0.494901635930237</v>
      </c>
      <c r="Q195">
        <v>1</v>
      </c>
      <c r="R195">
        <v>226.622067741</v>
      </c>
      <c r="S195">
        <v>6362</v>
      </c>
      <c r="T195">
        <v>2.1815619192578298E-3</v>
      </c>
      <c r="U195">
        <v>4226</v>
      </c>
      <c r="V195" s="5">
        <v>0.45690986314235599</v>
      </c>
      <c r="W195">
        <v>1</v>
      </c>
      <c r="X195">
        <v>2245.4311019900001</v>
      </c>
      <c r="Y195">
        <v>85990</v>
      </c>
      <c r="Z195">
        <v>1.02344841169316E-3</v>
      </c>
      <c r="AA195">
        <v>20</v>
      </c>
    </row>
    <row r="196" spans="1:27" x14ac:dyDescent="0.2">
      <c r="A196">
        <v>10</v>
      </c>
      <c r="B196">
        <v>1</v>
      </c>
      <c r="C196">
        <v>0.3</v>
      </c>
      <c r="D196">
        <v>20</v>
      </c>
      <c r="E196">
        <v>0.14990832478579799</v>
      </c>
      <c r="F196">
        <v>1</v>
      </c>
      <c r="G196">
        <v>31.812574780999999</v>
      </c>
      <c r="H196">
        <v>0.16045762436397101</v>
      </c>
      <c r="I196">
        <v>1</v>
      </c>
      <c r="J196">
        <v>9.8942663E-2</v>
      </c>
      <c r="K196">
        <v>0.16365714662878</v>
      </c>
      <c r="L196">
        <v>1</v>
      </c>
      <c r="M196">
        <v>3600.6941770879998</v>
      </c>
      <c r="N196">
        <v>992168</v>
      </c>
      <c r="O196">
        <v>7.4555853072752101E-2</v>
      </c>
      <c r="P196" s="5">
        <v>0.380020586089588</v>
      </c>
      <c r="Q196">
        <v>1</v>
      </c>
      <c r="R196">
        <v>204.863194808</v>
      </c>
      <c r="S196">
        <v>3501</v>
      </c>
      <c r="T196">
        <v>9.6988986164110395E-3</v>
      </c>
      <c r="U196">
        <v>2944</v>
      </c>
      <c r="V196" s="5">
        <v>0.18958159299751101</v>
      </c>
      <c r="W196">
        <v>1</v>
      </c>
      <c r="X196">
        <v>509.39967540999999</v>
      </c>
      <c r="Y196">
        <v>19866</v>
      </c>
      <c r="Z196">
        <v>4.5838825964917796E-3</v>
      </c>
      <c r="AA196">
        <v>20</v>
      </c>
    </row>
    <row r="197" spans="1:27" x14ac:dyDescent="0.2">
      <c r="A197">
        <v>10</v>
      </c>
      <c r="B197">
        <v>1</v>
      </c>
      <c r="C197">
        <v>0.4</v>
      </c>
      <c r="D197">
        <v>20</v>
      </c>
      <c r="E197">
        <v>0.15452162080611501</v>
      </c>
      <c r="F197">
        <v>1</v>
      </c>
      <c r="G197">
        <v>33.544861396999998</v>
      </c>
      <c r="H197">
        <v>0.13862020855419899</v>
      </c>
      <c r="I197">
        <v>1</v>
      </c>
      <c r="J197">
        <v>9.1502282000000004E-2</v>
      </c>
      <c r="K197">
        <v>0.14010202691267801</v>
      </c>
      <c r="L197">
        <v>1</v>
      </c>
      <c r="M197">
        <v>3601.1411147819999</v>
      </c>
      <c r="N197">
        <v>776926</v>
      </c>
      <c r="O197">
        <v>1.5468046487844E-2</v>
      </c>
      <c r="P197" s="5">
        <v>0.124770926513532</v>
      </c>
      <c r="Q197">
        <v>1</v>
      </c>
      <c r="R197">
        <v>21.536052953999999</v>
      </c>
      <c r="S197">
        <v>7</v>
      </c>
      <c r="T197">
        <v>1.6793623005489E-3</v>
      </c>
      <c r="U197">
        <v>12</v>
      </c>
      <c r="V197" s="5">
        <v>0.124770926513531</v>
      </c>
      <c r="W197">
        <v>1</v>
      </c>
      <c r="X197">
        <v>4.8930353929999999</v>
      </c>
      <c r="Y197">
        <v>1</v>
      </c>
      <c r="Z197">
        <v>1.67305623464203E-3</v>
      </c>
      <c r="AA197">
        <v>1</v>
      </c>
    </row>
    <row r="198" spans="1:27" x14ac:dyDescent="0.2">
      <c r="A198">
        <v>10</v>
      </c>
      <c r="B198">
        <v>1</v>
      </c>
      <c r="C198">
        <v>0.2</v>
      </c>
      <c r="D198">
        <v>20</v>
      </c>
      <c r="E198">
        <v>0.31084742932896098</v>
      </c>
      <c r="F198">
        <v>1</v>
      </c>
      <c r="G198">
        <v>32.324189943</v>
      </c>
      <c r="H198">
        <v>0.32625749367486601</v>
      </c>
      <c r="I198">
        <v>1</v>
      </c>
      <c r="J198">
        <v>8.3324268000000007E-2</v>
      </c>
      <c r="K198">
        <v>0.328184132864284</v>
      </c>
      <c r="L198">
        <v>1</v>
      </c>
      <c r="M198">
        <v>3600.582784662</v>
      </c>
      <c r="N198">
        <v>917147</v>
      </c>
      <c r="O198">
        <v>3.7778198421758398E-2</v>
      </c>
      <c r="P198" s="5">
        <v>0.41453965515311397</v>
      </c>
      <c r="Q198">
        <v>1</v>
      </c>
      <c r="R198">
        <v>241.502074325</v>
      </c>
      <c r="S198">
        <v>4350</v>
      </c>
      <c r="T198">
        <v>1.88796148603478E-3</v>
      </c>
      <c r="U198">
        <v>3717</v>
      </c>
      <c r="V198" s="5">
        <v>0.331248315845938</v>
      </c>
      <c r="W198">
        <v>1</v>
      </c>
      <c r="X198">
        <v>1500.389311893</v>
      </c>
      <c r="Y198">
        <v>29952</v>
      </c>
      <c r="Z198">
        <v>1.13216203418614E-3</v>
      </c>
      <c r="AA198">
        <v>20</v>
      </c>
    </row>
    <row r="199" spans="1:27" x14ac:dyDescent="0.2">
      <c r="A199">
        <v>10</v>
      </c>
      <c r="B199">
        <v>1</v>
      </c>
      <c r="C199">
        <v>0.1</v>
      </c>
      <c r="D199">
        <v>20</v>
      </c>
      <c r="E199">
        <v>0.96386762501857104</v>
      </c>
      <c r="F199">
        <v>1</v>
      </c>
      <c r="G199">
        <v>40.523978235000001</v>
      </c>
      <c r="H199">
        <v>0.96386762501857104</v>
      </c>
      <c r="I199">
        <v>1</v>
      </c>
      <c r="J199">
        <v>9.8713983000000005E-2</v>
      </c>
      <c r="K199">
        <v>1.2147220858096099</v>
      </c>
      <c r="L199">
        <v>1</v>
      </c>
      <c r="M199">
        <v>3601.2770468919998</v>
      </c>
      <c r="N199">
        <v>656856</v>
      </c>
      <c r="O199">
        <v>4.13997432295563E-2</v>
      </c>
      <c r="P199" s="5">
        <v>1.2183273329666799</v>
      </c>
      <c r="Q199">
        <v>1</v>
      </c>
      <c r="R199">
        <v>530.92549802899998</v>
      </c>
      <c r="S199">
        <v>7781</v>
      </c>
      <c r="T199" s="1">
        <v>2.7382209604603903E-7</v>
      </c>
      <c r="U199">
        <v>7779</v>
      </c>
      <c r="V199" s="5">
        <v>1.2385918081058001</v>
      </c>
      <c r="W199">
        <v>1</v>
      </c>
      <c r="X199">
        <v>10.356013238999999</v>
      </c>
      <c r="Y199">
        <v>3330</v>
      </c>
      <c r="Z199">
        <v>5.1882371492232399E-4</v>
      </c>
      <c r="AA199">
        <v>1</v>
      </c>
    </row>
    <row r="200" spans="1:27" x14ac:dyDescent="0.2">
      <c r="A200">
        <v>10</v>
      </c>
      <c r="B200">
        <v>1</v>
      </c>
      <c r="C200">
        <v>0.3</v>
      </c>
      <c r="D200">
        <v>20</v>
      </c>
      <c r="E200">
        <v>0.407996717202881</v>
      </c>
      <c r="F200">
        <v>1</v>
      </c>
      <c r="G200">
        <v>35.610772314999998</v>
      </c>
      <c r="H200">
        <v>0.35623423186323999</v>
      </c>
      <c r="I200">
        <v>1</v>
      </c>
      <c r="J200">
        <v>0.13596350600000001</v>
      </c>
      <c r="K200">
        <v>0.35422293345667699</v>
      </c>
      <c r="L200">
        <v>1</v>
      </c>
      <c r="M200">
        <v>3601.0338970460002</v>
      </c>
      <c r="N200">
        <v>535106</v>
      </c>
      <c r="O200">
        <v>0.14177711113372701</v>
      </c>
      <c r="P200" s="5">
        <v>0.46983878355421499</v>
      </c>
      <c r="Q200">
        <v>1</v>
      </c>
      <c r="R200">
        <v>510.52865324499999</v>
      </c>
      <c r="S200">
        <v>8374</v>
      </c>
      <c r="T200">
        <v>5.2190702244557796E-3</v>
      </c>
      <c r="U200">
        <v>7217</v>
      </c>
      <c r="V200" s="5">
        <v>0.24714327695850399</v>
      </c>
      <c r="W200">
        <v>1</v>
      </c>
      <c r="X200">
        <v>2762.9192093060001</v>
      </c>
      <c r="Y200">
        <v>40143</v>
      </c>
      <c r="Z200">
        <v>1.3176391244070501E-2</v>
      </c>
      <c r="AA200">
        <v>20</v>
      </c>
    </row>
    <row r="201" spans="1:27" x14ac:dyDescent="0.2">
      <c r="A201">
        <v>10</v>
      </c>
      <c r="B201">
        <v>1</v>
      </c>
      <c r="C201">
        <v>0.2</v>
      </c>
      <c r="D201">
        <v>20</v>
      </c>
      <c r="E201">
        <v>0.566990117319359</v>
      </c>
      <c r="F201">
        <v>1</v>
      </c>
      <c r="G201">
        <v>42.503567570000001</v>
      </c>
      <c r="H201">
        <v>0.37201786667723902</v>
      </c>
      <c r="I201">
        <v>1</v>
      </c>
      <c r="J201">
        <v>0.37794993199999999</v>
      </c>
      <c r="K201">
        <v>0.36628305494585001</v>
      </c>
      <c r="L201">
        <v>1</v>
      </c>
      <c r="M201">
        <v>3600.9277322160001</v>
      </c>
      <c r="N201">
        <v>400543</v>
      </c>
      <c r="O201">
        <v>0.17100618167523601</v>
      </c>
      <c r="P201" s="5">
        <v>0.53021530227179603</v>
      </c>
      <c r="Q201">
        <v>1</v>
      </c>
      <c r="R201">
        <v>516.90952134099996</v>
      </c>
      <c r="S201">
        <v>11752</v>
      </c>
      <c r="T201">
        <v>2.0180838764693402E-3</v>
      </c>
      <c r="U201">
        <v>8389</v>
      </c>
      <c r="V201" s="5">
        <v>0.46574813668994203</v>
      </c>
      <c r="W201">
        <v>1</v>
      </c>
      <c r="X201">
        <v>2672.2417022989998</v>
      </c>
      <c r="Y201">
        <v>89567</v>
      </c>
      <c r="Z201">
        <v>3.71456703548539E-3</v>
      </c>
      <c r="AA201">
        <v>20</v>
      </c>
    </row>
    <row r="202" spans="1:27" x14ac:dyDescent="0.2">
      <c r="A202">
        <v>10</v>
      </c>
      <c r="B202">
        <v>1</v>
      </c>
      <c r="C202">
        <v>0.3</v>
      </c>
      <c r="D202">
        <v>20</v>
      </c>
      <c r="E202">
        <v>0.390734081654106</v>
      </c>
      <c r="F202">
        <v>1</v>
      </c>
      <c r="G202">
        <v>36.553387459</v>
      </c>
      <c r="H202">
        <v>0.283508943230872</v>
      </c>
      <c r="I202">
        <v>1</v>
      </c>
      <c r="J202">
        <v>0.103504336</v>
      </c>
      <c r="K202">
        <v>0.279501458088382</v>
      </c>
      <c r="L202">
        <v>1</v>
      </c>
      <c r="M202">
        <v>3601.4866144100001</v>
      </c>
      <c r="N202">
        <v>280464</v>
      </c>
      <c r="O202">
        <v>5.8990012133694501E-2</v>
      </c>
      <c r="P202" s="5">
        <v>0.70511299437372099</v>
      </c>
      <c r="Q202">
        <v>1</v>
      </c>
      <c r="R202">
        <v>413.50024827200002</v>
      </c>
      <c r="S202">
        <v>2743</v>
      </c>
      <c r="T202">
        <v>3.7729030611169901E-3</v>
      </c>
      <c r="U202">
        <v>2316</v>
      </c>
      <c r="V202" s="5">
        <v>0.31973206540358501</v>
      </c>
      <c r="W202">
        <v>1</v>
      </c>
      <c r="X202">
        <v>2405.4828474870001</v>
      </c>
      <c r="Y202">
        <v>21053</v>
      </c>
      <c r="Z202">
        <v>4.28024655880748E-3</v>
      </c>
      <c r="AA202">
        <v>20</v>
      </c>
    </row>
    <row r="203" spans="1:27" x14ac:dyDescent="0.2">
      <c r="A203">
        <v>10</v>
      </c>
      <c r="B203">
        <v>1</v>
      </c>
      <c r="C203">
        <v>0.4</v>
      </c>
      <c r="D203">
        <v>20</v>
      </c>
      <c r="E203">
        <v>0.481071950214711</v>
      </c>
      <c r="F203">
        <v>1</v>
      </c>
      <c r="G203">
        <v>31.749038933000001</v>
      </c>
      <c r="H203">
        <v>0.32465108269390602</v>
      </c>
      <c r="I203">
        <v>1</v>
      </c>
      <c r="J203">
        <v>0.204921187</v>
      </c>
      <c r="K203">
        <v>0.32450578587597001</v>
      </c>
      <c r="L203">
        <v>1</v>
      </c>
      <c r="M203">
        <v>3601.605417454</v>
      </c>
      <c r="N203">
        <v>178841</v>
      </c>
      <c r="O203">
        <v>0.14673338994208801</v>
      </c>
      <c r="P203" s="5">
        <v>0.47871102526903703</v>
      </c>
      <c r="Q203">
        <v>1</v>
      </c>
      <c r="R203">
        <v>1164.1416966459999</v>
      </c>
      <c r="S203">
        <v>8761</v>
      </c>
      <c r="T203">
        <v>5.6108565607299E-3</v>
      </c>
      <c r="U203">
        <v>7435</v>
      </c>
      <c r="V203" s="5">
        <v>0.44041482909789398</v>
      </c>
      <c r="W203">
        <v>1</v>
      </c>
      <c r="X203">
        <v>2893.620680085</v>
      </c>
      <c r="Y203">
        <v>17631</v>
      </c>
      <c r="Z203">
        <v>2.32471234879764E-2</v>
      </c>
      <c r="AA203">
        <v>20</v>
      </c>
    </row>
    <row r="204" spans="1:27" x14ac:dyDescent="0.2">
      <c r="A204">
        <v>10</v>
      </c>
      <c r="B204">
        <v>1</v>
      </c>
      <c r="C204">
        <v>0.3</v>
      </c>
      <c r="D204">
        <v>20</v>
      </c>
      <c r="E204">
        <v>0.40426980657921502</v>
      </c>
      <c r="F204">
        <v>1</v>
      </c>
      <c r="G204">
        <v>30.047372079999999</v>
      </c>
      <c r="H204">
        <v>0.32350395581823799</v>
      </c>
      <c r="I204">
        <v>1</v>
      </c>
      <c r="J204">
        <v>8.4175081999999998E-2</v>
      </c>
      <c r="K204">
        <v>0.32876489162227202</v>
      </c>
      <c r="L204">
        <v>1</v>
      </c>
      <c r="M204">
        <v>3601.010755758</v>
      </c>
      <c r="N204">
        <v>687241</v>
      </c>
      <c r="O204">
        <v>0.13672513955597701</v>
      </c>
      <c r="P204" s="5">
        <v>0.39459023727439402</v>
      </c>
      <c r="Q204">
        <v>1</v>
      </c>
      <c r="R204">
        <v>287.70029144599999</v>
      </c>
      <c r="S204">
        <v>5675</v>
      </c>
      <c r="T204">
        <v>9.5660511459713105E-3</v>
      </c>
      <c r="U204">
        <v>4326</v>
      </c>
      <c r="V204" s="5">
        <v>0.37595258275806698</v>
      </c>
      <c r="W204">
        <v>1</v>
      </c>
      <c r="X204">
        <v>2306.6817507710002</v>
      </c>
      <c r="Y204">
        <v>28066</v>
      </c>
      <c r="Z204">
        <v>1.6609411650038899E-2</v>
      </c>
      <c r="AA204">
        <v>20</v>
      </c>
    </row>
    <row r="205" spans="1:27" x14ac:dyDescent="0.2">
      <c r="A205">
        <v>10</v>
      </c>
      <c r="B205">
        <v>1</v>
      </c>
      <c r="C205">
        <v>0.3</v>
      </c>
      <c r="D205">
        <v>20</v>
      </c>
      <c r="E205">
        <v>0.40870837527327503</v>
      </c>
      <c r="F205">
        <v>1</v>
      </c>
      <c r="G205">
        <v>64.484604532000006</v>
      </c>
      <c r="H205">
        <v>0.23552526400056301</v>
      </c>
      <c r="I205">
        <v>1</v>
      </c>
      <c r="J205">
        <v>0.32649535200000002</v>
      </c>
      <c r="K205">
        <v>0.33601633122079799</v>
      </c>
      <c r="L205">
        <v>1</v>
      </c>
      <c r="M205">
        <v>3602.5501356159998</v>
      </c>
      <c r="N205">
        <v>192372</v>
      </c>
      <c r="O205">
        <v>0.27720002615971201</v>
      </c>
      <c r="P205" s="5">
        <v>0.36765903442911702</v>
      </c>
      <c r="Q205">
        <v>1</v>
      </c>
      <c r="R205">
        <v>1379.907634528</v>
      </c>
      <c r="S205">
        <v>6797</v>
      </c>
      <c r="T205">
        <v>3.0456319907811698E-3</v>
      </c>
      <c r="U205">
        <v>5279</v>
      </c>
      <c r="V205" s="5">
        <v>0.31106613967640501</v>
      </c>
      <c r="W205">
        <v>1</v>
      </c>
      <c r="X205">
        <v>2882.5494183820001</v>
      </c>
      <c r="Y205">
        <v>10023</v>
      </c>
      <c r="Z205">
        <v>1.8640161132429101E-2</v>
      </c>
      <c r="AA205">
        <v>20</v>
      </c>
    </row>
    <row r="206" spans="1:27" x14ac:dyDescent="0.2">
      <c r="A206">
        <v>10</v>
      </c>
      <c r="B206">
        <v>1</v>
      </c>
      <c r="C206">
        <v>0.1</v>
      </c>
      <c r="D206">
        <v>20</v>
      </c>
      <c r="E206">
        <v>0.97905987746963596</v>
      </c>
      <c r="F206">
        <v>1</v>
      </c>
      <c r="G206">
        <v>38.311401224999997</v>
      </c>
      <c r="H206">
        <v>0.97905775577488896</v>
      </c>
      <c r="I206">
        <v>1</v>
      </c>
      <c r="J206">
        <v>0.191685834</v>
      </c>
      <c r="K206">
        <v>1.0765276915978099</v>
      </c>
      <c r="L206">
        <v>1</v>
      </c>
      <c r="M206">
        <v>3600.8805748129998</v>
      </c>
      <c r="N206">
        <v>438797</v>
      </c>
      <c r="O206">
        <v>1.09581344951621E-2</v>
      </c>
      <c r="P206" s="5">
        <v>0.99394850475933205</v>
      </c>
      <c r="Q206">
        <v>1</v>
      </c>
      <c r="R206">
        <v>331.37900888500002</v>
      </c>
      <c r="S206">
        <v>4451</v>
      </c>
      <c r="T206" s="1">
        <v>2.7910181654787399E-5</v>
      </c>
      <c r="U206">
        <v>4373</v>
      </c>
      <c r="V206" s="5">
        <v>1.08132051460834</v>
      </c>
      <c r="W206">
        <v>1</v>
      </c>
      <c r="X206">
        <v>10.635130636</v>
      </c>
      <c r="Y206">
        <v>3459</v>
      </c>
      <c r="Z206" s="1">
        <v>8.5783937363942395E-5</v>
      </c>
      <c r="AA206">
        <v>1</v>
      </c>
    </row>
    <row r="207" spans="1:27" x14ac:dyDescent="0.2">
      <c r="A207">
        <v>10</v>
      </c>
      <c r="B207">
        <v>1</v>
      </c>
      <c r="C207">
        <v>0.4</v>
      </c>
      <c r="D207">
        <v>20</v>
      </c>
      <c r="E207">
        <v>8.8315701687645395E-2</v>
      </c>
      <c r="F207">
        <v>1</v>
      </c>
      <c r="G207">
        <v>30.895194278999998</v>
      </c>
      <c r="H207">
        <v>0.118425851619573</v>
      </c>
      <c r="I207">
        <v>1</v>
      </c>
      <c r="J207">
        <v>6.5700950999999994E-2</v>
      </c>
      <c r="K207">
        <v>0.120090435179993</v>
      </c>
      <c r="L207">
        <v>1</v>
      </c>
      <c r="M207">
        <v>3600.6749645609998</v>
      </c>
      <c r="N207">
        <v>968157</v>
      </c>
      <c r="O207">
        <v>1.41313218139593E-2</v>
      </c>
      <c r="P207" s="5">
        <v>0.109780301511785</v>
      </c>
      <c r="Q207">
        <v>1</v>
      </c>
      <c r="R207">
        <v>19.908748855999999</v>
      </c>
      <c r="S207">
        <v>1</v>
      </c>
      <c r="T207">
        <v>4.6032644363643797E-3</v>
      </c>
      <c r="U207">
        <v>4</v>
      </c>
      <c r="V207" s="5">
        <v>0.10978030150927599</v>
      </c>
      <c r="W207">
        <v>1</v>
      </c>
      <c r="X207">
        <v>4.9859094659999998</v>
      </c>
      <c r="Y207">
        <v>1</v>
      </c>
      <c r="Z207">
        <v>4.2680203872771296E-3</v>
      </c>
      <c r="AA207">
        <v>1</v>
      </c>
    </row>
    <row r="208" spans="1:27" x14ac:dyDescent="0.2">
      <c r="A208">
        <v>10</v>
      </c>
      <c r="B208">
        <v>1</v>
      </c>
      <c r="C208">
        <v>0.4</v>
      </c>
      <c r="D208">
        <v>20</v>
      </c>
      <c r="E208">
        <v>0.31900363645035001</v>
      </c>
      <c r="F208">
        <v>1</v>
      </c>
      <c r="G208">
        <v>33.628877576999997</v>
      </c>
      <c r="H208">
        <v>0.292327449854411</v>
      </c>
      <c r="I208">
        <v>1</v>
      </c>
      <c r="J208">
        <v>0.11724246300000001</v>
      </c>
      <c r="K208">
        <v>0.292137492770355</v>
      </c>
      <c r="L208">
        <v>1</v>
      </c>
      <c r="M208">
        <v>3600.512014598</v>
      </c>
      <c r="N208">
        <v>876931</v>
      </c>
      <c r="O208">
        <v>9.0386792625974197E-2</v>
      </c>
      <c r="P208" s="5">
        <v>0.37394973650157698</v>
      </c>
      <c r="Q208">
        <v>1</v>
      </c>
      <c r="R208">
        <v>592.93628213900001</v>
      </c>
      <c r="S208">
        <v>13864</v>
      </c>
      <c r="T208">
        <v>1.01677991040551E-2</v>
      </c>
      <c r="U208">
        <v>9328</v>
      </c>
      <c r="V208" s="5">
        <v>0.312433022737031</v>
      </c>
      <c r="W208">
        <v>1</v>
      </c>
      <c r="X208">
        <v>2506.5783047959999</v>
      </c>
      <c r="Y208">
        <v>62360</v>
      </c>
      <c r="Z208">
        <v>1.54878050016122E-2</v>
      </c>
      <c r="AA208">
        <v>20</v>
      </c>
    </row>
    <row r="209" spans="1:27" x14ac:dyDescent="0.2">
      <c r="A209">
        <v>10</v>
      </c>
      <c r="B209">
        <v>1</v>
      </c>
      <c r="C209">
        <v>0.3</v>
      </c>
      <c r="D209">
        <v>20</v>
      </c>
      <c r="E209">
        <v>0.25524952302647602</v>
      </c>
      <c r="F209">
        <v>1</v>
      </c>
      <c r="G209">
        <v>31.512609634</v>
      </c>
      <c r="H209">
        <v>0.23405372964229701</v>
      </c>
      <c r="I209">
        <v>1</v>
      </c>
      <c r="J209">
        <v>0.165832427</v>
      </c>
      <c r="K209">
        <v>0.23232527025632199</v>
      </c>
      <c r="L209">
        <v>1</v>
      </c>
      <c r="M209">
        <v>3600.658161453</v>
      </c>
      <c r="N209">
        <v>1070377</v>
      </c>
      <c r="O209">
        <v>3.1069143105979E-2</v>
      </c>
      <c r="P209" s="5">
        <v>0.14066492896195701</v>
      </c>
      <c r="Q209">
        <v>1</v>
      </c>
      <c r="R209">
        <v>189.94755912599999</v>
      </c>
      <c r="S209">
        <v>4706</v>
      </c>
      <c r="T209">
        <v>4.5601581045174302E-3</v>
      </c>
      <c r="U209">
        <v>3671</v>
      </c>
      <c r="V209" s="5">
        <v>0.286115637768943</v>
      </c>
      <c r="W209">
        <v>1</v>
      </c>
      <c r="X209">
        <v>1506.2982822490001</v>
      </c>
      <c r="Y209">
        <v>32502</v>
      </c>
      <c r="Z209">
        <v>2.4978468910678E-3</v>
      </c>
      <c r="AA209">
        <v>20</v>
      </c>
    </row>
    <row r="210" spans="1:27" x14ac:dyDescent="0.2">
      <c r="A210">
        <v>10</v>
      </c>
      <c r="B210">
        <v>1</v>
      </c>
      <c r="C210">
        <v>0.2</v>
      </c>
      <c r="D210">
        <v>20</v>
      </c>
      <c r="E210">
        <v>0.80704403550593895</v>
      </c>
      <c r="F210">
        <v>1</v>
      </c>
      <c r="G210">
        <v>35.308355372999998</v>
      </c>
      <c r="H210">
        <v>0.73595627185546697</v>
      </c>
      <c r="I210">
        <v>1</v>
      </c>
      <c r="J210">
        <v>0.34392317500000003</v>
      </c>
      <c r="K210">
        <v>0.73554259773622199</v>
      </c>
      <c r="L210">
        <v>1</v>
      </c>
      <c r="M210">
        <v>3602.0122046279998</v>
      </c>
      <c r="N210">
        <v>409065</v>
      </c>
      <c r="O210">
        <v>1.9719042789198199E-2</v>
      </c>
      <c r="P210" s="5">
        <v>0.76638182238239405</v>
      </c>
      <c r="Q210">
        <v>1</v>
      </c>
      <c r="R210">
        <v>1599.520834978</v>
      </c>
      <c r="S210">
        <v>16311</v>
      </c>
      <c r="T210">
        <v>2.6715154849362099E-3</v>
      </c>
      <c r="U210">
        <v>10351</v>
      </c>
      <c r="V210" s="5">
        <v>0.68859863174223102</v>
      </c>
      <c r="W210">
        <v>1</v>
      </c>
      <c r="X210">
        <v>1984.1502460070001</v>
      </c>
      <c r="Y210">
        <v>15455</v>
      </c>
      <c r="Z210">
        <v>1.3770145177497901E-3</v>
      </c>
      <c r="AA210">
        <v>20</v>
      </c>
    </row>
    <row r="211" spans="1:27" x14ac:dyDescent="0.2">
      <c r="A211">
        <v>10</v>
      </c>
      <c r="B211">
        <v>1</v>
      </c>
      <c r="C211">
        <v>0.4</v>
      </c>
      <c r="D211">
        <v>20</v>
      </c>
      <c r="E211">
        <v>0.23428413589045299</v>
      </c>
      <c r="F211">
        <v>1</v>
      </c>
      <c r="G211">
        <v>32.566423718000003</v>
      </c>
      <c r="H211">
        <v>0.20194246173684099</v>
      </c>
      <c r="I211">
        <v>1</v>
      </c>
      <c r="J211">
        <v>0.10051345</v>
      </c>
      <c r="K211">
        <v>0.20082776252614801</v>
      </c>
      <c r="L211">
        <v>1</v>
      </c>
      <c r="M211">
        <v>3600.6101590399999</v>
      </c>
      <c r="N211">
        <v>583238</v>
      </c>
      <c r="O211">
        <v>5.2193114523481299E-2</v>
      </c>
      <c r="P211" s="5">
        <v>0.256637659493405</v>
      </c>
      <c r="Q211">
        <v>1</v>
      </c>
      <c r="R211">
        <v>501.176788106</v>
      </c>
      <c r="S211">
        <v>11201</v>
      </c>
      <c r="T211">
        <v>5.4408290065256397E-3</v>
      </c>
      <c r="U211">
        <v>8121</v>
      </c>
      <c r="V211" s="5">
        <v>0.240172411677536</v>
      </c>
      <c r="W211">
        <v>1</v>
      </c>
      <c r="X211">
        <v>2240.061653446</v>
      </c>
      <c r="Y211">
        <v>58913</v>
      </c>
      <c r="Z211">
        <v>2.9558897989566601E-3</v>
      </c>
      <c r="AA211">
        <v>20</v>
      </c>
    </row>
    <row r="212" spans="1:27" x14ac:dyDescent="0.2">
      <c r="A212">
        <v>10</v>
      </c>
      <c r="B212">
        <v>1</v>
      </c>
      <c r="C212">
        <v>0.3</v>
      </c>
      <c r="D212">
        <v>20</v>
      </c>
      <c r="E212">
        <v>0.52385830252120702</v>
      </c>
      <c r="F212">
        <v>1</v>
      </c>
      <c r="G212">
        <v>33.227190708000002</v>
      </c>
      <c r="H212">
        <v>0.52394103101296097</v>
      </c>
      <c r="I212">
        <v>1</v>
      </c>
      <c r="J212">
        <v>0.17836110899999999</v>
      </c>
      <c r="K212">
        <v>0.53876381037612298</v>
      </c>
      <c r="L212">
        <v>1</v>
      </c>
      <c r="M212">
        <v>3600.4672906119999</v>
      </c>
      <c r="N212">
        <v>970227</v>
      </c>
      <c r="O212">
        <v>7.3911407566784604E-2</v>
      </c>
      <c r="P212" s="5">
        <v>1.1950908060279799</v>
      </c>
      <c r="Q212">
        <v>1</v>
      </c>
      <c r="R212">
        <v>288.39426454300002</v>
      </c>
      <c r="S212">
        <v>6428</v>
      </c>
      <c r="T212">
        <v>5.7764693565119903E-3</v>
      </c>
      <c r="U212">
        <v>5494</v>
      </c>
      <c r="V212" s="5">
        <v>1.1953967016027001</v>
      </c>
      <c r="W212">
        <v>1</v>
      </c>
      <c r="X212">
        <v>2129.7738365499999</v>
      </c>
      <c r="Y212">
        <v>127654</v>
      </c>
      <c r="Z212">
        <v>4.0753069245650303E-3</v>
      </c>
      <c r="AA212">
        <v>20</v>
      </c>
    </row>
    <row r="213" spans="1:27" x14ac:dyDescent="0.2">
      <c r="A213">
        <v>10</v>
      </c>
      <c r="B213">
        <v>1</v>
      </c>
      <c r="C213">
        <v>0.2</v>
      </c>
      <c r="D213">
        <v>20</v>
      </c>
      <c r="E213">
        <v>0.623177727687236</v>
      </c>
      <c r="F213">
        <v>1</v>
      </c>
      <c r="G213">
        <v>59.682044865999998</v>
      </c>
      <c r="H213">
        <v>0.61499572056108198</v>
      </c>
      <c r="I213">
        <v>1</v>
      </c>
      <c r="J213">
        <v>0.15406831300000001</v>
      </c>
      <c r="K213">
        <v>0.53868387707117704</v>
      </c>
      <c r="L213">
        <v>1</v>
      </c>
      <c r="M213">
        <v>3603.9232563999999</v>
      </c>
      <c r="N213">
        <v>170653</v>
      </c>
      <c r="O213">
        <v>0.114099635309901</v>
      </c>
      <c r="P213" s="5">
        <v>0.58369706844442104</v>
      </c>
      <c r="Q213">
        <v>1</v>
      </c>
      <c r="R213">
        <v>2094.6623238010002</v>
      </c>
      <c r="S213">
        <v>9631</v>
      </c>
      <c r="T213">
        <v>1.48360641340125E-3</v>
      </c>
      <c r="U213">
        <v>8547</v>
      </c>
      <c r="V213" s="5">
        <v>0.76516418371775297</v>
      </c>
      <c r="W213">
        <v>1</v>
      </c>
      <c r="X213">
        <v>2858.2620105149999</v>
      </c>
      <c r="Y213">
        <v>21069</v>
      </c>
      <c r="Z213">
        <v>1.0214765240315201E-2</v>
      </c>
      <c r="AA213">
        <v>20</v>
      </c>
    </row>
    <row r="214" spans="1:27" x14ac:dyDescent="0.2">
      <c r="A214">
        <v>10</v>
      </c>
      <c r="B214">
        <v>1</v>
      </c>
      <c r="C214">
        <v>0.2</v>
      </c>
      <c r="D214">
        <v>20</v>
      </c>
      <c r="E214">
        <v>0.69355016160109595</v>
      </c>
      <c r="F214">
        <v>1</v>
      </c>
      <c r="G214">
        <v>38.367906001999998</v>
      </c>
      <c r="H214">
        <v>0.617022035858244</v>
      </c>
      <c r="I214">
        <v>1</v>
      </c>
      <c r="J214">
        <v>0.148629856</v>
      </c>
      <c r="K214">
        <v>0.53220013700159197</v>
      </c>
      <c r="L214">
        <v>1</v>
      </c>
      <c r="M214">
        <v>3601.8192238709998</v>
      </c>
      <c r="N214">
        <v>230564</v>
      </c>
      <c r="O214">
        <v>8.68779151161716E-2</v>
      </c>
      <c r="P214" s="5">
        <v>0.68314024417960195</v>
      </c>
      <c r="Q214">
        <v>1</v>
      </c>
      <c r="R214">
        <v>1705.2391474880001</v>
      </c>
      <c r="S214">
        <v>14851</v>
      </c>
      <c r="T214">
        <v>1.90063759332029E-3</v>
      </c>
      <c r="U214">
        <v>10114</v>
      </c>
      <c r="V214" s="5">
        <v>0.57784271898917805</v>
      </c>
      <c r="W214">
        <v>1</v>
      </c>
      <c r="X214">
        <v>2992.334775497</v>
      </c>
      <c r="Y214">
        <v>30606</v>
      </c>
      <c r="Z214">
        <v>1.2711276090196099E-2</v>
      </c>
      <c r="AA214">
        <v>20</v>
      </c>
    </row>
    <row r="215" spans="1:27" x14ac:dyDescent="0.2">
      <c r="A215">
        <v>10</v>
      </c>
      <c r="B215">
        <v>1</v>
      </c>
      <c r="C215">
        <v>0.3</v>
      </c>
      <c r="D215">
        <v>20</v>
      </c>
      <c r="E215">
        <v>0.55242168036803496</v>
      </c>
      <c r="F215">
        <v>1</v>
      </c>
      <c r="G215">
        <v>34.980137786999997</v>
      </c>
      <c r="H215">
        <v>0.40357299717989897</v>
      </c>
      <c r="I215">
        <v>1</v>
      </c>
      <c r="J215">
        <v>9.5656615E-2</v>
      </c>
      <c r="K215">
        <v>0.39561153633344698</v>
      </c>
      <c r="L215">
        <v>1</v>
      </c>
      <c r="M215">
        <v>3600.5984489299999</v>
      </c>
      <c r="N215">
        <v>755860</v>
      </c>
      <c r="O215">
        <v>8.7003748931259395E-2</v>
      </c>
      <c r="P215" s="5">
        <v>0.82092274219044303</v>
      </c>
      <c r="Q215">
        <v>1</v>
      </c>
      <c r="R215">
        <v>290.56438358100002</v>
      </c>
      <c r="S215">
        <v>8314</v>
      </c>
      <c r="T215">
        <v>5.3938220281749497E-3</v>
      </c>
      <c r="U215">
        <v>6055</v>
      </c>
      <c r="V215" s="5">
        <v>0.30639721234554301</v>
      </c>
      <c r="W215">
        <v>1</v>
      </c>
      <c r="X215">
        <v>2812.1790904630002</v>
      </c>
      <c r="Y215">
        <v>57723</v>
      </c>
      <c r="Z215">
        <v>1.0334819942765999E-2</v>
      </c>
      <c r="AA215">
        <v>20</v>
      </c>
    </row>
    <row r="216" spans="1:27" x14ac:dyDescent="0.2">
      <c r="A216">
        <v>10</v>
      </c>
      <c r="B216">
        <v>1</v>
      </c>
      <c r="C216">
        <v>0.2</v>
      </c>
      <c r="D216">
        <v>20</v>
      </c>
      <c r="E216">
        <v>0.58245270439597296</v>
      </c>
      <c r="F216">
        <v>1</v>
      </c>
      <c r="G216">
        <v>40.480713543999997</v>
      </c>
      <c r="H216">
        <v>0.47947697941012901</v>
      </c>
      <c r="I216">
        <v>1</v>
      </c>
      <c r="J216">
        <v>0.23544357799999999</v>
      </c>
      <c r="K216">
        <v>0.47322298226915999</v>
      </c>
      <c r="L216">
        <v>1</v>
      </c>
      <c r="M216">
        <v>3601.6203171339998</v>
      </c>
      <c r="N216">
        <v>529525</v>
      </c>
      <c r="O216">
        <v>7.92978645096971E-2</v>
      </c>
      <c r="P216" s="5">
        <v>1.06101295172887</v>
      </c>
      <c r="Q216">
        <v>1</v>
      </c>
      <c r="R216">
        <v>584.36070989100006</v>
      </c>
      <c r="S216">
        <v>11332</v>
      </c>
      <c r="T216">
        <v>1.7254501488019301E-3</v>
      </c>
      <c r="U216">
        <v>8331</v>
      </c>
      <c r="V216" s="5">
        <v>0.496874687089434</v>
      </c>
      <c r="W216">
        <v>1</v>
      </c>
      <c r="X216">
        <v>2707.9773364170001</v>
      </c>
      <c r="Y216">
        <v>60209</v>
      </c>
      <c r="Z216">
        <v>9.4435876304053094E-3</v>
      </c>
      <c r="AA216">
        <v>20</v>
      </c>
    </row>
    <row r="217" spans="1:27" x14ac:dyDescent="0.2">
      <c r="A217">
        <v>10</v>
      </c>
      <c r="B217">
        <v>1</v>
      </c>
      <c r="C217">
        <v>0.1</v>
      </c>
      <c r="D217">
        <v>20</v>
      </c>
      <c r="E217">
        <v>0.95294545091180405</v>
      </c>
      <c r="F217">
        <v>1</v>
      </c>
      <c r="G217">
        <v>31.772165794999999</v>
      </c>
      <c r="H217">
        <v>0.83632604287635504</v>
      </c>
      <c r="I217">
        <v>1</v>
      </c>
      <c r="J217">
        <v>0.112248028</v>
      </c>
      <c r="K217">
        <v>0.83617926930716402</v>
      </c>
      <c r="L217">
        <v>1</v>
      </c>
      <c r="M217">
        <v>3601.2008455270002</v>
      </c>
      <c r="N217">
        <v>658952</v>
      </c>
      <c r="O217">
        <v>2.1687770217454199E-2</v>
      </c>
      <c r="P217" s="5">
        <v>1.0454591067749699</v>
      </c>
      <c r="Q217">
        <v>1</v>
      </c>
      <c r="R217">
        <v>570.66945004399997</v>
      </c>
      <c r="S217">
        <v>14347</v>
      </c>
      <c r="T217">
        <v>2.1020342076030399E-4</v>
      </c>
      <c r="U217">
        <v>10689</v>
      </c>
      <c r="V217" s="5">
        <v>0.84639010797221503</v>
      </c>
      <c r="W217">
        <v>1</v>
      </c>
      <c r="X217">
        <v>2247.7949959839998</v>
      </c>
      <c r="Y217">
        <v>122577</v>
      </c>
      <c r="Z217">
        <v>3.2983886365052198E-3</v>
      </c>
      <c r="AA217">
        <v>20</v>
      </c>
    </row>
    <row r="218" spans="1:27" x14ac:dyDescent="0.2">
      <c r="A218">
        <v>10</v>
      </c>
      <c r="B218">
        <v>1</v>
      </c>
      <c r="C218">
        <v>0.4</v>
      </c>
      <c r="D218">
        <v>20</v>
      </c>
      <c r="E218">
        <v>0.21212694052230499</v>
      </c>
      <c r="F218">
        <v>1</v>
      </c>
      <c r="G218">
        <v>33.466102751999998</v>
      </c>
      <c r="H218">
        <v>0.177828419229449</v>
      </c>
      <c r="I218">
        <v>1</v>
      </c>
      <c r="J218">
        <v>0.110551128</v>
      </c>
      <c r="K218">
        <v>0.178116487935541</v>
      </c>
      <c r="L218">
        <v>1</v>
      </c>
      <c r="M218">
        <v>3600.6417856889998</v>
      </c>
      <c r="N218">
        <v>682438</v>
      </c>
      <c r="O218">
        <v>5.8314132818100703E-2</v>
      </c>
      <c r="P218" s="5">
        <v>0.35010831023865502</v>
      </c>
      <c r="Q218">
        <v>1</v>
      </c>
      <c r="R218">
        <v>620.14644827200004</v>
      </c>
      <c r="S218">
        <v>17386</v>
      </c>
      <c r="T218">
        <v>5.3340594443899098E-3</v>
      </c>
      <c r="U218">
        <v>10786</v>
      </c>
      <c r="V218" s="5">
        <v>0.184433302589919</v>
      </c>
      <c r="W218">
        <v>1</v>
      </c>
      <c r="X218">
        <v>2420.3292630649999</v>
      </c>
      <c r="Y218">
        <v>65137</v>
      </c>
      <c r="Z218">
        <v>2.65992705194528E-3</v>
      </c>
      <c r="AA218">
        <v>20</v>
      </c>
    </row>
    <row r="219" spans="1:27" x14ac:dyDescent="0.2">
      <c r="A219">
        <v>10</v>
      </c>
      <c r="B219">
        <v>1</v>
      </c>
      <c r="C219">
        <v>0.3</v>
      </c>
      <c r="D219">
        <v>20</v>
      </c>
      <c r="E219">
        <v>0.53701760874344295</v>
      </c>
      <c r="F219">
        <v>1</v>
      </c>
      <c r="G219">
        <v>39.340553849999999</v>
      </c>
      <c r="H219">
        <v>0.38070955241172799</v>
      </c>
      <c r="I219">
        <v>1</v>
      </c>
      <c r="J219">
        <v>7.5462346E-2</v>
      </c>
      <c r="K219">
        <v>0.40892097747462502</v>
      </c>
      <c r="L219">
        <v>1</v>
      </c>
      <c r="M219">
        <v>3601.9665164100002</v>
      </c>
      <c r="N219">
        <v>310829</v>
      </c>
      <c r="O219">
        <v>0.27662318574716899</v>
      </c>
      <c r="P219" s="5">
        <v>0.494722038405425</v>
      </c>
      <c r="Q219">
        <v>1</v>
      </c>
      <c r="R219">
        <v>2358.0523122479999</v>
      </c>
      <c r="S219">
        <v>22130</v>
      </c>
      <c r="T219">
        <v>1.8099385173671399E-2</v>
      </c>
      <c r="U219">
        <v>14717</v>
      </c>
      <c r="V219" s="5">
        <v>0.48265198479639898</v>
      </c>
      <c r="W219">
        <v>1</v>
      </c>
      <c r="X219">
        <v>2812.527688052</v>
      </c>
      <c r="Y219">
        <v>14896</v>
      </c>
      <c r="Z219">
        <v>0.137613235065671</v>
      </c>
      <c r="AA219">
        <v>20</v>
      </c>
    </row>
    <row r="220" spans="1:27" x14ac:dyDescent="0.2">
      <c r="A220">
        <v>10</v>
      </c>
      <c r="B220">
        <v>1</v>
      </c>
      <c r="C220">
        <v>0.2</v>
      </c>
      <c r="D220">
        <v>20</v>
      </c>
      <c r="E220">
        <v>0.72293613946843505</v>
      </c>
      <c r="F220">
        <v>1</v>
      </c>
      <c r="G220">
        <v>30.753241899999999</v>
      </c>
      <c r="H220">
        <v>0.55878995802048304</v>
      </c>
      <c r="I220">
        <v>1</v>
      </c>
      <c r="J220">
        <v>8.7403223000000002E-2</v>
      </c>
      <c r="K220">
        <v>0.48730144394267799</v>
      </c>
      <c r="L220">
        <v>1</v>
      </c>
      <c r="M220">
        <v>3600.4650891330002</v>
      </c>
      <c r="N220">
        <v>905422</v>
      </c>
      <c r="O220">
        <v>6.2707784613019901E-2</v>
      </c>
      <c r="P220" s="5">
        <v>0.45835239355698998</v>
      </c>
      <c r="Q220">
        <v>1</v>
      </c>
      <c r="R220">
        <v>960.44829681700003</v>
      </c>
      <c r="S220">
        <v>27349</v>
      </c>
      <c r="T220">
        <v>5.79613358658984E-4</v>
      </c>
      <c r="U220">
        <v>18626</v>
      </c>
      <c r="V220" s="5">
        <v>0.77963757134755896</v>
      </c>
      <c r="W220">
        <v>1</v>
      </c>
      <c r="X220">
        <v>2704.333248677</v>
      </c>
      <c r="Y220">
        <v>106490</v>
      </c>
      <c r="Z220">
        <v>2.91645985965299E-3</v>
      </c>
      <c r="AA220">
        <v>20</v>
      </c>
    </row>
    <row r="221" spans="1:27" x14ac:dyDescent="0.2">
      <c r="A221">
        <v>10</v>
      </c>
      <c r="B221">
        <v>1</v>
      </c>
      <c r="C221">
        <v>0.3</v>
      </c>
      <c r="D221">
        <v>20</v>
      </c>
      <c r="E221">
        <v>0.34721109264898897</v>
      </c>
      <c r="F221">
        <v>1</v>
      </c>
      <c r="G221">
        <v>31.742085575000001</v>
      </c>
      <c r="H221">
        <v>0.35446879620055299</v>
      </c>
      <c r="I221">
        <v>1</v>
      </c>
      <c r="J221">
        <v>4.1210236999999997E-2</v>
      </c>
      <c r="K221">
        <v>0.35155197395512899</v>
      </c>
      <c r="L221">
        <v>1</v>
      </c>
      <c r="M221">
        <v>3600.5094240120002</v>
      </c>
      <c r="N221">
        <v>659449</v>
      </c>
      <c r="O221">
        <v>4.4108162933898798E-2</v>
      </c>
      <c r="P221" s="5">
        <v>0.449142943815864</v>
      </c>
      <c r="Q221">
        <v>1</v>
      </c>
      <c r="R221">
        <v>861.428569315</v>
      </c>
      <c r="S221">
        <v>19962</v>
      </c>
      <c r="T221">
        <v>3.3159716153304802E-3</v>
      </c>
      <c r="U221">
        <v>13536</v>
      </c>
      <c r="V221" s="5">
        <v>0.29495791392757698</v>
      </c>
      <c r="W221">
        <v>1</v>
      </c>
      <c r="X221">
        <v>2804.6358321339999</v>
      </c>
      <c r="Y221">
        <v>35085</v>
      </c>
      <c r="Z221">
        <v>2.5855400445819E-2</v>
      </c>
      <c r="AA221">
        <v>20</v>
      </c>
    </row>
    <row r="222" spans="1:27" x14ac:dyDescent="0.2">
      <c r="A222">
        <v>10</v>
      </c>
      <c r="B222">
        <v>1</v>
      </c>
      <c r="C222">
        <v>0.3</v>
      </c>
      <c r="D222">
        <v>20</v>
      </c>
      <c r="E222">
        <v>0.295098160107929</v>
      </c>
      <c r="F222">
        <v>1</v>
      </c>
      <c r="G222">
        <v>31.485058658</v>
      </c>
      <c r="H222">
        <v>0.281576377248202</v>
      </c>
      <c r="I222">
        <v>1</v>
      </c>
      <c r="J222">
        <v>0.19108017699999999</v>
      </c>
      <c r="K222">
        <v>0.28415128089627101</v>
      </c>
      <c r="L222">
        <v>1</v>
      </c>
      <c r="M222">
        <v>3600.3990407589999</v>
      </c>
      <c r="N222">
        <v>838741</v>
      </c>
      <c r="O222">
        <v>0.10190124448973099</v>
      </c>
      <c r="P222" s="5">
        <v>0.39945569597031</v>
      </c>
      <c r="Q222">
        <v>1</v>
      </c>
      <c r="R222">
        <v>450.50814009499999</v>
      </c>
      <c r="S222">
        <v>10979</v>
      </c>
      <c r="T222">
        <v>8.8354936991979997E-3</v>
      </c>
      <c r="U222">
        <v>7770</v>
      </c>
      <c r="V222" s="5">
        <v>0.341780574976077</v>
      </c>
      <c r="W222">
        <v>1</v>
      </c>
      <c r="X222">
        <v>2284.1770209810002</v>
      </c>
      <c r="Y222">
        <v>99809</v>
      </c>
      <c r="Z222">
        <v>4.4403311313856398E-3</v>
      </c>
      <c r="AA222">
        <v>20</v>
      </c>
    </row>
    <row r="223" spans="1:27" x14ac:dyDescent="0.2">
      <c r="A223">
        <v>10</v>
      </c>
      <c r="B223">
        <v>1</v>
      </c>
      <c r="C223">
        <v>0.2</v>
      </c>
      <c r="D223">
        <v>20</v>
      </c>
      <c r="E223">
        <v>0.60966374951122004</v>
      </c>
      <c r="F223">
        <v>1</v>
      </c>
      <c r="G223">
        <v>42.221428056999997</v>
      </c>
      <c r="H223">
        <v>0.49282773977271199</v>
      </c>
      <c r="I223">
        <v>1</v>
      </c>
      <c r="J223">
        <v>0.24393801000000001</v>
      </c>
      <c r="K223">
        <v>0.49165725008516098</v>
      </c>
      <c r="L223">
        <v>1</v>
      </c>
      <c r="M223">
        <v>3600.8303959619998</v>
      </c>
      <c r="N223">
        <v>565499</v>
      </c>
      <c r="O223">
        <v>7.8060852962226798E-2</v>
      </c>
      <c r="P223" s="5">
        <v>0.62385144533678805</v>
      </c>
      <c r="Q223">
        <v>1</v>
      </c>
      <c r="R223">
        <v>1307.09473063</v>
      </c>
      <c r="S223">
        <v>28616</v>
      </c>
      <c r="T223">
        <v>1.67347584673246E-3</v>
      </c>
      <c r="U223">
        <v>19154</v>
      </c>
      <c r="V223" s="5">
        <v>0.449080465722142</v>
      </c>
      <c r="W223">
        <v>1</v>
      </c>
      <c r="X223">
        <v>2852.754749228</v>
      </c>
      <c r="Y223">
        <v>124539</v>
      </c>
      <c r="Z223">
        <v>4.5555623387997703E-3</v>
      </c>
      <c r="AA223">
        <v>20</v>
      </c>
    </row>
    <row r="224" spans="1:27" x14ac:dyDescent="0.2">
      <c r="A224">
        <v>10</v>
      </c>
      <c r="B224">
        <v>1</v>
      </c>
      <c r="C224">
        <v>0.4</v>
      </c>
      <c r="D224">
        <v>100</v>
      </c>
      <c r="E224">
        <v>0.108837860055448</v>
      </c>
      <c r="F224">
        <v>1</v>
      </c>
      <c r="G224">
        <v>30.875135045</v>
      </c>
      <c r="H224">
        <v>2.1816899237899898E-2</v>
      </c>
      <c r="I224">
        <v>1</v>
      </c>
      <c r="J224">
        <v>8.6486836999999997E-2</v>
      </c>
      <c r="K224">
        <v>2.1275634662997599E-2</v>
      </c>
      <c r="L224">
        <v>1</v>
      </c>
      <c r="M224">
        <v>1838.1415653019999</v>
      </c>
      <c r="N224">
        <v>374766</v>
      </c>
      <c r="O224">
        <v>1.2814722364886599E-3</v>
      </c>
      <c r="P224" s="5">
        <v>0.119328251328862</v>
      </c>
      <c r="Q224">
        <v>1</v>
      </c>
      <c r="R224">
        <v>190.43484216100001</v>
      </c>
      <c r="S224">
        <v>3597</v>
      </c>
      <c r="T224">
        <v>1.03606756177127E-3</v>
      </c>
      <c r="U224">
        <v>2390</v>
      </c>
      <c r="V224" s="5">
        <v>2.8391000458647599E-2</v>
      </c>
      <c r="W224">
        <v>1</v>
      </c>
      <c r="X224">
        <v>22.894184585000001</v>
      </c>
      <c r="Y224">
        <v>1</v>
      </c>
      <c r="Z224">
        <v>1.8883931897068201E-3</v>
      </c>
      <c r="AA224">
        <v>6</v>
      </c>
    </row>
    <row r="225" spans="1:27" x14ac:dyDescent="0.2">
      <c r="A225">
        <v>10</v>
      </c>
      <c r="B225">
        <v>1</v>
      </c>
      <c r="C225">
        <v>0.4</v>
      </c>
      <c r="D225">
        <v>100</v>
      </c>
      <c r="E225">
        <v>7.7715912035284995E-2</v>
      </c>
      <c r="F225">
        <v>1</v>
      </c>
      <c r="G225">
        <v>32.880638064999999</v>
      </c>
      <c r="H225">
        <v>5.5445977944736102E-2</v>
      </c>
      <c r="I225">
        <v>1</v>
      </c>
      <c r="J225">
        <v>0.11316667399999999</v>
      </c>
      <c r="K225">
        <v>6.4791130287334395E-2</v>
      </c>
      <c r="L225">
        <v>1</v>
      </c>
      <c r="M225">
        <v>123.675220301</v>
      </c>
      <c r="N225">
        <v>74592</v>
      </c>
      <c r="O225">
        <v>3.9551186109107999E-3</v>
      </c>
      <c r="P225" s="5">
        <v>0.143824267613959</v>
      </c>
      <c r="Q225">
        <v>1</v>
      </c>
      <c r="R225">
        <v>260.42411418500001</v>
      </c>
      <c r="S225">
        <v>7701</v>
      </c>
      <c r="T225">
        <v>3.3991804455933399E-3</v>
      </c>
      <c r="U225">
        <v>5217</v>
      </c>
      <c r="V225" s="5">
        <v>7.4737743536739107E-2</v>
      </c>
      <c r="W225">
        <v>1</v>
      </c>
      <c r="X225">
        <v>524.82581503699998</v>
      </c>
      <c r="Y225">
        <v>36790</v>
      </c>
      <c r="Z225">
        <v>1.8269523744676101E-3</v>
      </c>
      <c r="AA225">
        <v>20</v>
      </c>
    </row>
    <row r="226" spans="1:27" x14ac:dyDescent="0.2">
      <c r="A226">
        <v>10</v>
      </c>
      <c r="B226">
        <v>1</v>
      </c>
      <c r="C226">
        <v>0.4</v>
      </c>
      <c r="D226">
        <v>100</v>
      </c>
      <c r="E226">
        <v>0.30051341481703597</v>
      </c>
      <c r="F226">
        <v>1</v>
      </c>
      <c r="G226">
        <v>33.290375466999997</v>
      </c>
      <c r="H226">
        <v>0.148501510498983</v>
      </c>
      <c r="I226">
        <v>1</v>
      </c>
      <c r="J226">
        <v>5.3040077999999997E-2</v>
      </c>
      <c r="K226">
        <v>0.19283685787194901</v>
      </c>
      <c r="L226">
        <v>1</v>
      </c>
      <c r="M226">
        <v>682.94909762199995</v>
      </c>
      <c r="N226">
        <v>422310</v>
      </c>
      <c r="O226">
        <v>6.8331111311437098E-3</v>
      </c>
      <c r="P226" s="5">
        <v>0.21994207740459301</v>
      </c>
      <c r="Q226">
        <v>1</v>
      </c>
      <c r="R226">
        <v>91.20971394</v>
      </c>
      <c r="S226">
        <v>1630</v>
      </c>
      <c r="T226">
        <v>5.9623779516418899E-3</v>
      </c>
      <c r="U226">
        <v>1330</v>
      </c>
      <c r="V226" s="5">
        <v>0.220244755090269</v>
      </c>
      <c r="W226">
        <v>1</v>
      </c>
      <c r="X226">
        <v>375.05897369100001</v>
      </c>
      <c r="Y226">
        <v>25277</v>
      </c>
      <c r="Z226">
        <v>2.7623094098407899E-3</v>
      </c>
      <c r="AA226">
        <v>20</v>
      </c>
    </row>
    <row r="227" spans="1:27" x14ac:dyDescent="0.2">
      <c r="A227">
        <v>10</v>
      </c>
      <c r="B227">
        <v>1</v>
      </c>
      <c r="C227">
        <v>0.1</v>
      </c>
      <c r="D227">
        <v>100</v>
      </c>
      <c r="E227">
        <v>0.98661176615718205</v>
      </c>
      <c r="F227">
        <v>1</v>
      </c>
      <c r="G227">
        <v>30.452848640999999</v>
      </c>
      <c r="H227">
        <v>0.98661176617108604</v>
      </c>
      <c r="I227">
        <v>1</v>
      </c>
      <c r="J227">
        <v>3.4429346999999999E-2</v>
      </c>
      <c r="K227">
        <v>1.0909550018415199</v>
      </c>
      <c r="L227">
        <v>1</v>
      </c>
      <c r="M227">
        <v>3600.4903669760001</v>
      </c>
      <c r="N227">
        <v>688682</v>
      </c>
      <c r="O227">
        <v>1.08216521216153E-2</v>
      </c>
      <c r="P227" s="5">
        <v>1.0565378739529001</v>
      </c>
      <c r="Q227">
        <v>1</v>
      </c>
      <c r="R227">
        <v>127.35559698500001</v>
      </c>
      <c r="S227">
        <v>2557</v>
      </c>
      <c r="T227" s="1">
        <v>2.4678120376323599E-6</v>
      </c>
      <c r="U227">
        <v>2561</v>
      </c>
      <c r="V227" s="5">
        <v>1.05766047355885</v>
      </c>
      <c r="W227">
        <v>1</v>
      </c>
      <c r="X227">
        <v>6.0062871790000001</v>
      </c>
      <c r="Y227">
        <v>1420</v>
      </c>
      <c r="Z227" s="1">
        <v>4.3023407491141197E-8</v>
      </c>
      <c r="AA227">
        <v>1</v>
      </c>
    </row>
    <row r="228" spans="1:27" x14ac:dyDescent="0.2">
      <c r="A228">
        <v>10</v>
      </c>
      <c r="B228">
        <v>1</v>
      </c>
      <c r="C228">
        <v>0.1</v>
      </c>
      <c r="D228">
        <v>100</v>
      </c>
      <c r="E228">
        <v>0.98031951168060505</v>
      </c>
      <c r="F228">
        <v>1</v>
      </c>
      <c r="G228">
        <v>31.647788855999998</v>
      </c>
      <c r="H228">
        <v>0.98031951168065501</v>
      </c>
      <c r="I228">
        <v>1</v>
      </c>
      <c r="J228">
        <v>4.8574627000000002E-2</v>
      </c>
      <c r="K228">
        <v>0.86300420553066404</v>
      </c>
      <c r="L228">
        <v>1</v>
      </c>
      <c r="M228">
        <v>3601.3044463430001</v>
      </c>
      <c r="N228">
        <v>598830</v>
      </c>
      <c r="O228">
        <v>7.2110351068879197E-3</v>
      </c>
      <c r="P228" s="5">
        <v>0.99840478014095502</v>
      </c>
      <c r="Q228">
        <v>1</v>
      </c>
      <c r="R228">
        <v>172.86526144000001</v>
      </c>
      <c r="S228">
        <v>2847</v>
      </c>
      <c r="T228" s="1">
        <v>6.4306435015870602E-7</v>
      </c>
      <c r="U228">
        <v>2816</v>
      </c>
      <c r="V228" s="5">
        <v>1.1439523915440999</v>
      </c>
      <c r="W228">
        <v>1</v>
      </c>
      <c r="X228">
        <v>7.7141530039999999</v>
      </c>
      <c r="Y228">
        <v>3010</v>
      </c>
      <c r="Z228" s="1">
        <v>8.6325969910622194E-8</v>
      </c>
      <c r="AA228">
        <v>1</v>
      </c>
    </row>
    <row r="229" spans="1:27" x14ac:dyDescent="0.2">
      <c r="A229">
        <v>10</v>
      </c>
      <c r="B229">
        <v>1</v>
      </c>
      <c r="C229">
        <v>0.4</v>
      </c>
      <c r="D229">
        <v>100</v>
      </c>
      <c r="E229">
        <v>0.133629942533909</v>
      </c>
      <c r="F229">
        <v>1</v>
      </c>
      <c r="G229">
        <v>32.941626745000001</v>
      </c>
      <c r="H229">
        <v>7.3190270147483097E-2</v>
      </c>
      <c r="I229">
        <v>1</v>
      </c>
      <c r="J229">
        <v>0.1010708</v>
      </c>
      <c r="K229">
        <v>7.3054973372346801E-2</v>
      </c>
      <c r="L229">
        <v>1</v>
      </c>
      <c r="M229">
        <v>794.27583991100005</v>
      </c>
      <c r="N229">
        <v>370155</v>
      </c>
      <c r="O229">
        <v>1.51684704716714E-3</v>
      </c>
      <c r="P229" s="5">
        <v>0.19083791254875301</v>
      </c>
      <c r="Q229">
        <v>1</v>
      </c>
      <c r="R229">
        <v>218.62033098800001</v>
      </c>
      <c r="S229">
        <v>6398</v>
      </c>
      <c r="T229">
        <v>1.3595682034046E-3</v>
      </c>
      <c r="U229">
        <v>3987</v>
      </c>
      <c r="V229" s="5">
        <v>5.0914700486913697E-2</v>
      </c>
      <c r="W229">
        <v>1</v>
      </c>
      <c r="X229">
        <v>835.504408904</v>
      </c>
      <c r="Y229">
        <v>43755</v>
      </c>
      <c r="Z229">
        <v>7.5338392994780902E-4</v>
      </c>
      <c r="AA229">
        <v>20</v>
      </c>
    </row>
    <row r="230" spans="1:27" x14ac:dyDescent="0.2">
      <c r="A230">
        <v>10</v>
      </c>
      <c r="B230">
        <v>1</v>
      </c>
      <c r="C230">
        <v>0.2</v>
      </c>
      <c r="D230">
        <v>100</v>
      </c>
      <c r="E230">
        <v>0.51461600993496903</v>
      </c>
      <c r="F230">
        <v>1</v>
      </c>
      <c r="G230">
        <v>31.840487373999999</v>
      </c>
      <c r="H230">
        <v>0.43574884483067899</v>
      </c>
      <c r="I230">
        <v>1</v>
      </c>
      <c r="J230">
        <v>0.111228045</v>
      </c>
      <c r="K230">
        <v>0.43489960430609798</v>
      </c>
      <c r="L230">
        <v>1</v>
      </c>
      <c r="M230">
        <v>3600.790561022</v>
      </c>
      <c r="N230">
        <v>562677</v>
      </c>
      <c r="O230">
        <v>1.2477094863472199E-2</v>
      </c>
      <c r="P230" s="5">
        <v>0.65733599214395999</v>
      </c>
      <c r="Q230">
        <v>1</v>
      </c>
      <c r="R230">
        <v>413.23652461400002</v>
      </c>
      <c r="S230">
        <v>9937</v>
      </c>
      <c r="T230">
        <v>2.5631930855999399E-4</v>
      </c>
      <c r="U230">
        <v>6966</v>
      </c>
      <c r="V230" s="5">
        <v>0.65305789426394201</v>
      </c>
      <c r="W230">
        <v>1</v>
      </c>
      <c r="X230">
        <v>18.122992175</v>
      </c>
      <c r="Y230">
        <v>1</v>
      </c>
      <c r="Z230">
        <v>8.7405506269995102E-4</v>
      </c>
      <c r="AA230">
        <v>3</v>
      </c>
    </row>
    <row r="231" spans="1:27" x14ac:dyDescent="0.2">
      <c r="A231">
        <v>10</v>
      </c>
      <c r="B231">
        <v>1</v>
      </c>
      <c r="C231">
        <v>0.3</v>
      </c>
      <c r="D231">
        <v>100</v>
      </c>
      <c r="E231">
        <v>8.7103058013456303E-2</v>
      </c>
      <c r="F231">
        <v>1</v>
      </c>
      <c r="G231">
        <v>30.509198780999998</v>
      </c>
      <c r="H231">
        <v>5.3472854689503399E-2</v>
      </c>
      <c r="I231">
        <v>1</v>
      </c>
      <c r="J231">
        <v>6.8443696999999998E-2</v>
      </c>
      <c r="K231">
        <v>4.3413449406107599E-2</v>
      </c>
      <c r="L231">
        <v>1</v>
      </c>
      <c r="M231">
        <v>3600.5733067330002</v>
      </c>
      <c r="N231">
        <v>547610</v>
      </c>
      <c r="O231">
        <v>1.09956051621455E-2</v>
      </c>
      <c r="P231" s="5">
        <v>0.27008655795626602</v>
      </c>
      <c r="Q231">
        <v>1</v>
      </c>
      <c r="R231">
        <v>411.87246857999997</v>
      </c>
      <c r="S231">
        <v>7182</v>
      </c>
      <c r="T231">
        <v>1.6336596707577499E-4</v>
      </c>
      <c r="U231">
        <v>4755</v>
      </c>
      <c r="V231" s="5">
        <v>0.121445994675031</v>
      </c>
      <c r="W231">
        <v>1</v>
      </c>
      <c r="X231">
        <v>41.321362831000002</v>
      </c>
      <c r="Y231">
        <v>20090</v>
      </c>
      <c r="Z231">
        <v>1.67048821173215E-4</v>
      </c>
      <c r="AA231">
        <v>1</v>
      </c>
    </row>
    <row r="232" spans="1:27" x14ac:dyDescent="0.2">
      <c r="A232">
        <v>10</v>
      </c>
      <c r="B232">
        <v>1</v>
      </c>
      <c r="C232">
        <v>0.4</v>
      </c>
      <c r="D232">
        <v>100</v>
      </c>
      <c r="E232">
        <v>0.128538893765717</v>
      </c>
      <c r="F232">
        <v>1</v>
      </c>
      <c r="G232">
        <v>31.289520900999999</v>
      </c>
      <c r="H232">
        <v>5.5695296840573297E-2</v>
      </c>
      <c r="I232">
        <v>1</v>
      </c>
      <c r="J232">
        <v>0.20015592600000001</v>
      </c>
      <c r="K232">
        <v>5.5552298559928402E-2</v>
      </c>
      <c r="L232">
        <v>1</v>
      </c>
      <c r="M232">
        <v>1322.925434795</v>
      </c>
      <c r="N232">
        <v>428897</v>
      </c>
      <c r="O232">
        <v>2.0733904070873101E-3</v>
      </c>
      <c r="P232" s="5">
        <v>0.146158069979933</v>
      </c>
      <c r="Q232">
        <v>1</v>
      </c>
      <c r="R232">
        <v>293.37182575200001</v>
      </c>
      <c r="S232">
        <v>6049</v>
      </c>
      <c r="T232">
        <v>1.3620456989965799E-3</v>
      </c>
      <c r="U232">
        <v>4224</v>
      </c>
      <c r="V232" s="5">
        <v>4.9921933920120898E-2</v>
      </c>
      <c r="W232">
        <v>1</v>
      </c>
      <c r="X232">
        <v>393.07349572200002</v>
      </c>
      <c r="Y232">
        <v>27370</v>
      </c>
      <c r="Z232">
        <v>1.0823047069960501E-3</v>
      </c>
      <c r="AA232">
        <v>19</v>
      </c>
    </row>
    <row r="233" spans="1:27" x14ac:dyDescent="0.2">
      <c r="A233">
        <v>10</v>
      </c>
      <c r="B233">
        <v>1</v>
      </c>
      <c r="C233">
        <v>0.2</v>
      </c>
      <c r="D233">
        <v>100</v>
      </c>
      <c r="E233">
        <v>0.26243498324450798</v>
      </c>
      <c r="F233">
        <v>1</v>
      </c>
      <c r="G233">
        <v>32.939165578000001</v>
      </c>
      <c r="H233">
        <v>0.227969869002555</v>
      </c>
      <c r="I233">
        <v>1</v>
      </c>
      <c r="J233">
        <v>0.318707236</v>
      </c>
      <c r="K233">
        <v>0.27990043741135501</v>
      </c>
      <c r="L233">
        <v>1</v>
      </c>
      <c r="M233">
        <v>592.18263844499995</v>
      </c>
      <c r="N233">
        <v>268007</v>
      </c>
      <c r="O233">
        <v>2.4003686686242501E-3</v>
      </c>
      <c r="P233" s="5">
        <v>0.21254104017394801</v>
      </c>
      <c r="Q233">
        <v>1</v>
      </c>
      <c r="R233">
        <v>228.04522979699999</v>
      </c>
      <c r="S233">
        <v>2968</v>
      </c>
      <c r="T233">
        <v>1.2877226134795599E-3</v>
      </c>
      <c r="U233">
        <v>2330</v>
      </c>
      <c r="V233" s="5">
        <v>0.21216616170219399</v>
      </c>
      <c r="W233">
        <v>1</v>
      </c>
      <c r="X233">
        <v>57.230263387000001</v>
      </c>
      <c r="Y233">
        <v>1</v>
      </c>
      <c r="Z233">
        <v>1.3054557500018699E-3</v>
      </c>
      <c r="AA233">
        <v>10</v>
      </c>
    </row>
    <row r="234" spans="1:27" x14ac:dyDescent="0.2">
      <c r="A234">
        <v>10</v>
      </c>
      <c r="B234">
        <v>1</v>
      </c>
      <c r="C234">
        <v>0.4</v>
      </c>
      <c r="D234">
        <v>100</v>
      </c>
      <c r="E234">
        <v>0.13346141470634601</v>
      </c>
      <c r="F234">
        <v>1</v>
      </c>
      <c r="G234">
        <v>32.498329529999999</v>
      </c>
      <c r="H234">
        <v>3.8411140953838803E-2</v>
      </c>
      <c r="I234">
        <v>1</v>
      </c>
      <c r="J234">
        <v>0.111493307</v>
      </c>
      <c r="K234">
        <v>3.8444917786426301E-2</v>
      </c>
      <c r="L234">
        <v>1</v>
      </c>
      <c r="M234">
        <v>1234.8605284600001</v>
      </c>
      <c r="N234">
        <v>509728</v>
      </c>
      <c r="O234">
        <v>1.7775792785279501E-3</v>
      </c>
      <c r="P234" s="5">
        <v>0.354008721561962</v>
      </c>
      <c r="Q234">
        <v>1</v>
      </c>
      <c r="R234">
        <v>198.51243115299999</v>
      </c>
      <c r="S234">
        <v>4144</v>
      </c>
      <c r="T234">
        <v>1.0634547663434201E-3</v>
      </c>
      <c r="U234">
        <v>3177</v>
      </c>
      <c r="V234" s="5">
        <v>0.143051171844156</v>
      </c>
      <c r="W234">
        <v>1</v>
      </c>
      <c r="X234">
        <v>1073.5047100669999</v>
      </c>
      <c r="Y234">
        <v>90818</v>
      </c>
      <c r="Z234">
        <v>8.7051124305106899E-4</v>
      </c>
      <c r="AA234">
        <v>20</v>
      </c>
    </row>
    <row r="235" spans="1:27" x14ac:dyDescent="0.2">
      <c r="A235">
        <v>10</v>
      </c>
      <c r="B235">
        <v>1</v>
      </c>
      <c r="C235">
        <v>0.4</v>
      </c>
      <c r="D235">
        <v>100</v>
      </c>
      <c r="E235">
        <v>0.10747348983015</v>
      </c>
      <c r="F235">
        <v>1</v>
      </c>
      <c r="G235">
        <v>31.610463758000002</v>
      </c>
      <c r="H235">
        <v>6.8558343626326401E-2</v>
      </c>
      <c r="I235">
        <v>1</v>
      </c>
      <c r="J235">
        <v>9.5115482000000001E-2</v>
      </c>
      <c r="K235">
        <v>6.6921499201137602E-2</v>
      </c>
      <c r="L235">
        <v>1</v>
      </c>
      <c r="M235">
        <v>3600.5126705470002</v>
      </c>
      <c r="N235">
        <v>753384</v>
      </c>
      <c r="O235">
        <v>3.81318492209636E-3</v>
      </c>
      <c r="P235" s="5">
        <v>0.21132185173757601</v>
      </c>
      <c r="Q235">
        <v>1</v>
      </c>
      <c r="R235">
        <v>234.48204419000001</v>
      </c>
      <c r="S235">
        <v>5692</v>
      </c>
      <c r="T235">
        <v>8.2572011777187705E-4</v>
      </c>
      <c r="U235">
        <v>3766</v>
      </c>
      <c r="V235" s="5">
        <v>0.10926018353754401</v>
      </c>
      <c r="W235">
        <v>1</v>
      </c>
      <c r="X235">
        <v>2701.268935137</v>
      </c>
      <c r="Y235">
        <v>89771</v>
      </c>
      <c r="Z235">
        <v>1.7174321819359E-3</v>
      </c>
      <c r="AA235">
        <v>20</v>
      </c>
    </row>
    <row r="236" spans="1:27" x14ac:dyDescent="0.2">
      <c r="A236">
        <v>10</v>
      </c>
      <c r="B236">
        <v>1</v>
      </c>
      <c r="C236">
        <v>0.2</v>
      </c>
      <c r="D236">
        <v>100</v>
      </c>
      <c r="E236">
        <v>0.42270746432700601</v>
      </c>
      <c r="F236">
        <v>1</v>
      </c>
      <c r="G236">
        <v>32.889403148</v>
      </c>
      <c r="H236">
        <v>0.29292181278826801</v>
      </c>
      <c r="I236">
        <v>1</v>
      </c>
      <c r="J236">
        <v>9.9851038000000003E-2</v>
      </c>
      <c r="K236">
        <v>0.30027403275731002</v>
      </c>
      <c r="L236">
        <v>1</v>
      </c>
      <c r="M236">
        <v>3600.9490417470001</v>
      </c>
      <c r="N236">
        <v>1196840</v>
      </c>
      <c r="O236">
        <v>2.5678233810140201E-3</v>
      </c>
      <c r="P236" s="5">
        <v>0.41476346496268501</v>
      </c>
      <c r="Q236">
        <v>1</v>
      </c>
      <c r="R236">
        <v>93.569728307000005</v>
      </c>
      <c r="S236">
        <v>1959</v>
      </c>
      <c r="T236">
        <v>3.3622687624602899E-4</v>
      </c>
      <c r="U236">
        <v>1592</v>
      </c>
      <c r="V236" s="5">
        <v>0.469255720417112</v>
      </c>
      <c r="W236">
        <v>1</v>
      </c>
      <c r="X236">
        <v>17.914892904999999</v>
      </c>
      <c r="Y236">
        <v>1</v>
      </c>
      <c r="Z236">
        <v>5.7177965221648299E-4</v>
      </c>
      <c r="AA236">
        <v>6</v>
      </c>
    </row>
    <row r="237" spans="1:27" x14ac:dyDescent="0.2">
      <c r="A237">
        <v>10</v>
      </c>
      <c r="B237">
        <v>1</v>
      </c>
      <c r="C237">
        <v>0.1</v>
      </c>
      <c r="D237">
        <v>100</v>
      </c>
      <c r="E237">
        <v>0.66380744170045702</v>
      </c>
      <c r="F237">
        <v>1</v>
      </c>
      <c r="G237">
        <v>32.607232504999999</v>
      </c>
      <c r="H237">
        <v>0.66406082690851098</v>
      </c>
      <c r="I237">
        <v>1</v>
      </c>
      <c r="J237">
        <v>4.0776589000000002E-2</v>
      </c>
      <c r="K237">
        <v>0.67274855936960398</v>
      </c>
      <c r="L237">
        <v>1</v>
      </c>
      <c r="M237">
        <v>3600.5032421350002</v>
      </c>
      <c r="N237">
        <v>961909</v>
      </c>
      <c r="O237">
        <v>1.9146348221815699E-3</v>
      </c>
      <c r="P237" s="5">
        <v>0.70657065793224705</v>
      </c>
      <c r="Q237">
        <v>1</v>
      </c>
      <c r="R237">
        <v>123.160401546</v>
      </c>
      <c r="S237">
        <v>2847</v>
      </c>
      <c r="T237" s="1">
        <v>1.0171625355639799E-5</v>
      </c>
      <c r="U237">
        <v>2489</v>
      </c>
      <c r="V237" s="5">
        <v>0.726342063212435</v>
      </c>
      <c r="W237">
        <v>1</v>
      </c>
      <c r="X237">
        <v>8.2398135789999998</v>
      </c>
      <c r="Y237">
        <v>6860</v>
      </c>
      <c r="Z237" s="1">
        <v>2.26571526695828E-5</v>
      </c>
      <c r="AA237">
        <v>1</v>
      </c>
    </row>
    <row r="238" spans="1:27" x14ac:dyDescent="0.2">
      <c r="A238">
        <v>10</v>
      </c>
      <c r="B238">
        <v>1</v>
      </c>
      <c r="C238">
        <v>0.3</v>
      </c>
      <c r="D238">
        <v>100</v>
      </c>
      <c r="E238">
        <v>0.34868984340118597</v>
      </c>
      <c r="F238">
        <v>1</v>
      </c>
      <c r="G238">
        <v>34.680598308</v>
      </c>
      <c r="H238">
        <v>0.181258920428569</v>
      </c>
      <c r="I238">
        <v>1</v>
      </c>
      <c r="J238">
        <v>0.14317147999999999</v>
      </c>
      <c r="K238">
        <v>0.167461653678908</v>
      </c>
      <c r="L238">
        <v>1</v>
      </c>
      <c r="M238">
        <v>3600.55240654</v>
      </c>
      <c r="N238">
        <v>558071</v>
      </c>
      <c r="O238">
        <v>1.10319818336068E-2</v>
      </c>
      <c r="P238" s="5">
        <v>0.58994885787678297</v>
      </c>
      <c r="Q238">
        <v>1</v>
      </c>
      <c r="R238">
        <v>134.21352753299999</v>
      </c>
      <c r="S238">
        <v>3193</v>
      </c>
      <c r="T238">
        <v>2.0379489483068799E-4</v>
      </c>
      <c r="U238">
        <v>2524</v>
      </c>
      <c r="V238" s="5">
        <v>0.23262000754404799</v>
      </c>
      <c r="W238">
        <v>1</v>
      </c>
      <c r="X238">
        <v>12.541567161</v>
      </c>
      <c r="Y238">
        <v>2173</v>
      </c>
      <c r="Z238">
        <v>2.9653573274854202E-4</v>
      </c>
      <c r="AA238">
        <v>1</v>
      </c>
    </row>
    <row r="239" spans="1:27" x14ac:dyDescent="0.2">
      <c r="A239">
        <v>10</v>
      </c>
      <c r="B239">
        <v>1</v>
      </c>
      <c r="C239">
        <v>0.3</v>
      </c>
      <c r="D239">
        <v>100</v>
      </c>
      <c r="E239">
        <v>0.33658172860345198</v>
      </c>
      <c r="F239">
        <v>1</v>
      </c>
      <c r="G239">
        <v>33.221827226999999</v>
      </c>
      <c r="H239">
        <v>0.15731044263505001</v>
      </c>
      <c r="I239">
        <v>1</v>
      </c>
      <c r="J239">
        <v>0.26335844600000002</v>
      </c>
      <c r="K239">
        <v>0.15307126788641501</v>
      </c>
      <c r="L239">
        <v>1</v>
      </c>
      <c r="M239">
        <v>3600.9053860049999</v>
      </c>
      <c r="N239">
        <v>798948</v>
      </c>
      <c r="O239">
        <v>2.2808039186514801E-3</v>
      </c>
      <c r="P239" s="5">
        <v>0.231445450037955</v>
      </c>
      <c r="Q239">
        <v>1</v>
      </c>
      <c r="R239">
        <v>146.97128998599999</v>
      </c>
      <c r="S239">
        <v>3082</v>
      </c>
      <c r="T239">
        <v>3.4512657424576299E-4</v>
      </c>
      <c r="U239">
        <v>2342</v>
      </c>
      <c r="V239" s="5">
        <v>0.16710307391687601</v>
      </c>
      <c r="W239">
        <v>1</v>
      </c>
      <c r="X239">
        <v>11.134805997000001</v>
      </c>
      <c r="Y239">
        <v>2266</v>
      </c>
      <c r="Z239">
        <v>4.1117854676497802E-4</v>
      </c>
      <c r="AA239">
        <v>1</v>
      </c>
    </row>
    <row r="240" spans="1:27" x14ac:dyDescent="0.2">
      <c r="A240">
        <v>10</v>
      </c>
      <c r="B240">
        <v>1</v>
      </c>
      <c r="C240">
        <v>0.1</v>
      </c>
      <c r="D240">
        <v>100</v>
      </c>
      <c r="E240">
        <v>0.97997698166763902</v>
      </c>
      <c r="F240">
        <v>1</v>
      </c>
      <c r="G240">
        <v>32.552357604000001</v>
      </c>
      <c r="H240">
        <v>0.97993306211551501</v>
      </c>
      <c r="I240">
        <v>1</v>
      </c>
      <c r="J240">
        <v>7.0955264000000004E-2</v>
      </c>
      <c r="K240">
        <v>0.92381739860183099</v>
      </c>
      <c r="L240">
        <v>1</v>
      </c>
      <c r="M240">
        <v>3600.5538694520001</v>
      </c>
      <c r="N240">
        <v>625794</v>
      </c>
      <c r="O240">
        <v>5.4841256108790698E-3</v>
      </c>
      <c r="P240" s="5">
        <v>1.06522029011506</v>
      </c>
      <c r="Q240">
        <v>1</v>
      </c>
      <c r="R240">
        <v>154.14410274400001</v>
      </c>
      <c r="S240">
        <v>2899</v>
      </c>
      <c r="T240" s="1">
        <v>5.7261540397854301E-6</v>
      </c>
      <c r="U240">
        <v>2804</v>
      </c>
      <c r="V240" s="5">
        <v>1.0665901860427101</v>
      </c>
      <c r="W240">
        <v>1</v>
      </c>
      <c r="X240">
        <v>8.8771330810000002</v>
      </c>
      <c r="Y240">
        <v>2651</v>
      </c>
      <c r="Z240" s="1">
        <v>1.7694786001104799E-5</v>
      </c>
      <c r="AA240">
        <v>1</v>
      </c>
    </row>
    <row r="241" spans="1:27" x14ac:dyDescent="0.2">
      <c r="A241">
        <v>10</v>
      </c>
      <c r="B241">
        <v>1</v>
      </c>
      <c r="C241">
        <v>0.3</v>
      </c>
      <c r="D241">
        <v>100</v>
      </c>
      <c r="E241">
        <v>0.84820124521378404</v>
      </c>
      <c r="F241">
        <v>1</v>
      </c>
      <c r="G241">
        <v>32.924088949000001</v>
      </c>
      <c r="H241">
        <v>0.84820124521378404</v>
      </c>
      <c r="I241">
        <v>1</v>
      </c>
      <c r="J241">
        <v>3.7474113000000003E-2</v>
      </c>
      <c r="K241">
        <v>1.39389878925797</v>
      </c>
      <c r="L241">
        <v>1</v>
      </c>
      <c r="M241">
        <v>3600.7657093879998</v>
      </c>
      <c r="N241">
        <v>672864</v>
      </c>
      <c r="O241">
        <v>3.23519270448358E-3</v>
      </c>
      <c r="P241" s="5">
        <v>1.3987819979331599</v>
      </c>
      <c r="Q241">
        <v>1</v>
      </c>
      <c r="R241">
        <v>156.00872435299999</v>
      </c>
      <c r="S241">
        <v>2113</v>
      </c>
      <c r="T241">
        <v>2.9745342642395402E-4</v>
      </c>
      <c r="U241">
        <v>2075</v>
      </c>
      <c r="V241" s="5">
        <v>1.3995934517551201</v>
      </c>
      <c r="W241">
        <v>1</v>
      </c>
      <c r="X241">
        <v>11.026637175999999</v>
      </c>
      <c r="Y241">
        <v>2361</v>
      </c>
      <c r="Z241" s="1">
        <v>1.14382125483702E-5</v>
      </c>
      <c r="AA241">
        <v>1</v>
      </c>
    </row>
    <row r="242" spans="1:27" x14ac:dyDescent="0.2">
      <c r="A242">
        <v>10</v>
      </c>
      <c r="B242">
        <v>1</v>
      </c>
      <c r="C242">
        <v>0.4</v>
      </c>
      <c r="D242">
        <v>100</v>
      </c>
      <c r="E242">
        <v>0.454700772756015</v>
      </c>
      <c r="F242">
        <v>1</v>
      </c>
      <c r="G242">
        <v>33.415890939000001</v>
      </c>
      <c r="H242">
        <v>0.387529903121826</v>
      </c>
      <c r="I242">
        <v>1</v>
      </c>
      <c r="J242">
        <v>8.6218204000000007E-2</v>
      </c>
      <c r="K242">
        <v>0.38741572233743798</v>
      </c>
      <c r="L242">
        <v>1</v>
      </c>
      <c r="M242">
        <v>3600.8041671330002</v>
      </c>
      <c r="N242">
        <v>895026</v>
      </c>
      <c r="O242">
        <v>5.0350844710251802E-3</v>
      </c>
      <c r="P242" s="5">
        <v>0.31937849276906399</v>
      </c>
      <c r="Q242">
        <v>1</v>
      </c>
      <c r="R242">
        <v>98.006986511999997</v>
      </c>
      <c r="S242">
        <v>1763</v>
      </c>
      <c r="T242">
        <v>1.90866389369845E-3</v>
      </c>
      <c r="U242">
        <v>1414</v>
      </c>
      <c r="V242" s="5">
        <v>0.32097621208863297</v>
      </c>
      <c r="W242">
        <v>1</v>
      </c>
      <c r="X242">
        <v>77.423683033000003</v>
      </c>
      <c r="Y242">
        <v>4770</v>
      </c>
      <c r="Z242">
        <v>1.30679533964481E-3</v>
      </c>
      <c r="AA242">
        <v>15</v>
      </c>
    </row>
    <row r="243" spans="1:27" x14ac:dyDescent="0.2">
      <c r="A243">
        <v>10</v>
      </c>
      <c r="B243">
        <v>1</v>
      </c>
      <c r="C243">
        <v>0.1</v>
      </c>
      <c r="D243">
        <v>100</v>
      </c>
      <c r="E243">
        <v>0.97332914457057995</v>
      </c>
      <c r="F243">
        <v>1</v>
      </c>
      <c r="G243">
        <v>35.296918445000003</v>
      </c>
      <c r="H243">
        <v>0.97332914585417996</v>
      </c>
      <c r="I243">
        <v>1</v>
      </c>
      <c r="J243">
        <v>4.3657605000000002E-2</v>
      </c>
      <c r="K243">
        <v>1.1774727688698501</v>
      </c>
      <c r="L243">
        <v>1</v>
      </c>
      <c r="M243">
        <v>3600.5405631439999</v>
      </c>
      <c r="N243">
        <v>593772</v>
      </c>
      <c r="O243">
        <v>4.4629944048997202E-3</v>
      </c>
      <c r="P243" s="5">
        <v>1.1323409823803301</v>
      </c>
      <c r="Q243">
        <v>1</v>
      </c>
      <c r="R243">
        <v>178.766114687</v>
      </c>
      <c r="S243">
        <v>3174</v>
      </c>
      <c r="T243" s="1">
        <v>5.2183145804289502E-7</v>
      </c>
      <c r="U243">
        <v>3173</v>
      </c>
      <c r="V243" s="5">
        <v>1.0998994791208101</v>
      </c>
      <c r="W243">
        <v>1</v>
      </c>
      <c r="X243">
        <v>5.9984067230000004</v>
      </c>
      <c r="Y243">
        <v>1607</v>
      </c>
      <c r="Z243" s="1">
        <v>9.0031606158882602E-6</v>
      </c>
      <c r="AA243">
        <v>1</v>
      </c>
    </row>
    <row r="244" spans="1:27" x14ac:dyDescent="0.2">
      <c r="A244">
        <v>10</v>
      </c>
      <c r="B244">
        <v>1</v>
      </c>
      <c r="C244">
        <v>0.2</v>
      </c>
      <c r="D244">
        <v>100</v>
      </c>
      <c r="E244">
        <v>0.94992518379296997</v>
      </c>
      <c r="F244">
        <v>1</v>
      </c>
      <c r="G244">
        <v>31.770193165999999</v>
      </c>
      <c r="H244">
        <v>0.94992518379298396</v>
      </c>
      <c r="I244">
        <v>1</v>
      </c>
      <c r="J244">
        <v>3.5922427E-2</v>
      </c>
      <c r="K244">
        <v>1.2647790354387201</v>
      </c>
      <c r="L244">
        <v>1</v>
      </c>
      <c r="M244">
        <v>3600.7461051760001</v>
      </c>
      <c r="N244">
        <v>742191</v>
      </c>
      <c r="O244">
        <v>1.04574896812597E-2</v>
      </c>
      <c r="P244" s="5">
        <v>0.69348796390799095</v>
      </c>
      <c r="Q244">
        <v>1</v>
      </c>
      <c r="R244">
        <v>201.79637385699999</v>
      </c>
      <c r="S244">
        <v>4088</v>
      </c>
      <c r="T244">
        <v>3.7548181484404997E-4</v>
      </c>
      <c r="U244">
        <v>3858</v>
      </c>
      <c r="V244" s="5">
        <v>0.59788509817282398</v>
      </c>
      <c r="W244">
        <v>1</v>
      </c>
      <c r="X244">
        <v>13.590773159999999</v>
      </c>
      <c r="Y244">
        <v>2559</v>
      </c>
      <c r="Z244">
        <v>2.7608367103984499E-4</v>
      </c>
      <c r="AA244">
        <v>1</v>
      </c>
    </row>
    <row r="245" spans="1:27" x14ac:dyDescent="0.2">
      <c r="A245">
        <v>10</v>
      </c>
      <c r="B245">
        <v>1</v>
      </c>
      <c r="C245">
        <v>0.2</v>
      </c>
      <c r="D245">
        <v>100</v>
      </c>
      <c r="E245">
        <v>0.82248442521422105</v>
      </c>
      <c r="F245">
        <v>1</v>
      </c>
      <c r="G245">
        <v>33.443233677999999</v>
      </c>
      <c r="H245">
        <v>0.81863221765411498</v>
      </c>
      <c r="I245">
        <v>1</v>
      </c>
      <c r="J245">
        <v>0.124436529</v>
      </c>
      <c r="K245">
        <v>1.17075701136263</v>
      </c>
      <c r="L245">
        <v>1</v>
      </c>
      <c r="M245">
        <v>3601.7681645849998</v>
      </c>
      <c r="N245">
        <v>594636</v>
      </c>
      <c r="O245">
        <v>6.32673394926897E-3</v>
      </c>
      <c r="P245" s="5">
        <v>0.56679898426387099</v>
      </c>
      <c r="Q245">
        <v>1</v>
      </c>
      <c r="R245">
        <v>158.99044179200001</v>
      </c>
      <c r="S245">
        <v>5255</v>
      </c>
      <c r="T245">
        <v>4.2477452801044997E-4</v>
      </c>
      <c r="U245">
        <v>4187</v>
      </c>
      <c r="V245" s="5">
        <v>0.58590348704504702</v>
      </c>
      <c r="W245">
        <v>1</v>
      </c>
      <c r="X245">
        <v>19.881393415000002</v>
      </c>
      <c r="Y245">
        <v>6251</v>
      </c>
      <c r="Z245">
        <v>3.8281832853905002E-4</v>
      </c>
      <c r="AA245">
        <v>1</v>
      </c>
    </row>
    <row r="246" spans="1:27" x14ac:dyDescent="0.2">
      <c r="A246">
        <v>10</v>
      </c>
      <c r="B246">
        <v>1</v>
      </c>
      <c r="C246">
        <v>0.1</v>
      </c>
      <c r="D246">
        <v>100</v>
      </c>
      <c r="E246">
        <v>0.95418493520648595</v>
      </c>
      <c r="F246">
        <v>1</v>
      </c>
      <c r="G246">
        <v>33.093889081999997</v>
      </c>
      <c r="H246">
        <v>0.95418496678752596</v>
      </c>
      <c r="I246">
        <v>1</v>
      </c>
      <c r="J246">
        <v>3.8596564E-2</v>
      </c>
      <c r="K246">
        <v>0.91132960098761695</v>
      </c>
      <c r="L246">
        <v>1</v>
      </c>
      <c r="M246">
        <v>3601.328428623</v>
      </c>
      <c r="N246">
        <v>794734</v>
      </c>
      <c r="O246">
        <v>2.4451965079270699E-3</v>
      </c>
      <c r="P246" s="5">
        <v>1.04229803565108</v>
      </c>
      <c r="Q246">
        <v>1</v>
      </c>
      <c r="R246">
        <v>255.700815613</v>
      </c>
      <c r="S246">
        <v>4894</v>
      </c>
      <c r="T246" s="1">
        <v>3.0161952271554001E-7</v>
      </c>
      <c r="U246">
        <v>4866</v>
      </c>
      <c r="V246" s="5">
        <v>1.0815604901614899</v>
      </c>
      <c r="W246">
        <v>1</v>
      </c>
      <c r="X246">
        <v>5.9584053399999997</v>
      </c>
      <c r="Y246">
        <v>1531</v>
      </c>
      <c r="Z246" s="1">
        <v>4.9232742571243801E-6</v>
      </c>
      <c r="AA246">
        <v>1</v>
      </c>
    </row>
    <row r="247" spans="1:27" x14ac:dyDescent="0.2">
      <c r="A247">
        <v>10</v>
      </c>
      <c r="B247">
        <v>1</v>
      </c>
      <c r="C247">
        <v>0.1</v>
      </c>
      <c r="D247">
        <v>100</v>
      </c>
      <c r="E247">
        <v>0.96825874124968703</v>
      </c>
      <c r="F247">
        <v>1</v>
      </c>
      <c r="G247">
        <v>33.794380199999999</v>
      </c>
      <c r="H247">
        <v>0.96825875671904105</v>
      </c>
      <c r="I247">
        <v>1</v>
      </c>
      <c r="J247">
        <v>3.9234573000000002E-2</v>
      </c>
      <c r="K247">
        <v>1.0779476860755901</v>
      </c>
      <c r="L247">
        <v>1</v>
      </c>
      <c r="M247">
        <v>3600.845310744</v>
      </c>
      <c r="N247">
        <v>454830</v>
      </c>
      <c r="O247">
        <v>7.7867001284510603E-3</v>
      </c>
      <c r="P247" s="5">
        <v>0.89261305594785201</v>
      </c>
      <c r="Q247">
        <v>1</v>
      </c>
      <c r="R247">
        <v>190.76620840699999</v>
      </c>
      <c r="S247">
        <v>3460</v>
      </c>
      <c r="T247" s="1">
        <v>8.4303189191099401E-5</v>
      </c>
      <c r="U247">
        <v>2753</v>
      </c>
      <c r="V247" s="5">
        <v>1.06115994729667</v>
      </c>
      <c r="W247">
        <v>1</v>
      </c>
      <c r="X247">
        <v>11.928003209</v>
      </c>
      <c r="Y247">
        <v>5604</v>
      </c>
      <c r="Z247" s="1">
        <v>8.9578728208633898E-5</v>
      </c>
      <c r="AA247">
        <v>1</v>
      </c>
    </row>
    <row r="248" spans="1:27" x14ac:dyDescent="0.2">
      <c r="A248">
        <v>10</v>
      </c>
      <c r="B248">
        <v>1</v>
      </c>
      <c r="C248">
        <v>0.3</v>
      </c>
      <c r="D248">
        <v>100</v>
      </c>
      <c r="E248">
        <v>0.75657389608464598</v>
      </c>
      <c r="F248">
        <v>1</v>
      </c>
      <c r="G248">
        <v>33.710029634000001</v>
      </c>
      <c r="H248">
        <v>0.71005530420177099</v>
      </c>
      <c r="I248">
        <v>1</v>
      </c>
      <c r="J248">
        <v>0.205391139</v>
      </c>
      <c r="K248">
        <v>1.1790469836025701</v>
      </c>
      <c r="L248">
        <v>1</v>
      </c>
      <c r="M248">
        <v>3600.8076905190001</v>
      </c>
      <c r="N248">
        <v>483341</v>
      </c>
      <c r="O248">
        <v>3.6573928079020497E-2</v>
      </c>
      <c r="P248" s="5">
        <v>1.1836950814010301</v>
      </c>
      <c r="Q248">
        <v>1</v>
      </c>
      <c r="R248">
        <v>316.08633886699999</v>
      </c>
      <c r="S248">
        <v>4713</v>
      </c>
      <c r="T248">
        <v>2.9535553608294601E-4</v>
      </c>
      <c r="U248">
        <v>4126</v>
      </c>
      <c r="V248" s="5">
        <v>0.36838486969433898</v>
      </c>
      <c r="W248">
        <v>1</v>
      </c>
      <c r="X248">
        <v>30.794336201</v>
      </c>
      <c r="Y248">
        <v>9784</v>
      </c>
      <c r="Z248">
        <v>4.2232469372153997E-4</v>
      </c>
      <c r="AA248">
        <v>1</v>
      </c>
    </row>
    <row r="249" spans="1:27" x14ac:dyDescent="0.2">
      <c r="A249">
        <v>10</v>
      </c>
      <c r="B249">
        <v>1</v>
      </c>
      <c r="C249">
        <v>0.3</v>
      </c>
      <c r="D249">
        <v>100</v>
      </c>
      <c r="E249">
        <v>0.14185118863745499</v>
      </c>
      <c r="F249">
        <v>1</v>
      </c>
      <c r="G249">
        <v>32.786252075999997</v>
      </c>
      <c r="H249">
        <v>4.8131559818062698E-2</v>
      </c>
      <c r="I249">
        <v>1</v>
      </c>
      <c r="J249">
        <v>0.18846221399999999</v>
      </c>
      <c r="K249">
        <v>4.42744691319161E-2</v>
      </c>
      <c r="L249">
        <v>1</v>
      </c>
      <c r="M249">
        <v>3601.3402663699999</v>
      </c>
      <c r="N249">
        <v>637855</v>
      </c>
      <c r="O249">
        <v>3.5200680494487102E-3</v>
      </c>
      <c r="P249" s="5">
        <v>6.9201162740829103E-2</v>
      </c>
      <c r="Q249">
        <v>1</v>
      </c>
      <c r="R249">
        <v>452.40298275399999</v>
      </c>
      <c r="S249">
        <v>14949</v>
      </c>
      <c r="T249">
        <v>5.2386175812936498E-4</v>
      </c>
      <c r="U249">
        <v>8674</v>
      </c>
      <c r="V249" s="5">
        <v>7.4323204110627303E-2</v>
      </c>
      <c r="W249">
        <v>1</v>
      </c>
      <c r="X249">
        <v>79.981491679000001</v>
      </c>
      <c r="Y249">
        <v>17392</v>
      </c>
      <c r="Z249">
        <v>7.0101934793023702E-4</v>
      </c>
      <c r="AA249">
        <v>8</v>
      </c>
    </row>
    <row r="250" spans="1:27" x14ac:dyDescent="0.2">
      <c r="A250">
        <v>10</v>
      </c>
      <c r="B250">
        <v>1</v>
      </c>
      <c r="C250">
        <v>0.1</v>
      </c>
      <c r="D250">
        <v>100</v>
      </c>
      <c r="E250">
        <v>0.89096577056821802</v>
      </c>
      <c r="F250">
        <v>1</v>
      </c>
      <c r="G250">
        <v>34.094714347999997</v>
      </c>
      <c r="H250">
        <v>0.890804701754775</v>
      </c>
      <c r="I250">
        <v>1</v>
      </c>
      <c r="J250">
        <v>8.1787993000000003E-2</v>
      </c>
      <c r="K250">
        <v>0.89583331740174998</v>
      </c>
      <c r="L250">
        <v>1</v>
      </c>
      <c r="M250">
        <v>3600.5737550809999</v>
      </c>
      <c r="N250">
        <v>1169713</v>
      </c>
      <c r="O250">
        <v>1.00201514511333E-3</v>
      </c>
      <c r="P250" s="5">
        <v>0.89700818426748996</v>
      </c>
      <c r="Q250">
        <v>1</v>
      </c>
      <c r="R250">
        <v>102.318760662</v>
      </c>
      <c r="S250">
        <v>2026</v>
      </c>
      <c r="T250" s="1">
        <v>1.8197053764443502E-5</v>
      </c>
      <c r="U250">
        <v>1777</v>
      </c>
      <c r="V250" s="5">
        <v>0.89824665703082496</v>
      </c>
      <c r="W250">
        <v>1</v>
      </c>
      <c r="X250">
        <v>7.2506580730000003</v>
      </c>
      <c r="Y250">
        <v>1558</v>
      </c>
      <c r="Z250" s="1">
        <v>8.3777788312581995E-5</v>
      </c>
      <c r="AA250">
        <v>1</v>
      </c>
    </row>
    <row r="251" spans="1:27" x14ac:dyDescent="0.2">
      <c r="A251">
        <v>10</v>
      </c>
      <c r="B251">
        <v>1</v>
      </c>
      <c r="C251">
        <v>0.2</v>
      </c>
      <c r="D251">
        <v>100</v>
      </c>
      <c r="E251">
        <v>0.52954090682195798</v>
      </c>
      <c r="F251">
        <v>1</v>
      </c>
      <c r="G251">
        <v>33.986191507000001</v>
      </c>
      <c r="H251">
        <v>0.44557923526732801</v>
      </c>
      <c r="I251">
        <v>1</v>
      </c>
      <c r="J251">
        <v>0.32414846899999999</v>
      </c>
      <c r="K251">
        <v>0.44758253591388703</v>
      </c>
      <c r="L251">
        <v>1</v>
      </c>
      <c r="M251">
        <v>3600.9754540280001</v>
      </c>
      <c r="N251">
        <v>960507</v>
      </c>
      <c r="O251">
        <v>1.8639885892310899E-3</v>
      </c>
      <c r="P251" s="5">
        <v>0.41124860657582601</v>
      </c>
      <c r="Q251">
        <v>1</v>
      </c>
      <c r="R251">
        <v>563.93710318299998</v>
      </c>
      <c r="S251">
        <v>18013</v>
      </c>
      <c r="T251">
        <v>3.30944070881807E-4</v>
      </c>
      <c r="U251">
        <v>10669</v>
      </c>
      <c r="V251" s="5">
        <v>0.59437939705929799</v>
      </c>
      <c r="W251">
        <v>1</v>
      </c>
      <c r="X251">
        <v>165.860696284</v>
      </c>
      <c r="Y251">
        <v>39366</v>
      </c>
      <c r="Z251">
        <v>5.6348093388736804E-4</v>
      </c>
      <c r="AA251">
        <v>6</v>
      </c>
    </row>
    <row r="252" spans="1:27" x14ac:dyDescent="0.2">
      <c r="A252">
        <v>10</v>
      </c>
      <c r="B252">
        <v>1</v>
      </c>
      <c r="C252">
        <v>0.4</v>
      </c>
      <c r="D252">
        <v>100</v>
      </c>
      <c r="E252">
        <v>3.5207248569755302E-2</v>
      </c>
      <c r="F252">
        <v>1</v>
      </c>
      <c r="G252">
        <v>34.679043200999999</v>
      </c>
      <c r="H252">
        <v>1.9473106210373899E-2</v>
      </c>
      <c r="I252">
        <v>1</v>
      </c>
      <c r="J252">
        <v>8.6617239999999998E-2</v>
      </c>
      <c r="K252">
        <v>1.9451520110236799E-2</v>
      </c>
      <c r="L252">
        <v>1</v>
      </c>
      <c r="M252">
        <v>2502.671423621</v>
      </c>
      <c r="N252">
        <v>865320</v>
      </c>
      <c r="O252">
        <v>4.2004358499028102E-3</v>
      </c>
      <c r="P252" s="5">
        <v>1.6208751486083001E-2</v>
      </c>
      <c r="Q252">
        <v>1</v>
      </c>
      <c r="R252">
        <v>23.998205054</v>
      </c>
      <c r="S252">
        <v>1</v>
      </c>
      <c r="T252">
        <v>1.9545035322171499E-3</v>
      </c>
      <c r="U252">
        <v>4</v>
      </c>
      <c r="V252" s="5">
        <v>1.6208751500081098E-2</v>
      </c>
      <c r="W252">
        <v>1</v>
      </c>
      <c r="X252">
        <v>8.1293002370000007</v>
      </c>
      <c r="Y252">
        <v>1</v>
      </c>
      <c r="Z252">
        <v>4.0697036800945103E-3</v>
      </c>
      <c r="AA252">
        <v>1</v>
      </c>
    </row>
    <row r="253" spans="1:27" x14ac:dyDescent="0.2">
      <c r="A253">
        <v>10</v>
      </c>
      <c r="B253">
        <v>1</v>
      </c>
      <c r="C253">
        <v>0.1</v>
      </c>
      <c r="D253">
        <v>100</v>
      </c>
      <c r="E253">
        <v>0.90940406668387996</v>
      </c>
      <c r="F253">
        <v>1</v>
      </c>
      <c r="G253">
        <v>31.796678980999999</v>
      </c>
      <c r="H253">
        <v>0.90940406668387996</v>
      </c>
      <c r="I253">
        <v>1</v>
      </c>
      <c r="J253">
        <v>3.9341674E-2</v>
      </c>
      <c r="K253">
        <v>0.91940039619487701</v>
      </c>
      <c r="L253">
        <v>1</v>
      </c>
      <c r="M253">
        <v>3600.520251077</v>
      </c>
      <c r="N253">
        <v>721384</v>
      </c>
      <c r="O253">
        <v>3.6739252819942901E-3</v>
      </c>
      <c r="P253" s="5">
        <v>1.1146192953788301</v>
      </c>
      <c r="Q253">
        <v>1</v>
      </c>
      <c r="R253">
        <v>94.326770719999999</v>
      </c>
      <c r="S253">
        <v>1508</v>
      </c>
      <c r="T253" s="1">
        <v>7.7525624288289596E-6</v>
      </c>
      <c r="U253">
        <v>1509</v>
      </c>
      <c r="V253" s="5">
        <v>0.72141841147565899</v>
      </c>
      <c r="W253">
        <v>1</v>
      </c>
      <c r="X253">
        <v>5.6662846269999996</v>
      </c>
      <c r="Y253">
        <v>1864</v>
      </c>
      <c r="Z253" s="1">
        <v>1.03484767825443E-6</v>
      </c>
      <c r="AA253">
        <v>1</v>
      </c>
    </row>
    <row r="254" spans="1:27" x14ac:dyDescent="0.2">
      <c r="A254">
        <v>10</v>
      </c>
      <c r="B254">
        <v>1</v>
      </c>
      <c r="C254">
        <v>0.2</v>
      </c>
      <c r="D254">
        <v>100</v>
      </c>
      <c r="E254">
        <v>0.54644581190410002</v>
      </c>
      <c r="F254">
        <v>1</v>
      </c>
      <c r="G254">
        <v>33.519885060999997</v>
      </c>
      <c r="H254">
        <v>0.54546563817529004</v>
      </c>
      <c r="I254">
        <v>1</v>
      </c>
      <c r="J254">
        <v>4.8541593000000001E-2</v>
      </c>
      <c r="K254">
        <v>0.74145470706107197</v>
      </c>
      <c r="L254">
        <v>1</v>
      </c>
      <c r="M254">
        <v>3601.2041183259998</v>
      </c>
      <c r="N254">
        <v>900134</v>
      </c>
      <c r="O254">
        <v>2.8752592467959901E-3</v>
      </c>
      <c r="P254" s="5">
        <v>0.45580563565093501</v>
      </c>
      <c r="Q254">
        <v>1</v>
      </c>
      <c r="R254">
        <v>175.573762018</v>
      </c>
      <c r="S254">
        <v>2527</v>
      </c>
      <c r="T254">
        <v>1.14454460018592E-4</v>
      </c>
      <c r="U254">
        <v>2377</v>
      </c>
      <c r="V254" s="5">
        <v>0.45669649171330001</v>
      </c>
      <c r="W254">
        <v>1</v>
      </c>
      <c r="X254">
        <v>8.1498698380000008</v>
      </c>
      <c r="Y254">
        <v>1298</v>
      </c>
      <c r="Z254">
        <v>2.1440802081491801E-4</v>
      </c>
      <c r="AA254">
        <v>1</v>
      </c>
    </row>
    <row r="255" spans="1:27" x14ac:dyDescent="0.2">
      <c r="A255">
        <v>10</v>
      </c>
      <c r="B255">
        <v>1</v>
      </c>
      <c r="C255">
        <v>0.3</v>
      </c>
      <c r="D255">
        <v>100</v>
      </c>
      <c r="E255">
        <v>0.41200769367826701</v>
      </c>
      <c r="F255">
        <v>1</v>
      </c>
      <c r="G255">
        <v>33.529905605000003</v>
      </c>
      <c r="H255">
        <v>0.26218578939626602</v>
      </c>
      <c r="I255">
        <v>1</v>
      </c>
      <c r="J255">
        <v>0.406554054</v>
      </c>
      <c r="K255">
        <v>0.26341860832260799</v>
      </c>
      <c r="L255">
        <v>1</v>
      </c>
      <c r="M255">
        <v>3600.7358666559999</v>
      </c>
      <c r="N255">
        <v>545115</v>
      </c>
      <c r="O255">
        <v>1.7890332531429399E-2</v>
      </c>
      <c r="P255" s="5">
        <v>0.48368780547832702</v>
      </c>
      <c r="Q255">
        <v>1</v>
      </c>
      <c r="R255">
        <v>74.009225951000005</v>
      </c>
      <c r="S255">
        <v>2702</v>
      </c>
      <c r="T255">
        <v>2.23457505380172E-3</v>
      </c>
      <c r="U255">
        <v>1951</v>
      </c>
      <c r="V255" s="5">
        <v>0.34802380702332802</v>
      </c>
      <c r="W255">
        <v>1</v>
      </c>
      <c r="X255">
        <v>910.312063126</v>
      </c>
      <c r="Y255">
        <v>56870</v>
      </c>
      <c r="Z255">
        <v>1.1224133920102401E-3</v>
      </c>
      <c r="AA255">
        <v>20</v>
      </c>
    </row>
    <row r="256" spans="1:27" x14ac:dyDescent="0.2">
      <c r="A256">
        <v>10</v>
      </c>
      <c r="B256">
        <v>1</v>
      </c>
      <c r="C256">
        <v>0.4</v>
      </c>
      <c r="D256">
        <v>100</v>
      </c>
      <c r="E256">
        <v>0.30949162856204299</v>
      </c>
      <c r="F256">
        <v>1</v>
      </c>
      <c r="G256">
        <v>32.805564353000001</v>
      </c>
      <c r="H256">
        <v>0.29076506544374597</v>
      </c>
      <c r="I256">
        <v>1</v>
      </c>
      <c r="J256">
        <v>5.1806078999999998E-2</v>
      </c>
      <c r="K256">
        <v>0.29177249821694301</v>
      </c>
      <c r="L256">
        <v>1</v>
      </c>
      <c r="M256">
        <v>3601.0489600790002</v>
      </c>
      <c r="N256">
        <v>872033</v>
      </c>
      <c r="O256">
        <v>2.7275921216247602E-3</v>
      </c>
      <c r="P256" s="5">
        <v>0.338781632748057</v>
      </c>
      <c r="Q256">
        <v>1</v>
      </c>
      <c r="R256">
        <v>63.911378702</v>
      </c>
      <c r="S256">
        <v>1310</v>
      </c>
      <c r="T256">
        <v>8.0962661459842101E-4</v>
      </c>
      <c r="U256">
        <v>939</v>
      </c>
      <c r="V256" s="5">
        <v>0.29034688954370103</v>
      </c>
      <c r="W256">
        <v>1</v>
      </c>
      <c r="X256">
        <v>7.2972323389999998</v>
      </c>
      <c r="Y256">
        <v>1</v>
      </c>
      <c r="Z256">
        <v>9.3127701190270896E-4</v>
      </c>
      <c r="AA256">
        <v>1</v>
      </c>
    </row>
    <row r="257" spans="1:27" x14ac:dyDescent="0.2">
      <c r="A257">
        <v>10</v>
      </c>
      <c r="B257">
        <v>1</v>
      </c>
      <c r="C257">
        <v>0.3</v>
      </c>
      <c r="D257">
        <v>100</v>
      </c>
      <c r="E257">
        <v>0.39482901463200998</v>
      </c>
      <c r="F257">
        <v>1</v>
      </c>
      <c r="G257">
        <v>29.687175971999999</v>
      </c>
      <c r="H257">
        <v>0.39693022454154803</v>
      </c>
      <c r="I257">
        <v>1</v>
      </c>
      <c r="J257">
        <v>7.0682354000000003E-2</v>
      </c>
      <c r="K257">
        <v>0.39703700408610298</v>
      </c>
      <c r="L257">
        <v>1</v>
      </c>
      <c r="M257">
        <v>3600.9263010509999</v>
      </c>
      <c r="N257">
        <v>1061124</v>
      </c>
      <c r="O257">
        <v>1.37874618466682E-3</v>
      </c>
      <c r="P257" s="5">
        <v>0.42505881001184698</v>
      </c>
      <c r="Q257">
        <v>1</v>
      </c>
      <c r="R257">
        <v>140.92155099999999</v>
      </c>
      <c r="S257">
        <v>3385</v>
      </c>
      <c r="T257">
        <v>1.08352181205248E-3</v>
      </c>
      <c r="U257">
        <v>2490</v>
      </c>
      <c r="V257" s="5">
        <v>0.40805952099146198</v>
      </c>
      <c r="W257">
        <v>1</v>
      </c>
      <c r="X257">
        <v>563.34294371199996</v>
      </c>
      <c r="Y257">
        <v>39383</v>
      </c>
      <c r="Z257">
        <v>5.18666938012071E-4</v>
      </c>
      <c r="AA257">
        <v>20</v>
      </c>
    </row>
    <row r="258" spans="1:27" x14ac:dyDescent="0.2">
      <c r="A258">
        <v>10</v>
      </c>
      <c r="B258">
        <v>1</v>
      </c>
      <c r="C258">
        <v>0.3</v>
      </c>
      <c r="D258">
        <v>100</v>
      </c>
      <c r="E258">
        <v>0.18465400318959399</v>
      </c>
      <c r="F258">
        <v>1</v>
      </c>
      <c r="G258">
        <v>31.766718723</v>
      </c>
      <c r="H258">
        <v>0.114048647387663</v>
      </c>
      <c r="I258">
        <v>1</v>
      </c>
      <c r="J258">
        <v>0.250936135</v>
      </c>
      <c r="K258">
        <v>0.113667515780612</v>
      </c>
      <c r="L258">
        <v>1</v>
      </c>
      <c r="M258">
        <v>3600.8184349960002</v>
      </c>
      <c r="N258">
        <v>772750</v>
      </c>
      <c r="O258">
        <v>3.00872856150569E-3</v>
      </c>
      <c r="P258" s="5">
        <v>0.33699624713621201</v>
      </c>
      <c r="Q258">
        <v>1</v>
      </c>
      <c r="R258">
        <v>170.93599803199999</v>
      </c>
      <c r="S258">
        <v>4720</v>
      </c>
      <c r="T258">
        <v>8.0845939643928101E-4</v>
      </c>
      <c r="U258">
        <v>3228</v>
      </c>
      <c r="V258" s="5">
        <v>0.29381483147325999</v>
      </c>
      <c r="W258">
        <v>1</v>
      </c>
      <c r="X258">
        <v>1136.4207851860001</v>
      </c>
      <c r="Y258">
        <v>179069</v>
      </c>
      <c r="Z258">
        <v>4.41585509116812E-4</v>
      </c>
      <c r="AA258">
        <v>20</v>
      </c>
    </row>
    <row r="259" spans="1:27" x14ac:dyDescent="0.2">
      <c r="A259">
        <v>10</v>
      </c>
      <c r="B259">
        <v>1</v>
      </c>
      <c r="C259">
        <v>0.2</v>
      </c>
      <c r="D259">
        <v>100</v>
      </c>
      <c r="E259">
        <v>0.72571589475959297</v>
      </c>
      <c r="F259">
        <v>1</v>
      </c>
      <c r="G259">
        <v>32.368215069000001</v>
      </c>
      <c r="H259">
        <v>0.65754920676409601</v>
      </c>
      <c r="I259">
        <v>1</v>
      </c>
      <c r="J259">
        <v>0.25878952599999999</v>
      </c>
      <c r="K259">
        <v>0.65719991372306097</v>
      </c>
      <c r="L259">
        <v>1</v>
      </c>
      <c r="M259">
        <v>3600.6223844269998</v>
      </c>
      <c r="N259">
        <v>1204670</v>
      </c>
      <c r="O259">
        <v>9.6714894928418005E-4</v>
      </c>
      <c r="P259" s="5">
        <v>0.71080940967595396</v>
      </c>
      <c r="Q259">
        <v>1</v>
      </c>
      <c r="R259">
        <v>290.19109437399999</v>
      </c>
      <c r="S259">
        <v>9428</v>
      </c>
      <c r="T259">
        <v>5.8150090332121502E-4</v>
      </c>
      <c r="U259">
        <v>5965</v>
      </c>
      <c r="V259" s="5">
        <v>0.66690151782181295</v>
      </c>
      <c r="W259">
        <v>1</v>
      </c>
      <c r="X259">
        <v>1131.960861626</v>
      </c>
      <c r="Y259">
        <v>173479</v>
      </c>
      <c r="Z259">
        <v>3.0601667465653099E-4</v>
      </c>
      <c r="AA259">
        <v>20</v>
      </c>
    </row>
    <row r="260" spans="1:27" x14ac:dyDescent="0.2">
      <c r="A260">
        <v>10</v>
      </c>
      <c r="B260">
        <v>1</v>
      </c>
      <c r="C260">
        <v>0.1</v>
      </c>
      <c r="D260">
        <v>100</v>
      </c>
      <c r="E260">
        <v>0.94339319483773698</v>
      </c>
      <c r="F260">
        <v>1</v>
      </c>
      <c r="G260">
        <v>33.125647377999996</v>
      </c>
      <c r="H260">
        <v>0.934561473491615</v>
      </c>
      <c r="I260">
        <v>1</v>
      </c>
      <c r="J260">
        <v>6.3259656999999997E-2</v>
      </c>
      <c r="K260">
        <v>1.2238941167756301</v>
      </c>
      <c r="L260">
        <v>1</v>
      </c>
      <c r="M260">
        <v>3600.712851237</v>
      </c>
      <c r="N260">
        <v>981591</v>
      </c>
      <c r="O260">
        <v>4.2425636361675904E-3</v>
      </c>
      <c r="P260" s="5">
        <v>0.77805550355582698</v>
      </c>
      <c r="Q260">
        <v>1</v>
      </c>
      <c r="R260">
        <v>91.708408637999995</v>
      </c>
      <c r="S260">
        <v>1759</v>
      </c>
      <c r="T260" s="1">
        <v>1.27856714173674E-6</v>
      </c>
      <c r="U260">
        <v>1764</v>
      </c>
      <c r="V260" s="5">
        <v>0.67098738864243102</v>
      </c>
      <c r="W260">
        <v>1</v>
      </c>
      <c r="X260">
        <v>6.4187234640000002</v>
      </c>
      <c r="Y260">
        <v>1555</v>
      </c>
      <c r="Z260" s="1">
        <v>3.4415593267320099E-5</v>
      </c>
      <c r="AA260">
        <v>1</v>
      </c>
    </row>
    <row r="261" spans="1:27" x14ac:dyDescent="0.2">
      <c r="A261">
        <v>10</v>
      </c>
      <c r="B261">
        <v>1</v>
      </c>
      <c r="C261">
        <v>0.2</v>
      </c>
      <c r="D261">
        <v>100</v>
      </c>
      <c r="E261">
        <v>0.67914997718163195</v>
      </c>
      <c r="F261">
        <v>1</v>
      </c>
      <c r="G261">
        <v>34.542201794999997</v>
      </c>
      <c r="H261">
        <v>0.67249128728986196</v>
      </c>
      <c r="I261">
        <v>1</v>
      </c>
      <c r="J261">
        <v>0.100811858</v>
      </c>
      <c r="K261">
        <v>0.67435399161520704</v>
      </c>
      <c r="L261">
        <v>1</v>
      </c>
      <c r="M261">
        <v>3601.8932724269998</v>
      </c>
      <c r="N261">
        <v>780944</v>
      </c>
      <c r="O261">
        <v>3.3399124497026601E-3</v>
      </c>
      <c r="P261" s="5">
        <v>0.69585705847934198</v>
      </c>
      <c r="Q261">
        <v>1</v>
      </c>
      <c r="R261">
        <v>110.724107731</v>
      </c>
      <c r="S261">
        <v>2054</v>
      </c>
      <c r="T261" s="1">
        <v>4.9868459424860701E-5</v>
      </c>
      <c r="U261">
        <v>1909</v>
      </c>
      <c r="V261" s="5">
        <v>0.68411060643021704</v>
      </c>
      <c r="W261">
        <v>1</v>
      </c>
      <c r="X261">
        <v>10.032306388</v>
      </c>
      <c r="Y261">
        <v>3895</v>
      </c>
      <c r="Z261" s="1">
        <v>8.5238815327333005E-5</v>
      </c>
      <c r="AA261">
        <v>1</v>
      </c>
    </row>
    <row r="262" spans="1:27" x14ac:dyDescent="0.2">
      <c r="A262">
        <v>10</v>
      </c>
      <c r="B262">
        <v>1</v>
      </c>
      <c r="C262">
        <v>0.1</v>
      </c>
      <c r="D262">
        <v>100</v>
      </c>
      <c r="E262">
        <v>0.95256988731563397</v>
      </c>
      <c r="F262">
        <v>1</v>
      </c>
      <c r="G262">
        <v>31.184198548000001</v>
      </c>
      <c r="H262">
        <v>0.95252774268777496</v>
      </c>
      <c r="I262">
        <v>1</v>
      </c>
      <c r="J262">
        <v>3.5773736E-2</v>
      </c>
      <c r="K262">
        <v>1.1230402042051999</v>
      </c>
      <c r="L262">
        <v>1</v>
      </c>
      <c r="M262">
        <v>3600.465157226</v>
      </c>
      <c r="N262">
        <v>1460689</v>
      </c>
      <c r="O262">
        <v>8.1552730193212798E-4</v>
      </c>
      <c r="P262" s="5">
        <v>1.0872943532933199</v>
      </c>
      <c r="Q262">
        <v>1</v>
      </c>
      <c r="R262">
        <v>128.864587454</v>
      </c>
      <c r="S262">
        <v>2774</v>
      </c>
      <c r="T262" s="1">
        <v>3.2949532007817099E-5</v>
      </c>
      <c r="U262">
        <v>2723</v>
      </c>
      <c r="V262" s="5">
        <v>0.84397754736324804</v>
      </c>
      <c r="W262">
        <v>1</v>
      </c>
      <c r="X262">
        <v>5.2852845390000001</v>
      </c>
      <c r="Y262">
        <v>1375</v>
      </c>
      <c r="Z262" s="1">
        <v>5.1941943297169301E-5</v>
      </c>
      <c r="AA262">
        <v>1</v>
      </c>
    </row>
    <row r="263" spans="1:27" x14ac:dyDescent="0.2">
      <c r="A263">
        <v>10</v>
      </c>
      <c r="B263">
        <v>1</v>
      </c>
      <c r="C263">
        <v>0.4</v>
      </c>
      <c r="D263">
        <v>100</v>
      </c>
      <c r="E263">
        <v>3.39727598153967E-2</v>
      </c>
      <c r="F263">
        <v>1</v>
      </c>
      <c r="G263">
        <v>31.569231027000001</v>
      </c>
      <c r="H263">
        <v>3.4270906889675198E-2</v>
      </c>
      <c r="I263">
        <v>1</v>
      </c>
      <c r="J263">
        <v>4.0696010999999997E-2</v>
      </c>
      <c r="K263">
        <v>3.4407647647939403E-2</v>
      </c>
      <c r="L263">
        <v>1</v>
      </c>
      <c r="M263">
        <v>3600.5070025320001</v>
      </c>
      <c r="N263">
        <v>1107523</v>
      </c>
      <c r="O263">
        <v>3.3007800868389798E-4</v>
      </c>
      <c r="P263" s="5">
        <v>0.10292064245565299</v>
      </c>
      <c r="Q263">
        <v>1</v>
      </c>
      <c r="R263">
        <v>132.42110980000001</v>
      </c>
      <c r="S263">
        <v>3572</v>
      </c>
      <c r="T263">
        <v>2.0724996556315599E-4</v>
      </c>
      <c r="U263">
        <v>2472</v>
      </c>
      <c r="V263" s="5">
        <v>2.9379965909610999E-2</v>
      </c>
      <c r="W263">
        <v>1</v>
      </c>
      <c r="X263">
        <v>6.3536076660000003</v>
      </c>
      <c r="Y263">
        <v>936</v>
      </c>
      <c r="Z263">
        <v>3.1666562545505601E-4</v>
      </c>
      <c r="AA263">
        <v>1</v>
      </c>
    </row>
    <row r="264" spans="1:27" x14ac:dyDescent="0.2">
      <c r="A264">
        <v>10</v>
      </c>
      <c r="B264">
        <v>1</v>
      </c>
      <c r="C264">
        <v>0.4</v>
      </c>
      <c r="D264">
        <v>100</v>
      </c>
      <c r="E264">
        <v>9.2477798926358698E-2</v>
      </c>
      <c r="F264">
        <v>1</v>
      </c>
      <c r="G264">
        <v>34.316277898999999</v>
      </c>
      <c r="H264">
        <v>3.1717844420158098E-2</v>
      </c>
      <c r="I264">
        <v>1</v>
      </c>
      <c r="J264">
        <v>0.13074460299999999</v>
      </c>
      <c r="K264">
        <v>3.0870645864553899E-2</v>
      </c>
      <c r="L264">
        <v>1</v>
      </c>
      <c r="M264">
        <v>3343.0392920680001</v>
      </c>
      <c r="N264">
        <v>824579</v>
      </c>
      <c r="O264">
        <v>1.4368474219654799E-3</v>
      </c>
      <c r="P264" s="5">
        <v>0.20287245258469599</v>
      </c>
      <c r="Q264">
        <v>1</v>
      </c>
      <c r="R264">
        <v>231.34116158099999</v>
      </c>
      <c r="S264">
        <v>6765</v>
      </c>
      <c r="T264">
        <v>1.2741788225035201E-3</v>
      </c>
      <c r="U264">
        <v>4135</v>
      </c>
      <c r="V264" s="5">
        <v>1.9414351687696299E-2</v>
      </c>
      <c r="W264">
        <v>1</v>
      </c>
      <c r="X264">
        <v>166.310714749</v>
      </c>
      <c r="Y264">
        <v>16173</v>
      </c>
      <c r="Z264">
        <v>1.2929507846681199E-3</v>
      </c>
      <c r="AA264">
        <v>11</v>
      </c>
    </row>
    <row r="265" spans="1:27" x14ac:dyDescent="0.2">
      <c r="A265">
        <v>10</v>
      </c>
      <c r="B265">
        <v>1</v>
      </c>
      <c r="C265">
        <v>0.3</v>
      </c>
      <c r="D265">
        <v>100</v>
      </c>
      <c r="E265">
        <v>0.33139840261721398</v>
      </c>
      <c r="F265">
        <v>1</v>
      </c>
      <c r="G265">
        <v>33.397255600999998</v>
      </c>
      <c r="H265">
        <v>0.24234722904245701</v>
      </c>
      <c r="I265">
        <v>1</v>
      </c>
      <c r="J265">
        <v>0.25343872899999997</v>
      </c>
      <c r="K265">
        <v>0.20927828320126399</v>
      </c>
      <c r="L265">
        <v>1</v>
      </c>
      <c r="M265">
        <v>3600.7505796280002</v>
      </c>
      <c r="N265">
        <v>698701</v>
      </c>
      <c r="O265">
        <v>4.6447177901001099E-3</v>
      </c>
      <c r="P265" s="5">
        <v>0.17078821043155901</v>
      </c>
      <c r="Q265">
        <v>1</v>
      </c>
      <c r="R265">
        <v>155.50349930900001</v>
      </c>
      <c r="S265">
        <v>3091</v>
      </c>
      <c r="T265">
        <v>1.24932442557362E-3</v>
      </c>
      <c r="U265">
        <v>2352</v>
      </c>
      <c r="V265" s="5">
        <v>0.13104757269439299</v>
      </c>
      <c r="W265">
        <v>1</v>
      </c>
      <c r="X265">
        <v>14.688155604</v>
      </c>
      <c r="Y265">
        <v>1</v>
      </c>
      <c r="Z265">
        <v>2.28218762150536E-3</v>
      </c>
      <c r="AA265">
        <v>5</v>
      </c>
    </row>
    <row r="266" spans="1:27" x14ac:dyDescent="0.2">
      <c r="A266">
        <v>10</v>
      </c>
      <c r="B266">
        <v>1</v>
      </c>
      <c r="C266">
        <v>0.1</v>
      </c>
      <c r="D266">
        <v>100</v>
      </c>
      <c r="E266">
        <v>0.90767891367077602</v>
      </c>
      <c r="F266">
        <v>1</v>
      </c>
      <c r="G266">
        <v>38.941988099</v>
      </c>
      <c r="H266">
        <v>0.90738616882886303</v>
      </c>
      <c r="I266">
        <v>1</v>
      </c>
      <c r="J266">
        <v>4.7439989000000002E-2</v>
      </c>
      <c r="K266">
        <v>0.79112906708738995</v>
      </c>
      <c r="L266">
        <v>1</v>
      </c>
      <c r="M266">
        <v>3601.7283804580002</v>
      </c>
      <c r="N266">
        <v>1059138</v>
      </c>
      <c r="O266">
        <v>1.05018078546947E-3</v>
      </c>
      <c r="P266" s="5">
        <v>0.73764142896999696</v>
      </c>
      <c r="Q266">
        <v>1</v>
      </c>
      <c r="R266">
        <v>183.52817727300001</v>
      </c>
      <c r="S266">
        <v>2563</v>
      </c>
      <c r="T266" s="1">
        <v>3.47322446553333E-7</v>
      </c>
      <c r="U266">
        <v>2478</v>
      </c>
      <c r="V266" s="5">
        <v>1.16426997550073</v>
      </c>
      <c r="W266">
        <v>1</v>
      </c>
      <c r="X266">
        <v>8.1507285730000003</v>
      </c>
      <c r="Y266">
        <v>2788</v>
      </c>
      <c r="Z266" s="1">
        <v>9.2110014841828495E-7</v>
      </c>
      <c r="AA266">
        <v>1</v>
      </c>
    </row>
    <row r="267" spans="1:27" x14ac:dyDescent="0.2">
      <c r="A267">
        <v>10</v>
      </c>
      <c r="B267">
        <v>1</v>
      </c>
      <c r="C267">
        <v>0.2</v>
      </c>
      <c r="D267">
        <v>100</v>
      </c>
      <c r="E267">
        <v>0.75196177621705396</v>
      </c>
      <c r="F267">
        <v>1</v>
      </c>
      <c r="G267">
        <v>33.388345428000001</v>
      </c>
      <c r="H267">
        <v>0.58897964687261894</v>
      </c>
      <c r="I267">
        <v>1</v>
      </c>
      <c r="J267">
        <v>0.42038807099999997</v>
      </c>
      <c r="K267">
        <v>0.506414440297692</v>
      </c>
      <c r="L267">
        <v>1</v>
      </c>
      <c r="M267">
        <v>3600.543432036</v>
      </c>
      <c r="N267">
        <v>671215</v>
      </c>
      <c r="O267">
        <v>2.73290797362006E-2</v>
      </c>
      <c r="P267" s="5">
        <v>1.1384182677362999</v>
      </c>
      <c r="Q267">
        <v>1</v>
      </c>
      <c r="R267">
        <v>181.08533632999999</v>
      </c>
      <c r="S267">
        <v>4729</v>
      </c>
      <c r="T267">
        <v>2.80332911102416E-4</v>
      </c>
      <c r="U267">
        <v>3500</v>
      </c>
      <c r="V267" s="5">
        <v>0.54865527080226395</v>
      </c>
      <c r="W267">
        <v>1</v>
      </c>
      <c r="X267">
        <v>29.307852620999999</v>
      </c>
      <c r="Y267">
        <v>3113</v>
      </c>
      <c r="Z267">
        <v>9.8998926723442506E-4</v>
      </c>
      <c r="AA267">
        <v>3</v>
      </c>
    </row>
    <row r="268" spans="1:27" x14ac:dyDescent="0.2">
      <c r="A268">
        <v>10</v>
      </c>
      <c r="B268">
        <v>1</v>
      </c>
      <c r="C268">
        <v>0.1</v>
      </c>
      <c r="D268">
        <v>100</v>
      </c>
      <c r="E268">
        <v>0.92126927053427599</v>
      </c>
      <c r="F268">
        <v>1</v>
      </c>
      <c r="G268">
        <v>33.790220955000002</v>
      </c>
      <c r="H268">
        <v>0.91755206419253899</v>
      </c>
      <c r="I268">
        <v>1</v>
      </c>
      <c r="J268">
        <v>0.12037745499999999</v>
      </c>
      <c r="K268">
        <v>0.92925309797863398</v>
      </c>
      <c r="L268">
        <v>1</v>
      </c>
      <c r="M268">
        <v>3601.0232823309998</v>
      </c>
      <c r="N268">
        <v>900914</v>
      </c>
      <c r="O268">
        <v>7.6880697123442501E-3</v>
      </c>
      <c r="P268" s="5">
        <v>1.12075819609772</v>
      </c>
      <c r="Q268">
        <v>1</v>
      </c>
      <c r="R268">
        <v>141.20071149699999</v>
      </c>
      <c r="S268">
        <v>2695</v>
      </c>
      <c r="T268">
        <v>4.4410749036133998E-4</v>
      </c>
      <c r="U268">
        <v>2649</v>
      </c>
      <c r="V268" s="5">
        <v>1.12074607908318</v>
      </c>
      <c r="W268">
        <v>1</v>
      </c>
      <c r="X268">
        <v>12.366208105</v>
      </c>
      <c r="Y268">
        <v>0</v>
      </c>
      <c r="Z268">
        <v>8.2065319677253996E-4</v>
      </c>
      <c r="AA268">
        <v>6</v>
      </c>
    </row>
    <row r="269" spans="1:27" x14ac:dyDescent="0.2">
      <c r="A269">
        <v>10</v>
      </c>
      <c r="B269">
        <v>1</v>
      </c>
      <c r="C269">
        <v>0.1</v>
      </c>
      <c r="D269">
        <v>100</v>
      </c>
      <c r="E269">
        <v>0.98823757114631305</v>
      </c>
      <c r="F269">
        <v>1</v>
      </c>
      <c r="G269">
        <v>30.664869165999999</v>
      </c>
      <c r="H269">
        <v>0.97870684009064401</v>
      </c>
      <c r="I269">
        <v>1</v>
      </c>
      <c r="J269">
        <v>9.3970706000000001E-2</v>
      </c>
      <c r="K269">
        <v>0.98964094401935299</v>
      </c>
      <c r="L269">
        <v>1</v>
      </c>
      <c r="M269">
        <v>3600.704561131</v>
      </c>
      <c r="N269">
        <v>575521</v>
      </c>
      <c r="O269">
        <v>7.1999373222847397E-4</v>
      </c>
      <c r="P269" s="5">
        <v>1.0026786911863499</v>
      </c>
      <c r="Q269">
        <v>1</v>
      </c>
      <c r="R269">
        <v>979.47086122400003</v>
      </c>
      <c r="S269">
        <v>44186</v>
      </c>
      <c r="T269" s="1">
        <v>3.3743709792123E-6</v>
      </c>
      <c r="U269">
        <v>23632</v>
      </c>
      <c r="V269" s="5">
        <v>1.0989666189207701</v>
      </c>
      <c r="W269">
        <v>1</v>
      </c>
      <c r="X269">
        <v>633.46352170700004</v>
      </c>
      <c r="Y269">
        <v>114313</v>
      </c>
      <c r="Z269" s="1">
        <v>3.3344550521498598E-5</v>
      </c>
      <c r="AA269">
        <v>11</v>
      </c>
    </row>
    <row r="270" spans="1:27" x14ac:dyDescent="0.2">
      <c r="A270">
        <v>10</v>
      </c>
      <c r="B270">
        <v>1</v>
      </c>
      <c r="C270">
        <v>0.3</v>
      </c>
      <c r="D270">
        <v>100</v>
      </c>
      <c r="E270">
        <v>0.23383084658745101</v>
      </c>
      <c r="F270">
        <v>1</v>
      </c>
      <c r="G270">
        <v>34.712634628000004</v>
      </c>
      <c r="H270">
        <v>0.24053336425021399</v>
      </c>
      <c r="I270">
        <v>1</v>
      </c>
      <c r="J270">
        <v>0.12283907299999999</v>
      </c>
      <c r="K270">
        <v>0.26059994430740602</v>
      </c>
      <c r="L270">
        <v>1</v>
      </c>
      <c r="M270">
        <v>3600.5852025200002</v>
      </c>
      <c r="N270">
        <v>1314227</v>
      </c>
      <c r="O270">
        <v>2.3115616075983698E-3</v>
      </c>
      <c r="P270" s="5">
        <v>0.31076636885195902</v>
      </c>
      <c r="Q270">
        <v>1</v>
      </c>
      <c r="R270">
        <v>215.42660553499999</v>
      </c>
      <c r="S270">
        <v>4775</v>
      </c>
      <c r="T270">
        <v>9.9467383005902299E-4</v>
      </c>
      <c r="U270">
        <v>4038</v>
      </c>
      <c r="V270" s="5">
        <v>0.27691844161790102</v>
      </c>
      <c r="W270">
        <v>1</v>
      </c>
      <c r="X270">
        <v>28.688010618</v>
      </c>
      <c r="Y270">
        <v>3618</v>
      </c>
      <c r="Z270">
        <v>1.9401022012618899E-3</v>
      </c>
      <c r="AA270">
        <v>6</v>
      </c>
    </row>
    <row r="271" spans="1:27" x14ac:dyDescent="0.2">
      <c r="A271">
        <v>10</v>
      </c>
      <c r="B271">
        <v>1</v>
      </c>
      <c r="C271">
        <v>0.4</v>
      </c>
      <c r="D271">
        <v>100</v>
      </c>
      <c r="E271">
        <v>5.1474245980306498E-2</v>
      </c>
      <c r="F271">
        <v>1</v>
      </c>
      <c r="G271">
        <v>33.823545885000001</v>
      </c>
      <c r="H271">
        <v>2.0848401586729199E-2</v>
      </c>
      <c r="I271">
        <v>1</v>
      </c>
      <c r="J271">
        <v>0.10326752</v>
      </c>
      <c r="K271">
        <v>2.07702264048065E-2</v>
      </c>
      <c r="L271">
        <v>1</v>
      </c>
      <c r="M271">
        <v>1491.160105294</v>
      </c>
      <c r="N271">
        <v>339218</v>
      </c>
      <c r="O271">
        <v>2.36502588577636E-3</v>
      </c>
      <c r="P271" s="5">
        <v>1.42335431149163E-2</v>
      </c>
      <c r="Q271">
        <v>1</v>
      </c>
      <c r="R271">
        <v>24.817360947000001</v>
      </c>
      <c r="S271">
        <v>1</v>
      </c>
      <c r="T271">
        <v>2.1712868318828301E-3</v>
      </c>
      <c r="U271">
        <v>5</v>
      </c>
      <c r="V271" s="5">
        <v>1.4233543127458999E-2</v>
      </c>
      <c r="W271">
        <v>1</v>
      </c>
      <c r="X271">
        <v>9.2496675990000004</v>
      </c>
      <c r="Y271">
        <v>1</v>
      </c>
      <c r="Z271">
        <v>1.8096755228801599E-3</v>
      </c>
      <c r="AA271">
        <v>1</v>
      </c>
    </row>
    <row r="272" spans="1:27" x14ac:dyDescent="0.2">
      <c r="A272">
        <v>10</v>
      </c>
      <c r="B272">
        <v>1</v>
      </c>
      <c r="C272">
        <v>0.4</v>
      </c>
      <c r="D272">
        <v>100</v>
      </c>
      <c r="E272">
        <v>0.36238362285631998</v>
      </c>
      <c r="F272">
        <v>1</v>
      </c>
      <c r="G272">
        <v>33.529036032999997</v>
      </c>
      <c r="H272">
        <v>0.19306752370187799</v>
      </c>
      <c r="I272">
        <v>1</v>
      </c>
      <c r="J272">
        <v>8.0419928000000002E-2</v>
      </c>
      <c r="K272">
        <v>0.192151204664533</v>
      </c>
      <c r="L272">
        <v>1</v>
      </c>
      <c r="M272">
        <v>3600.9663281960002</v>
      </c>
      <c r="N272">
        <v>872901</v>
      </c>
      <c r="O272">
        <v>9.0367572444414093E-3</v>
      </c>
      <c r="P272" s="5">
        <v>0.25892550583145202</v>
      </c>
      <c r="Q272">
        <v>1</v>
      </c>
      <c r="R272">
        <v>237.172248078</v>
      </c>
      <c r="S272">
        <v>3231</v>
      </c>
      <c r="T272">
        <v>2.4650182629119498E-3</v>
      </c>
      <c r="U272">
        <v>2649</v>
      </c>
      <c r="V272" s="5">
        <v>0.25617069814214499</v>
      </c>
      <c r="W272">
        <v>1</v>
      </c>
      <c r="X272">
        <v>1545.6670125569999</v>
      </c>
      <c r="Y272">
        <v>88039</v>
      </c>
      <c r="Z272">
        <v>1.28259652486661E-3</v>
      </c>
      <c r="AA272">
        <v>20</v>
      </c>
    </row>
    <row r="273" spans="1:27" x14ac:dyDescent="0.2">
      <c r="A273">
        <v>10</v>
      </c>
      <c r="B273">
        <v>1</v>
      </c>
      <c r="C273">
        <v>0.2</v>
      </c>
      <c r="D273">
        <v>100</v>
      </c>
      <c r="E273">
        <v>0.87913693939802895</v>
      </c>
      <c r="F273">
        <v>1</v>
      </c>
      <c r="G273">
        <v>34.472348691999997</v>
      </c>
      <c r="H273">
        <v>0.87376642185582198</v>
      </c>
      <c r="I273">
        <v>1</v>
      </c>
      <c r="J273">
        <v>8.1999534999999998E-2</v>
      </c>
      <c r="K273">
        <v>0.33129991163307598</v>
      </c>
      <c r="L273">
        <v>1</v>
      </c>
      <c r="M273">
        <v>3600.8103495669998</v>
      </c>
      <c r="N273">
        <v>580580</v>
      </c>
      <c r="O273">
        <v>1.7739343569846001E-2</v>
      </c>
      <c r="P273" s="5">
        <v>0.423735980232119</v>
      </c>
      <c r="Q273">
        <v>1</v>
      </c>
      <c r="R273">
        <v>377.31786235200002</v>
      </c>
      <c r="S273">
        <v>11139</v>
      </c>
      <c r="T273">
        <v>3.1006250597105601E-4</v>
      </c>
      <c r="U273">
        <v>7881</v>
      </c>
      <c r="V273" s="5">
        <v>1.3026665349536199</v>
      </c>
      <c r="W273">
        <v>1</v>
      </c>
      <c r="X273">
        <v>31.931159642000001</v>
      </c>
      <c r="Y273">
        <v>3540</v>
      </c>
      <c r="Z273">
        <v>7.1316319447799897E-4</v>
      </c>
      <c r="AA273">
        <v>6</v>
      </c>
    </row>
    <row r="274" spans="1:27" x14ac:dyDescent="0.2">
      <c r="A274">
        <v>10</v>
      </c>
      <c r="B274">
        <v>1</v>
      </c>
      <c r="C274">
        <v>0.2</v>
      </c>
      <c r="D274">
        <v>100</v>
      </c>
      <c r="E274">
        <v>0.71546871890736397</v>
      </c>
      <c r="F274">
        <v>1</v>
      </c>
      <c r="G274">
        <v>42.733665901999998</v>
      </c>
      <c r="H274">
        <v>0.69599486366381802</v>
      </c>
      <c r="I274">
        <v>1</v>
      </c>
      <c r="J274">
        <v>0.16199152999999999</v>
      </c>
      <c r="K274">
        <v>0.65883339835239796</v>
      </c>
      <c r="L274">
        <v>1</v>
      </c>
      <c r="M274">
        <v>3600.7701212809998</v>
      </c>
      <c r="N274">
        <v>953308</v>
      </c>
      <c r="O274">
        <v>3.5285147523733602E-3</v>
      </c>
      <c r="P274" s="5">
        <v>0.89984192468302404</v>
      </c>
      <c r="Q274">
        <v>1</v>
      </c>
      <c r="R274">
        <v>254.76393269299999</v>
      </c>
      <c r="S274">
        <v>5212</v>
      </c>
      <c r="T274">
        <v>3.9168526735586901E-4</v>
      </c>
      <c r="U274">
        <v>3990</v>
      </c>
      <c r="V274" s="5">
        <v>0.67504468274509</v>
      </c>
      <c r="W274">
        <v>1</v>
      </c>
      <c r="X274">
        <v>26.120657628</v>
      </c>
      <c r="Y274">
        <v>3656</v>
      </c>
      <c r="Z274">
        <v>6.8165183473626397E-4</v>
      </c>
      <c r="AA274">
        <v>5</v>
      </c>
    </row>
    <row r="275" spans="1:27" x14ac:dyDescent="0.2">
      <c r="A275">
        <v>10</v>
      </c>
      <c r="B275">
        <v>1</v>
      </c>
      <c r="C275">
        <v>0.4</v>
      </c>
      <c r="D275">
        <v>100</v>
      </c>
      <c r="E275">
        <v>9.7717871130776707E-2</v>
      </c>
      <c r="F275">
        <v>1</v>
      </c>
      <c r="G275">
        <v>30.730502717</v>
      </c>
      <c r="H275">
        <v>7.1930432681284601E-2</v>
      </c>
      <c r="I275">
        <v>1</v>
      </c>
      <c r="J275">
        <v>9.8148298999999994E-2</v>
      </c>
      <c r="K275">
        <v>7.1435013142557499E-2</v>
      </c>
      <c r="L275">
        <v>1</v>
      </c>
      <c r="M275">
        <v>3600.6952385270001</v>
      </c>
      <c r="N275">
        <v>842820</v>
      </c>
      <c r="O275">
        <v>3.36721275000329E-3</v>
      </c>
      <c r="P275" s="5">
        <v>0.16993956981538999</v>
      </c>
      <c r="Q275">
        <v>1</v>
      </c>
      <c r="R275">
        <v>434.614436872</v>
      </c>
      <c r="S275">
        <v>11063</v>
      </c>
      <c r="T275">
        <v>2.3558493323976E-3</v>
      </c>
      <c r="U275">
        <v>6663</v>
      </c>
      <c r="V275" s="5">
        <v>0.106237736707453</v>
      </c>
      <c r="W275">
        <v>1</v>
      </c>
      <c r="X275">
        <v>1500.792514858</v>
      </c>
      <c r="Y275">
        <v>70808</v>
      </c>
      <c r="Z275">
        <v>1.23561995377058E-3</v>
      </c>
      <c r="AA275">
        <v>20</v>
      </c>
    </row>
    <row r="276" spans="1:27" x14ac:dyDescent="0.2">
      <c r="A276">
        <v>10</v>
      </c>
      <c r="B276">
        <v>1</v>
      </c>
      <c r="C276">
        <v>0.2</v>
      </c>
      <c r="D276">
        <v>100</v>
      </c>
      <c r="E276">
        <v>0.79548908208219604</v>
      </c>
      <c r="F276">
        <v>1</v>
      </c>
      <c r="G276">
        <v>30.664978944000001</v>
      </c>
      <c r="H276">
        <v>0.70400174649999703</v>
      </c>
      <c r="I276">
        <v>1</v>
      </c>
      <c r="J276">
        <v>8.4994273999999995E-2</v>
      </c>
      <c r="K276">
        <v>0.70664436922236495</v>
      </c>
      <c r="L276">
        <v>1</v>
      </c>
      <c r="M276">
        <v>3601.0633261620001</v>
      </c>
      <c r="N276">
        <v>457384</v>
      </c>
      <c r="O276">
        <v>3.2436230771797298E-3</v>
      </c>
      <c r="P276" s="5">
        <v>0.74207715018579101</v>
      </c>
      <c r="Q276">
        <v>1</v>
      </c>
      <c r="R276">
        <v>314.92800477200001</v>
      </c>
      <c r="S276">
        <v>6383</v>
      </c>
      <c r="T276" s="1">
        <v>3.6659354647872297E-5</v>
      </c>
      <c r="U276">
        <v>4579</v>
      </c>
      <c r="V276" s="5">
        <v>0.74448762202156005</v>
      </c>
      <c r="W276">
        <v>1</v>
      </c>
      <c r="X276">
        <v>1590.4358589159999</v>
      </c>
      <c r="Y276">
        <v>104581</v>
      </c>
      <c r="Z276">
        <v>1.144535016343E-4</v>
      </c>
      <c r="AA276">
        <v>16</v>
      </c>
    </row>
    <row r="277" spans="1:27" x14ac:dyDescent="0.2">
      <c r="A277">
        <v>10</v>
      </c>
      <c r="B277">
        <v>1</v>
      </c>
      <c r="C277">
        <v>0.1</v>
      </c>
      <c r="D277">
        <v>100</v>
      </c>
      <c r="E277">
        <v>0.96517381020651705</v>
      </c>
      <c r="F277">
        <v>1</v>
      </c>
      <c r="G277">
        <v>34.862359468999998</v>
      </c>
      <c r="H277">
        <v>0.96517381039595496</v>
      </c>
      <c r="I277">
        <v>1</v>
      </c>
      <c r="J277">
        <v>7.0130847999999996E-2</v>
      </c>
      <c r="K277">
        <v>1.12819098138128</v>
      </c>
      <c r="L277">
        <v>1</v>
      </c>
      <c r="M277">
        <v>3600.7166547040001</v>
      </c>
      <c r="N277">
        <v>886357</v>
      </c>
      <c r="O277">
        <v>8.1535867302999707E-3</v>
      </c>
      <c r="P277" s="5">
        <v>1.10070957293841</v>
      </c>
      <c r="Q277">
        <v>1</v>
      </c>
      <c r="R277">
        <v>148.860864303</v>
      </c>
      <c r="S277">
        <v>2909</v>
      </c>
      <c r="T277" s="1">
        <v>1.1420772589948399E-5</v>
      </c>
      <c r="U277">
        <v>2905</v>
      </c>
      <c r="V277" s="5">
        <v>1.1101829412330699</v>
      </c>
      <c r="W277">
        <v>1</v>
      </c>
      <c r="X277">
        <v>5.7925343949999997</v>
      </c>
      <c r="Y277">
        <v>1388</v>
      </c>
      <c r="Z277">
        <v>1.17061641285203E-4</v>
      </c>
      <c r="AA277">
        <v>1</v>
      </c>
    </row>
    <row r="278" spans="1:27" x14ac:dyDescent="0.2">
      <c r="A278">
        <v>10</v>
      </c>
      <c r="B278">
        <v>1</v>
      </c>
      <c r="C278">
        <v>0.3</v>
      </c>
      <c r="D278">
        <v>100</v>
      </c>
      <c r="E278">
        <v>0.31757781452128703</v>
      </c>
      <c r="F278">
        <v>1</v>
      </c>
      <c r="G278">
        <v>35.399907706</v>
      </c>
      <c r="H278">
        <v>0.42780143946803301</v>
      </c>
      <c r="I278">
        <v>1</v>
      </c>
      <c r="J278">
        <v>0.241857234</v>
      </c>
      <c r="K278">
        <v>0.47477736766691497</v>
      </c>
      <c r="L278">
        <v>1</v>
      </c>
      <c r="M278">
        <v>3601.7165100470002</v>
      </c>
      <c r="N278">
        <v>468007</v>
      </c>
      <c r="O278">
        <v>9.1083475982127703E-3</v>
      </c>
      <c r="P278" s="5">
        <v>1.0388897454244399</v>
      </c>
      <c r="Q278">
        <v>1</v>
      </c>
      <c r="R278">
        <v>125.610124075</v>
      </c>
      <c r="S278">
        <v>2224</v>
      </c>
      <c r="T278">
        <v>4.2436358567893902E-4</v>
      </c>
      <c r="U278">
        <v>1670</v>
      </c>
      <c r="V278" s="5">
        <v>0.50990032226975801</v>
      </c>
      <c r="W278">
        <v>1</v>
      </c>
      <c r="X278">
        <v>15.079934669</v>
      </c>
      <c r="Y278">
        <v>1</v>
      </c>
      <c r="Z278">
        <v>1.7679737462606101E-3</v>
      </c>
      <c r="AA278">
        <v>2</v>
      </c>
    </row>
    <row r="279" spans="1:27" x14ac:dyDescent="0.2">
      <c r="A279">
        <v>10</v>
      </c>
      <c r="B279">
        <v>1</v>
      </c>
      <c r="C279">
        <v>0.3</v>
      </c>
      <c r="D279">
        <v>100</v>
      </c>
      <c r="E279">
        <v>0.70325097135153603</v>
      </c>
      <c r="F279">
        <v>1</v>
      </c>
      <c r="G279">
        <v>32.800485168000002</v>
      </c>
      <c r="H279">
        <v>0.69609612976292901</v>
      </c>
      <c r="I279">
        <v>1</v>
      </c>
      <c r="J279">
        <v>5.6338328999999999E-2</v>
      </c>
      <c r="K279">
        <v>0.69611352454925401</v>
      </c>
      <c r="L279">
        <v>1</v>
      </c>
      <c r="M279">
        <v>3600.690254227</v>
      </c>
      <c r="N279">
        <v>1303107</v>
      </c>
      <c r="O279">
        <v>1.9966426072777202E-3</v>
      </c>
      <c r="P279" s="5">
        <v>0.62758400177740503</v>
      </c>
      <c r="Q279">
        <v>1</v>
      </c>
      <c r="R279">
        <v>257.634202609</v>
      </c>
      <c r="S279">
        <v>6744</v>
      </c>
      <c r="T279">
        <v>1.0932797310828999E-3</v>
      </c>
      <c r="U279">
        <v>4688</v>
      </c>
      <c r="V279" s="5">
        <v>0.61749818130497802</v>
      </c>
      <c r="W279">
        <v>1</v>
      </c>
      <c r="X279">
        <v>1339.0242967720001</v>
      </c>
      <c r="Y279">
        <v>84403</v>
      </c>
      <c r="Z279">
        <v>5.0957156483975798E-4</v>
      </c>
      <c r="AA279">
        <v>20</v>
      </c>
    </row>
    <row r="280" spans="1:27" x14ac:dyDescent="0.2">
      <c r="A280">
        <v>10</v>
      </c>
      <c r="B280">
        <v>1</v>
      </c>
      <c r="C280">
        <v>0.3</v>
      </c>
      <c r="D280">
        <v>100</v>
      </c>
      <c r="E280">
        <v>0.40138087146909401</v>
      </c>
      <c r="F280">
        <v>1</v>
      </c>
      <c r="G280">
        <v>34.750705422999999</v>
      </c>
      <c r="H280">
        <v>0.128605552543295</v>
      </c>
      <c r="I280">
        <v>1</v>
      </c>
      <c r="J280">
        <v>0.28453392300000002</v>
      </c>
      <c r="K280">
        <v>0.13202451141398799</v>
      </c>
      <c r="L280">
        <v>1</v>
      </c>
      <c r="M280">
        <v>3600.6567385940002</v>
      </c>
      <c r="N280">
        <v>685866</v>
      </c>
      <c r="O280">
        <v>4.0973019610035504E-3</v>
      </c>
      <c r="P280" s="5">
        <v>0.326577163954405</v>
      </c>
      <c r="Q280">
        <v>1</v>
      </c>
      <c r="R280">
        <v>245.31165816999999</v>
      </c>
      <c r="S280">
        <v>3924</v>
      </c>
      <c r="T280">
        <v>5.3115050038679502E-4</v>
      </c>
      <c r="U280">
        <v>2995</v>
      </c>
      <c r="V280" s="5">
        <v>0.15975469946360801</v>
      </c>
      <c r="W280">
        <v>1</v>
      </c>
      <c r="X280">
        <v>2371.9592948999998</v>
      </c>
      <c r="Y280">
        <v>92440</v>
      </c>
      <c r="Z280">
        <v>1.0992233356021501E-3</v>
      </c>
      <c r="AA280">
        <v>20</v>
      </c>
    </row>
    <row r="281" spans="1:27" x14ac:dyDescent="0.2">
      <c r="A281">
        <v>10</v>
      </c>
      <c r="B281">
        <v>1</v>
      </c>
      <c r="C281">
        <v>0.1</v>
      </c>
      <c r="D281">
        <v>100</v>
      </c>
      <c r="E281">
        <v>0.96294081694451705</v>
      </c>
      <c r="F281">
        <v>1</v>
      </c>
      <c r="G281">
        <v>32.971513893000001</v>
      </c>
      <c r="H281">
        <v>0.95217794154679902</v>
      </c>
      <c r="I281">
        <v>1</v>
      </c>
      <c r="J281">
        <v>0.119497776</v>
      </c>
      <c r="K281">
        <v>0.85880716600360296</v>
      </c>
      <c r="L281">
        <v>1</v>
      </c>
      <c r="M281">
        <v>3600.7625662370001</v>
      </c>
      <c r="N281">
        <v>559674</v>
      </c>
      <c r="O281">
        <v>6.8084046185849997E-3</v>
      </c>
      <c r="P281" s="5">
        <v>0.91674363456602403</v>
      </c>
      <c r="Q281">
        <v>1</v>
      </c>
      <c r="R281">
        <v>232.841211792</v>
      </c>
      <c r="S281">
        <v>5835</v>
      </c>
      <c r="T281" s="1">
        <v>4.5606466083821803E-5</v>
      </c>
      <c r="U281">
        <v>4548</v>
      </c>
      <c r="V281" s="5">
        <v>1.0704654528219799</v>
      </c>
      <c r="W281">
        <v>1</v>
      </c>
      <c r="X281">
        <v>2685.7799664089998</v>
      </c>
      <c r="Y281">
        <v>689587</v>
      </c>
      <c r="Z281">
        <v>1.10424191538373E-4</v>
      </c>
      <c r="AA281">
        <v>20</v>
      </c>
    </row>
    <row r="282" spans="1:27" x14ac:dyDescent="0.2">
      <c r="A282">
        <v>10</v>
      </c>
      <c r="B282">
        <v>1</v>
      </c>
      <c r="C282">
        <v>0.4</v>
      </c>
      <c r="D282">
        <v>100</v>
      </c>
      <c r="E282">
        <v>0.25053601689967497</v>
      </c>
      <c r="F282">
        <v>1</v>
      </c>
      <c r="G282">
        <v>32.233263919999999</v>
      </c>
      <c r="H282">
        <v>0.22991664559983199</v>
      </c>
      <c r="I282">
        <v>1</v>
      </c>
      <c r="J282">
        <v>8.4858724999999996E-2</v>
      </c>
      <c r="K282">
        <v>0.229876650265921</v>
      </c>
      <c r="L282">
        <v>1</v>
      </c>
      <c r="M282">
        <v>3600.5918888020001</v>
      </c>
      <c r="N282">
        <v>756748</v>
      </c>
      <c r="O282">
        <v>8.7385223799714105E-3</v>
      </c>
      <c r="P282" s="5">
        <v>0.44135858643419601</v>
      </c>
      <c r="Q282">
        <v>1</v>
      </c>
      <c r="R282">
        <v>469.91474031600001</v>
      </c>
      <c r="S282">
        <v>9439</v>
      </c>
      <c r="T282">
        <v>3.46473986375034E-3</v>
      </c>
      <c r="U282">
        <v>6147</v>
      </c>
      <c r="V282" s="5">
        <v>0.14918303094329699</v>
      </c>
      <c r="W282">
        <v>1</v>
      </c>
      <c r="X282">
        <v>2566.3438917580002</v>
      </c>
      <c r="Y282">
        <v>78573</v>
      </c>
      <c r="Z282">
        <v>9.2457662761474199E-3</v>
      </c>
      <c r="AA282">
        <v>20</v>
      </c>
    </row>
    <row r="283" spans="1:27" x14ac:dyDescent="0.2">
      <c r="A283">
        <v>10</v>
      </c>
      <c r="B283">
        <v>1</v>
      </c>
      <c r="C283">
        <v>0.1</v>
      </c>
      <c r="D283">
        <v>100</v>
      </c>
      <c r="E283">
        <v>0.97974183067462695</v>
      </c>
      <c r="F283">
        <v>1</v>
      </c>
      <c r="G283">
        <v>33.654296893999998</v>
      </c>
      <c r="H283">
        <v>0.97974183067462695</v>
      </c>
      <c r="I283">
        <v>1</v>
      </c>
      <c r="J283">
        <v>4.4443950000000003E-2</v>
      </c>
      <c r="K283">
        <v>1.1082589252297601</v>
      </c>
      <c r="L283">
        <v>1</v>
      </c>
      <c r="M283">
        <v>3601.555545186</v>
      </c>
      <c r="N283">
        <v>755591</v>
      </c>
      <c r="O283">
        <v>2.8294368935989299E-3</v>
      </c>
      <c r="P283" s="5">
        <v>1.2877791397846501</v>
      </c>
      <c r="Q283">
        <v>1</v>
      </c>
      <c r="R283">
        <v>180.58382902899999</v>
      </c>
      <c r="S283">
        <v>2915</v>
      </c>
      <c r="T283">
        <v>0</v>
      </c>
      <c r="U283">
        <v>2914</v>
      </c>
      <c r="V283" s="5">
        <v>1.1353950639414301</v>
      </c>
      <c r="W283">
        <v>1</v>
      </c>
      <c r="X283">
        <v>8.3071522580000003</v>
      </c>
      <c r="Y283">
        <v>2617</v>
      </c>
      <c r="Z283" s="1">
        <v>1.03275313716412E-5</v>
      </c>
      <c r="AA283">
        <v>1</v>
      </c>
    </row>
    <row r="284" spans="1:27" x14ac:dyDescent="0.2">
      <c r="A284">
        <v>10</v>
      </c>
      <c r="B284">
        <v>1</v>
      </c>
      <c r="C284">
        <v>0.2</v>
      </c>
      <c r="D284">
        <v>100</v>
      </c>
      <c r="E284">
        <v>0.89311205937914795</v>
      </c>
      <c r="F284">
        <v>1</v>
      </c>
      <c r="G284">
        <v>33.744302494000003</v>
      </c>
      <c r="H284">
        <v>0.38445083220390402</v>
      </c>
      <c r="I284">
        <v>1</v>
      </c>
      <c r="J284">
        <v>0.53172123100000002</v>
      </c>
      <c r="K284">
        <v>1.2796131103006301</v>
      </c>
      <c r="L284">
        <v>1</v>
      </c>
      <c r="M284">
        <v>3600.7832860369999</v>
      </c>
      <c r="N284">
        <v>328043</v>
      </c>
      <c r="O284">
        <v>4.2952438823452697E-2</v>
      </c>
      <c r="P284" s="5">
        <v>1.11448486983034</v>
      </c>
      <c r="Q284">
        <v>1</v>
      </c>
      <c r="R284">
        <v>623.34971203500004</v>
      </c>
      <c r="S284">
        <v>15158</v>
      </c>
      <c r="T284">
        <v>3.7721360196217498E-4</v>
      </c>
      <c r="U284">
        <v>9286</v>
      </c>
      <c r="V284" s="5">
        <v>0.43716422419492401</v>
      </c>
      <c r="W284">
        <v>1</v>
      </c>
      <c r="X284">
        <v>2664.7618028910001</v>
      </c>
      <c r="Y284">
        <v>116326</v>
      </c>
      <c r="Z284">
        <v>1.02037521830437E-3</v>
      </c>
      <c r="AA284">
        <v>20</v>
      </c>
    </row>
    <row r="285" spans="1:27" x14ac:dyDescent="0.2">
      <c r="A285">
        <v>10</v>
      </c>
      <c r="B285">
        <v>1</v>
      </c>
      <c r="C285">
        <v>0.4</v>
      </c>
      <c r="D285">
        <v>100</v>
      </c>
      <c r="E285">
        <v>0.338399315400153</v>
      </c>
      <c r="F285">
        <v>1</v>
      </c>
      <c r="G285">
        <v>33.043963322000003</v>
      </c>
      <c r="H285">
        <v>9.8835614841962793E-2</v>
      </c>
      <c r="I285">
        <v>1</v>
      </c>
      <c r="J285">
        <v>0.114960838</v>
      </c>
      <c r="K285">
        <v>9.6864667870363699E-2</v>
      </c>
      <c r="L285">
        <v>1</v>
      </c>
      <c r="M285">
        <v>3600.9982450140001</v>
      </c>
      <c r="N285">
        <v>663466</v>
      </c>
      <c r="O285">
        <v>2.6462821411898899E-3</v>
      </c>
      <c r="P285" s="5">
        <v>0.23587018133836599</v>
      </c>
      <c r="Q285">
        <v>1</v>
      </c>
      <c r="R285">
        <v>454.41180028299999</v>
      </c>
      <c r="S285">
        <v>9808</v>
      </c>
      <c r="T285">
        <v>5.5890247493358498E-4</v>
      </c>
      <c r="U285">
        <v>6484</v>
      </c>
      <c r="V285" s="5">
        <v>0.22237852234118</v>
      </c>
      <c r="W285">
        <v>1</v>
      </c>
      <c r="X285">
        <v>2913.0721822239998</v>
      </c>
      <c r="Y285">
        <v>202840</v>
      </c>
      <c r="Z285">
        <v>2.9198727559966799E-4</v>
      </c>
      <c r="AA285">
        <v>20</v>
      </c>
    </row>
    <row r="286" spans="1:27" x14ac:dyDescent="0.2">
      <c r="A286">
        <v>10</v>
      </c>
      <c r="B286">
        <v>1</v>
      </c>
      <c r="C286">
        <v>0.3</v>
      </c>
      <c r="D286">
        <v>100</v>
      </c>
      <c r="E286">
        <v>0.30234884771119203</v>
      </c>
      <c r="F286">
        <v>1</v>
      </c>
      <c r="G286">
        <v>30.143949859999999</v>
      </c>
      <c r="H286">
        <v>6.3910431169477894E-2</v>
      </c>
      <c r="I286">
        <v>1</v>
      </c>
      <c r="J286">
        <v>0.13123621199999999</v>
      </c>
      <c r="K286">
        <v>6.19074944140518E-2</v>
      </c>
      <c r="L286">
        <v>1</v>
      </c>
      <c r="M286">
        <v>3600.9515228939999</v>
      </c>
      <c r="N286">
        <v>478246</v>
      </c>
      <c r="O286">
        <v>5.1189651739793601E-3</v>
      </c>
      <c r="P286" s="5">
        <v>0.223298705004919</v>
      </c>
      <c r="Q286">
        <v>1</v>
      </c>
      <c r="R286">
        <v>350.562008096</v>
      </c>
      <c r="S286">
        <v>6436</v>
      </c>
      <c r="T286">
        <v>1.0539243271591001E-3</v>
      </c>
      <c r="U286">
        <v>4572</v>
      </c>
      <c r="V286" s="5">
        <v>0.108931269354576</v>
      </c>
      <c r="W286">
        <v>1</v>
      </c>
      <c r="X286">
        <v>2520.8436485440002</v>
      </c>
      <c r="Y286">
        <v>119186</v>
      </c>
      <c r="Z286">
        <v>1.8995434216806501E-3</v>
      </c>
      <c r="AA286">
        <v>20</v>
      </c>
    </row>
    <row r="287" spans="1:27" x14ac:dyDescent="0.2">
      <c r="A287">
        <v>10</v>
      </c>
      <c r="B287">
        <v>1</v>
      </c>
      <c r="C287">
        <v>0.1</v>
      </c>
      <c r="D287">
        <v>100</v>
      </c>
      <c r="E287">
        <v>0.80466106937694504</v>
      </c>
      <c r="F287">
        <v>1</v>
      </c>
      <c r="G287">
        <v>32.720453329999998</v>
      </c>
      <c r="H287">
        <v>0.80770776765315599</v>
      </c>
      <c r="I287">
        <v>1</v>
      </c>
      <c r="J287">
        <v>3.8521215999999997E-2</v>
      </c>
      <c r="K287">
        <v>1.1060166629528601</v>
      </c>
      <c r="L287">
        <v>1</v>
      </c>
      <c r="M287">
        <v>3600.4890236810002</v>
      </c>
      <c r="N287">
        <v>668478</v>
      </c>
      <c r="O287">
        <v>6.68252681825554E-3</v>
      </c>
      <c r="P287" s="5">
        <v>1.6283889826096201</v>
      </c>
      <c r="Q287">
        <v>1</v>
      </c>
      <c r="R287">
        <v>73.517769372999993</v>
      </c>
      <c r="S287">
        <v>999</v>
      </c>
      <c r="T287" s="1">
        <v>2.7862133431532701E-5</v>
      </c>
      <c r="U287">
        <v>1003</v>
      </c>
      <c r="V287" s="5">
        <v>0.62623481191502794</v>
      </c>
      <c r="W287">
        <v>1</v>
      </c>
      <c r="X287">
        <v>2850.4637777190001</v>
      </c>
      <c r="Y287">
        <v>207679</v>
      </c>
      <c r="Z287">
        <v>2.83327668752891E-4</v>
      </c>
      <c r="AA287">
        <v>20</v>
      </c>
    </row>
    <row r="288" spans="1:27" x14ac:dyDescent="0.2">
      <c r="A288">
        <v>10</v>
      </c>
      <c r="B288">
        <v>1</v>
      </c>
      <c r="C288">
        <v>0.2</v>
      </c>
      <c r="D288">
        <v>100</v>
      </c>
      <c r="E288">
        <v>0.79531543308837904</v>
      </c>
      <c r="F288">
        <v>1</v>
      </c>
      <c r="G288">
        <v>31.129791206</v>
      </c>
      <c r="H288">
        <v>0.55139375325950202</v>
      </c>
      <c r="I288">
        <v>1</v>
      </c>
      <c r="J288">
        <v>0.21514341000000001</v>
      </c>
      <c r="K288">
        <v>0.57540487544447705</v>
      </c>
      <c r="L288">
        <v>1</v>
      </c>
      <c r="M288">
        <v>3600.5328862830002</v>
      </c>
      <c r="N288">
        <v>574390</v>
      </c>
      <c r="O288">
        <v>2.5158718291077398E-2</v>
      </c>
      <c r="P288" s="5">
        <v>0.64318252561453704</v>
      </c>
      <c r="Q288">
        <v>1</v>
      </c>
      <c r="R288">
        <v>264.15071483399998</v>
      </c>
      <c r="S288">
        <v>4940</v>
      </c>
      <c r="T288">
        <v>1.58423181518395E-4</v>
      </c>
      <c r="U288">
        <v>3473</v>
      </c>
      <c r="V288" s="5">
        <v>0.57922638860213205</v>
      </c>
      <c r="W288">
        <v>1</v>
      </c>
      <c r="X288">
        <v>2908.8386135300002</v>
      </c>
      <c r="Y288">
        <v>345324</v>
      </c>
      <c r="Z288">
        <v>4.8734466649413399E-4</v>
      </c>
      <c r="AA288">
        <v>20</v>
      </c>
    </row>
    <row r="289" spans="1:27" x14ac:dyDescent="0.2">
      <c r="A289">
        <v>10</v>
      </c>
      <c r="B289">
        <v>1</v>
      </c>
      <c r="C289">
        <v>0.1</v>
      </c>
      <c r="D289">
        <v>100</v>
      </c>
      <c r="E289">
        <v>0.95981088867347097</v>
      </c>
      <c r="F289">
        <v>1</v>
      </c>
      <c r="G289">
        <v>35.314632131000003</v>
      </c>
      <c r="H289">
        <v>0.95981090353721998</v>
      </c>
      <c r="I289">
        <v>1</v>
      </c>
      <c r="J289">
        <v>5.4273463000000001E-2</v>
      </c>
      <c r="K289">
        <v>0.85627655753188803</v>
      </c>
      <c r="L289">
        <v>1</v>
      </c>
      <c r="M289">
        <v>3600.5237486010001</v>
      </c>
      <c r="N289">
        <v>1204140</v>
      </c>
      <c r="O289">
        <v>8.9824269383420498E-4</v>
      </c>
      <c r="P289" s="5">
        <v>0.92495266935789699</v>
      </c>
      <c r="Q289">
        <v>1</v>
      </c>
      <c r="R289">
        <v>92.361640046999995</v>
      </c>
      <c r="S289">
        <v>1517</v>
      </c>
      <c r="T289" s="1">
        <v>4.6888057381663701E-6</v>
      </c>
      <c r="U289">
        <v>1526</v>
      </c>
      <c r="V289" s="5">
        <v>0.93142356397089099</v>
      </c>
      <c r="W289">
        <v>1</v>
      </c>
      <c r="X289">
        <v>5.0605394400000003</v>
      </c>
      <c r="Y289">
        <v>1419</v>
      </c>
      <c r="Z289" s="1">
        <v>3.9681567784253297E-5</v>
      </c>
      <c r="AA289">
        <v>1</v>
      </c>
    </row>
    <row r="290" spans="1:27" x14ac:dyDescent="0.2">
      <c r="A290">
        <v>10</v>
      </c>
      <c r="B290">
        <v>1</v>
      </c>
      <c r="C290">
        <v>0.2</v>
      </c>
      <c r="D290">
        <v>100</v>
      </c>
      <c r="E290">
        <v>0.80761143280715997</v>
      </c>
      <c r="F290">
        <v>1</v>
      </c>
      <c r="G290">
        <v>31.725485376999998</v>
      </c>
      <c r="H290">
        <v>0.78955186706086899</v>
      </c>
      <c r="I290">
        <v>1</v>
      </c>
      <c r="J290">
        <v>7.3849544000000003E-2</v>
      </c>
      <c r="K290">
        <v>0.77180741846230405</v>
      </c>
      <c r="L290">
        <v>1</v>
      </c>
      <c r="M290">
        <v>3600.4935849660001</v>
      </c>
      <c r="N290">
        <v>836077</v>
      </c>
      <c r="O290">
        <v>1.1420941758543799E-2</v>
      </c>
      <c r="P290" s="5">
        <v>0.72458743562387395</v>
      </c>
      <c r="Q290">
        <v>1</v>
      </c>
      <c r="R290">
        <v>301.56048611400001</v>
      </c>
      <c r="S290">
        <v>10417</v>
      </c>
      <c r="T290" s="1">
        <v>6.3123169551718096E-5</v>
      </c>
      <c r="U290">
        <v>6479</v>
      </c>
      <c r="V290" s="5">
        <v>0.84839550790628004</v>
      </c>
      <c r="W290">
        <v>1</v>
      </c>
      <c r="X290">
        <v>443.75335078299997</v>
      </c>
      <c r="Y290">
        <v>119224</v>
      </c>
      <c r="Z290" s="1">
        <v>6.1432028007803695E-5</v>
      </c>
      <c r="AA290">
        <v>12</v>
      </c>
    </row>
    <row r="291" spans="1:27" x14ac:dyDescent="0.2">
      <c r="A291">
        <v>10</v>
      </c>
      <c r="B291">
        <v>1</v>
      </c>
      <c r="C291">
        <v>0.4</v>
      </c>
      <c r="D291">
        <v>100</v>
      </c>
      <c r="E291">
        <v>0.20100806292006401</v>
      </c>
      <c r="F291">
        <v>1</v>
      </c>
      <c r="G291">
        <v>42.124085606999998</v>
      </c>
      <c r="H291">
        <v>5.1280924996767799E-2</v>
      </c>
      <c r="I291">
        <v>1</v>
      </c>
      <c r="J291">
        <v>0.26868331400000001</v>
      </c>
      <c r="K291">
        <v>5.0702075928389101E-2</v>
      </c>
      <c r="L291">
        <v>1</v>
      </c>
      <c r="M291">
        <v>3600.7299902069999</v>
      </c>
      <c r="N291">
        <v>769585</v>
      </c>
      <c r="O291">
        <v>3.0035786295776702E-3</v>
      </c>
      <c r="P291" s="5">
        <v>0.144874789444604</v>
      </c>
      <c r="Q291">
        <v>1</v>
      </c>
      <c r="R291">
        <v>647.83724346500003</v>
      </c>
      <c r="S291">
        <v>17139</v>
      </c>
      <c r="T291">
        <v>1.9826215650072202E-3</v>
      </c>
      <c r="U291">
        <v>10640</v>
      </c>
      <c r="V291" s="5">
        <v>6.2750075174974898E-2</v>
      </c>
      <c r="W291">
        <v>1</v>
      </c>
      <c r="X291">
        <v>1955.1650095340001</v>
      </c>
      <c r="Y291">
        <v>96915</v>
      </c>
      <c r="Z291">
        <v>1.2710749537373999E-3</v>
      </c>
      <c r="AA291">
        <v>20</v>
      </c>
    </row>
    <row r="292" spans="1:27" x14ac:dyDescent="0.2">
      <c r="A292">
        <v>10</v>
      </c>
      <c r="B292">
        <v>1</v>
      </c>
      <c r="C292">
        <v>0.2</v>
      </c>
      <c r="D292">
        <v>100</v>
      </c>
      <c r="E292">
        <v>0.63980584778072602</v>
      </c>
      <c r="F292">
        <v>1</v>
      </c>
      <c r="G292">
        <v>29.715752945999999</v>
      </c>
      <c r="H292">
        <v>0.29966245337960201</v>
      </c>
      <c r="I292">
        <v>1</v>
      </c>
      <c r="J292">
        <v>0.39696857800000002</v>
      </c>
      <c r="K292">
        <v>0.356642565316311</v>
      </c>
      <c r="L292">
        <v>1</v>
      </c>
      <c r="M292">
        <v>3600.8049606159998</v>
      </c>
      <c r="N292">
        <v>588628</v>
      </c>
      <c r="O292">
        <v>3.8712335381956203E-2</v>
      </c>
      <c r="P292" s="5">
        <v>0.433081320220707</v>
      </c>
      <c r="Q292">
        <v>1</v>
      </c>
      <c r="R292">
        <v>1084.6260628529999</v>
      </c>
      <c r="S292">
        <v>36178</v>
      </c>
      <c r="T292">
        <v>3.5000753117443701E-4</v>
      </c>
      <c r="U292">
        <v>20526</v>
      </c>
      <c r="V292" s="5">
        <v>0.45942408689931202</v>
      </c>
      <c r="W292">
        <v>1</v>
      </c>
      <c r="X292">
        <v>2507.548857196</v>
      </c>
      <c r="Y292">
        <v>216417</v>
      </c>
      <c r="Z292">
        <v>8.3066128778066996E-4</v>
      </c>
      <c r="AA292">
        <v>20</v>
      </c>
    </row>
    <row r="293" spans="1:27" x14ac:dyDescent="0.2">
      <c r="A293">
        <v>10</v>
      </c>
      <c r="B293">
        <v>1</v>
      </c>
      <c r="C293">
        <v>0.3</v>
      </c>
      <c r="D293">
        <v>100</v>
      </c>
      <c r="E293">
        <v>0.20930356238989101</v>
      </c>
      <c r="F293">
        <v>1</v>
      </c>
      <c r="G293">
        <v>33.611529328000003</v>
      </c>
      <c r="H293">
        <v>0.120372045702972</v>
      </c>
      <c r="I293">
        <v>1</v>
      </c>
      <c r="J293">
        <v>0.31681150299999999</v>
      </c>
      <c r="K293">
        <v>0.32570274155666001</v>
      </c>
      <c r="L293">
        <v>1</v>
      </c>
      <c r="M293">
        <v>3600.6717744590001</v>
      </c>
      <c r="N293">
        <v>1644620</v>
      </c>
      <c r="O293">
        <v>1.6180600531910699E-2</v>
      </c>
      <c r="P293" s="5">
        <v>0.205485985654007</v>
      </c>
      <c r="Q293">
        <v>1</v>
      </c>
      <c r="R293">
        <v>202.36781678700001</v>
      </c>
      <c r="S293">
        <v>4890</v>
      </c>
      <c r="T293">
        <v>4.6641100504800602E-3</v>
      </c>
      <c r="U293">
        <v>3857</v>
      </c>
      <c r="V293" s="5">
        <v>0.27211451909130902</v>
      </c>
      <c r="W293">
        <v>1</v>
      </c>
      <c r="X293">
        <v>356.07030024699998</v>
      </c>
      <c r="Y293">
        <v>29907</v>
      </c>
      <c r="Z293">
        <v>2.68960534577622E-3</v>
      </c>
      <c r="AA293">
        <v>20</v>
      </c>
    </row>
    <row r="294" spans="1:27" x14ac:dyDescent="0.2">
      <c r="A294">
        <v>10</v>
      </c>
      <c r="B294">
        <v>1</v>
      </c>
      <c r="C294">
        <v>0.3</v>
      </c>
      <c r="D294">
        <v>100</v>
      </c>
      <c r="E294">
        <v>0.45582732528942699</v>
      </c>
      <c r="F294">
        <v>1</v>
      </c>
      <c r="G294">
        <v>32.502148578000003</v>
      </c>
      <c r="H294">
        <v>0.16596248498543001</v>
      </c>
      <c r="I294">
        <v>1</v>
      </c>
      <c r="J294">
        <v>0.311985717</v>
      </c>
      <c r="K294">
        <v>0.16372380152309099</v>
      </c>
      <c r="L294">
        <v>1</v>
      </c>
      <c r="M294">
        <v>3600.5222925200001</v>
      </c>
      <c r="N294">
        <v>637660</v>
      </c>
      <c r="O294">
        <v>5.8677482507185604E-3</v>
      </c>
      <c r="P294" s="5">
        <v>1.14235268839742</v>
      </c>
      <c r="Q294">
        <v>1</v>
      </c>
      <c r="R294">
        <v>311.79082359900002</v>
      </c>
      <c r="S294">
        <v>8123</v>
      </c>
      <c r="T294">
        <v>6.9908303277654805E-4</v>
      </c>
      <c r="U294">
        <v>6013</v>
      </c>
      <c r="V294" s="5">
        <v>0.34858376105037298</v>
      </c>
      <c r="W294">
        <v>1</v>
      </c>
      <c r="X294">
        <v>3018.9863034320001</v>
      </c>
      <c r="Y294">
        <v>274011</v>
      </c>
      <c r="Z294">
        <v>2.1400772227515201E-3</v>
      </c>
      <c r="AA294">
        <v>20</v>
      </c>
    </row>
    <row r="295" spans="1:27" x14ac:dyDescent="0.2">
      <c r="A295">
        <v>10</v>
      </c>
      <c r="B295">
        <v>1</v>
      </c>
      <c r="C295">
        <v>0.4</v>
      </c>
      <c r="D295">
        <v>100</v>
      </c>
      <c r="E295">
        <v>0.30722210441875403</v>
      </c>
      <c r="F295">
        <v>1</v>
      </c>
      <c r="G295">
        <v>33.887487030999999</v>
      </c>
      <c r="H295">
        <v>5.9759793257330697E-2</v>
      </c>
      <c r="I295">
        <v>1</v>
      </c>
      <c r="J295">
        <v>0.20026802499999999</v>
      </c>
      <c r="K295">
        <v>5.9339769813322403E-2</v>
      </c>
      <c r="L295">
        <v>1</v>
      </c>
      <c r="M295">
        <v>3600.953295968</v>
      </c>
      <c r="N295">
        <v>754457</v>
      </c>
      <c r="O295">
        <v>4.1879584345210202E-3</v>
      </c>
      <c r="P295" s="5">
        <v>0.25744176909222</v>
      </c>
      <c r="Q295">
        <v>1</v>
      </c>
      <c r="R295">
        <v>701.58553699100003</v>
      </c>
      <c r="S295">
        <v>14918</v>
      </c>
      <c r="T295">
        <v>1.84172637688215E-3</v>
      </c>
      <c r="U295">
        <v>8477</v>
      </c>
      <c r="V295" s="5">
        <v>0.19483954784743701</v>
      </c>
      <c r="W295">
        <v>1</v>
      </c>
      <c r="X295">
        <v>2906.0010835399999</v>
      </c>
      <c r="Y295">
        <v>299039</v>
      </c>
      <c r="Z295">
        <v>5.5078253311438797E-3</v>
      </c>
      <c r="AA295">
        <v>20</v>
      </c>
    </row>
    <row r="296" spans="1:27" x14ac:dyDescent="0.2">
      <c r="A296">
        <v>10</v>
      </c>
      <c r="B296">
        <v>1</v>
      </c>
      <c r="C296">
        <v>0.3</v>
      </c>
      <c r="D296">
        <v>100</v>
      </c>
      <c r="E296">
        <v>0.25448075434880502</v>
      </c>
      <c r="F296">
        <v>1</v>
      </c>
      <c r="G296">
        <v>35.091499366000001</v>
      </c>
      <c r="H296">
        <v>8.1556721666878995E-2</v>
      </c>
      <c r="I296">
        <v>1</v>
      </c>
      <c r="J296">
        <v>0.108661786</v>
      </c>
      <c r="K296">
        <v>8.0613469039618704E-2</v>
      </c>
      <c r="L296">
        <v>1</v>
      </c>
      <c r="M296">
        <v>3601.2926199449998</v>
      </c>
      <c r="N296">
        <v>517343</v>
      </c>
      <c r="O296">
        <v>1.45575836493989E-2</v>
      </c>
      <c r="P296" s="5">
        <v>0.23385532187340799</v>
      </c>
      <c r="Q296">
        <v>1</v>
      </c>
      <c r="R296">
        <v>286.26328013900002</v>
      </c>
      <c r="S296">
        <v>6430</v>
      </c>
      <c r="T296">
        <v>8.2038297713490904E-4</v>
      </c>
      <c r="U296">
        <v>3961</v>
      </c>
      <c r="V296" s="5">
        <v>0.14051851748435701</v>
      </c>
      <c r="W296">
        <v>1</v>
      </c>
      <c r="X296">
        <v>2865.5900574860002</v>
      </c>
      <c r="Y296">
        <v>130385</v>
      </c>
      <c r="Z296">
        <v>2.49575734013926E-3</v>
      </c>
      <c r="AA296">
        <v>20</v>
      </c>
    </row>
    <row r="297" spans="1:27" x14ac:dyDescent="0.2">
      <c r="A297">
        <v>10</v>
      </c>
      <c r="B297">
        <v>1</v>
      </c>
      <c r="C297">
        <v>0.4</v>
      </c>
      <c r="D297">
        <v>100</v>
      </c>
      <c r="E297">
        <v>0.228949940184972</v>
      </c>
      <c r="F297">
        <v>1</v>
      </c>
      <c r="G297">
        <v>34.331366094000003</v>
      </c>
      <c r="H297">
        <v>0.14053307929509901</v>
      </c>
      <c r="I297">
        <v>1</v>
      </c>
      <c r="J297">
        <v>0.273506992</v>
      </c>
      <c r="K297">
        <v>0.13517526417075901</v>
      </c>
      <c r="L297">
        <v>1</v>
      </c>
      <c r="M297">
        <v>3600.7062282420002</v>
      </c>
      <c r="N297">
        <v>859629</v>
      </c>
      <c r="O297">
        <v>4.03625562258103E-3</v>
      </c>
      <c r="P297" s="5">
        <v>0.39260389001371399</v>
      </c>
      <c r="Q297">
        <v>1</v>
      </c>
      <c r="R297">
        <v>756.76772378600003</v>
      </c>
      <c r="S297">
        <v>28486</v>
      </c>
      <c r="T297">
        <v>6.7722979055617695E-4</v>
      </c>
      <c r="U297">
        <v>16139</v>
      </c>
      <c r="V297" s="5">
        <v>0.19129281754882299</v>
      </c>
      <c r="W297">
        <v>1</v>
      </c>
      <c r="X297">
        <v>2726.3151947669999</v>
      </c>
      <c r="Y297">
        <v>125221</v>
      </c>
      <c r="Z297">
        <v>2.61158411259578E-3</v>
      </c>
      <c r="AA297">
        <v>20</v>
      </c>
    </row>
    <row r="298" spans="1:27" x14ac:dyDescent="0.2">
      <c r="A298">
        <v>10</v>
      </c>
      <c r="B298">
        <v>1</v>
      </c>
      <c r="C298">
        <v>0.2</v>
      </c>
      <c r="D298">
        <v>100</v>
      </c>
      <c r="E298">
        <v>0.86876686559145799</v>
      </c>
      <c r="F298">
        <v>1</v>
      </c>
      <c r="G298">
        <v>34.955797988999997</v>
      </c>
      <c r="H298">
        <v>0.71457416952293296</v>
      </c>
      <c r="I298">
        <v>1</v>
      </c>
      <c r="J298">
        <v>0.25652528899999999</v>
      </c>
      <c r="K298">
        <v>1.05779469907896</v>
      </c>
      <c r="L298">
        <v>1</v>
      </c>
      <c r="M298">
        <v>3600.6042166920001</v>
      </c>
      <c r="N298">
        <v>750983</v>
      </c>
      <c r="O298">
        <v>1.6792324785336099E-2</v>
      </c>
      <c r="P298" s="5">
        <v>0.62089593217792804</v>
      </c>
      <c r="Q298">
        <v>1</v>
      </c>
      <c r="R298">
        <v>577.28748778299996</v>
      </c>
      <c r="S298">
        <v>10508</v>
      </c>
      <c r="T298">
        <v>3.8088419751790899E-4</v>
      </c>
      <c r="U298">
        <v>7371</v>
      </c>
      <c r="V298" s="5">
        <v>1.0623566062547001</v>
      </c>
      <c r="W298">
        <v>1</v>
      </c>
      <c r="X298">
        <v>2963.416001434</v>
      </c>
      <c r="Y298">
        <v>484246</v>
      </c>
      <c r="Z298">
        <v>5.2581854736310997E-4</v>
      </c>
      <c r="AA298">
        <v>20</v>
      </c>
    </row>
    <row r="299" spans="1:27" x14ac:dyDescent="0.2">
      <c r="A299">
        <v>10</v>
      </c>
      <c r="B299">
        <v>1</v>
      </c>
      <c r="C299">
        <v>0.4</v>
      </c>
      <c r="D299">
        <v>100</v>
      </c>
      <c r="E299">
        <v>0.121290077891673</v>
      </c>
      <c r="F299">
        <v>1</v>
      </c>
      <c r="G299">
        <v>30.122486961</v>
      </c>
      <c r="H299">
        <v>2.5521597256848098E-2</v>
      </c>
      <c r="I299">
        <v>1</v>
      </c>
      <c r="J299">
        <v>0.11448653</v>
      </c>
      <c r="K299">
        <v>2.5648864872644801E-2</v>
      </c>
      <c r="L299">
        <v>1</v>
      </c>
      <c r="M299">
        <v>153.00549820000001</v>
      </c>
      <c r="N299">
        <v>75542</v>
      </c>
      <c r="O299">
        <v>2.3939129862711101E-3</v>
      </c>
      <c r="P299" s="5">
        <v>3.7364354110403397E-2</v>
      </c>
      <c r="Q299">
        <v>1</v>
      </c>
      <c r="R299">
        <v>141.04961836699999</v>
      </c>
      <c r="S299">
        <v>2811</v>
      </c>
      <c r="T299">
        <v>2.2493962837509501E-3</v>
      </c>
      <c r="U299">
        <v>2222</v>
      </c>
      <c r="V299" s="5">
        <v>2.2907538649261198E-2</v>
      </c>
      <c r="W299">
        <v>1</v>
      </c>
      <c r="X299">
        <v>31.218449777</v>
      </c>
      <c r="Y299">
        <v>3128</v>
      </c>
      <c r="Z299">
        <v>2.1561655764274698E-3</v>
      </c>
      <c r="AA299">
        <v>11</v>
      </c>
    </row>
    <row r="300" spans="1:27" x14ac:dyDescent="0.2">
      <c r="A300">
        <v>10</v>
      </c>
      <c r="B300">
        <v>1</v>
      </c>
      <c r="C300">
        <v>0.4</v>
      </c>
      <c r="D300">
        <v>100</v>
      </c>
      <c r="E300">
        <v>8.3106946893527295E-2</v>
      </c>
      <c r="F300">
        <v>1</v>
      </c>
      <c r="G300">
        <v>30.922249895</v>
      </c>
      <c r="H300">
        <v>3.9364436346162802E-2</v>
      </c>
      <c r="I300">
        <v>1</v>
      </c>
      <c r="J300">
        <v>0.11634575599999999</v>
      </c>
      <c r="K300">
        <v>3.91992166507684E-2</v>
      </c>
      <c r="L300">
        <v>1</v>
      </c>
      <c r="M300">
        <v>687.76605446099995</v>
      </c>
      <c r="N300">
        <v>244131</v>
      </c>
      <c r="O300">
        <v>3.3091993678055999E-3</v>
      </c>
      <c r="P300" s="5">
        <v>3.7787585025547001E-2</v>
      </c>
      <c r="Q300">
        <v>1</v>
      </c>
      <c r="R300">
        <v>24.057736876</v>
      </c>
      <c r="S300">
        <v>53</v>
      </c>
      <c r="T300">
        <v>3.2061364141664399E-3</v>
      </c>
      <c r="U300">
        <v>39</v>
      </c>
      <c r="V300" s="5">
        <v>3.7787585034452502E-2</v>
      </c>
      <c r="W300">
        <v>1</v>
      </c>
      <c r="X300">
        <v>7.6835871930000001</v>
      </c>
      <c r="Y300">
        <v>57</v>
      </c>
      <c r="Z300">
        <v>3.2294080258562499E-3</v>
      </c>
      <c r="AA300">
        <v>1</v>
      </c>
    </row>
    <row r="301" spans="1:27" x14ac:dyDescent="0.2">
      <c r="A301">
        <v>10</v>
      </c>
      <c r="B301">
        <v>1</v>
      </c>
      <c r="C301">
        <v>0.3</v>
      </c>
      <c r="D301">
        <v>100</v>
      </c>
      <c r="E301">
        <v>0.22791235313713901</v>
      </c>
      <c r="F301">
        <v>1</v>
      </c>
      <c r="G301">
        <v>32.178858996999999</v>
      </c>
      <c r="H301">
        <v>0.22828406938652299</v>
      </c>
      <c r="I301">
        <v>1</v>
      </c>
      <c r="J301">
        <v>3.8843648000000001E-2</v>
      </c>
      <c r="K301">
        <v>0.228296770085922</v>
      </c>
      <c r="L301">
        <v>1</v>
      </c>
      <c r="M301">
        <v>1101.0281389050001</v>
      </c>
      <c r="N301">
        <v>325336</v>
      </c>
      <c r="O301">
        <v>1.2778442950462899E-3</v>
      </c>
      <c r="P301" s="5">
        <v>0.22811482498361399</v>
      </c>
      <c r="Q301">
        <v>1</v>
      </c>
      <c r="R301">
        <v>23.098189398999999</v>
      </c>
      <c r="S301">
        <v>1</v>
      </c>
      <c r="T301">
        <v>5.4738425871858599E-4</v>
      </c>
      <c r="U301">
        <v>3</v>
      </c>
      <c r="V301" s="5">
        <v>0.22811482498351399</v>
      </c>
      <c r="W301">
        <v>1</v>
      </c>
      <c r="X301">
        <v>6.4624634600000004</v>
      </c>
      <c r="Y301">
        <v>1</v>
      </c>
      <c r="Z301">
        <v>4.3183490813422599E-4</v>
      </c>
      <c r="AA301">
        <v>1</v>
      </c>
    </row>
    <row r="302" spans="1:27" x14ac:dyDescent="0.2">
      <c r="A302">
        <v>10</v>
      </c>
      <c r="B302">
        <v>1</v>
      </c>
      <c r="C302">
        <v>0.4</v>
      </c>
      <c r="D302">
        <v>100</v>
      </c>
      <c r="E302">
        <v>2.52618499820477E-2</v>
      </c>
      <c r="F302">
        <v>1</v>
      </c>
      <c r="G302">
        <v>31.038321138000001</v>
      </c>
      <c r="H302">
        <v>2.1589338445137898E-2</v>
      </c>
      <c r="I302">
        <v>1</v>
      </c>
      <c r="J302">
        <v>5.9397304999999997E-2</v>
      </c>
      <c r="K302">
        <v>2.13050325060977E-2</v>
      </c>
      <c r="L302">
        <v>1</v>
      </c>
      <c r="M302">
        <v>1083.709274413</v>
      </c>
      <c r="N302">
        <v>316893</v>
      </c>
      <c r="O302">
        <v>4.0599518242530001E-3</v>
      </c>
      <c r="P302" s="5">
        <v>1.5277556418896601E-2</v>
      </c>
      <c r="Q302">
        <v>1</v>
      </c>
      <c r="R302">
        <v>19.581849329000001</v>
      </c>
      <c r="S302">
        <v>1</v>
      </c>
      <c r="T302">
        <v>3.29199430115506E-3</v>
      </c>
      <c r="U302">
        <v>4</v>
      </c>
      <c r="V302" s="5">
        <v>1.527755641912E-2</v>
      </c>
      <c r="W302">
        <v>1</v>
      </c>
      <c r="X302">
        <v>8.0035199800000001</v>
      </c>
      <c r="Y302">
        <v>1</v>
      </c>
      <c r="Z302">
        <v>2.24511328623383E-3</v>
      </c>
      <c r="AA302">
        <v>1</v>
      </c>
    </row>
    <row r="303" spans="1:27" x14ac:dyDescent="0.2">
      <c r="A303">
        <v>10</v>
      </c>
      <c r="B303">
        <v>1</v>
      </c>
      <c r="C303">
        <v>0.4</v>
      </c>
      <c r="D303">
        <v>100</v>
      </c>
      <c r="E303">
        <v>4.3646965230275302E-2</v>
      </c>
      <c r="F303">
        <v>1</v>
      </c>
      <c r="G303">
        <v>30.757011202000001</v>
      </c>
      <c r="H303">
        <v>4.31421172157124E-2</v>
      </c>
      <c r="I303">
        <v>1</v>
      </c>
      <c r="J303">
        <v>4.6934651000000001E-2</v>
      </c>
      <c r="K303">
        <v>4.4023041355198599E-2</v>
      </c>
      <c r="L303">
        <v>1</v>
      </c>
      <c r="M303">
        <v>3602.6106622570001</v>
      </c>
      <c r="N303">
        <v>656094</v>
      </c>
      <c r="O303">
        <v>2.31478053161282E-3</v>
      </c>
      <c r="P303" s="5">
        <v>5.3430631599238498E-2</v>
      </c>
      <c r="Q303">
        <v>1</v>
      </c>
      <c r="R303">
        <v>67.908635258999993</v>
      </c>
      <c r="S303">
        <v>940</v>
      </c>
      <c r="T303">
        <v>1.8234384454211201E-3</v>
      </c>
      <c r="U303">
        <v>752</v>
      </c>
      <c r="V303" s="5">
        <v>2.99802278058552E-2</v>
      </c>
      <c r="W303">
        <v>1</v>
      </c>
      <c r="X303">
        <v>8.4904221230000001</v>
      </c>
      <c r="Y303">
        <v>793</v>
      </c>
      <c r="Z303">
        <v>1.84301268429062E-3</v>
      </c>
      <c r="AA303">
        <v>1</v>
      </c>
    </row>
    <row r="304" spans="1:27" x14ac:dyDescent="0.2">
      <c r="A304">
        <v>10</v>
      </c>
      <c r="B304">
        <v>1</v>
      </c>
      <c r="C304">
        <v>0.1</v>
      </c>
      <c r="D304">
        <v>100</v>
      </c>
      <c r="E304">
        <v>0.85955485306845603</v>
      </c>
      <c r="F304">
        <v>1</v>
      </c>
      <c r="G304">
        <v>32.288889054000002</v>
      </c>
      <c r="H304">
        <v>0.85901789103011605</v>
      </c>
      <c r="I304">
        <v>1</v>
      </c>
      <c r="J304">
        <v>6.4945812000000006E-2</v>
      </c>
      <c r="K304">
        <v>0.91081761635162795</v>
      </c>
      <c r="L304">
        <v>1</v>
      </c>
      <c r="M304">
        <v>3600.7072033210002</v>
      </c>
      <c r="N304">
        <v>1142477</v>
      </c>
      <c r="O304">
        <v>9.7113057502795598E-4</v>
      </c>
      <c r="P304" s="5">
        <v>0.83883158626156895</v>
      </c>
      <c r="Q304">
        <v>1</v>
      </c>
      <c r="R304">
        <v>92.314857661000005</v>
      </c>
      <c r="S304">
        <v>1300</v>
      </c>
      <c r="T304">
        <v>1.4209616173418101E-4</v>
      </c>
      <c r="U304">
        <v>1274</v>
      </c>
      <c r="V304" s="5">
        <v>0.90818608220719099</v>
      </c>
      <c r="W304">
        <v>1</v>
      </c>
      <c r="X304">
        <v>7.4955542839999998</v>
      </c>
      <c r="Y304">
        <v>2195</v>
      </c>
      <c r="Z304">
        <v>1.06508750752881E-4</v>
      </c>
      <c r="AA304">
        <v>1</v>
      </c>
    </row>
    <row r="305" spans="1:27" x14ac:dyDescent="0.2">
      <c r="A305">
        <v>10</v>
      </c>
      <c r="B305">
        <v>1</v>
      </c>
      <c r="C305">
        <v>0.3</v>
      </c>
      <c r="D305">
        <v>100</v>
      </c>
      <c r="E305">
        <v>0.27788783985103199</v>
      </c>
      <c r="F305">
        <v>1</v>
      </c>
      <c r="G305">
        <v>33.442485724000001</v>
      </c>
      <c r="H305">
        <v>0.21766445839874299</v>
      </c>
      <c r="I305">
        <v>1</v>
      </c>
      <c r="J305">
        <v>0.26993135899999998</v>
      </c>
      <c r="K305">
        <v>0.214402401888136</v>
      </c>
      <c r="L305">
        <v>1</v>
      </c>
      <c r="M305">
        <v>3600.573511522</v>
      </c>
      <c r="N305">
        <v>929147</v>
      </c>
      <c r="O305">
        <v>8.2460002180475504E-3</v>
      </c>
      <c r="P305" s="5">
        <v>0.29798499887541302</v>
      </c>
      <c r="Q305">
        <v>1</v>
      </c>
      <c r="R305">
        <v>125.662392759</v>
      </c>
      <c r="S305">
        <v>2243</v>
      </c>
      <c r="T305">
        <v>2.2387358364476199E-3</v>
      </c>
      <c r="U305">
        <v>1861</v>
      </c>
      <c r="V305" s="5">
        <v>0.24238183677792599</v>
      </c>
      <c r="W305">
        <v>1</v>
      </c>
      <c r="X305">
        <v>14.776144402</v>
      </c>
      <c r="Y305">
        <v>1781</v>
      </c>
      <c r="Z305">
        <v>2.50935598631679E-3</v>
      </c>
      <c r="AA305">
        <v>1</v>
      </c>
    </row>
    <row r="306" spans="1:27" x14ac:dyDescent="0.2">
      <c r="A306">
        <v>10</v>
      </c>
      <c r="B306">
        <v>1</v>
      </c>
      <c r="C306">
        <v>0.3</v>
      </c>
      <c r="D306">
        <v>100</v>
      </c>
      <c r="E306">
        <v>2.07491469256759E-2</v>
      </c>
      <c r="F306">
        <v>1</v>
      </c>
      <c r="G306">
        <v>35.650841167000003</v>
      </c>
      <c r="H306">
        <v>2.0092556745426999E-2</v>
      </c>
      <c r="I306">
        <v>1</v>
      </c>
      <c r="J306">
        <v>7.1819765999999993E-2</v>
      </c>
      <c r="K306">
        <v>1.9844431324259899E-2</v>
      </c>
      <c r="L306">
        <v>1</v>
      </c>
      <c r="M306">
        <v>3600.5773521639999</v>
      </c>
      <c r="N306">
        <v>709270</v>
      </c>
      <c r="O306">
        <v>5.0620437390378401E-3</v>
      </c>
      <c r="P306" s="5">
        <v>1.44638775965813E-2</v>
      </c>
      <c r="Q306">
        <v>1</v>
      </c>
      <c r="R306">
        <v>24.330765445000001</v>
      </c>
      <c r="S306">
        <v>1</v>
      </c>
      <c r="T306">
        <v>1.38733864584697E-3</v>
      </c>
      <c r="U306">
        <v>3</v>
      </c>
      <c r="V306" s="5">
        <v>1.4463877595868599E-2</v>
      </c>
      <c r="W306">
        <v>1</v>
      </c>
      <c r="X306">
        <v>7.9119397640000004</v>
      </c>
      <c r="Y306">
        <v>1</v>
      </c>
      <c r="Z306">
        <v>9.6098800861502099E-4</v>
      </c>
      <c r="AA306">
        <v>1</v>
      </c>
    </row>
    <row r="307" spans="1:27" x14ac:dyDescent="0.2">
      <c r="A307">
        <v>10</v>
      </c>
      <c r="B307">
        <v>1</v>
      </c>
      <c r="C307">
        <v>0.1</v>
      </c>
      <c r="D307">
        <v>100</v>
      </c>
      <c r="E307">
        <v>0.906685281340463</v>
      </c>
      <c r="F307">
        <v>1</v>
      </c>
      <c r="G307">
        <v>32.068853288</v>
      </c>
      <c r="H307">
        <v>0.89741748768539298</v>
      </c>
      <c r="I307">
        <v>1</v>
      </c>
      <c r="J307">
        <v>9.6199255999999997E-2</v>
      </c>
      <c r="K307">
        <v>1.2312873632766099</v>
      </c>
      <c r="L307">
        <v>1</v>
      </c>
      <c r="M307">
        <v>3600.806257618</v>
      </c>
      <c r="N307">
        <v>995715</v>
      </c>
      <c r="O307">
        <v>3.4924661015049898E-3</v>
      </c>
      <c r="P307" s="5">
        <v>1.20977566413189</v>
      </c>
      <c r="Q307">
        <v>1</v>
      </c>
      <c r="R307">
        <v>189.42830361200001</v>
      </c>
      <c r="S307">
        <v>4648</v>
      </c>
      <c r="T307">
        <v>1.12375596203428E-4</v>
      </c>
      <c r="U307">
        <v>3444</v>
      </c>
      <c r="V307" s="5">
        <v>0.74276591224119004</v>
      </c>
      <c r="W307">
        <v>1</v>
      </c>
      <c r="X307">
        <v>7.7180085490000003</v>
      </c>
      <c r="Y307">
        <v>3875</v>
      </c>
      <c r="Z307" s="1">
        <v>7.1902711862916206E-5</v>
      </c>
      <c r="AA307">
        <v>1</v>
      </c>
    </row>
    <row r="308" spans="1:27" x14ac:dyDescent="0.2">
      <c r="A308">
        <v>10</v>
      </c>
      <c r="B308">
        <v>1</v>
      </c>
      <c r="C308">
        <v>0.2</v>
      </c>
      <c r="D308">
        <v>100</v>
      </c>
      <c r="E308">
        <v>0.81101357548508601</v>
      </c>
      <c r="F308">
        <v>1</v>
      </c>
      <c r="G308">
        <v>33.541042036999997</v>
      </c>
      <c r="H308">
        <v>0.800492467557681</v>
      </c>
      <c r="I308">
        <v>1</v>
      </c>
      <c r="J308">
        <v>7.5493279999999996E-2</v>
      </c>
      <c r="K308">
        <v>0.60678521760520898</v>
      </c>
      <c r="L308">
        <v>1</v>
      </c>
      <c r="M308">
        <v>3601.5760641289999</v>
      </c>
      <c r="N308">
        <v>436726</v>
      </c>
      <c r="O308">
        <v>1.69837136804433E-2</v>
      </c>
      <c r="P308" s="5">
        <v>0.62042612512320205</v>
      </c>
      <c r="Q308">
        <v>1</v>
      </c>
      <c r="R308">
        <v>116.598367559</v>
      </c>
      <c r="S308">
        <v>2171</v>
      </c>
      <c r="T308">
        <v>3.2219871894013902E-4</v>
      </c>
      <c r="U308">
        <v>2121</v>
      </c>
      <c r="V308" s="5">
        <v>0.61463298650662102</v>
      </c>
      <c r="W308">
        <v>1</v>
      </c>
      <c r="X308">
        <v>8.5794491970000006</v>
      </c>
      <c r="Y308">
        <v>1300</v>
      </c>
      <c r="Z308">
        <v>3.3494480537483301E-4</v>
      </c>
      <c r="AA308">
        <v>1</v>
      </c>
    </row>
    <row r="309" spans="1:27" x14ac:dyDescent="0.2">
      <c r="A309">
        <v>10</v>
      </c>
      <c r="B309">
        <v>1</v>
      </c>
      <c r="C309">
        <v>0.1</v>
      </c>
      <c r="D309">
        <v>100</v>
      </c>
      <c r="E309">
        <v>0.97512564409890901</v>
      </c>
      <c r="F309">
        <v>1</v>
      </c>
      <c r="G309">
        <v>31.515014332</v>
      </c>
      <c r="H309">
        <v>0.97512564409890901</v>
      </c>
      <c r="I309">
        <v>1</v>
      </c>
      <c r="J309">
        <v>3.4883145999999997E-2</v>
      </c>
      <c r="K309">
        <v>1.0437566856666201</v>
      </c>
      <c r="L309">
        <v>1</v>
      </c>
      <c r="M309">
        <v>3600.4900828</v>
      </c>
      <c r="N309">
        <v>525314</v>
      </c>
      <c r="O309">
        <v>2.2928939324189301E-3</v>
      </c>
      <c r="P309" s="5">
        <v>1.08659754527237</v>
      </c>
      <c r="Q309">
        <v>1</v>
      </c>
      <c r="R309">
        <v>144.84598609599999</v>
      </c>
      <c r="S309">
        <v>2470</v>
      </c>
      <c r="T309" s="1">
        <v>7.3299081301131306E-8</v>
      </c>
      <c r="U309">
        <v>2474</v>
      </c>
      <c r="V309" s="5">
        <v>0.95794003504125402</v>
      </c>
      <c r="W309">
        <v>1</v>
      </c>
      <c r="X309">
        <v>7.1935376299999998</v>
      </c>
      <c r="Y309">
        <v>3121</v>
      </c>
      <c r="Z309" s="1">
        <v>3.6069554303986002E-7</v>
      </c>
      <c r="AA309">
        <v>1</v>
      </c>
    </row>
    <row r="310" spans="1:27" x14ac:dyDescent="0.2">
      <c r="A310">
        <v>10</v>
      </c>
      <c r="B310">
        <v>1</v>
      </c>
      <c r="C310">
        <v>0.1</v>
      </c>
      <c r="D310">
        <v>100</v>
      </c>
      <c r="E310">
        <v>1.0874326281212301</v>
      </c>
      <c r="F310">
        <v>1</v>
      </c>
      <c r="G310">
        <v>33.742297336</v>
      </c>
      <c r="H310">
        <v>0.93029994500302404</v>
      </c>
      <c r="I310">
        <v>1</v>
      </c>
      <c r="J310">
        <v>0.24226994800000001</v>
      </c>
      <c r="K310">
        <v>0.90507252771681201</v>
      </c>
      <c r="L310">
        <v>1</v>
      </c>
      <c r="M310">
        <v>3600.7225636799999</v>
      </c>
      <c r="N310">
        <v>611457</v>
      </c>
      <c r="O310">
        <v>1.7735935394138601E-3</v>
      </c>
      <c r="P310" s="5">
        <v>1.0998430745813299</v>
      </c>
      <c r="Q310">
        <v>1</v>
      </c>
      <c r="R310">
        <v>150.356287033</v>
      </c>
      <c r="S310">
        <v>2782</v>
      </c>
      <c r="T310" s="1">
        <v>1.8989911231185099E-5</v>
      </c>
      <c r="U310">
        <v>2741</v>
      </c>
      <c r="V310" s="5">
        <v>1.0371739015223</v>
      </c>
      <c r="W310">
        <v>1</v>
      </c>
      <c r="X310">
        <v>5.5959625050000001</v>
      </c>
      <c r="Y310">
        <v>1183</v>
      </c>
      <c r="Z310" s="1">
        <v>1.4423600969484599E-5</v>
      </c>
      <c r="AA310">
        <v>1</v>
      </c>
    </row>
    <row r="311" spans="1:27" x14ac:dyDescent="0.2">
      <c r="A311">
        <v>10</v>
      </c>
      <c r="B311">
        <v>1</v>
      </c>
      <c r="C311">
        <v>0.1</v>
      </c>
      <c r="D311">
        <v>100</v>
      </c>
      <c r="E311">
        <v>0.98529808145130104</v>
      </c>
      <c r="F311">
        <v>1</v>
      </c>
      <c r="G311">
        <v>31.942732119999999</v>
      </c>
      <c r="H311">
        <v>0.98529808145130104</v>
      </c>
      <c r="I311">
        <v>1</v>
      </c>
      <c r="J311">
        <v>3.8123549E-2</v>
      </c>
      <c r="K311">
        <v>0.98742145817179305</v>
      </c>
      <c r="L311">
        <v>1</v>
      </c>
      <c r="M311">
        <v>3600.5044964429999</v>
      </c>
      <c r="N311">
        <v>568992</v>
      </c>
      <c r="O311">
        <v>4.6730001015804698E-3</v>
      </c>
      <c r="P311" s="5">
        <v>1.1048312023482401</v>
      </c>
      <c r="Q311">
        <v>1</v>
      </c>
      <c r="R311">
        <v>172.706090499</v>
      </c>
      <c r="S311">
        <v>2520</v>
      </c>
      <c r="T311" s="1">
        <v>1.5908970978977999E-6</v>
      </c>
      <c r="U311">
        <v>2444</v>
      </c>
      <c r="V311" s="5">
        <v>1.1570249974302</v>
      </c>
      <c r="W311">
        <v>1</v>
      </c>
      <c r="X311">
        <v>6.3381928030000001</v>
      </c>
      <c r="Y311">
        <v>1682</v>
      </c>
      <c r="Z311" s="1">
        <v>1.2695472038097899E-5</v>
      </c>
      <c r="AA311">
        <v>1</v>
      </c>
    </row>
    <row r="312" spans="1:27" x14ac:dyDescent="0.2">
      <c r="A312">
        <v>10</v>
      </c>
      <c r="B312">
        <v>1</v>
      </c>
      <c r="C312">
        <v>0.3</v>
      </c>
      <c r="D312">
        <v>100</v>
      </c>
      <c r="E312">
        <v>0.46792457427305501</v>
      </c>
      <c r="F312">
        <v>1</v>
      </c>
      <c r="G312">
        <v>32.315427372999999</v>
      </c>
      <c r="H312">
        <v>0.26405394432628099</v>
      </c>
      <c r="I312">
        <v>1</v>
      </c>
      <c r="J312">
        <v>0.18880276100000001</v>
      </c>
      <c r="K312">
        <v>0.25522129493843398</v>
      </c>
      <c r="L312">
        <v>1</v>
      </c>
      <c r="M312">
        <v>3600.6416961909999</v>
      </c>
      <c r="N312">
        <v>685316</v>
      </c>
      <c r="O312">
        <v>5.0443636633996604E-3</v>
      </c>
      <c r="P312" s="5">
        <v>0.344144938403598</v>
      </c>
      <c r="Q312">
        <v>1</v>
      </c>
      <c r="R312">
        <v>173.644018781</v>
      </c>
      <c r="S312">
        <v>2636</v>
      </c>
      <c r="T312">
        <v>4.38459255206843E-4</v>
      </c>
      <c r="U312">
        <v>2317</v>
      </c>
      <c r="V312" s="5">
        <v>0.33695129668791901</v>
      </c>
      <c r="W312">
        <v>1</v>
      </c>
      <c r="X312">
        <v>15.581295231</v>
      </c>
      <c r="Y312">
        <v>1523</v>
      </c>
      <c r="Z312">
        <v>4.14636853712971E-4</v>
      </c>
      <c r="AA312">
        <v>1</v>
      </c>
    </row>
    <row r="313" spans="1:27" x14ac:dyDescent="0.2">
      <c r="A313">
        <v>10</v>
      </c>
      <c r="B313">
        <v>1</v>
      </c>
      <c r="C313">
        <v>0.4</v>
      </c>
      <c r="D313">
        <v>100</v>
      </c>
      <c r="E313">
        <v>0.13750471463268399</v>
      </c>
      <c r="F313">
        <v>1</v>
      </c>
      <c r="G313">
        <v>34.372153906999998</v>
      </c>
      <c r="H313">
        <v>3.8795789090639597E-2</v>
      </c>
      <c r="I313">
        <v>1</v>
      </c>
      <c r="J313">
        <v>0.105229777</v>
      </c>
      <c r="K313">
        <v>3.74050390115091E-2</v>
      </c>
      <c r="L313">
        <v>1</v>
      </c>
      <c r="M313">
        <v>3600.7513815749999</v>
      </c>
      <c r="N313">
        <v>911798</v>
      </c>
      <c r="O313">
        <v>2.1073406510829702E-3</v>
      </c>
      <c r="P313" s="5">
        <v>3.8360835848446198E-2</v>
      </c>
      <c r="Q313">
        <v>1</v>
      </c>
      <c r="R313">
        <v>173.89893338600001</v>
      </c>
      <c r="S313">
        <v>3550</v>
      </c>
      <c r="T313">
        <v>1.9552837427005399E-3</v>
      </c>
      <c r="U313">
        <v>2638</v>
      </c>
      <c r="V313" s="5">
        <v>4.2467873358700302E-2</v>
      </c>
      <c r="W313">
        <v>1</v>
      </c>
      <c r="X313">
        <v>17.431693966000001</v>
      </c>
      <c r="Y313">
        <v>1</v>
      </c>
      <c r="Z313">
        <v>3.36988820569919E-3</v>
      </c>
      <c r="AA313">
        <v>2</v>
      </c>
    </row>
    <row r="314" spans="1:27" x14ac:dyDescent="0.2">
      <c r="A314">
        <v>10</v>
      </c>
      <c r="B314">
        <v>1</v>
      </c>
      <c r="C314">
        <v>0.2</v>
      </c>
      <c r="D314">
        <v>100</v>
      </c>
      <c r="E314">
        <v>2.06067390275454</v>
      </c>
      <c r="F314">
        <v>1</v>
      </c>
      <c r="G314">
        <v>32.910605365000002</v>
      </c>
      <c r="H314">
        <v>0.47658691135514603</v>
      </c>
      <c r="I314">
        <v>1</v>
      </c>
      <c r="J314">
        <v>0.69184003999999999</v>
      </c>
      <c r="K314">
        <v>0.67814446831136299</v>
      </c>
      <c r="L314">
        <v>1</v>
      </c>
      <c r="M314">
        <v>3600.6281636069998</v>
      </c>
      <c r="N314">
        <v>499329</v>
      </c>
      <c r="O314">
        <v>2.8234755809755499E-2</v>
      </c>
      <c r="P314" s="5">
        <v>1.23852167090058</v>
      </c>
      <c r="Q314">
        <v>1</v>
      </c>
      <c r="R314">
        <v>159.56543646399999</v>
      </c>
      <c r="S314">
        <v>2113</v>
      </c>
      <c r="T314">
        <v>5.3006486799446397E-4</v>
      </c>
      <c r="U314">
        <v>2065</v>
      </c>
      <c r="V314" s="5">
        <v>1.22730289705721</v>
      </c>
      <c r="W314">
        <v>1</v>
      </c>
      <c r="X314">
        <v>14.152095931</v>
      </c>
      <c r="Y314">
        <v>2750</v>
      </c>
      <c r="Z314">
        <v>2.22442294593686E-4</v>
      </c>
      <c r="AA314">
        <v>1</v>
      </c>
    </row>
    <row r="315" spans="1:27" x14ac:dyDescent="0.2">
      <c r="A315">
        <v>10</v>
      </c>
      <c r="B315">
        <v>1</v>
      </c>
      <c r="C315">
        <v>0.2</v>
      </c>
      <c r="D315">
        <v>100</v>
      </c>
      <c r="E315">
        <v>0.72444063427522598</v>
      </c>
      <c r="F315">
        <v>1</v>
      </c>
      <c r="G315">
        <v>38.966636911000002</v>
      </c>
      <c r="H315">
        <v>0.71501244357321803</v>
      </c>
      <c r="I315">
        <v>1</v>
      </c>
      <c r="J315">
        <v>5.8355461999999997E-2</v>
      </c>
      <c r="K315">
        <v>1.18844625918913</v>
      </c>
      <c r="L315">
        <v>1</v>
      </c>
      <c r="M315">
        <v>3602.1173165499999</v>
      </c>
      <c r="N315">
        <v>899027</v>
      </c>
      <c r="O315">
        <v>3.3840239656122099E-3</v>
      </c>
      <c r="P315" s="5">
        <v>1.2225298596701</v>
      </c>
      <c r="Q315">
        <v>1</v>
      </c>
      <c r="R315">
        <v>113.054953918</v>
      </c>
      <c r="S315">
        <v>1147</v>
      </c>
      <c r="T315">
        <v>3.6062463678313001E-4</v>
      </c>
      <c r="U315">
        <v>1150</v>
      </c>
      <c r="V315" s="5">
        <v>1.1933450814523801</v>
      </c>
      <c r="W315">
        <v>1</v>
      </c>
      <c r="X315">
        <v>12.390841765999999</v>
      </c>
      <c r="Y315">
        <v>2790</v>
      </c>
      <c r="Z315">
        <v>2.5425769195940002E-4</v>
      </c>
      <c r="AA315">
        <v>1</v>
      </c>
    </row>
    <row r="316" spans="1:27" x14ac:dyDescent="0.2">
      <c r="A316">
        <v>10</v>
      </c>
      <c r="B316">
        <v>1</v>
      </c>
      <c r="C316">
        <v>0.1</v>
      </c>
      <c r="D316">
        <v>100</v>
      </c>
      <c r="E316">
        <v>0.97413063105920195</v>
      </c>
      <c r="F316">
        <v>1</v>
      </c>
      <c r="G316">
        <v>31.662643167999999</v>
      </c>
      <c r="H316">
        <v>0.97413063811764</v>
      </c>
      <c r="I316">
        <v>1</v>
      </c>
      <c r="J316">
        <v>3.6895445999999998E-2</v>
      </c>
      <c r="K316">
        <v>1.11371489232828</v>
      </c>
      <c r="L316">
        <v>1</v>
      </c>
      <c r="M316">
        <v>3600.819657561</v>
      </c>
      <c r="N316">
        <v>778765</v>
      </c>
      <c r="O316">
        <v>2.0778385481441302E-3</v>
      </c>
      <c r="P316" s="5">
        <v>0.96967170894578902</v>
      </c>
      <c r="Q316">
        <v>1</v>
      </c>
      <c r="R316">
        <v>107.253016167</v>
      </c>
      <c r="S316">
        <v>2199</v>
      </c>
      <c r="T316" s="1">
        <v>9.5943213003855198E-6</v>
      </c>
      <c r="U316">
        <v>2164</v>
      </c>
      <c r="V316" s="5">
        <v>0.86411960325417303</v>
      </c>
      <c r="W316">
        <v>1</v>
      </c>
      <c r="X316">
        <v>6.5299103179999998</v>
      </c>
      <c r="Y316">
        <v>1290</v>
      </c>
      <c r="Z316" s="1">
        <v>1.61509765464994E-6</v>
      </c>
      <c r="AA316">
        <v>1</v>
      </c>
    </row>
    <row r="317" spans="1:27" x14ac:dyDescent="0.2">
      <c r="A317">
        <v>10</v>
      </c>
      <c r="B317">
        <v>1</v>
      </c>
      <c r="C317">
        <v>0.1</v>
      </c>
      <c r="D317">
        <v>100</v>
      </c>
      <c r="E317">
        <v>0.95429963264548501</v>
      </c>
      <c r="F317">
        <v>1</v>
      </c>
      <c r="G317">
        <v>34.157375344000002</v>
      </c>
      <c r="H317">
        <v>0.954299632645634</v>
      </c>
      <c r="I317">
        <v>1</v>
      </c>
      <c r="J317">
        <v>4.1628064999999999E-2</v>
      </c>
      <c r="K317">
        <v>1.0166424174531901</v>
      </c>
      <c r="L317">
        <v>1</v>
      </c>
      <c r="M317">
        <v>3600.9286871740001</v>
      </c>
      <c r="N317">
        <v>649837</v>
      </c>
      <c r="O317">
        <v>4.3631164324633397E-3</v>
      </c>
      <c r="P317" s="5">
        <v>1.1561376331945701</v>
      </c>
      <c r="Q317">
        <v>1</v>
      </c>
      <c r="R317">
        <v>80.363804205999998</v>
      </c>
      <c r="S317">
        <v>1336</v>
      </c>
      <c r="T317" s="1">
        <v>4.7218391781914098E-6</v>
      </c>
      <c r="U317">
        <v>1340</v>
      </c>
      <c r="V317" s="5">
        <v>1.18351379960447</v>
      </c>
      <c r="W317">
        <v>1</v>
      </c>
      <c r="X317">
        <v>5.5819545780000004</v>
      </c>
      <c r="Y317">
        <v>1731</v>
      </c>
      <c r="Z317" s="1">
        <v>7.5938232454287797E-5</v>
      </c>
      <c r="AA317">
        <v>1</v>
      </c>
    </row>
    <row r="318" spans="1:27" x14ac:dyDescent="0.2">
      <c r="A318">
        <v>10</v>
      </c>
      <c r="B318">
        <v>1</v>
      </c>
      <c r="C318">
        <v>0.1</v>
      </c>
      <c r="D318">
        <v>100</v>
      </c>
      <c r="E318">
        <v>0.94949202177266701</v>
      </c>
      <c r="F318">
        <v>1</v>
      </c>
      <c r="G318">
        <v>41.752232065000001</v>
      </c>
      <c r="H318">
        <v>0.94913094743485105</v>
      </c>
      <c r="I318">
        <v>1</v>
      </c>
      <c r="J318">
        <v>6.6427716999999997E-2</v>
      </c>
      <c r="K318">
        <v>1.0834644792094801</v>
      </c>
      <c r="L318">
        <v>1</v>
      </c>
      <c r="M318">
        <v>3602.6409940670001</v>
      </c>
      <c r="N318">
        <v>428401</v>
      </c>
      <c r="O318">
        <v>6.6107360646008796E-4</v>
      </c>
      <c r="P318" s="5">
        <v>0.89578463232206595</v>
      </c>
      <c r="Q318">
        <v>1</v>
      </c>
      <c r="R318">
        <v>267.21935548099998</v>
      </c>
      <c r="S318">
        <v>2784</v>
      </c>
      <c r="T318" s="1">
        <v>5.4725139584187499E-6</v>
      </c>
      <c r="U318">
        <v>2646</v>
      </c>
      <c r="V318" s="5">
        <v>1.0940851062770001</v>
      </c>
      <c r="W318">
        <v>1</v>
      </c>
      <c r="X318">
        <v>12.317639205000001</v>
      </c>
      <c r="Y318">
        <v>4793</v>
      </c>
      <c r="Z318" s="1">
        <v>3.4097237667856599E-7</v>
      </c>
      <c r="AA318">
        <v>1</v>
      </c>
    </row>
    <row r="319" spans="1:27" x14ac:dyDescent="0.2">
      <c r="A319">
        <v>10</v>
      </c>
      <c r="B319">
        <v>1</v>
      </c>
      <c r="C319">
        <v>0.4</v>
      </c>
      <c r="D319">
        <v>100</v>
      </c>
      <c r="E319">
        <v>0.18950532139557799</v>
      </c>
      <c r="F319">
        <v>1</v>
      </c>
      <c r="G319">
        <v>42.082062800999999</v>
      </c>
      <c r="H319">
        <v>0.109629599810638</v>
      </c>
      <c r="I319">
        <v>1</v>
      </c>
      <c r="J319">
        <v>0.111433913</v>
      </c>
      <c r="K319">
        <v>0.108444106270096</v>
      </c>
      <c r="L319">
        <v>1</v>
      </c>
      <c r="M319">
        <v>3600.763541759</v>
      </c>
      <c r="N319">
        <v>755651</v>
      </c>
      <c r="O319">
        <v>3.5313265692522499E-3</v>
      </c>
      <c r="P319" s="5">
        <v>0.31915706348126499</v>
      </c>
      <c r="Q319">
        <v>1</v>
      </c>
      <c r="R319">
        <v>147.63991726099999</v>
      </c>
      <c r="S319">
        <v>2209</v>
      </c>
      <c r="T319">
        <v>1.3990109683141201E-3</v>
      </c>
      <c r="U319">
        <v>1754</v>
      </c>
      <c r="V319" s="5">
        <v>4.2769909962045903E-2</v>
      </c>
      <c r="W319">
        <v>1</v>
      </c>
      <c r="X319">
        <v>184.96994202499999</v>
      </c>
      <c r="Y319">
        <v>14509</v>
      </c>
      <c r="Z319">
        <v>9.8958772822985109E-4</v>
      </c>
      <c r="AA319">
        <v>15</v>
      </c>
    </row>
    <row r="320" spans="1:27" x14ac:dyDescent="0.2">
      <c r="A320">
        <v>10</v>
      </c>
      <c r="B320">
        <v>1</v>
      </c>
      <c r="C320">
        <v>0.1</v>
      </c>
      <c r="D320">
        <v>100</v>
      </c>
      <c r="E320">
        <v>0.97453916432137899</v>
      </c>
      <c r="F320">
        <v>1</v>
      </c>
      <c r="G320">
        <v>30.656164206</v>
      </c>
      <c r="H320">
        <v>0.97453916432137899</v>
      </c>
      <c r="I320">
        <v>1</v>
      </c>
      <c r="J320">
        <v>3.3021012000000002E-2</v>
      </c>
      <c r="K320">
        <v>0.84641393431118495</v>
      </c>
      <c r="L320">
        <v>1</v>
      </c>
      <c r="M320">
        <v>3600.5423992579999</v>
      </c>
      <c r="N320">
        <v>639479</v>
      </c>
      <c r="O320">
        <v>8.6466010483405801E-3</v>
      </c>
      <c r="P320" s="5">
        <v>1.16099920434852</v>
      </c>
      <c r="Q320">
        <v>1</v>
      </c>
      <c r="R320">
        <v>198.71421403900001</v>
      </c>
      <c r="S320">
        <v>2767</v>
      </c>
      <c r="T320" s="1">
        <v>1.2306947108076099E-6</v>
      </c>
      <c r="U320">
        <v>2773</v>
      </c>
      <c r="V320" s="5">
        <v>1.15661940470247</v>
      </c>
      <c r="W320">
        <v>1</v>
      </c>
      <c r="X320">
        <v>8.4369198329999993</v>
      </c>
      <c r="Y320">
        <v>2501</v>
      </c>
      <c r="Z320" s="1">
        <v>2.2396559770307401E-7</v>
      </c>
      <c r="AA320">
        <v>1</v>
      </c>
    </row>
    <row r="321" spans="1:27" x14ac:dyDescent="0.2">
      <c r="A321">
        <v>10</v>
      </c>
      <c r="B321">
        <v>1</v>
      </c>
      <c r="C321">
        <v>0.2</v>
      </c>
      <c r="D321">
        <v>100</v>
      </c>
      <c r="E321">
        <v>0.69036680638751302</v>
      </c>
      <c r="F321">
        <v>1</v>
      </c>
      <c r="G321">
        <v>31.917558434</v>
      </c>
      <c r="H321">
        <v>0.69671214633934797</v>
      </c>
      <c r="I321">
        <v>1</v>
      </c>
      <c r="J321">
        <v>0.21448941799999999</v>
      </c>
      <c r="K321">
        <v>0.71702286565503703</v>
      </c>
      <c r="L321">
        <v>1</v>
      </c>
      <c r="M321">
        <v>3601.0769673889999</v>
      </c>
      <c r="N321">
        <v>945122</v>
      </c>
      <c r="O321">
        <v>9.0648691816144194E-3</v>
      </c>
      <c r="P321" s="5">
        <v>1.1045442141270001</v>
      </c>
      <c r="Q321">
        <v>1</v>
      </c>
      <c r="R321">
        <v>145.85698504300001</v>
      </c>
      <c r="S321">
        <v>2130</v>
      </c>
      <c r="T321">
        <v>1.00500738325102E-4</v>
      </c>
      <c r="U321">
        <v>1890</v>
      </c>
      <c r="V321" s="5">
        <v>1.1033217521987799</v>
      </c>
      <c r="W321">
        <v>1</v>
      </c>
      <c r="X321">
        <v>16.503894265</v>
      </c>
      <c r="Y321">
        <v>3317</v>
      </c>
      <c r="Z321">
        <v>1.0487670550790199E-4</v>
      </c>
      <c r="AA321">
        <v>1</v>
      </c>
    </row>
    <row r="322" spans="1:27" x14ac:dyDescent="0.2">
      <c r="A322">
        <v>10</v>
      </c>
      <c r="B322">
        <v>1</v>
      </c>
      <c r="C322">
        <v>0.1</v>
      </c>
      <c r="D322">
        <v>100</v>
      </c>
      <c r="E322">
        <v>0.99024831303417604</v>
      </c>
      <c r="F322">
        <v>1</v>
      </c>
      <c r="G322">
        <v>29.648753460999998</v>
      </c>
      <c r="H322">
        <v>0.99024831303417604</v>
      </c>
      <c r="I322">
        <v>1</v>
      </c>
      <c r="J322">
        <v>3.3298613999999997E-2</v>
      </c>
      <c r="K322">
        <v>1.05117559557519</v>
      </c>
      <c r="L322">
        <v>1</v>
      </c>
      <c r="M322">
        <v>3600.504201878</v>
      </c>
      <c r="N322">
        <v>634052</v>
      </c>
      <c r="O322">
        <v>1.3680168541773099E-3</v>
      </c>
      <c r="P322" s="5">
        <v>1.0927062549743101</v>
      </c>
      <c r="Q322">
        <v>1</v>
      </c>
      <c r="R322">
        <v>165.98291451099999</v>
      </c>
      <c r="S322">
        <v>2676</v>
      </c>
      <c r="T322" s="1">
        <v>2.7941662038251898E-6</v>
      </c>
      <c r="U322">
        <v>2680</v>
      </c>
      <c r="V322" s="5">
        <v>1.0357737582028801</v>
      </c>
      <c r="W322">
        <v>1</v>
      </c>
      <c r="X322">
        <v>7.576862159</v>
      </c>
      <c r="Y322">
        <v>4150</v>
      </c>
      <c r="Z322" s="1">
        <v>7.2025678289188505E-8</v>
      </c>
      <c r="AA322">
        <v>1</v>
      </c>
    </row>
    <row r="323" spans="1:27" x14ac:dyDescent="0.2">
      <c r="A323">
        <v>10</v>
      </c>
      <c r="B323">
        <v>1</v>
      </c>
      <c r="C323">
        <v>0.2</v>
      </c>
      <c r="D323">
        <v>100</v>
      </c>
      <c r="E323">
        <v>0.59145844570886297</v>
      </c>
      <c r="F323">
        <v>1</v>
      </c>
      <c r="G323">
        <v>32.557289412000003</v>
      </c>
      <c r="H323">
        <v>0.59052316497905899</v>
      </c>
      <c r="I323">
        <v>1</v>
      </c>
      <c r="J323">
        <v>7.5311244999999999E-2</v>
      </c>
      <c r="K323">
        <v>0.30815897980534201</v>
      </c>
      <c r="L323">
        <v>1</v>
      </c>
      <c r="M323">
        <v>3600.8433853329998</v>
      </c>
      <c r="N323">
        <v>848589</v>
      </c>
      <c r="O323">
        <v>1.86815374528208E-2</v>
      </c>
      <c r="P323" s="5">
        <v>0.90272936594109698</v>
      </c>
      <c r="Q323">
        <v>1</v>
      </c>
      <c r="R323">
        <v>140.16256431799999</v>
      </c>
      <c r="S323">
        <v>2241</v>
      </c>
      <c r="T323">
        <v>1.4314668298564201E-3</v>
      </c>
      <c r="U323">
        <v>2212</v>
      </c>
      <c r="V323" s="5">
        <v>0.94554793644588098</v>
      </c>
      <c r="W323">
        <v>1</v>
      </c>
      <c r="X323">
        <v>674.77497548300005</v>
      </c>
      <c r="Y323">
        <v>180088</v>
      </c>
      <c r="Z323">
        <v>1.0655990612360099E-3</v>
      </c>
      <c r="AA323">
        <v>15</v>
      </c>
    </row>
    <row r="324" spans="1:27" x14ac:dyDescent="0.2">
      <c r="A324">
        <v>10</v>
      </c>
      <c r="B324">
        <v>1</v>
      </c>
      <c r="C324">
        <v>0.2</v>
      </c>
      <c r="D324">
        <v>100</v>
      </c>
      <c r="E324">
        <v>0.59349603326725497</v>
      </c>
      <c r="F324">
        <v>1</v>
      </c>
      <c r="G324">
        <v>30.988835851000001</v>
      </c>
      <c r="H324">
        <v>0.54551341140674003</v>
      </c>
      <c r="I324">
        <v>1</v>
      </c>
      <c r="J324">
        <v>0.218650975</v>
      </c>
      <c r="K324">
        <v>0.28582235930212002</v>
      </c>
      <c r="L324">
        <v>1</v>
      </c>
      <c r="M324">
        <v>3600.648103947</v>
      </c>
      <c r="N324">
        <v>1002023</v>
      </c>
      <c r="O324">
        <v>4.7551111122388001E-3</v>
      </c>
      <c r="P324" s="5">
        <v>0.93438652422624202</v>
      </c>
      <c r="Q324">
        <v>1</v>
      </c>
      <c r="R324">
        <v>160.45990057500001</v>
      </c>
      <c r="S324">
        <v>4233</v>
      </c>
      <c r="T324">
        <v>8.6965058526289297E-4</v>
      </c>
      <c r="U324">
        <v>3517</v>
      </c>
      <c r="V324" s="5">
        <v>0.93663532485657197</v>
      </c>
      <c r="W324">
        <v>1</v>
      </c>
      <c r="X324">
        <v>71.398057631</v>
      </c>
      <c r="Y324">
        <v>3508</v>
      </c>
      <c r="Z324">
        <v>6.52768214904508E-4</v>
      </c>
      <c r="AA324">
        <v>20</v>
      </c>
    </row>
    <row r="325" spans="1:27" x14ac:dyDescent="0.2">
      <c r="A325">
        <v>10</v>
      </c>
      <c r="B325">
        <v>1</v>
      </c>
      <c r="C325">
        <v>0.3</v>
      </c>
      <c r="D325">
        <v>100</v>
      </c>
      <c r="E325">
        <v>5.8114839295120499E-2</v>
      </c>
      <c r="F325">
        <v>1</v>
      </c>
      <c r="G325">
        <v>34.567843723999999</v>
      </c>
      <c r="H325">
        <v>4.6195194744981002E-2</v>
      </c>
      <c r="I325">
        <v>1</v>
      </c>
      <c r="J325">
        <v>0.104972104</v>
      </c>
      <c r="K325">
        <v>4.4619721066105698E-2</v>
      </c>
      <c r="L325">
        <v>1</v>
      </c>
      <c r="M325">
        <v>3601.225930734</v>
      </c>
      <c r="N325">
        <v>653943</v>
      </c>
      <c r="O325">
        <v>2.7777842504583799E-3</v>
      </c>
      <c r="P325" s="5">
        <v>0.28396722869424101</v>
      </c>
      <c r="Q325">
        <v>1</v>
      </c>
      <c r="R325">
        <v>80.304112075000006</v>
      </c>
      <c r="S325">
        <v>1361</v>
      </c>
      <c r="T325">
        <v>1.64896117985605E-3</v>
      </c>
      <c r="U325">
        <v>1056</v>
      </c>
      <c r="V325" s="5">
        <v>4.0513189241357897E-2</v>
      </c>
      <c r="W325">
        <v>1</v>
      </c>
      <c r="X325">
        <v>358.94603235599999</v>
      </c>
      <c r="Y325">
        <v>24371</v>
      </c>
      <c r="Z325">
        <v>9.0629623006352402E-4</v>
      </c>
      <c r="AA325">
        <v>18</v>
      </c>
    </row>
    <row r="326" spans="1:27" x14ac:dyDescent="0.2">
      <c r="A326">
        <v>10</v>
      </c>
      <c r="B326">
        <v>1</v>
      </c>
      <c r="C326">
        <v>0.1</v>
      </c>
      <c r="D326">
        <v>100</v>
      </c>
      <c r="E326">
        <v>0.71346252945027999</v>
      </c>
      <c r="F326">
        <v>1</v>
      </c>
      <c r="G326">
        <v>34.310156945999999</v>
      </c>
      <c r="H326">
        <v>0.70762159034171301</v>
      </c>
      <c r="I326">
        <v>1</v>
      </c>
      <c r="J326">
        <v>0.102560889</v>
      </c>
      <c r="K326">
        <v>0.74886774077026497</v>
      </c>
      <c r="L326">
        <v>1</v>
      </c>
      <c r="M326">
        <v>3600.6378245860001</v>
      </c>
      <c r="N326">
        <v>1053940</v>
      </c>
      <c r="O326">
        <v>1.23865078042406E-3</v>
      </c>
      <c r="P326" s="5">
        <v>0.70567180830600595</v>
      </c>
      <c r="Q326">
        <v>1</v>
      </c>
      <c r="R326">
        <v>357.88970433499998</v>
      </c>
      <c r="S326">
        <v>8354</v>
      </c>
      <c r="T326" s="1">
        <v>9.61206720442135E-5</v>
      </c>
      <c r="U326">
        <v>5513</v>
      </c>
      <c r="V326" s="5">
        <v>0.69419044320657197</v>
      </c>
      <c r="W326">
        <v>1</v>
      </c>
      <c r="X326">
        <v>364.33373382399998</v>
      </c>
      <c r="Y326">
        <v>200627</v>
      </c>
      <c r="Z326">
        <v>1.27160618897677E-4</v>
      </c>
      <c r="AA326">
        <v>8</v>
      </c>
    </row>
    <row r="327" spans="1:27" x14ac:dyDescent="0.2">
      <c r="A327">
        <v>10</v>
      </c>
      <c r="B327">
        <v>1</v>
      </c>
      <c r="C327">
        <v>0.1</v>
      </c>
      <c r="D327">
        <v>100</v>
      </c>
      <c r="E327">
        <v>0.98230372569398905</v>
      </c>
      <c r="F327">
        <v>1</v>
      </c>
      <c r="G327">
        <v>30.912553405000001</v>
      </c>
      <c r="H327">
        <v>0.98230375031825501</v>
      </c>
      <c r="I327">
        <v>1</v>
      </c>
      <c r="J327">
        <v>3.5778105999999997E-2</v>
      </c>
      <c r="K327">
        <v>1.07809083286237</v>
      </c>
      <c r="L327">
        <v>1</v>
      </c>
      <c r="M327">
        <v>3600.548351424</v>
      </c>
      <c r="N327">
        <v>625249</v>
      </c>
      <c r="O327">
        <v>1.9557398056650999E-3</v>
      </c>
      <c r="P327" s="5">
        <v>1.08191044049109</v>
      </c>
      <c r="Q327">
        <v>1</v>
      </c>
      <c r="R327">
        <v>242.640623256</v>
      </c>
      <c r="S327">
        <v>4072</v>
      </c>
      <c r="T327" s="1">
        <v>2.5267888099445302E-7</v>
      </c>
      <c r="U327">
        <v>4065</v>
      </c>
      <c r="V327" s="5">
        <v>0.93180211694383797</v>
      </c>
      <c r="W327">
        <v>1</v>
      </c>
      <c r="X327">
        <v>8.4006581219999994</v>
      </c>
      <c r="Y327">
        <v>3932</v>
      </c>
      <c r="Z327" s="1">
        <v>2.2976062527149299E-5</v>
      </c>
      <c r="AA327">
        <v>1</v>
      </c>
    </row>
    <row r="328" spans="1:27" x14ac:dyDescent="0.2">
      <c r="A328">
        <v>10</v>
      </c>
      <c r="B328">
        <v>1</v>
      </c>
      <c r="C328">
        <v>0.4</v>
      </c>
      <c r="D328">
        <v>100</v>
      </c>
      <c r="E328">
        <v>0.145803058825828</v>
      </c>
      <c r="F328">
        <v>1</v>
      </c>
      <c r="G328">
        <v>31.901631907999999</v>
      </c>
      <c r="H328">
        <v>0.10535525660320701</v>
      </c>
      <c r="I328">
        <v>1</v>
      </c>
      <c r="J328">
        <v>7.2591871000000002E-2</v>
      </c>
      <c r="K328">
        <v>0.105281512338651</v>
      </c>
      <c r="L328">
        <v>1</v>
      </c>
      <c r="M328">
        <v>3600.5373088410001</v>
      </c>
      <c r="N328">
        <v>764930</v>
      </c>
      <c r="O328">
        <v>3.9458175567936796E-3</v>
      </c>
      <c r="P328" s="5">
        <v>0.113428519296847</v>
      </c>
      <c r="Q328">
        <v>1</v>
      </c>
      <c r="R328">
        <v>211.88088381700001</v>
      </c>
      <c r="S328">
        <v>5799</v>
      </c>
      <c r="T328">
        <v>6.1915010209906396E-4</v>
      </c>
      <c r="U328">
        <v>3800</v>
      </c>
      <c r="V328" s="5">
        <v>5.6250412839823197E-2</v>
      </c>
      <c r="W328">
        <v>1</v>
      </c>
      <c r="X328">
        <v>40.540897735000001</v>
      </c>
      <c r="Y328">
        <v>1835</v>
      </c>
      <c r="Z328">
        <v>9.1944239734939495E-4</v>
      </c>
      <c r="AA328">
        <v>6</v>
      </c>
    </row>
    <row r="329" spans="1:27" x14ac:dyDescent="0.2">
      <c r="A329">
        <v>10</v>
      </c>
      <c r="B329">
        <v>1</v>
      </c>
      <c r="C329">
        <v>0.4</v>
      </c>
      <c r="D329">
        <v>100</v>
      </c>
      <c r="E329">
        <v>0.14358927882507699</v>
      </c>
      <c r="F329">
        <v>1</v>
      </c>
      <c r="G329">
        <v>31.804495938999999</v>
      </c>
      <c r="H329">
        <v>4.3000251184439897E-2</v>
      </c>
      <c r="I329">
        <v>1</v>
      </c>
      <c r="J329">
        <v>0.107633596</v>
      </c>
      <c r="K329">
        <v>3.9085504154585497E-2</v>
      </c>
      <c r="L329">
        <v>1</v>
      </c>
      <c r="M329">
        <v>3600.705965824</v>
      </c>
      <c r="N329">
        <v>912492</v>
      </c>
      <c r="O329">
        <v>1.6415500141491099E-3</v>
      </c>
      <c r="P329" s="5">
        <v>6.7449617568791906E-2</v>
      </c>
      <c r="Q329">
        <v>1</v>
      </c>
      <c r="R329">
        <v>243.22463649299999</v>
      </c>
      <c r="S329">
        <v>4578</v>
      </c>
      <c r="T329">
        <v>4.77883124499284E-4</v>
      </c>
      <c r="U329">
        <v>3345</v>
      </c>
      <c r="V329" s="5">
        <v>2.6037904832956999E-2</v>
      </c>
      <c r="W329">
        <v>1</v>
      </c>
      <c r="X329">
        <v>16.700281212</v>
      </c>
      <c r="Y329">
        <v>3543</v>
      </c>
      <c r="Z329">
        <v>5.0258575534027595E-4</v>
      </c>
      <c r="AA329">
        <v>1</v>
      </c>
    </row>
    <row r="330" spans="1:27" x14ac:dyDescent="0.2">
      <c r="A330">
        <v>10</v>
      </c>
      <c r="B330">
        <v>1</v>
      </c>
      <c r="C330">
        <v>0.1</v>
      </c>
      <c r="D330">
        <v>100</v>
      </c>
      <c r="E330">
        <v>0.97466673070944099</v>
      </c>
      <c r="F330">
        <v>1</v>
      </c>
      <c r="G330">
        <v>31.139097823</v>
      </c>
      <c r="H330">
        <v>0.97268459615578795</v>
      </c>
      <c r="I330">
        <v>1</v>
      </c>
      <c r="J330">
        <v>6.7175232000000001E-2</v>
      </c>
      <c r="K330">
        <v>1.0172718912232599</v>
      </c>
      <c r="L330">
        <v>1</v>
      </c>
      <c r="M330">
        <v>3600.5041370059998</v>
      </c>
      <c r="N330">
        <v>569296</v>
      </c>
      <c r="O330">
        <v>3.1608671780045598E-3</v>
      </c>
      <c r="P330" s="5">
        <v>1.01763051537315</v>
      </c>
      <c r="Q330">
        <v>1</v>
      </c>
      <c r="R330">
        <v>260.550057477</v>
      </c>
      <c r="S330">
        <v>5088</v>
      </c>
      <c r="T330" s="1">
        <v>3.7552252646064302E-5</v>
      </c>
      <c r="U330">
        <v>4662</v>
      </c>
      <c r="V330" s="5">
        <v>1.0163575906492099</v>
      </c>
      <c r="W330">
        <v>1</v>
      </c>
      <c r="X330">
        <v>10.797487104</v>
      </c>
      <c r="Y330">
        <v>3321</v>
      </c>
      <c r="Z330" s="1">
        <v>4.0704525614060802E-5</v>
      </c>
      <c r="AA330">
        <v>1</v>
      </c>
    </row>
    <row r="331" spans="1:27" x14ac:dyDescent="0.2">
      <c r="A331">
        <v>10</v>
      </c>
      <c r="B331">
        <v>1</v>
      </c>
      <c r="C331">
        <v>0.1</v>
      </c>
      <c r="D331">
        <v>100</v>
      </c>
      <c r="E331">
        <v>0.98128050567000202</v>
      </c>
      <c r="F331">
        <v>1</v>
      </c>
      <c r="G331">
        <v>39.378533947000001</v>
      </c>
      <c r="H331">
        <v>0.98093326313967799</v>
      </c>
      <c r="I331">
        <v>1</v>
      </c>
      <c r="J331">
        <v>7.7968221000000004E-2</v>
      </c>
      <c r="K331">
        <v>0.95128443763575898</v>
      </c>
      <c r="L331">
        <v>1</v>
      </c>
      <c r="M331">
        <v>3602.3841383190002</v>
      </c>
      <c r="N331">
        <v>527500</v>
      </c>
      <c r="O331">
        <v>4.9808504885664401E-3</v>
      </c>
      <c r="P331" s="5">
        <v>0.95335017052899296</v>
      </c>
      <c r="Q331">
        <v>1</v>
      </c>
      <c r="R331">
        <v>273.75683668699997</v>
      </c>
      <c r="S331">
        <v>3641</v>
      </c>
      <c r="T331" s="1">
        <v>6.0338438100104797E-9</v>
      </c>
      <c r="U331">
        <v>3591</v>
      </c>
      <c r="V331" s="5">
        <v>1.0137737140181</v>
      </c>
      <c r="W331">
        <v>1</v>
      </c>
      <c r="X331">
        <v>12.163981432</v>
      </c>
      <c r="Y331">
        <v>3736</v>
      </c>
      <c r="Z331" s="1">
        <v>3.5299046694109399E-6</v>
      </c>
      <c r="AA331">
        <v>1</v>
      </c>
    </row>
    <row r="332" spans="1:27" x14ac:dyDescent="0.2">
      <c r="A332">
        <v>10</v>
      </c>
      <c r="B332">
        <v>1</v>
      </c>
      <c r="C332">
        <v>0.3</v>
      </c>
      <c r="D332">
        <v>100</v>
      </c>
      <c r="E332">
        <v>0.534924304636477</v>
      </c>
      <c r="F332">
        <v>1</v>
      </c>
      <c r="G332">
        <v>32.417559279999999</v>
      </c>
      <c r="H332">
        <v>0.23972306611296801</v>
      </c>
      <c r="I332">
        <v>1</v>
      </c>
      <c r="J332">
        <v>4.1111555000000001E-2</v>
      </c>
      <c r="K332">
        <v>0.239443506236167</v>
      </c>
      <c r="L332">
        <v>1</v>
      </c>
      <c r="M332">
        <v>3600.9971708439998</v>
      </c>
      <c r="N332">
        <v>903687</v>
      </c>
      <c r="O332">
        <v>5.4159365085268904E-3</v>
      </c>
      <c r="P332" s="5">
        <v>0.40271193456094301</v>
      </c>
      <c r="Q332">
        <v>1</v>
      </c>
      <c r="R332">
        <v>245.251846065</v>
      </c>
      <c r="S332">
        <v>4210</v>
      </c>
      <c r="T332">
        <v>9.4824370080627497E-4</v>
      </c>
      <c r="U332">
        <v>3554</v>
      </c>
      <c r="V332" s="5">
        <v>0.35278303205019601</v>
      </c>
      <c r="W332">
        <v>1</v>
      </c>
      <c r="X332">
        <v>130.76520478699999</v>
      </c>
      <c r="Y332">
        <v>4433</v>
      </c>
      <c r="Z332">
        <v>4.5303839600983799E-4</v>
      </c>
      <c r="AA332">
        <v>20</v>
      </c>
    </row>
    <row r="333" spans="1:27" x14ac:dyDescent="0.2">
      <c r="A333">
        <v>10</v>
      </c>
      <c r="B333">
        <v>1</v>
      </c>
      <c r="C333">
        <v>0.1</v>
      </c>
      <c r="D333">
        <v>100</v>
      </c>
      <c r="E333">
        <v>0.99511647786478397</v>
      </c>
      <c r="F333">
        <v>1</v>
      </c>
      <c r="G333">
        <v>31.192835763000001</v>
      </c>
      <c r="H333">
        <v>0.99511647786478397</v>
      </c>
      <c r="I333">
        <v>1</v>
      </c>
      <c r="J333">
        <v>3.6097511999999998E-2</v>
      </c>
      <c r="K333">
        <v>1.03919053611061</v>
      </c>
      <c r="L333">
        <v>1</v>
      </c>
      <c r="M333">
        <v>3600.7984244300001</v>
      </c>
      <c r="N333">
        <v>705640</v>
      </c>
      <c r="O333">
        <v>2.3925873173613098E-3</v>
      </c>
      <c r="P333" s="5">
        <v>1.0100249579351199</v>
      </c>
      <c r="Q333">
        <v>1</v>
      </c>
      <c r="R333">
        <v>401.11627826500001</v>
      </c>
      <c r="S333">
        <v>11015</v>
      </c>
      <c r="T333" s="1">
        <v>2.6234115819814199E-5</v>
      </c>
      <c r="U333">
        <v>7472</v>
      </c>
      <c r="V333" s="5">
        <v>0.90973072786812004</v>
      </c>
      <c r="W333">
        <v>1</v>
      </c>
      <c r="X333">
        <v>7.7125205489999997</v>
      </c>
      <c r="Y333">
        <v>3562</v>
      </c>
      <c r="Z333">
        <v>0</v>
      </c>
      <c r="AA333">
        <v>1</v>
      </c>
    </row>
    <row r="334" spans="1:27" x14ac:dyDescent="0.2">
      <c r="A334">
        <v>10</v>
      </c>
      <c r="B334">
        <v>1</v>
      </c>
      <c r="C334">
        <v>0.2</v>
      </c>
      <c r="D334">
        <v>100</v>
      </c>
      <c r="E334">
        <v>0.70333598104922401</v>
      </c>
      <c r="F334">
        <v>1</v>
      </c>
      <c r="G334">
        <v>38.628984911000003</v>
      </c>
      <c r="H334">
        <v>0.70268044016146702</v>
      </c>
      <c r="I334">
        <v>1</v>
      </c>
      <c r="J334">
        <v>0.138401093</v>
      </c>
      <c r="K334">
        <v>0.80285464477936197</v>
      </c>
      <c r="L334">
        <v>1</v>
      </c>
      <c r="M334">
        <v>3603.5784533629999</v>
      </c>
      <c r="N334">
        <v>517917</v>
      </c>
      <c r="O334">
        <v>1.30644687405956E-2</v>
      </c>
      <c r="P334" s="5">
        <v>0.82612625562612696</v>
      </c>
      <c r="Q334">
        <v>1</v>
      </c>
      <c r="R334">
        <v>352.36116498799998</v>
      </c>
      <c r="S334">
        <v>5637</v>
      </c>
      <c r="T334">
        <v>3.0855774330731901E-4</v>
      </c>
      <c r="U334">
        <v>4768</v>
      </c>
      <c r="V334" s="5">
        <v>0.82236765733200401</v>
      </c>
      <c r="W334">
        <v>1</v>
      </c>
      <c r="X334">
        <v>32.826192775000003</v>
      </c>
      <c r="Y334">
        <v>2629</v>
      </c>
      <c r="Z334">
        <v>5.7377709541504797E-4</v>
      </c>
      <c r="AA334">
        <v>4</v>
      </c>
    </row>
    <row r="335" spans="1:27" x14ac:dyDescent="0.2">
      <c r="A335">
        <v>10</v>
      </c>
      <c r="B335">
        <v>1</v>
      </c>
      <c r="C335">
        <v>0.2</v>
      </c>
      <c r="D335">
        <v>100</v>
      </c>
      <c r="E335">
        <v>0.639675301109773</v>
      </c>
      <c r="F335">
        <v>1</v>
      </c>
      <c r="G335">
        <v>30.367668079000001</v>
      </c>
      <c r="H335">
        <v>0.58598115485594404</v>
      </c>
      <c r="I335">
        <v>1</v>
      </c>
      <c r="J335">
        <v>0.20439636899999999</v>
      </c>
      <c r="K335">
        <v>0.585631691098914</v>
      </c>
      <c r="L335">
        <v>1</v>
      </c>
      <c r="M335">
        <v>3600.5378637650001</v>
      </c>
      <c r="N335">
        <v>779468</v>
      </c>
      <c r="O335">
        <v>3.98509418522863E-3</v>
      </c>
      <c r="P335" s="5">
        <v>0.61695954617834103</v>
      </c>
      <c r="Q335">
        <v>1</v>
      </c>
      <c r="R335">
        <v>354.51868706900001</v>
      </c>
      <c r="S335">
        <v>6177</v>
      </c>
      <c r="T335">
        <v>7.8079560429711304E-4</v>
      </c>
      <c r="U335">
        <v>4670</v>
      </c>
      <c r="V335" s="5">
        <v>0.61892629412696698</v>
      </c>
      <c r="W335">
        <v>1</v>
      </c>
      <c r="X335">
        <v>132.56902786000001</v>
      </c>
      <c r="Y335">
        <v>4971</v>
      </c>
      <c r="Z335">
        <v>3.7364121357946701E-4</v>
      </c>
      <c r="AA335">
        <v>20</v>
      </c>
    </row>
    <row r="336" spans="1:27" x14ac:dyDescent="0.2">
      <c r="A336">
        <v>10</v>
      </c>
      <c r="B336">
        <v>1</v>
      </c>
      <c r="C336">
        <v>0.3</v>
      </c>
      <c r="D336">
        <v>100</v>
      </c>
      <c r="E336">
        <v>0.496780251737238</v>
      </c>
      <c r="F336">
        <v>1</v>
      </c>
      <c r="G336">
        <v>30.932520427</v>
      </c>
      <c r="H336">
        <v>0.35092410586452699</v>
      </c>
      <c r="I336">
        <v>1</v>
      </c>
      <c r="J336">
        <v>0.24556097099999999</v>
      </c>
      <c r="K336">
        <v>0.34706574892937703</v>
      </c>
      <c r="L336">
        <v>1</v>
      </c>
      <c r="M336">
        <v>3601.2085583029998</v>
      </c>
      <c r="N336">
        <v>760255</v>
      </c>
      <c r="O336">
        <v>2.3229796832833199E-2</v>
      </c>
      <c r="P336" s="5">
        <v>0.42666116773223101</v>
      </c>
      <c r="Q336">
        <v>1</v>
      </c>
      <c r="R336">
        <v>177.74068470099999</v>
      </c>
      <c r="S336">
        <v>3540</v>
      </c>
      <c r="T336">
        <v>1.5427239142125899E-3</v>
      </c>
      <c r="U336">
        <v>2904</v>
      </c>
      <c r="V336" s="5">
        <v>0.38937014530808201</v>
      </c>
      <c r="W336">
        <v>1</v>
      </c>
      <c r="X336">
        <v>365.57877723000001</v>
      </c>
      <c r="Y336">
        <v>28514</v>
      </c>
      <c r="Z336">
        <v>7.6806235657028699E-4</v>
      </c>
      <c r="AA336">
        <v>20</v>
      </c>
    </row>
    <row r="337" spans="1:27" x14ac:dyDescent="0.2">
      <c r="A337">
        <v>10</v>
      </c>
      <c r="B337">
        <v>1</v>
      </c>
      <c r="C337">
        <v>0.2</v>
      </c>
      <c r="D337">
        <v>100</v>
      </c>
      <c r="E337">
        <v>0.80146250929362794</v>
      </c>
      <c r="F337">
        <v>1</v>
      </c>
      <c r="G337">
        <v>30.171449773999999</v>
      </c>
      <c r="H337">
        <v>0.52837335091232096</v>
      </c>
      <c r="I337">
        <v>1</v>
      </c>
      <c r="J337">
        <v>0.29059872399999997</v>
      </c>
      <c r="K337">
        <v>0.41827508213979597</v>
      </c>
      <c r="L337">
        <v>1</v>
      </c>
      <c r="M337">
        <v>3601.0732789610001</v>
      </c>
      <c r="N337">
        <v>605124</v>
      </c>
      <c r="O337">
        <v>2.8722724290389499E-2</v>
      </c>
      <c r="P337" s="5">
        <v>1.1292483251568901</v>
      </c>
      <c r="Q337">
        <v>1</v>
      </c>
      <c r="R337">
        <v>356.379937891</v>
      </c>
      <c r="S337">
        <v>7544</v>
      </c>
      <c r="T337">
        <v>1.55154519731207E-4</v>
      </c>
      <c r="U337">
        <v>5955</v>
      </c>
      <c r="V337" s="5">
        <v>0.72510126492725402</v>
      </c>
      <c r="W337">
        <v>1</v>
      </c>
      <c r="X337">
        <v>264.62261361200001</v>
      </c>
      <c r="Y337">
        <v>9511</v>
      </c>
      <c r="Z337" s="1">
        <v>9.6473760725551694E-5</v>
      </c>
      <c r="AA337">
        <v>20</v>
      </c>
    </row>
    <row r="338" spans="1:27" x14ac:dyDescent="0.2">
      <c r="A338">
        <v>10</v>
      </c>
      <c r="B338">
        <v>1</v>
      </c>
      <c r="C338">
        <v>0.3</v>
      </c>
      <c r="D338">
        <v>100</v>
      </c>
      <c r="E338">
        <v>0.54921738616795901</v>
      </c>
      <c r="F338">
        <v>1</v>
      </c>
      <c r="G338">
        <v>29.641538391000001</v>
      </c>
      <c r="H338">
        <v>0.31123546694228799</v>
      </c>
      <c r="I338">
        <v>1</v>
      </c>
      <c r="J338">
        <v>9.8432156000000007E-2</v>
      </c>
      <c r="K338">
        <v>0.31314631354203798</v>
      </c>
      <c r="L338">
        <v>1</v>
      </c>
      <c r="M338">
        <v>3601.2140829129999</v>
      </c>
      <c r="N338">
        <v>629214</v>
      </c>
      <c r="O338">
        <v>9.7320249901757805E-3</v>
      </c>
      <c r="P338" s="5">
        <v>0.38169209522631797</v>
      </c>
      <c r="Q338">
        <v>1</v>
      </c>
      <c r="R338">
        <v>189.599910365</v>
      </c>
      <c r="S338">
        <v>3634</v>
      </c>
      <c r="T338">
        <v>4.1507313935621598E-4</v>
      </c>
      <c r="U338">
        <v>3017</v>
      </c>
      <c r="V338" s="5">
        <v>0.37031654641626499</v>
      </c>
      <c r="W338">
        <v>1</v>
      </c>
      <c r="X338">
        <v>659.05698902699999</v>
      </c>
      <c r="Y338">
        <v>36859</v>
      </c>
      <c r="Z338">
        <v>2.2933690260246799E-4</v>
      </c>
      <c r="AA338">
        <v>20</v>
      </c>
    </row>
    <row r="339" spans="1:27" x14ac:dyDescent="0.2">
      <c r="A339">
        <v>10</v>
      </c>
      <c r="B339">
        <v>1</v>
      </c>
      <c r="C339">
        <v>0.2</v>
      </c>
      <c r="D339">
        <v>100</v>
      </c>
      <c r="E339">
        <v>0.71799560743937096</v>
      </c>
      <c r="F339">
        <v>1</v>
      </c>
      <c r="G339">
        <v>32.256763157000002</v>
      </c>
      <c r="H339">
        <v>0.37327534143247798</v>
      </c>
      <c r="I339">
        <v>1</v>
      </c>
      <c r="J339">
        <v>0.122154108</v>
      </c>
      <c r="K339">
        <v>0.391515853015449</v>
      </c>
      <c r="L339">
        <v>1</v>
      </c>
      <c r="M339">
        <v>3600.8456754270001</v>
      </c>
      <c r="N339">
        <v>878650</v>
      </c>
      <c r="O339">
        <v>8.6972827352535999E-3</v>
      </c>
      <c r="P339" s="5">
        <v>0.68694290512604606</v>
      </c>
      <c r="Q339">
        <v>1</v>
      </c>
      <c r="R339">
        <v>751.11607182900002</v>
      </c>
      <c r="S339">
        <v>19279</v>
      </c>
      <c r="T339">
        <v>4.2646338245981498E-4</v>
      </c>
      <c r="U339">
        <v>12483</v>
      </c>
      <c r="V339" s="5">
        <v>0.56356161763397505</v>
      </c>
      <c r="W339">
        <v>1</v>
      </c>
      <c r="X339">
        <v>303.435207908</v>
      </c>
      <c r="Y339">
        <v>10073</v>
      </c>
      <c r="Z339">
        <v>2.1393214317157801E-4</v>
      </c>
      <c r="AA339">
        <v>20</v>
      </c>
    </row>
    <row r="340" spans="1:27" x14ac:dyDescent="0.2">
      <c r="A340">
        <v>10</v>
      </c>
      <c r="B340">
        <v>1</v>
      </c>
      <c r="C340">
        <v>0.1</v>
      </c>
      <c r="D340">
        <v>100</v>
      </c>
      <c r="E340">
        <v>0.97763928499783204</v>
      </c>
      <c r="F340">
        <v>1</v>
      </c>
      <c r="G340">
        <v>33.240971815999998</v>
      </c>
      <c r="H340">
        <v>0.97757120868609304</v>
      </c>
      <c r="I340">
        <v>1</v>
      </c>
      <c r="J340">
        <v>7.0848697000000002E-2</v>
      </c>
      <c r="K340">
        <v>1.0427474292544601</v>
      </c>
      <c r="L340">
        <v>1</v>
      </c>
      <c r="M340">
        <v>3600.6257997070002</v>
      </c>
      <c r="N340">
        <v>915123</v>
      </c>
      <c r="O340">
        <v>4.33587559688897E-3</v>
      </c>
      <c r="P340" s="5">
        <v>1.07052078349016</v>
      </c>
      <c r="Q340">
        <v>1</v>
      </c>
      <c r="R340">
        <v>318.54416420400003</v>
      </c>
      <c r="S340">
        <v>7161</v>
      </c>
      <c r="T340" s="1">
        <v>5.2986714862797E-5</v>
      </c>
      <c r="U340">
        <v>5496</v>
      </c>
      <c r="V340" s="5">
        <v>0.90742465082691004</v>
      </c>
      <c r="W340">
        <v>1</v>
      </c>
      <c r="X340">
        <v>8.4716010960000006</v>
      </c>
      <c r="Y340">
        <v>3231</v>
      </c>
      <c r="Z340" s="1">
        <v>2.2151838258589001E-7</v>
      </c>
      <c r="AA340">
        <v>1</v>
      </c>
    </row>
    <row r="341" spans="1:27" x14ac:dyDescent="0.2">
      <c r="A341">
        <v>10</v>
      </c>
      <c r="B341">
        <v>1</v>
      </c>
      <c r="C341">
        <v>0.2</v>
      </c>
      <c r="D341">
        <v>100</v>
      </c>
      <c r="E341">
        <v>0.88350532529005099</v>
      </c>
      <c r="F341">
        <v>1</v>
      </c>
      <c r="G341">
        <v>33.317806732999998</v>
      </c>
      <c r="H341">
        <v>1.25740526632162</v>
      </c>
      <c r="I341">
        <v>1</v>
      </c>
      <c r="J341">
        <v>0.69079420300000005</v>
      </c>
      <c r="K341">
        <v>0.57548859881065995</v>
      </c>
      <c r="L341">
        <v>1</v>
      </c>
      <c r="M341">
        <v>3600.7236622250002</v>
      </c>
      <c r="N341">
        <v>891981</v>
      </c>
      <c r="O341">
        <v>8.3101118975612495E-3</v>
      </c>
      <c r="P341" s="5">
        <v>1.25404351742142</v>
      </c>
      <c r="Q341">
        <v>1</v>
      </c>
      <c r="R341">
        <v>260.25882709899997</v>
      </c>
      <c r="S341">
        <v>7527</v>
      </c>
      <c r="T341">
        <v>4.8918005810479005E-4</v>
      </c>
      <c r="U341">
        <v>4888</v>
      </c>
      <c r="V341" s="5">
        <v>0.67162384564690403</v>
      </c>
      <c r="W341">
        <v>1</v>
      </c>
      <c r="X341">
        <v>73.656041857000005</v>
      </c>
      <c r="Y341">
        <v>7303</v>
      </c>
      <c r="Z341">
        <v>3.9352510818583999E-4</v>
      </c>
      <c r="AA341">
        <v>12</v>
      </c>
    </row>
    <row r="342" spans="1:27" x14ac:dyDescent="0.2">
      <c r="A342">
        <v>10</v>
      </c>
      <c r="B342">
        <v>1</v>
      </c>
      <c r="C342">
        <v>0.3</v>
      </c>
      <c r="D342">
        <v>100</v>
      </c>
      <c r="E342">
        <v>0.80403879990398097</v>
      </c>
      <c r="F342">
        <v>1</v>
      </c>
      <c r="G342">
        <v>38.485330871000002</v>
      </c>
      <c r="H342">
        <v>0.49554933578848098</v>
      </c>
      <c r="I342">
        <v>1</v>
      </c>
      <c r="J342">
        <v>0.62406194599999998</v>
      </c>
      <c r="K342">
        <v>0.49333060305008802</v>
      </c>
      <c r="L342">
        <v>1</v>
      </c>
      <c r="M342">
        <v>3602.2183597100002</v>
      </c>
      <c r="N342">
        <v>569807</v>
      </c>
      <c r="O342">
        <v>2.12731484810131E-2</v>
      </c>
      <c r="P342" s="5">
        <v>0.667838285825754</v>
      </c>
      <c r="Q342">
        <v>1</v>
      </c>
      <c r="R342">
        <v>519.31884896199995</v>
      </c>
      <c r="S342">
        <v>12008</v>
      </c>
      <c r="T342">
        <v>6.23877015514959E-4</v>
      </c>
      <c r="U342">
        <v>7343</v>
      </c>
      <c r="V342" s="5">
        <v>0.574829699955961</v>
      </c>
      <c r="W342">
        <v>1</v>
      </c>
      <c r="X342">
        <v>915.36187973000006</v>
      </c>
      <c r="Y342">
        <v>30361</v>
      </c>
      <c r="Z342">
        <v>2.8482421405989701E-4</v>
      </c>
      <c r="AA342">
        <v>20</v>
      </c>
    </row>
    <row r="343" spans="1:27" x14ac:dyDescent="0.2">
      <c r="A343">
        <v>10</v>
      </c>
      <c r="B343">
        <v>1</v>
      </c>
      <c r="C343">
        <v>0.3</v>
      </c>
      <c r="D343">
        <v>100</v>
      </c>
      <c r="E343">
        <v>0.30185621269699597</v>
      </c>
      <c r="F343">
        <v>1</v>
      </c>
      <c r="G343">
        <v>31.992099096</v>
      </c>
      <c r="H343">
        <v>0.14014015450927</v>
      </c>
      <c r="I343">
        <v>1</v>
      </c>
      <c r="J343">
        <v>0.24610589899999999</v>
      </c>
      <c r="K343">
        <v>0.12593815323454199</v>
      </c>
      <c r="L343">
        <v>1</v>
      </c>
      <c r="M343">
        <v>3601.3844505729999</v>
      </c>
      <c r="N343">
        <v>519902</v>
      </c>
      <c r="O343">
        <v>9.6494944354041899E-3</v>
      </c>
      <c r="P343" s="5">
        <v>0.235435492616137</v>
      </c>
      <c r="Q343">
        <v>1</v>
      </c>
      <c r="R343">
        <v>165.34085100999999</v>
      </c>
      <c r="S343">
        <v>2257</v>
      </c>
      <c r="T343">
        <v>1.09929266354721E-3</v>
      </c>
      <c r="U343">
        <v>1894</v>
      </c>
      <c r="V343" s="5">
        <v>0.23240070675809801</v>
      </c>
      <c r="W343">
        <v>1</v>
      </c>
      <c r="X343">
        <v>1983.787288927</v>
      </c>
      <c r="Y343">
        <v>158197</v>
      </c>
      <c r="Z343">
        <v>7.2557471044545896E-4</v>
      </c>
      <c r="AA343">
        <v>20</v>
      </c>
    </row>
    <row r="344" spans="1:27" x14ac:dyDescent="0.2">
      <c r="A344">
        <v>10</v>
      </c>
      <c r="B344">
        <v>1</v>
      </c>
      <c r="C344">
        <v>0.3</v>
      </c>
      <c r="D344">
        <v>100</v>
      </c>
      <c r="E344">
        <v>0.29375557019769699</v>
      </c>
      <c r="F344">
        <v>1</v>
      </c>
      <c r="G344">
        <v>31.917520462999999</v>
      </c>
      <c r="H344">
        <v>9.4982037054593793E-2</v>
      </c>
      <c r="I344">
        <v>1</v>
      </c>
      <c r="J344">
        <v>0.17500722899999999</v>
      </c>
      <c r="K344">
        <v>8.9297380457747003E-2</v>
      </c>
      <c r="L344">
        <v>1</v>
      </c>
      <c r="M344">
        <v>3601.1192356040001</v>
      </c>
      <c r="N344">
        <v>614220</v>
      </c>
      <c r="O344">
        <v>7.7528579519476797E-3</v>
      </c>
      <c r="P344" s="5">
        <v>0.256052681377472</v>
      </c>
      <c r="Q344">
        <v>1</v>
      </c>
      <c r="R344">
        <v>1211.95082402</v>
      </c>
      <c r="S344">
        <v>26558</v>
      </c>
      <c r="T344">
        <v>8.29265468221304E-4</v>
      </c>
      <c r="U344">
        <v>16108</v>
      </c>
      <c r="V344" s="5">
        <v>0.31413238065608401</v>
      </c>
      <c r="W344">
        <v>1</v>
      </c>
      <c r="X344">
        <v>470.646179287</v>
      </c>
      <c r="Y344">
        <v>17116</v>
      </c>
      <c r="Z344">
        <v>3.7868770286365801E-4</v>
      </c>
      <c r="AA344">
        <v>20</v>
      </c>
    </row>
    <row r="345" spans="1:27" x14ac:dyDescent="0.2">
      <c r="A345">
        <v>10</v>
      </c>
      <c r="B345">
        <v>1</v>
      </c>
      <c r="C345">
        <v>0.1</v>
      </c>
      <c r="D345">
        <v>100</v>
      </c>
      <c r="E345">
        <v>0.94151525307049899</v>
      </c>
      <c r="F345">
        <v>1</v>
      </c>
      <c r="G345">
        <v>34.195561224000002</v>
      </c>
      <c r="H345">
        <v>0.90222254634392896</v>
      </c>
      <c r="I345">
        <v>1</v>
      </c>
      <c r="J345">
        <v>0.24327468299999999</v>
      </c>
      <c r="K345">
        <v>0.78817962401637098</v>
      </c>
      <c r="L345">
        <v>1</v>
      </c>
      <c r="M345">
        <v>3600.6552164929999</v>
      </c>
      <c r="N345">
        <v>681879</v>
      </c>
      <c r="O345">
        <v>1.79591319601906E-2</v>
      </c>
      <c r="P345" s="5">
        <v>1.0993528860239501</v>
      </c>
      <c r="Q345">
        <v>1</v>
      </c>
      <c r="R345">
        <v>83.858217952000004</v>
      </c>
      <c r="S345">
        <v>1373</v>
      </c>
      <c r="T345" s="1">
        <v>3.1098845315880003E-5</v>
      </c>
      <c r="U345">
        <v>1378</v>
      </c>
      <c r="V345" s="5">
        <v>0.79983701640155902</v>
      </c>
      <c r="W345">
        <v>1</v>
      </c>
      <c r="X345">
        <v>2214.7707138139999</v>
      </c>
      <c r="Y345">
        <v>580171</v>
      </c>
      <c r="Z345">
        <v>2.1803650092027101E-4</v>
      </c>
      <c r="AA345">
        <v>20</v>
      </c>
    </row>
    <row r="346" spans="1:27" x14ac:dyDescent="0.2">
      <c r="A346">
        <v>10</v>
      </c>
      <c r="B346">
        <v>1</v>
      </c>
      <c r="C346">
        <v>0.4</v>
      </c>
      <c r="D346">
        <v>100</v>
      </c>
      <c r="E346">
        <v>0.28927105635634498</v>
      </c>
      <c r="F346">
        <v>1</v>
      </c>
      <c r="G346">
        <v>32.332423114999997</v>
      </c>
      <c r="H346">
        <v>6.3880773749721204E-2</v>
      </c>
      <c r="I346">
        <v>1</v>
      </c>
      <c r="J346">
        <v>0.114989261</v>
      </c>
      <c r="K346">
        <v>6.3586951681966902E-2</v>
      </c>
      <c r="L346">
        <v>1</v>
      </c>
      <c r="M346">
        <v>3600.7973646609998</v>
      </c>
      <c r="N346">
        <v>720435</v>
      </c>
      <c r="O346">
        <v>2.1821200375669002E-3</v>
      </c>
      <c r="P346" s="5">
        <v>0.20976329275828701</v>
      </c>
      <c r="Q346">
        <v>1</v>
      </c>
      <c r="R346">
        <v>296.70676891199997</v>
      </c>
      <c r="S346">
        <v>5416</v>
      </c>
      <c r="T346">
        <v>1.1477949127587301E-3</v>
      </c>
      <c r="U346">
        <v>3848</v>
      </c>
      <c r="V346" s="5">
        <v>0.166744069267836</v>
      </c>
      <c r="W346">
        <v>1</v>
      </c>
      <c r="X346">
        <v>2101.4929624900001</v>
      </c>
      <c r="Y346">
        <v>81095</v>
      </c>
      <c r="Z346">
        <v>7.6153721127922205E-4</v>
      </c>
      <c r="AA346">
        <v>20</v>
      </c>
    </row>
    <row r="347" spans="1:27" x14ac:dyDescent="0.2">
      <c r="A347">
        <v>10</v>
      </c>
      <c r="B347">
        <v>1</v>
      </c>
      <c r="C347">
        <v>0.2</v>
      </c>
      <c r="D347">
        <v>100</v>
      </c>
      <c r="E347">
        <v>0.44201231801805302</v>
      </c>
      <c r="F347">
        <v>1</v>
      </c>
      <c r="G347">
        <v>34.086240437999997</v>
      </c>
      <c r="H347">
        <v>0.17011919147538801</v>
      </c>
      <c r="I347">
        <v>1</v>
      </c>
      <c r="J347">
        <v>0.234851006</v>
      </c>
      <c r="K347">
        <v>0.10709101543508701</v>
      </c>
      <c r="L347">
        <v>1</v>
      </c>
      <c r="M347">
        <v>3601.3724850580002</v>
      </c>
      <c r="N347">
        <v>536800</v>
      </c>
      <c r="O347">
        <v>1.6313626969094601E-2</v>
      </c>
      <c r="P347" s="5">
        <v>0.17648615748613</v>
      </c>
      <c r="Q347">
        <v>1</v>
      </c>
      <c r="R347">
        <v>354.965284967</v>
      </c>
      <c r="S347">
        <v>9312</v>
      </c>
      <c r="T347">
        <v>3.98176216796997E-4</v>
      </c>
      <c r="U347">
        <v>5981</v>
      </c>
      <c r="V347" s="5">
        <v>0.255508431627538</v>
      </c>
      <c r="W347">
        <v>1</v>
      </c>
      <c r="X347">
        <v>1754.304848042</v>
      </c>
      <c r="Y347">
        <v>132948</v>
      </c>
      <c r="Z347">
        <v>8.7904748807145195E-4</v>
      </c>
      <c r="AA347">
        <v>20</v>
      </c>
    </row>
    <row r="348" spans="1:27" x14ac:dyDescent="0.2">
      <c r="A348">
        <v>10</v>
      </c>
      <c r="B348">
        <v>1</v>
      </c>
      <c r="C348">
        <v>0.3</v>
      </c>
      <c r="D348">
        <v>100</v>
      </c>
      <c r="E348">
        <v>0.81283297920862696</v>
      </c>
      <c r="F348">
        <v>1</v>
      </c>
      <c r="G348">
        <v>30.386150182000002</v>
      </c>
      <c r="H348">
        <v>0.71921833126479695</v>
      </c>
      <c r="I348">
        <v>1</v>
      </c>
      <c r="J348">
        <v>0.296710951</v>
      </c>
      <c r="K348">
        <v>0.71912928134323095</v>
      </c>
      <c r="L348">
        <v>1</v>
      </c>
      <c r="M348">
        <v>3601.293858734</v>
      </c>
      <c r="N348">
        <v>861560</v>
      </c>
      <c r="O348">
        <v>9.8223154695400404E-3</v>
      </c>
      <c r="P348" s="5">
        <v>0.76658887345801896</v>
      </c>
      <c r="Q348">
        <v>1</v>
      </c>
      <c r="R348">
        <v>222.95272647300001</v>
      </c>
      <c r="S348">
        <v>5551</v>
      </c>
      <c r="T348">
        <v>8.9456481193876604E-4</v>
      </c>
      <c r="U348">
        <v>4272</v>
      </c>
      <c r="V348" s="5">
        <v>0.74563452827992005</v>
      </c>
      <c r="W348">
        <v>1</v>
      </c>
      <c r="X348">
        <v>1728.2695191190001</v>
      </c>
      <c r="Y348">
        <v>162508</v>
      </c>
      <c r="Z348">
        <v>7.1156284969858797E-4</v>
      </c>
      <c r="AA348">
        <v>20</v>
      </c>
    </row>
    <row r="349" spans="1:27" x14ac:dyDescent="0.2">
      <c r="A349">
        <v>10</v>
      </c>
      <c r="B349">
        <v>1</v>
      </c>
      <c r="C349">
        <v>0.4</v>
      </c>
      <c r="D349">
        <v>100</v>
      </c>
      <c r="E349">
        <v>0.70400076096349595</v>
      </c>
      <c r="F349">
        <v>1</v>
      </c>
      <c r="G349">
        <v>39.452316773</v>
      </c>
      <c r="H349">
        <v>0.39487969487796398</v>
      </c>
      <c r="I349">
        <v>1</v>
      </c>
      <c r="J349">
        <v>0.15280833399999999</v>
      </c>
      <c r="K349">
        <v>0.39836416733806101</v>
      </c>
      <c r="L349">
        <v>1</v>
      </c>
      <c r="M349">
        <v>3605.8814268159999</v>
      </c>
      <c r="N349">
        <v>552566</v>
      </c>
      <c r="O349">
        <v>2.83682478010014E-2</v>
      </c>
      <c r="P349" s="5">
        <v>0.77337675935582795</v>
      </c>
      <c r="Q349">
        <v>1</v>
      </c>
      <c r="R349">
        <v>563.61078919800002</v>
      </c>
      <c r="S349">
        <v>8106</v>
      </c>
      <c r="T349">
        <v>2.0262144052514901E-3</v>
      </c>
      <c r="U349">
        <v>5330</v>
      </c>
      <c r="V349" s="5">
        <v>0.48391832528871198</v>
      </c>
      <c r="W349">
        <v>1</v>
      </c>
      <c r="X349">
        <v>1342.3229045789999</v>
      </c>
      <c r="Y349">
        <v>104258</v>
      </c>
      <c r="Z349">
        <v>1.03198883455216E-3</v>
      </c>
      <c r="AA349">
        <v>20</v>
      </c>
    </row>
    <row r="350" spans="1:27" x14ac:dyDescent="0.2">
      <c r="A350">
        <v>10</v>
      </c>
      <c r="B350">
        <v>1</v>
      </c>
      <c r="C350">
        <v>0.1</v>
      </c>
      <c r="D350">
        <v>100</v>
      </c>
      <c r="E350">
        <v>0.96580268824637205</v>
      </c>
      <c r="F350">
        <v>1</v>
      </c>
      <c r="G350">
        <v>34.591285534000001</v>
      </c>
      <c r="H350">
        <v>0.96552350262443598</v>
      </c>
      <c r="I350">
        <v>1</v>
      </c>
      <c r="J350">
        <v>8.2647896999999998E-2</v>
      </c>
      <c r="K350">
        <v>1.0241309587451799</v>
      </c>
      <c r="L350">
        <v>1</v>
      </c>
      <c r="M350">
        <v>3600.5173146510001</v>
      </c>
      <c r="N350">
        <v>666723</v>
      </c>
      <c r="O350">
        <v>3.4699077843498502E-3</v>
      </c>
      <c r="P350" s="5">
        <v>0.950642457611652</v>
      </c>
      <c r="Q350">
        <v>1</v>
      </c>
      <c r="R350">
        <v>2191.4911816069998</v>
      </c>
      <c r="S350">
        <v>69153</v>
      </c>
      <c r="T350" s="1">
        <v>5.27140169905519E-5</v>
      </c>
      <c r="U350">
        <v>38238</v>
      </c>
      <c r="V350" s="5">
        <v>0.995237842475035</v>
      </c>
      <c r="W350">
        <v>1</v>
      </c>
      <c r="X350">
        <v>9.5916819150000006</v>
      </c>
      <c r="Y350">
        <v>3301</v>
      </c>
      <c r="Z350" s="1">
        <v>3.7936232454099898E-5</v>
      </c>
      <c r="AA350">
        <v>1</v>
      </c>
    </row>
    <row r="351" spans="1:27" x14ac:dyDescent="0.2">
      <c r="A351">
        <v>10</v>
      </c>
      <c r="B351">
        <v>1</v>
      </c>
      <c r="C351">
        <v>0.4</v>
      </c>
      <c r="D351">
        <v>100</v>
      </c>
      <c r="E351">
        <v>2.6758412102670801E-2</v>
      </c>
      <c r="F351">
        <v>1</v>
      </c>
      <c r="G351">
        <v>31.473970570999999</v>
      </c>
      <c r="H351">
        <v>2.7671511204459001E-2</v>
      </c>
      <c r="I351">
        <v>1</v>
      </c>
      <c r="J351">
        <v>4.7777913999999998E-2</v>
      </c>
      <c r="K351">
        <v>2.87017369121025E-2</v>
      </c>
      <c r="L351">
        <v>1</v>
      </c>
      <c r="M351">
        <v>2263.3143149880002</v>
      </c>
      <c r="N351">
        <v>492211</v>
      </c>
      <c r="O351">
        <v>4.1241634292958898E-3</v>
      </c>
      <c r="P351" s="5">
        <v>1.9370052825470298E-2</v>
      </c>
      <c r="Q351">
        <v>1</v>
      </c>
      <c r="R351">
        <v>22.236277505</v>
      </c>
      <c r="S351">
        <v>1</v>
      </c>
      <c r="T351">
        <v>2.3470700070774499E-3</v>
      </c>
      <c r="U351">
        <v>4</v>
      </c>
      <c r="V351" s="5">
        <v>1.9370052825470298E-2</v>
      </c>
      <c r="W351">
        <v>1</v>
      </c>
      <c r="X351">
        <v>7.9687956760000001</v>
      </c>
      <c r="Y351">
        <v>1</v>
      </c>
      <c r="Z351">
        <v>1.67538710776066E-3</v>
      </c>
      <c r="AA351">
        <v>1</v>
      </c>
    </row>
    <row r="352" spans="1:27" x14ac:dyDescent="0.2">
      <c r="A352">
        <v>10</v>
      </c>
      <c r="B352">
        <v>1</v>
      </c>
      <c r="C352">
        <v>0.4</v>
      </c>
      <c r="D352">
        <v>100</v>
      </c>
      <c r="E352">
        <v>0.395086200135909</v>
      </c>
      <c r="F352">
        <v>1</v>
      </c>
      <c r="G352">
        <v>34.016922618999999</v>
      </c>
      <c r="H352">
        <v>0.108067713517553</v>
      </c>
      <c r="I352">
        <v>1</v>
      </c>
      <c r="J352">
        <v>0.129615969</v>
      </c>
      <c r="K352">
        <v>0.108406546726016</v>
      </c>
      <c r="L352">
        <v>1</v>
      </c>
      <c r="M352">
        <v>3600.6955121320002</v>
      </c>
      <c r="N352">
        <v>999436</v>
      </c>
      <c r="O352">
        <v>2.5608584009258799E-2</v>
      </c>
      <c r="P352" s="5">
        <v>0.25144325682636998</v>
      </c>
      <c r="Q352">
        <v>1</v>
      </c>
      <c r="R352">
        <v>186.29296284</v>
      </c>
      <c r="S352">
        <v>2726</v>
      </c>
      <c r="T352">
        <v>1.44242107124145E-3</v>
      </c>
      <c r="U352">
        <v>2308</v>
      </c>
      <c r="V352" s="5">
        <v>0.21176534561180299</v>
      </c>
      <c r="W352">
        <v>1</v>
      </c>
      <c r="X352">
        <v>1490.3792068759999</v>
      </c>
      <c r="Y352">
        <v>107842</v>
      </c>
      <c r="Z352">
        <v>1.36510671265804E-3</v>
      </c>
      <c r="AA352">
        <v>20</v>
      </c>
    </row>
    <row r="353" spans="1:27" x14ac:dyDescent="0.2">
      <c r="A353">
        <v>10</v>
      </c>
      <c r="B353">
        <v>1</v>
      </c>
      <c r="C353">
        <v>0.2</v>
      </c>
      <c r="D353">
        <v>100</v>
      </c>
      <c r="E353">
        <v>0.73667384360652899</v>
      </c>
      <c r="F353">
        <v>1</v>
      </c>
      <c r="G353">
        <v>33.459608322999998</v>
      </c>
      <c r="H353">
        <v>0.73440413969807605</v>
      </c>
      <c r="I353">
        <v>1</v>
      </c>
      <c r="J353">
        <v>0.241037787</v>
      </c>
      <c r="K353">
        <v>0.67078408950722201</v>
      </c>
      <c r="L353">
        <v>1</v>
      </c>
      <c r="M353">
        <v>3601.0447857690001</v>
      </c>
      <c r="N353">
        <v>844965</v>
      </c>
      <c r="O353">
        <v>7.3407978878208199E-3</v>
      </c>
      <c r="P353" s="5">
        <v>0.93505850100741505</v>
      </c>
      <c r="Q353">
        <v>1</v>
      </c>
      <c r="R353">
        <v>146.48246506500001</v>
      </c>
      <c r="S353">
        <v>3929</v>
      </c>
      <c r="T353">
        <v>5.10481814530394E-4</v>
      </c>
      <c r="U353">
        <v>3139</v>
      </c>
      <c r="V353" s="5">
        <v>0.90629846285475202</v>
      </c>
      <c r="W353">
        <v>1</v>
      </c>
      <c r="X353">
        <v>2275.5705560279998</v>
      </c>
      <c r="Y353">
        <v>156851</v>
      </c>
      <c r="Z353">
        <v>1.3056018600216099E-3</v>
      </c>
      <c r="AA353">
        <v>20</v>
      </c>
    </row>
    <row r="354" spans="1:27" x14ac:dyDescent="0.2">
      <c r="A354">
        <v>10</v>
      </c>
      <c r="B354">
        <v>1</v>
      </c>
      <c r="C354">
        <v>0.3</v>
      </c>
      <c r="D354">
        <v>100</v>
      </c>
      <c r="E354">
        <v>0.27682388086999998</v>
      </c>
      <c r="F354">
        <v>1</v>
      </c>
      <c r="G354">
        <v>32.064384470999997</v>
      </c>
      <c r="H354">
        <v>0.158960861864992</v>
      </c>
      <c r="I354">
        <v>1</v>
      </c>
      <c r="J354">
        <v>0.28460759800000002</v>
      </c>
      <c r="K354">
        <v>0.157911125135686</v>
      </c>
      <c r="L354">
        <v>1</v>
      </c>
      <c r="M354">
        <v>3600.592465879</v>
      </c>
      <c r="N354">
        <v>865940</v>
      </c>
      <c r="O354">
        <v>8.3632516657274805E-3</v>
      </c>
      <c r="P354" s="5">
        <v>0.22590732659285101</v>
      </c>
      <c r="Q354">
        <v>1</v>
      </c>
      <c r="R354">
        <v>256.97478027099999</v>
      </c>
      <c r="S354">
        <v>3725</v>
      </c>
      <c r="T354">
        <v>2.5430912338998898E-3</v>
      </c>
      <c r="U354">
        <v>2584</v>
      </c>
      <c r="V354" s="5">
        <v>0.148635845125142</v>
      </c>
      <c r="W354">
        <v>1</v>
      </c>
      <c r="X354">
        <v>2171.6386143710001</v>
      </c>
      <c r="Y354">
        <v>87506</v>
      </c>
      <c r="Z354">
        <v>2.4720657778945498E-3</v>
      </c>
      <c r="AA354">
        <v>20</v>
      </c>
    </row>
    <row r="355" spans="1:27" x14ac:dyDescent="0.2">
      <c r="A355">
        <v>10</v>
      </c>
      <c r="B355">
        <v>1</v>
      </c>
      <c r="C355">
        <v>0.3</v>
      </c>
      <c r="D355">
        <v>100</v>
      </c>
      <c r="E355">
        <v>0.265687512958931</v>
      </c>
      <c r="F355">
        <v>1</v>
      </c>
      <c r="G355">
        <v>32.126658839000001</v>
      </c>
      <c r="H355">
        <v>0.27894668923538901</v>
      </c>
      <c r="I355">
        <v>1</v>
      </c>
      <c r="J355">
        <v>0.13726179399999999</v>
      </c>
      <c r="K355">
        <v>0.278759497390762</v>
      </c>
      <c r="L355">
        <v>1</v>
      </c>
      <c r="M355">
        <v>3601.054099084</v>
      </c>
      <c r="N355">
        <v>697952</v>
      </c>
      <c r="O355">
        <v>4.7106534924097297E-3</v>
      </c>
      <c r="P355" s="5">
        <v>0.38335330195539202</v>
      </c>
      <c r="Q355">
        <v>1</v>
      </c>
      <c r="R355">
        <v>236.03206335100001</v>
      </c>
      <c r="S355">
        <v>6449</v>
      </c>
      <c r="T355">
        <v>1.74376286907779E-3</v>
      </c>
      <c r="U355">
        <v>4219</v>
      </c>
      <c r="V355" s="5">
        <v>0.191136940399176</v>
      </c>
      <c r="W355">
        <v>1</v>
      </c>
      <c r="X355">
        <v>2653.9794978730001</v>
      </c>
      <c r="Y355">
        <v>66405</v>
      </c>
      <c r="Z355">
        <v>7.9760192856837501E-3</v>
      </c>
      <c r="AA355">
        <v>20</v>
      </c>
    </row>
    <row r="356" spans="1:27" x14ac:dyDescent="0.2">
      <c r="A356">
        <v>10</v>
      </c>
      <c r="B356">
        <v>1</v>
      </c>
      <c r="C356">
        <v>0.2</v>
      </c>
      <c r="D356">
        <v>100</v>
      </c>
      <c r="E356">
        <v>0.83134107698711401</v>
      </c>
      <c r="F356">
        <v>1</v>
      </c>
      <c r="G356">
        <v>32.145348032999998</v>
      </c>
      <c r="H356">
        <v>0.69869212347855703</v>
      </c>
      <c r="I356">
        <v>1</v>
      </c>
      <c r="J356">
        <v>0.27207935300000002</v>
      </c>
      <c r="K356">
        <v>0.698951343907247</v>
      </c>
      <c r="L356">
        <v>1</v>
      </c>
      <c r="M356">
        <v>3601.0939745840001</v>
      </c>
      <c r="N356">
        <v>558925</v>
      </c>
      <c r="O356">
        <v>1.0021752675372701E-2</v>
      </c>
      <c r="P356" s="5">
        <v>0.76059819659053396</v>
      </c>
      <c r="Q356">
        <v>1</v>
      </c>
      <c r="R356">
        <v>360.33915375399999</v>
      </c>
      <c r="S356">
        <v>9198</v>
      </c>
      <c r="T356">
        <v>3.50841876173839E-4</v>
      </c>
      <c r="U356">
        <v>6482</v>
      </c>
      <c r="V356" s="5">
        <v>0.76748898547641298</v>
      </c>
      <c r="W356">
        <v>1</v>
      </c>
      <c r="X356">
        <v>2282.6392979289999</v>
      </c>
      <c r="Y356">
        <v>322006</v>
      </c>
      <c r="Z356">
        <v>4.89230411132572E-4</v>
      </c>
      <c r="AA356">
        <v>20</v>
      </c>
    </row>
    <row r="357" spans="1:27" x14ac:dyDescent="0.2">
      <c r="A357">
        <v>10</v>
      </c>
      <c r="B357">
        <v>1</v>
      </c>
      <c r="C357">
        <v>0.2</v>
      </c>
      <c r="D357">
        <v>100</v>
      </c>
      <c r="E357">
        <v>0.54772826076691605</v>
      </c>
      <c r="F357">
        <v>1</v>
      </c>
      <c r="G357">
        <v>33.294984169999999</v>
      </c>
      <c r="H357">
        <v>0.56250400602259198</v>
      </c>
      <c r="I357">
        <v>1</v>
      </c>
      <c r="J357">
        <v>0.22886140999999999</v>
      </c>
      <c r="K357">
        <v>0.38009278534705598</v>
      </c>
      <c r="L357">
        <v>1</v>
      </c>
      <c r="M357">
        <v>3600.5402723840002</v>
      </c>
      <c r="N357">
        <v>479974</v>
      </c>
      <c r="O357">
        <v>4.03340254031192E-2</v>
      </c>
      <c r="P357" s="5">
        <v>0.94780041589478103</v>
      </c>
      <c r="Q357">
        <v>1</v>
      </c>
      <c r="R357">
        <v>547.82906236999997</v>
      </c>
      <c r="S357">
        <v>16204</v>
      </c>
      <c r="T357">
        <v>7.3527542587790897E-4</v>
      </c>
      <c r="U357">
        <v>9528</v>
      </c>
      <c r="V357" s="5">
        <v>0.93711934632654903</v>
      </c>
      <c r="W357">
        <v>1</v>
      </c>
      <c r="X357">
        <v>2539.1214280929998</v>
      </c>
      <c r="Y357">
        <v>233016</v>
      </c>
      <c r="Z357">
        <v>7.63302311614949E-4</v>
      </c>
      <c r="AA357">
        <v>20</v>
      </c>
    </row>
    <row r="358" spans="1:27" x14ac:dyDescent="0.2">
      <c r="A358">
        <v>10</v>
      </c>
      <c r="B358">
        <v>1</v>
      </c>
      <c r="C358">
        <v>0.3</v>
      </c>
      <c r="D358">
        <v>100</v>
      </c>
      <c r="E358">
        <v>0.40488930459837702</v>
      </c>
      <c r="F358">
        <v>1</v>
      </c>
      <c r="G358">
        <v>31.885840942000002</v>
      </c>
      <c r="H358">
        <v>0.122324418705186</v>
      </c>
      <c r="I358">
        <v>1</v>
      </c>
      <c r="J358">
        <v>0.21664602199999999</v>
      </c>
      <c r="K358">
        <v>0.121878829872282</v>
      </c>
      <c r="L358">
        <v>1</v>
      </c>
      <c r="M358">
        <v>3601.0675533059998</v>
      </c>
      <c r="N358">
        <v>459025</v>
      </c>
      <c r="O358">
        <v>1.70053010645876E-2</v>
      </c>
      <c r="P358" s="5">
        <v>0.24346501798245701</v>
      </c>
      <c r="Q358">
        <v>1</v>
      </c>
      <c r="R358">
        <v>354.954379663</v>
      </c>
      <c r="S358">
        <v>5421</v>
      </c>
      <c r="T358">
        <v>1.17644368078889E-3</v>
      </c>
      <c r="U358">
        <v>4097</v>
      </c>
      <c r="V358" s="5">
        <v>0.222827183841354</v>
      </c>
      <c r="W358">
        <v>1</v>
      </c>
      <c r="X358">
        <v>2900.4568264929999</v>
      </c>
      <c r="Y358">
        <v>167671</v>
      </c>
      <c r="Z358">
        <v>2.1966273331423098E-3</v>
      </c>
      <c r="AA358">
        <v>20</v>
      </c>
    </row>
    <row r="359" spans="1:27" x14ac:dyDescent="0.2">
      <c r="A359">
        <v>10</v>
      </c>
      <c r="B359">
        <v>1</v>
      </c>
      <c r="C359">
        <v>0.4</v>
      </c>
      <c r="D359">
        <v>100</v>
      </c>
      <c r="E359">
        <v>0.278225317275961</v>
      </c>
      <c r="F359">
        <v>1</v>
      </c>
      <c r="G359">
        <v>30.387137330000002</v>
      </c>
      <c r="H359">
        <v>6.8582369121940004E-2</v>
      </c>
      <c r="I359">
        <v>1</v>
      </c>
      <c r="J359">
        <v>0.18369714000000001</v>
      </c>
      <c r="K359">
        <v>6.6108672821995604E-2</v>
      </c>
      <c r="L359">
        <v>1</v>
      </c>
      <c r="M359">
        <v>3600.8812852390001</v>
      </c>
      <c r="N359">
        <v>742969</v>
      </c>
      <c r="O359">
        <v>2.2900792452471498E-3</v>
      </c>
      <c r="P359" s="5">
        <v>0.395443966385158</v>
      </c>
      <c r="Q359">
        <v>1</v>
      </c>
      <c r="R359">
        <v>488.41371354500001</v>
      </c>
      <c r="S359">
        <v>11221</v>
      </c>
      <c r="T359">
        <v>9.9568659064820609E-4</v>
      </c>
      <c r="U359">
        <v>6707</v>
      </c>
      <c r="V359" s="5">
        <v>0.15940013710223599</v>
      </c>
      <c r="W359">
        <v>1</v>
      </c>
      <c r="X359">
        <v>2719.4520822300001</v>
      </c>
      <c r="Y359">
        <v>171918</v>
      </c>
      <c r="Z359">
        <v>1.34375699653514E-3</v>
      </c>
      <c r="AA359">
        <v>20</v>
      </c>
    </row>
    <row r="360" spans="1:27" x14ac:dyDescent="0.2">
      <c r="A360">
        <v>10</v>
      </c>
      <c r="B360">
        <v>1</v>
      </c>
      <c r="C360">
        <v>0.4</v>
      </c>
      <c r="D360">
        <v>100</v>
      </c>
      <c r="E360">
        <v>0.55973237004786303</v>
      </c>
      <c r="F360">
        <v>1</v>
      </c>
      <c r="G360">
        <v>31.524165408999998</v>
      </c>
      <c r="H360">
        <v>0.50308339810393898</v>
      </c>
      <c r="I360">
        <v>1</v>
      </c>
      <c r="J360">
        <v>9.5363733000000006E-2</v>
      </c>
      <c r="K360">
        <v>0.50304989936283495</v>
      </c>
      <c r="L360">
        <v>1</v>
      </c>
      <c r="M360">
        <v>3600.5499294460001</v>
      </c>
      <c r="N360">
        <v>688313</v>
      </c>
      <c r="O360">
        <v>1.0618709239671399E-3</v>
      </c>
      <c r="P360" s="5">
        <v>0.39008124905039598</v>
      </c>
      <c r="Q360">
        <v>1</v>
      </c>
      <c r="R360">
        <v>395.99498293900001</v>
      </c>
      <c r="S360">
        <v>9005</v>
      </c>
      <c r="T360">
        <v>2.9925022413976999E-4</v>
      </c>
      <c r="U360">
        <v>6233</v>
      </c>
      <c r="V360" s="5">
        <v>0.82649426072034704</v>
      </c>
      <c r="W360">
        <v>1</v>
      </c>
      <c r="X360">
        <v>2887.0766758079999</v>
      </c>
      <c r="Y360">
        <v>121044</v>
      </c>
      <c r="Z360">
        <v>1.8306882736219901E-3</v>
      </c>
      <c r="AA360">
        <v>20</v>
      </c>
    </row>
    <row r="361" spans="1:27" x14ac:dyDescent="0.2">
      <c r="A361">
        <v>10</v>
      </c>
      <c r="B361">
        <v>1</v>
      </c>
      <c r="C361">
        <v>0.4</v>
      </c>
      <c r="D361">
        <v>100</v>
      </c>
      <c r="E361">
        <v>0.51367412662210399</v>
      </c>
      <c r="F361">
        <v>1</v>
      </c>
      <c r="G361">
        <v>32.248783574000001</v>
      </c>
      <c r="H361">
        <v>0.24804807924042399</v>
      </c>
      <c r="I361">
        <v>1</v>
      </c>
      <c r="J361">
        <v>0.166409643</v>
      </c>
      <c r="K361">
        <v>0.26313708966727001</v>
      </c>
      <c r="L361">
        <v>1</v>
      </c>
      <c r="M361">
        <v>3600.5715317139998</v>
      </c>
      <c r="N361">
        <v>793967</v>
      </c>
      <c r="O361">
        <v>2.1243603606148499E-2</v>
      </c>
      <c r="P361" s="5">
        <v>0.86716663099265101</v>
      </c>
      <c r="Q361">
        <v>1</v>
      </c>
      <c r="R361">
        <v>294.64304221999998</v>
      </c>
      <c r="S361">
        <v>6853</v>
      </c>
      <c r="T361">
        <v>1.54274770024807E-4</v>
      </c>
      <c r="U361">
        <v>4707</v>
      </c>
      <c r="V361" s="5">
        <v>0.47886174645065799</v>
      </c>
      <c r="W361">
        <v>1</v>
      </c>
      <c r="X361">
        <v>3021.9611019399999</v>
      </c>
      <c r="Y361">
        <v>64078</v>
      </c>
      <c r="Z361">
        <v>1.25022905298763E-3</v>
      </c>
      <c r="AA361">
        <v>20</v>
      </c>
    </row>
    <row r="362" spans="1:27" x14ac:dyDescent="0.2">
      <c r="A362">
        <v>10</v>
      </c>
      <c r="B362">
        <v>1</v>
      </c>
      <c r="C362">
        <v>0.4</v>
      </c>
      <c r="D362">
        <v>100</v>
      </c>
      <c r="E362">
        <v>0.17865284080226601</v>
      </c>
      <c r="F362">
        <v>1</v>
      </c>
      <c r="G362">
        <v>36.205416812000003</v>
      </c>
      <c r="H362">
        <v>7.5987858858196505E-2</v>
      </c>
      <c r="I362">
        <v>1</v>
      </c>
      <c r="J362">
        <v>0.170067781</v>
      </c>
      <c r="K362">
        <v>7.5495083189478202E-2</v>
      </c>
      <c r="L362">
        <v>1</v>
      </c>
      <c r="M362">
        <v>3601.268307069</v>
      </c>
      <c r="N362">
        <v>760782</v>
      </c>
      <c r="O362">
        <v>5.3815502548495396E-3</v>
      </c>
      <c r="P362" s="5">
        <v>0.23443129780293001</v>
      </c>
      <c r="Q362">
        <v>1</v>
      </c>
      <c r="R362">
        <v>354.16423855699998</v>
      </c>
      <c r="S362">
        <v>8119</v>
      </c>
      <c r="T362">
        <v>1.7028562978364801E-3</v>
      </c>
      <c r="U362">
        <v>5296</v>
      </c>
      <c r="V362" s="5">
        <v>0.24522040152035299</v>
      </c>
      <c r="W362">
        <v>1</v>
      </c>
      <c r="X362">
        <v>2679.8984884689999</v>
      </c>
      <c r="Y362">
        <v>178152</v>
      </c>
      <c r="Z362">
        <v>1.03715665620385E-3</v>
      </c>
      <c r="AA362">
        <v>20</v>
      </c>
    </row>
    <row r="363" spans="1:27" x14ac:dyDescent="0.2">
      <c r="A363">
        <v>10</v>
      </c>
      <c r="B363">
        <v>1</v>
      </c>
      <c r="C363">
        <v>0.2</v>
      </c>
      <c r="D363">
        <v>100</v>
      </c>
      <c r="E363">
        <v>0.90790961069716303</v>
      </c>
      <c r="F363">
        <v>1</v>
      </c>
      <c r="G363">
        <v>31.405838137</v>
      </c>
      <c r="H363">
        <v>0.87498977166719105</v>
      </c>
      <c r="I363">
        <v>1</v>
      </c>
      <c r="J363">
        <v>0.249665313</v>
      </c>
      <c r="K363">
        <v>0.94208001236500905</v>
      </c>
      <c r="L363">
        <v>1</v>
      </c>
      <c r="M363">
        <v>3600.5311960280001</v>
      </c>
      <c r="N363">
        <v>648354</v>
      </c>
      <c r="O363">
        <v>9.2189607920056798E-3</v>
      </c>
      <c r="P363" s="5">
        <v>0.93234865203647099</v>
      </c>
      <c r="Q363">
        <v>1</v>
      </c>
      <c r="R363">
        <v>3258.1348273210001</v>
      </c>
      <c r="S363">
        <v>109311</v>
      </c>
      <c r="T363" s="1">
        <v>8.1538661924049295E-5</v>
      </c>
      <c r="U363">
        <v>58087</v>
      </c>
      <c r="V363" s="5">
        <v>0.95621377975612798</v>
      </c>
      <c r="W363">
        <v>1</v>
      </c>
      <c r="X363">
        <v>121.135029242</v>
      </c>
      <c r="Y363">
        <v>13218</v>
      </c>
      <c r="Z363">
        <v>1.2268378363238099E-4</v>
      </c>
      <c r="AA363">
        <v>7</v>
      </c>
    </row>
    <row r="364" spans="1:27" x14ac:dyDescent="0.2">
      <c r="A364">
        <v>10</v>
      </c>
      <c r="B364">
        <v>1</v>
      </c>
      <c r="C364">
        <v>0.2</v>
      </c>
      <c r="D364">
        <v>100</v>
      </c>
      <c r="E364">
        <v>0.64045880275931999</v>
      </c>
      <c r="F364">
        <v>1</v>
      </c>
      <c r="G364">
        <v>31.979591002999999</v>
      </c>
      <c r="H364">
        <v>0.39018170205957903</v>
      </c>
      <c r="I364">
        <v>1</v>
      </c>
      <c r="J364">
        <v>0.22091286900000001</v>
      </c>
      <c r="K364">
        <v>0.40515759285231101</v>
      </c>
      <c r="L364">
        <v>1</v>
      </c>
      <c r="M364">
        <v>3601.7446817330001</v>
      </c>
      <c r="N364">
        <v>459267</v>
      </c>
      <c r="O364">
        <v>2.3935852120540099E-2</v>
      </c>
      <c r="P364" s="5">
        <v>0.82945222056771895</v>
      </c>
      <c r="Q364">
        <v>1</v>
      </c>
      <c r="R364">
        <v>691.02992556000004</v>
      </c>
      <c r="S364">
        <v>15741</v>
      </c>
      <c r="T364">
        <v>3.08924115712636E-4</v>
      </c>
      <c r="U364">
        <v>10190</v>
      </c>
      <c r="V364" s="5">
        <v>1.2348157234847501</v>
      </c>
      <c r="W364">
        <v>1</v>
      </c>
      <c r="X364">
        <v>2841.1358152060002</v>
      </c>
      <c r="Y364">
        <v>103175</v>
      </c>
      <c r="Z364">
        <v>9.4133024912448904E-4</v>
      </c>
      <c r="AA364">
        <v>20</v>
      </c>
    </row>
    <row r="365" spans="1:27" x14ac:dyDescent="0.2">
      <c r="A365">
        <v>10</v>
      </c>
      <c r="B365">
        <v>1</v>
      </c>
      <c r="C365">
        <v>0.3</v>
      </c>
      <c r="D365">
        <v>100</v>
      </c>
      <c r="E365">
        <v>0.24326405004996199</v>
      </c>
      <c r="F365">
        <v>1</v>
      </c>
      <c r="G365">
        <v>32.344046636000002</v>
      </c>
      <c r="H365">
        <v>0.150770896082532</v>
      </c>
      <c r="I365">
        <v>1</v>
      </c>
      <c r="J365">
        <v>0.32468242800000002</v>
      </c>
      <c r="K365">
        <v>0.145931867700726</v>
      </c>
      <c r="L365">
        <v>1</v>
      </c>
      <c r="M365">
        <v>3600.5266677660002</v>
      </c>
      <c r="N365">
        <v>729374</v>
      </c>
      <c r="O365">
        <v>9.4881842858995907E-3</v>
      </c>
      <c r="P365" s="5">
        <v>0.34563880916845602</v>
      </c>
      <c r="Q365">
        <v>1</v>
      </c>
      <c r="R365">
        <v>482.78954840300003</v>
      </c>
      <c r="S365">
        <v>9529</v>
      </c>
      <c r="T365">
        <v>1.56893792254658E-3</v>
      </c>
      <c r="U365">
        <v>6015</v>
      </c>
      <c r="V365" s="5">
        <v>6.5341986035546806E-2</v>
      </c>
      <c r="W365">
        <v>1</v>
      </c>
      <c r="X365">
        <v>2846.113886312</v>
      </c>
      <c r="Y365">
        <v>98649</v>
      </c>
      <c r="Z365">
        <v>5.9143544074345402E-3</v>
      </c>
      <c r="AA365">
        <v>20</v>
      </c>
    </row>
    <row r="366" spans="1:27" x14ac:dyDescent="0.2">
      <c r="A366">
        <v>10</v>
      </c>
      <c r="B366">
        <v>1</v>
      </c>
      <c r="C366">
        <v>0.3</v>
      </c>
      <c r="D366">
        <v>100</v>
      </c>
      <c r="E366">
        <v>0.53646943004876002</v>
      </c>
      <c r="F366">
        <v>1</v>
      </c>
      <c r="G366">
        <v>39.395881832999997</v>
      </c>
      <c r="H366">
        <v>0.21728425716305899</v>
      </c>
      <c r="I366">
        <v>1</v>
      </c>
      <c r="J366">
        <v>0.46727396799999998</v>
      </c>
      <c r="K366">
        <v>0.217651282291941</v>
      </c>
      <c r="L366">
        <v>1</v>
      </c>
      <c r="M366">
        <v>3601.582345968</v>
      </c>
      <c r="N366">
        <v>522383</v>
      </c>
      <c r="O366">
        <v>8.7212140764130197E-3</v>
      </c>
      <c r="P366" s="5">
        <v>0.415349037299586</v>
      </c>
      <c r="Q366">
        <v>1</v>
      </c>
      <c r="R366">
        <v>398.687213955</v>
      </c>
      <c r="S366">
        <v>10504</v>
      </c>
      <c r="T366">
        <v>1.34814635722541E-3</v>
      </c>
      <c r="U366">
        <v>6784</v>
      </c>
      <c r="V366" s="5">
        <v>0.31014981425226401</v>
      </c>
      <c r="W366">
        <v>1</v>
      </c>
      <c r="X366">
        <v>2921.1498389919998</v>
      </c>
      <c r="Y366">
        <v>150905</v>
      </c>
      <c r="Z366">
        <v>8.5715289972232902E-3</v>
      </c>
      <c r="AA366">
        <v>20</v>
      </c>
    </row>
    <row r="367" spans="1:27" x14ac:dyDescent="0.2">
      <c r="A367">
        <v>10</v>
      </c>
      <c r="B367">
        <v>1</v>
      </c>
      <c r="C367">
        <v>0.4</v>
      </c>
      <c r="D367">
        <v>100</v>
      </c>
      <c r="E367">
        <v>0.35563053555660601</v>
      </c>
      <c r="F367">
        <v>1</v>
      </c>
      <c r="G367">
        <v>34.054155969999997</v>
      </c>
      <c r="H367">
        <v>9.9239601844517703E-2</v>
      </c>
      <c r="I367">
        <v>1</v>
      </c>
      <c r="J367">
        <v>0.20450945100000001</v>
      </c>
      <c r="K367">
        <v>9.8588419620595003E-2</v>
      </c>
      <c r="L367">
        <v>1</v>
      </c>
      <c r="M367">
        <v>3600.8355632409998</v>
      </c>
      <c r="N367">
        <v>844258</v>
      </c>
      <c r="O367">
        <v>5.5293583313975603E-3</v>
      </c>
      <c r="P367" s="5">
        <v>0.39394698561003999</v>
      </c>
      <c r="Q367">
        <v>1</v>
      </c>
      <c r="R367">
        <v>439.15436383799999</v>
      </c>
      <c r="S367">
        <v>16548</v>
      </c>
      <c r="T367">
        <v>1.7652713524078901E-3</v>
      </c>
      <c r="U367">
        <v>9660</v>
      </c>
      <c r="V367" s="5">
        <v>0.28625805969712698</v>
      </c>
      <c r="W367">
        <v>1</v>
      </c>
      <c r="X367">
        <v>2912.8632810590002</v>
      </c>
      <c r="Y367">
        <v>188750</v>
      </c>
      <c r="Z367">
        <v>5.0990780527899399E-3</v>
      </c>
      <c r="AA367">
        <v>20</v>
      </c>
    </row>
    <row r="368" spans="1:27" x14ac:dyDescent="0.2">
      <c r="A368">
        <v>10</v>
      </c>
      <c r="B368">
        <v>1</v>
      </c>
      <c r="C368">
        <v>0.2</v>
      </c>
      <c r="D368">
        <v>100</v>
      </c>
      <c r="E368">
        <v>0.561627032556685</v>
      </c>
      <c r="F368">
        <v>1</v>
      </c>
      <c r="G368">
        <v>31.720619351</v>
      </c>
      <c r="H368">
        <v>0.34251212121019198</v>
      </c>
      <c r="I368">
        <v>1</v>
      </c>
      <c r="J368">
        <v>0.24475851300000001</v>
      </c>
      <c r="K368">
        <v>0.34868467953036297</v>
      </c>
      <c r="L368">
        <v>1</v>
      </c>
      <c r="M368">
        <v>3600.6260491819999</v>
      </c>
      <c r="N368">
        <v>513784</v>
      </c>
      <c r="O368">
        <v>3.10730372853615E-2</v>
      </c>
      <c r="P368" s="5">
        <v>0.85806078237799999</v>
      </c>
      <c r="Q368">
        <v>1</v>
      </c>
      <c r="R368">
        <v>750.66878186600002</v>
      </c>
      <c r="S368">
        <v>15376</v>
      </c>
      <c r="T368">
        <v>4.9583333783610696E-4</v>
      </c>
      <c r="U368">
        <v>9634</v>
      </c>
      <c r="V368" s="5">
        <v>0.48293557808116799</v>
      </c>
      <c r="W368">
        <v>1</v>
      </c>
      <c r="X368">
        <v>3007.122083104</v>
      </c>
      <c r="Y368">
        <v>260814</v>
      </c>
      <c r="Z368">
        <v>1.1986793650694101E-3</v>
      </c>
      <c r="AA368">
        <v>20</v>
      </c>
    </row>
    <row r="369" spans="1:27" x14ac:dyDescent="0.2">
      <c r="A369">
        <v>10</v>
      </c>
      <c r="B369">
        <v>1</v>
      </c>
      <c r="C369">
        <v>0.4</v>
      </c>
      <c r="D369">
        <v>100</v>
      </c>
      <c r="E369">
        <v>0.12721547910971701</v>
      </c>
      <c r="F369">
        <v>1</v>
      </c>
      <c r="G369">
        <v>31.139410368</v>
      </c>
      <c r="H369">
        <v>4.5311713807590699E-2</v>
      </c>
      <c r="I369">
        <v>1</v>
      </c>
      <c r="J369">
        <v>7.4438860999999995E-2</v>
      </c>
      <c r="K369">
        <v>4.5106459237831603E-2</v>
      </c>
      <c r="L369">
        <v>1</v>
      </c>
      <c r="M369">
        <v>3572.0221959320002</v>
      </c>
      <c r="N369">
        <v>1047958</v>
      </c>
      <c r="O369">
        <v>1.9356204706646399E-3</v>
      </c>
      <c r="P369" s="5">
        <v>0.139858537018554</v>
      </c>
      <c r="Q369">
        <v>1</v>
      </c>
      <c r="R369">
        <v>115.429949327</v>
      </c>
      <c r="S369">
        <v>2593</v>
      </c>
      <c r="T369">
        <v>1.7397468401322801E-3</v>
      </c>
      <c r="U369">
        <v>2055</v>
      </c>
      <c r="V369" s="5">
        <v>4.5637959774860203E-2</v>
      </c>
      <c r="W369">
        <v>1</v>
      </c>
      <c r="X369">
        <v>14.536215915</v>
      </c>
      <c r="Y369">
        <v>1</v>
      </c>
      <c r="Z369">
        <v>4.4190067612691897E-3</v>
      </c>
      <c r="AA369">
        <v>2</v>
      </c>
    </row>
    <row r="370" spans="1:27" x14ac:dyDescent="0.2">
      <c r="A370">
        <v>10</v>
      </c>
      <c r="B370">
        <v>1</v>
      </c>
      <c r="C370">
        <v>0.1</v>
      </c>
      <c r="D370">
        <v>100</v>
      </c>
      <c r="E370">
        <v>0.91447218473374603</v>
      </c>
      <c r="F370">
        <v>1</v>
      </c>
      <c r="G370">
        <v>32.746790089999998</v>
      </c>
      <c r="H370">
        <v>0.91447218473374603</v>
      </c>
      <c r="I370">
        <v>1</v>
      </c>
      <c r="J370">
        <v>4.1521668999999997E-2</v>
      </c>
      <c r="K370">
        <v>1.1280290333430101</v>
      </c>
      <c r="L370">
        <v>1</v>
      </c>
      <c r="M370">
        <v>3600.6236373759998</v>
      </c>
      <c r="N370">
        <v>1038505</v>
      </c>
      <c r="O370">
        <v>2.9022663423745598E-3</v>
      </c>
      <c r="P370" s="5">
        <v>1.2502096675455301</v>
      </c>
      <c r="Q370">
        <v>1</v>
      </c>
      <c r="R370">
        <v>156.32103520800001</v>
      </c>
      <c r="S370">
        <v>2805</v>
      </c>
      <c r="T370" s="1">
        <v>1.29723518315499E-6</v>
      </c>
      <c r="U370">
        <v>2811</v>
      </c>
      <c r="V370" s="5">
        <v>1.1255123471778099</v>
      </c>
      <c r="W370">
        <v>1</v>
      </c>
      <c r="X370">
        <v>7.4652913160000001</v>
      </c>
      <c r="Y370">
        <v>2893</v>
      </c>
      <c r="Z370" s="1">
        <v>2.3197879820128998E-5</v>
      </c>
      <c r="AA370">
        <v>1</v>
      </c>
    </row>
    <row r="371" spans="1:27" x14ac:dyDescent="0.2">
      <c r="A371">
        <v>10</v>
      </c>
      <c r="B371">
        <v>1</v>
      </c>
      <c r="C371">
        <v>0.1</v>
      </c>
      <c r="D371">
        <v>100</v>
      </c>
      <c r="E371">
        <v>0.92575834321642303</v>
      </c>
      <c r="F371">
        <v>1</v>
      </c>
      <c r="G371">
        <v>33.597227834999998</v>
      </c>
      <c r="H371">
        <v>0.90254543194039805</v>
      </c>
      <c r="I371">
        <v>1</v>
      </c>
      <c r="J371">
        <v>0.290441754</v>
      </c>
      <c r="K371">
        <v>0.82421784493007699</v>
      </c>
      <c r="L371">
        <v>1</v>
      </c>
      <c r="M371">
        <v>3600.4960242480001</v>
      </c>
      <c r="N371">
        <v>602536</v>
      </c>
      <c r="O371">
        <v>6.7701075534935999E-3</v>
      </c>
      <c r="P371" s="5">
        <v>1.0741639820067399</v>
      </c>
      <c r="Q371">
        <v>1</v>
      </c>
      <c r="R371">
        <v>252.71603528700001</v>
      </c>
      <c r="S371">
        <v>4302</v>
      </c>
      <c r="T371">
        <v>1.15004484377179E-4</v>
      </c>
      <c r="U371">
        <v>3529</v>
      </c>
      <c r="V371" s="5">
        <v>0.83604812557277297</v>
      </c>
      <c r="W371">
        <v>1</v>
      </c>
      <c r="X371">
        <v>70.089890448999995</v>
      </c>
      <c r="Y371">
        <v>3593</v>
      </c>
      <c r="Z371" s="1">
        <v>8.1052311447775402E-5</v>
      </c>
      <c r="AA371">
        <v>20</v>
      </c>
    </row>
    <row r="372" spans="1:27" x14ac:dyDescent="0.2">
      <c r="A372">
        <v>10</v>
      </c>
      <c r="B372">
        <v>1</v>
      </c>
      <c r="C372">
        <v>0.4</v>
      </c>
      <c r="D372">
        <v>100</v>
      </c>
      <c r="E372">
        <v>0.52267786268404204</v>
      </c>
      <c r="F372">
        <v>1</v>
      </c>
      <c r="G372">
        <v>34.646187390999998</v>
      </c>
      <c r="H372">
        <v>0.27277686583348199</v>
      </c>
      <c r="I372">
        <v>1</v>
      </c>
      <c r="J372">
        <v>0.37544987200000002</v>
      </c>
      <c r="K372">
        <v>0.26624008851673098</v>
      </c>
      <c r="L372">
        <v>1</v>
      </c>
      <c r="M372">
        <v>3602.1830481699999</v>
      </c>
      <c r="N372">
        <v>677449</v>
      </c>
      <c r="O372">
        <v>3.8562606900751598E-2</v>
      </c>
      <c r="P372" s="5">
        <v>0.77798797475952297</v>
      </c>
      <c r="Q372">
        <v>1</v>
      </c>
      <c r="R372">
        <v>880.72232484100005</v>
      </c>
      <c r="S372">
        <v>18577</v>
      </c>
      <c r="T372">
        <v>7.7371496275631304E-4</v>
      </c>
      <c r="U372">
        <v>10974</v>
      </c>
      <c r="V372" s="5">
        <v>0.44367223171964398</v>
      </c>
      <c r="W372">
        <v>1</v>
      </c>
      <c r="X372">
        <v>3104.8558929290002</v>
      </c>
      <c r="Y372">
        <v>193432</v>
      </c>
      <c r="Z372">
        <v>1.1116479696989499E-3</v>
      </c>
      <c r="AA372">
        <v>20</v>
      </c>
    </row>
    <row r="373" spans="1:27" x14ac:dyDescent="0.2">
      <c r="A373">
        <v>10</v>
      </c>
      <c r="B373">
        <v>1</v>
      </c>
      <c r="C373">
        <v>0.2</v>
      </c>
      <c r="D373">
        <v>100</v>
      </c>
      <c r="E373">
        <v>0.57219512794868099</v>
      </c>
      <c r="F373">
        <v>1</v>
      </c>
      <c r="G373">
        <v>34.485144298999998</v>
      </c>
      <c r="H373">
        <v>0.485822537112088</v>
      </c>
      <c r="I373">
        <v>1</v>
      </c>
      <c r="J373">
        <v>0.18425518099999999</v>
      </c>
      <c r="K373">
        <v>0.48883143215601998</v>
      </c>
      <c r="L373">
        <v>1</v>
      </c>
      <c r="M373">
        <v>3600.6488570020001</v>
      </c>
      <c r="N373">
        <v>760894</v>
      </c>
      <c r="O373">
        <v>3.1794689188811703E-2</v>
      </c>
      <c r="P373" s="5">
        <v>1.02033899612059</v>
      </c>
      <c r="Q373">
        <v>1</v>
      </c>
      <c r="R373">
        <v>492.94667191299999</v>
      </c>
      <c r="S373">
        <v>9062</v>
      </c>
      <c r="T373">
        <v>2.2664220507884799E-4</v>
      </c>
      <c r="U373">
        <v>7274</v>
      </c>
      <c r="V373" s="5">
        <v>0.602787824536543</v>
      </c>
      <c r="W373">
        <v>1</v>
      </c>
      <c r="X373">
        <v>296.04573399999998</v>
      </c>
      <c r="Y373">
        <v>6973</v>
      </c>
      <c r="Z373">
        <v>1.13824905700339E-4</v>
      </c>
      <c r="AA373">
        <v>20</v>
      </c>
    </row>
    <row r="374" spans="1:27" x14ac:dyDescent="0.2">
      <c r="A374">
        <v>10</v>
      </c>
      <c r="B374">
        <v>1</v>
      </c>
      <c r="C374">
        <v>0.3</v>
      </c>
      <c r="D374">
        <v>100</v>
      </c>
      <c r="E374">
        <v>0.52771199949721403</v>
      </c>
      <c r="F374">
        <v>1</v>
      </c>
      <c r="G374">
        <v>35.402133607000003</v>
      </c>
      <c r="H374">
        <v>0.52402945352201702</v>
      </c>
      <c r="I374">
        <v>1</v>
      </c>
      <c r="J374">
        <v>0.104822711</v>
      </c>
      <c r="K374">
        <v>0.52394050566136396</v>
      </c>
      <c r="L374">
        <v>1</v>
      </c>
      <c r="M374">
        <v>3600.8841721489998</v>
      </c>
      <c r="N374">
        <v>775450</v>
      </c>
      <c r="O374">
        <v>2.6737566669829899E-3</v>
      </c>
      <c r="P374" s="5">
        <v>0.55783628904028004</v>
      </c>
      <c r="Q374">
        <v>1</v>
      </c>
      <c r="R374">
        <v>369.93564983900001</v>
      </c>
      <c r="S374">
        <v>8763</v>
      </c>
      <c r="T374">
        <v>1.0064968434416301E-3</v>
      </c>
      <c r="U374">
        <v>5779</v>
      </c>
      <c r="V374" s="5">
        <v>0.54258266891852602</v>
      </c>
      <c r="W374">
        <v>1</v>
      </c>
      <c r="X374">
        <v>520.94650506000005</v>
      </c>
      <c r="Y374">
        <v>21937</v>
      </c>
      <c r="Z374">
        <v>5.3887366381541403E-4</v>
      </c>
      <c r="AA374">
        <v>20</v>
      </c>
    </row>
    <row r="375" spans="1:27" x14ac:dyDescent="0.2">
      <c r="A375">
        <v>10</v>
      </c>
      <c r="B375">
        <v>1</v>
      </c>
      <c r="C375">
        <v>0.2</v>
      </c>
      <c r="D375">
        <v>100</v>
      </c>
      <c r="E375">
        <v>0.694520115381694</v>
      </c>
      <c r="F375">
        <v>1</v>
      </c>
      <c r="G375">
        <v>33.611880358999997</v>
      </c>
      <c r="H375">
        <v>0.54234881326358697</v>
      </c>
      <c r="I375">
        <v>1</v>
      </c>
      <c r="J375">
        <v>0.27378441100000001</v>
      </c>
      <c r="K375">
        <v>0.54213300008028298</v>
      </c>
      <c r="L375">
        <v>1</v>
      </c>
      <c r="M375">
        <v>3600.4695972190002</v>
      </c>
      <c r="N375">
        <v>695277</v>
      </c>
      <c r="O375">
        <v>5.0681599080357699E-3</v>
      </c>
      <c r="P375" s="5">
        <v>0.86240538714721904</v>
      </c>
      <c r="Q375">
        <v>1</v>
      </c>
      <c r="R375">
        <v>650.17408622100004</v>
      </c>
      <c r="S375">
        <v>15296</v>
      </c>
      <c r="T375">
        <v>3.16254259656811E-4</v>
      </c>
      <c r="U375">
        <v>10235</v>
      </c>
      <c r="V375" s="5">
        <v>0.59548782727267902</v>
      </c>
      <c r="W375">
        <v>1</v>
      </c>
      <c r="X375">
        <v>213.74870483000001</v>
      </c>
      <c r="Y375">
        <v>5676</v>
      </c>
      <c r="Z375">
        <v>2.1058772558875299E-4</v>
      </c>
      <c r="AA375">
        <v>20</v>
      </c>
    </row>
    <row r="376" spans="1:27" x14ac:dyDescent="0.2">
      <c r="A376">
        <v>10</v>
      </c>
      <c r="B376">
        <v>1</v>
      </c>
      <c r="C376">
        <v>0.3</v>
      </c>
      <c r="D376">
        <v>100</v>
      </c>
      <c r="E376">
        <v>0.22230782700462001</v>
      </c>
      <c r="F376">
        <v>1</v>
      </c>
      <c r="G376">
        <v>32.708178662000002</v>
      </c>
      <c r="H376">
        <v>5.8532958910906499E-2</v>
      </c>
      <c r="I376">
        <v>1</v>
      </c>
      <c r="J376">
        <v>0.22966497499999999</v>
      </c>
      <c r="K376">
        <v>5.5923449409290199E-2</v>
      </c>
      <c r="L376">
        <v>1</v>
      </c>
      <c r="M376">
        <v>3600.4510462120002</v>
      </c>
      <c r="N376">
        <v>765211</v>
      </c>
      <c r="O376">
        <v>2.9259258954965599E-3</v>
      </c>
      <c r="P376" s="5">
        <v>0.34263122425764703</v>
      </c>
      <c r="Q376">
        <v>1</v>
      </c>
      <c r="R376">
        <v>877.12349019800001</v>
      </c>
      <c r="S376">
        <v>28368</v>
      </c>
      <c r="T376">
        <v>8.2404495977111904E-4</v>
      </c>
      <c r="U376">
        <v>15843</v>
      </c>
      <c r="V376" s="5">
        <v>7.5273776708788806E-2</v>
      </c>
      <c r="W376">
        <v>1</v>
      </c>
      <c r="X376">
        <v>2809.2183300930001</v>
      </c>
      <c r="Y376">
        <v>139950</v>
      </c>
      <c r="Z376">
        <v>1.92958292671607E-3</v>
      </c>
      <c r="AA376">
        <v>20</v>
      </c>
    </row>
    <row r="377" spans="1:27" x14ac:dyDescent="0.2">
      <c r="A377">
        <v>10</v>
      </c>
      <c r="B377">
        <v>1</v>
      </c>
      <c r="C377">
        <v>0.3</v>
      </c>
      <c r="D377">
        <v>100</v>
      </c>
      <c r="E377">
        <v>0.293855702370385</v>
      </c>
      <c r="F377">
        <v>1</v>
      </c>
      <c r="G377">
        <v>33.462926930000002</v>
      </c>
      <c r="H377">
        <v>8.4311726488147803E-2</v>
      </c>
      <c r="I377">
        <v>1</v>
      </c>
      <c r="J377">
        <v>9.2314643000000002E-2</v>
      </c>
      <c r="K377">
        <v>8.6372040626707405E-2</v>
      </c>
      <c r="L377">
        <v>1</v>
      </c>
      <c r="M377">
        <v>3600.4565147329999</v>
      </c>
      <c r="N377">
        <v>695982</v>
      </c>
      <c r="O377">
        <v>2.7028568918918599E-3</v>
      </c>
      <c r="P377" s="5">
        <v>0.66741879643633195</v>
      </c>
      <c r="Q377">
        <v>1</v>
      </c>
      <c r="R377">
        <v>339.01571086500002</v>
      </c>
      <c r="S377">
        <v>9023</v>
      </c>
      <c r="T377">
        <v>3.2006474294466499E-4</v>
      </c>
      <c r="U377">
        <v>5518</v>
      </c>
      <c r="V377" s="5">
        <v>0.66403753816109101</v>
      </c>
      <c r="W377">
        <v>1</v>
      </c>
      <c r="X377">
        <v>1372.1985639249999</v>
      </c>
      <c r="Y377">
        <v>64399</v>
      </c>
      <c r="Z377">
        <v>1.58342813641923E-4</v>
      </c>
      <c r="AA377">
        <v>20</v>
      </c>
    </row>
    <row r="378" spans="1:27" x14ac:dyDescent="0.2">
      <c r="A378">
        <v>10</v>
      </c>
      <c r="B378">
        <v>1</v>
      </c>
      <c r="C378">
        <v>0.4</v>
      </c>
      <c r="D378">
        <v>100</v>
      </c>
      <c r="E378">
        <v>0.34083648542570799</v>
      </c>
      <c r="F378">
        <v>1</v>
      </c>
      <c r="G378">
        <v>35.611247108999997</v>
      </c>
      <c r="H378">
        <v>8.9703511546350395E-2</v>
      </c>
      <c r="I378">
        <v>1</v>
      </c>
      <c r="J378">
        <v>0.21414199</v>
      </c>
      <c r="K378">
        <v>8.8994242768639098E-2</v>
      </c>
      <c r="L378">
        <v>1</v>
      </c>
      <c r="M378">
        <v>3600.958071777</v>
      </c>
      <c r="N378">
        <v>679286</v>
      </c>
      <c r="O378">
        <v>6.2137006508553496E-3</v>
      </c>
      <c r="P378" s="5">
        <v>0.29355314027399498</v>
      </c>
      <c r="Q378">
        <v>1</v>
      </c>
      <c r="R378">
        <v>707.99444414000004</v>
      </c>
      <c r="S378">
        <v>12617</v>
      </c>
      <c r="T378">
        <v>1.18347895187431E-3</v>
      </c>
      <c r="U378">
        <v>8243</v>
      </c>
      <c r="V378" s="5">
        <v>0.25801144079564597</v>
      </c>
      <c r="W378">
        <v>1</v>
      </c>
      <c r="X378">
        <v>2429.8101087159998</v>
      </c>
      <c r="Y378">
        <v>246286</v>
      </c>
      <c r="Z378">
        <v>9.3836236520650196E-4</v>
      </c>
      <c r="AA378">
        <v>20</v>
      </c>
    </row>
    <row r="379" spans="1:27" x14ac:dyDescent="0.2">
      <c r="A379">
        <v>15</v>
      </c>
      <c r="B379">
        <v>1</v>
      </c>
      <c r="C379">
        <v>0.4</v>
      </c>
      <c r="D379">
        <v>20</v>
      </c>
      <c r="E379">
        <v>0.10217144584973099</v>
      </c>
      <c r="F379">
        <v>1</v>
      </c>
      <c r="G379">
        <v>35.255780975</v>
      </c>
      <c r="H379">
        <v>0.11759749356661101</v>
      </c>
      <c r="I379">
        <v>1</v>
      </c>
      <c r="J379">
        <v>0.14263330199999999</v>
      </c>
      <c r="K379">
        <v>0.120027254597365</v>
      </c>
      <c r="L379">
        <v>1</v>
      </c>
      <c r="M379">
        <v>3600.8289576870002</v>
      </c>
      <c r="N379">
        <v>346310</v>
      </c>
      <c r="O379">
        <v>1.0977506573185201</v>
      </c>
      <c r="P379" s="5">
        <v>8.3797653312078793E-2</v>
      </c>
      <c r="Q379">
        <v>1</v>
      </c>
      <c r="R379">
        <v>104.577739456</v>
      </c>
      <c r="S379">
        <v>1251</v>
      </c>
      <c r="T379">
        <v>1.9864530738625499E-2</v>
      </c>
      <c r="U379">
        <v>852</v>
      </c>
      <c r="V379" s="5">
        <v>7.7621355617078294E-2</v>
      </c>
      <c r="W379">
        <v>1</v>
      </c>
      <c r="X379">
        <v>100.992262088</v>
      </c>
      <c r="Y379">
        <v>22515</v>
      </c>
      <c r="Z379">
        <v>1.88900565748184E-3</v>
      </c>
      <c r="AA379">
        <v>1</v>
      </c>
    </row>
    <row r="380" spans="1:27" x14ac:dyDescent="0.2">
      <c r="A380">
        <v>15</v>
      </c>
      <c r="B380">
        <v>1</v>
      </c>
      <c r="C380">
        <v>0.3</v>
      </c>
      <c r="D380">
        <v>20</v>
      </c>
      <c r="E380">
        <v>0.26645460571290103</v>
      </c>
      <c r="F380">
        <v>1</v>
      </c>
      <c r="G380">
        <v>29.080857258000002</v>
      </c>
      <c r="H380">
        <v>0.26405635441205599</v>
      </c>
      <c r="I380">
        <v>1</v>
      </c>
      <c r="J380">
        <v>6.3416940000000005E-2</v>
      </c>
      <c r="K380">
        <v>0.256234933397054</v>
      </c>
      <c r="L380">
        <v>1</v>
      </c>
      <c r="M380">
        <v>3600.746418105</v>
      </c>
      <c r="N380">
        <v>569264</v>
      </c>
      <c r="O380">
        <v>0.22888470685465001</v>
      </c>
      <c r="P380" s="5">
        <v>0.25851786589912801</v>
      </c>
      <c r="Q380">
        <v>1</v>
      </c>
      <c r="R380">
        <v>21.958815860000001</v>
      </c>
      <c r="S380">
        <v>1</v>
      </c>
      <c r="T380">
        <v>1.14718478886679E-2</v>
      </c>
      <c r="U380">
        <v>4</v>
      </c>
      <c r="V380" s="5">
        <v>0.22828581289531599</v>
      </c>
      <c r="W380">
        <v>1</v>
      </c>
      <c r="X380">
        <v>26.587742540000001</v>
      </c>
      <c r="Y380">
        <v>4843</v>
      </c>
      <c r="Z380">
        <v>2.8439865297611401E-3</v>
      </c>
      <c r="AA380">
        <v>1</v>
      </c>
    </row>
    <row r="381" spans="1:27" x14ac:dyDescent="0.2">
      <c r="A381">
        <v>15</v>
      </c>
      <c r="B381">
        <v>1</v>
      </c>
      <c r="C381">
        <v>0.1</v>
      </c>
      <c r="D381">
        <v>20</v>
      </c>
      <c r="E381">
        <v>0.85495663328928195</v>
      </c>
      <c r="F381">
        <v>1</v>
      </c>
      <c r="G381">
        <v>35.557569870999998</v>
      </c>
      <c r="H381">
        <v>0.81655049606320795</v>
      </c>
      <c r="I381">
        <v>1</v>
      </c>
      <c r="J381">
        <v>0.24695376499999999</v>
      </c>
      <c r="K381">
        <v>0.98594622050884095</v>
      </c>
      <c r="L381">
        <v>1</v>
      </c>
      <c r="M381">
        <v>3600.584984693</v>
      </c>
      <c r="N381">
        <v>522851</v>
      </c>
      <c r="O381">
        <v>0.13666146577508101</v>
      </c>
      <c r="P381" s="5">
        <v>0.99788059214907698</v>
      </c>
      <c r="Q381">
        <v>1</v>
      </c>
      <c r="R381">
        <v>1108.3977591380001</v>
      </c>
      <c r="S381">
        <v>13905</v>
      </c>
      <c r="T381">
        <v>1.10857939906922E-4</v>
      </c>
      <c r="U381">
        <v>13665</v>
      </c>
      <c r="V381" s="5">
        <v>1.0832231944202599</v>
      </c>
      <c r="W381">
        <v>1</v>
      </c>
      <c r="X381">
        <v>15.535266631000001</v>
      </c>
      <c r="Y381">
        <v>5465</v>
      </c>
      <c r="Z381">
        <v>1.5178532962897799E-4</v>
      </c>
      <c r="AA381">
        <v>1</v>
      </c>
    </row>
    <row r="382" spans="1:27" x14ac:dyDescent="0.2">
      <c r="A382">
        <v>15</v>
      </c>
      <c r="B382">
        <v>1</v>
      </c>
      <c r="C382">
        <v>0.4</v>
      </c>
      <c r="D382">
        <v>20</v>
      </c>
      <c r="E382">
        <v>0.103191974991758</v>
      </c>
      <c r="F382">
        <v>1</v>
      </c>
      <c r="G382">
        <v>30.010374767999998</v>
      </c>
      <c r="H382">
        <v>0.11051048581243</v>
      </c>
      <c r="I382">
        <v>1</v>
      </c>
      <c r="J382">
        <v>0.113009253</v>
      </c>
      <c r="K382">
        <v>0.113078183406706</v>
      </c>
      <c r="L382">
        <v>1</v>
      </c>
      <c r="M382">
        <v>3600.6330786469998</v>
      </c>
      <c r="N382">
        <v>385888</v>
      </c>
      <c r="O382">
        <v>0.27494749652606698</v>
      </c>
      <c r="P382" s="5">
        <v>9.7805931427556905E-2</v>
      </c>
      <c r="Q382">
        <v>1</v>
      </c>
      <c r="R382">
        <v>341.03314749100002</v>
      </c>
      <c r="S382">
        <v>5239</v>
      </c>
      <c r="T382">
        <v>5.1815928837625203E-3</v>
      </c>
      <c r="U382">
        <v>3336</v>
      </c>
      <c r="V382" s="5">
        <v>9.5458702108475693E-2</v>
      </c>
      <c r="W382">
        <v>1</v>
      </c>
      <c r="X382">
        <v>152.08112998799999</v>
      </c>
      <c r="Y382">
        <v>32626</v>
      </c>
      <c r="Z382">
        <v>1.80724089643113E-3</v>
      </c>
      <c r="AA382">
        <v>1</v>
      </c>
    </row>
    <row r="383" spans="1:27" x14ac:dyDescent="0.2">
      <c r="A383">
        <v>15</v>
      </c>
      <c r="B383">
        <v>1</v>
      </c>
      <c r="C383">
        <v>0.2</v>
      </c>
      <c r="D383">
        <v>20</v>
      </c>
      <c r="E383">
        <v>0.466160639595457</v>
      </c>
      <c r="F383">
        <v>1</v>
      </c>
      <c r="G383">
        <v>35.030485355000003</v>
      </c>
      <c r="H383">
        <v>0.45768287973502497</v>
      </c>
      <c r="I383">
        <v>1</v>
      </c>
      <c r="J383">
        <v>0.200794578</v>
      </c>
      <c r="K383">
        <v>0.45691673874376598</v>
      </c>
      <c r="L383">
        <v>1</v>
      </c>
      <c r="M383">
        <v>3600.6987626139999</v>
      </c>
      <c r="N383">
        <v>277780</v>
      </c>
      <c r="O383">
        <v>0.54933373661209395</v>
      </c>
      <c r="P383" s="5">
        <v>0.71112220887070898</v>
      </c>
      <c r="Q383">
        <v>1</v>
      </c>
      <c r="R383">
        <v>511.08772204899998</v>
      </c>
      <c r="S383">
        <v>6373</v>
      </c>
      <c r="T383">
        <v>6.5194329758565504E-3</v>
      </c>
      <c r="U383">
        <v>4914</v>
      </c>
      <c r="V383" s="5">
        <v>0.72480686650182402</v>
      </c>
      <c r="W383">
        <v>1</v>
      </c>
      <c r="X383">
        <v>2957.3081349539998</v>
      </c>
      <c r="Y383">
        <v>19749</v>
      </c>
      <c r="Z383">
        <v>1.9225415637542001E-2</v>
      </c>
      <c r="AA383">
        <v>20</v>
      </c>
    </row>
    <row r="384" spans="1:27" x14ac:dyDescent="0.2">
      <c r="A384">
        <v>15</v>
      </c>
      <c r="B384">
        <v>1</v>
      </c>
      <c r="C384">
        <v>0.1</v>
      </c>
      <c r="D384">
        <v>20</v>
      </c>
      <c r="E384">
        <v>0.86042307971884002</v>
      </c>
      <c r="F384">
        <v>1</v>
      </c>
      <c r="G384">
        <v>35.040057112</v>
      </c>
      <c r="H384">
        <v>0.85268889675048698</v>
      </c>
      <c r="I384">
        <v>1</v>
      </c>
      <c r="J384">
        <v>0.20748480799999999</v>
      </c>
      <c r="K384">
        <v>0.82802619187688997</v>
      </c>
      <c r="L384">
        <v>1</v>
      </c>
      <c r="M384">
        <v>3600.4781290870001</v>
      </c>
      <c r="N384">
        <v>692265</v>
      </c>
      <c r="O384">
        <v>0.115453265573032</v>
      </c>
      <c r="P384" s="5">
        <v>0.78371580148169495</v>
      </c>
      <c r="Q384">
        <v>1</v>
      </c>
      <c r="R384">
        <v>567.24818302000006</v>
      </c>
      <c r="S384">
        <v>6651</v>
      </c>
      <c r="T384">
        <v>1.1543934779209199E-3</v>
      </c>
      <c r="U384">
        <v>6379</v>
      </c>
      <c r="V384" s="5">
        <v>0.88396401618593101</v>
      </c>
      <c r="W384">
        <v>1</v>
      </c>
      <c r="X384">
        <v>50.584747415000002</v>
      </c>
      <c r="Y384">
        <v>28649</v>
      </c>
      <c r="Z384">
        <v>1.13965954634212E-4</v>
      </c>
      <c r="AA384">
        <v>1</v>
      </c>
    </row>
    <row r="385" spans="1:27" x14ac:dyDescent="0.2">
      <c r="A385">
        <v>15</v>
      </c>
      <c r="B385">
        <v>1</v>
      </c>
      <c r="C385">
        <v>0.3</v>
      </c>
      <c r="D385">
        <v>20</v>
      </c>
      <c r="E385">
        <v>9.9975413196988494E-2</v>
      </c>
      <c r="F385">
        <v>1</v>
      </c>
      <c r="G385">
        <v>29.09514429</v>
      </c>
      <c r="H385">
        <v>0.13137995559111601</v>
      </c>
      <c r="I385">
        <v>1</v>
      </c>
      <c r="J385">
        <v>0.1098228</v>
      </c>
      <c r="K385">
        <v>0.123015860189606</v>
      </c>
      <c r="L385">
        <v>1</v>
      </c>
      <c r="M385">
        <v>3600.560720728</v>
      </c>
      <c r="N385">
        <v>592412</v>
      </c>
      <c r="O385">
        <v>0.22665492188401201</v>
      </c>
      <c r="P385" s="5">
        <v>0.1162987124892</v>
      </c>
      <c r="Q385">
        <v>1</v>
      </c>
      <c r="R385">
        <v>20.992457328</v>
      </c>
      <c r="S385">
        <v>1</v>
      </c>
      <c r="T385">
        <v>6.78438081379728E-3</v>
      </c>
      <c r="U385">
        <v>5</v>
      </c>
      <c r="V385" s="5">
        <v>0.12601896696640499</v>
      </c>
      <c r="W385">
        <v>1</v>
      </c>
      <c r="X385">
        <v>268.94393815299998</v>
      </c>
      <c r="Y385">
        <v>1</v>
      </c>
      <c r="Z385">
        <v>7.5082842977533997E-3</v>
      </c>
      <c r="AA385">
        <v>11</v>
      </c>
    </row>
    <row r="386" spans="1:27" x14ac:dyDescent="0.2">
      <c r="A386">
        <v>15</v>
      </c>
      <c r="B386">
        <v>1</v>
      </c>
      <c r="C386">
        <v>0.1</v>
      </c>
      <c r="D386">
        <v>20</v>
      </c>
      <c r="E386">
        <v>0.943420857918984</v>
      </c>
      <c r="F386">
        <v>1</v>
      </c>
      <c r="G386">
        <v>34.131794722999999</v>
      </c>
      <c r="H386">
        <v>0.94247275841675204</v>
      </c>
      <c r="I386">
        <v>1</v>
      </c>
      <c r="J386">
        <v>0.14061224899999999</v>
      </c>
      <c r="K386">
        <v>1.2228191747873201</v>
      </c>
      <c r="L386">
        <v>1</v>
      </c>
      <c r="M386">
        <v>3600.790241359</v>
      </c>
      <c r="N386">
        <v>525873</v>
      </c>
      <c r="O386">
        <v>0.22895390704903501</v>
      </c>
      <c r="P386" s="5">
        <v>0.884146648614487</v>
      </c>
      <c r="Q386">
        <v>1</v>
      </c>
      <c r="R386">
        <v>408.64348015100001</v>
      </c>
      <c r="S386">
        <v>4805</v>
      </c>
      <c r="T386">
        <v>9.6585930233017404E-4</v>
      </c>
      <c r="U386">
        <v>4800</v>
      </c>
      <c r="V386" s="5">
        <v>1.2384403189344899</v>
      </c>
      <c r="W386">
        <v>1</v>
      </c>
      <c r="X386">
        <v>28.293387745</v>
      </c>
      <c r="Y386">
        <v>1</v>
      </c>
      <c r="Z386">
        <v>2.2971093371242202E-2</v>
      </c>
      <c r="AA386">
        <v>2</v>
      </c>
    </row>
    <row r="387" spans="1:27" x14ac:dyDescent="0.2">
      <c r="A387">
        <v>15</v>
      </c>
      <c r="B387">
        <v>1</v>
      </c>
      <c r="C387">
        <v>0.4</v>
      </c>
      <c r="D387">
        <v>20</v>
      </c>
      <c r="E387">
        <v>7.0806404422015704E-2</v>
      </c>
      <c r="F387">
        <v>1</v>
      </c>
      <c r="G387">
        <v>35.334669667</v>
      </c>
      <c r="H387">
        <v>8.8697173992764805E-2</v>
      </c>
      <c r="I387">
        <v>1</v>
      </c>
      <c r="J387">
        <v>0.15399485399999999</v>
      </c>
      <c r="K387">
        <v>8.9435325032616003E-2</v>
      </c>
      <c r="L387">
        <v>1</v>
      </c>
      <c r="M387">
        <v>3600.8051422909998</v>
      </c>
      <c r="N387">
        <v>470864</v>
      </c>
      <c r="O387">
        <v>0.108986059367813</v>
      </c>
      <c r="P387" s="5">
        <v>6.1797494899423301E-2</v>
      </c>
      <c r="Q387">
        <v>1</v>
      </c>
      <c r="R387">
        <v>26.917198157000001</v>
      </c>
      <c r="S387">
        <v>7</v>
      </c>
      <c r="T387">
        <v>5.1865263257378997E-3</v>
      </c>
      <c r="U387">
        <v>15</v>
      </c>
      <c r="V387" s="5">
        <v>7.0063282405565599E-2</v>
      </c>
      <c r="W387">
        <v>1</v>
      </c>
      <c r="X387">
        <v>45.290797288999997</v>
      </c>
      <c r="Y387">
        <v>12013</v>
      </c>
      <c r="Z387">
        <v>7.6096376070766605E-4</v>
      </c>
      <c r="AA387">
        <v>1</v>
      </c>
    </row>
    <row r="388" spans="1:27" x14ac:dyDescent="0.2">
      <c r="A388">
        <v>15</v>
      </c>
      <c r="B388">
        <v>1</v>
      </c>
      <c r="C388">
        <v>0.2</v>
      </c>
      <c r="D388">
        <v>20</v>
      </c>
      <c r="E388">
        <v>0.52757172332389302</v>
      </c>
      <c r="F388">
        <v>1</v>
      </c>
      <c r="G388">
        <v>35.366340843000003</v>
      </c>
      <c r="H388">
        <v>0.50074698351140701</v>
      </c>
      <c r="I388">
        <v>1</v>
      </c>
      <c r="J388">
        <v>0.19910423199999999</v>
      </c>
      <c r="K388">
        <v>0.61184885496210295</v>
      </c>
      <c r="L388">
        <v>1</v>
      </c>
      <c r="M388">
        <v>3600.7765124829998</v>
      </c>
      <c r="N388">
        <v>358439</v>
      </c>
      <c r="O388">
        <v>1.74239255409141</v>
      </c>
      <c r="P388" s="5">
        <v>0.517369475132336</v>
      </c>
      <c r="Q388">
        <v>1</v>
      </c>
      <c r="R388">
        <v>573.95071821299996</v>
      </c>
      <c r="S388">
        <v>5825</v>
      </c>
      <c r="T388">
        <v>6.7926183204552997E-3</v>
      </c>
      <c r="U388">
        <v>4960</v>
      </c>
      <c r="V388" s="5">
        <v>0.50764147277819305</v>
      </c>
      <c r="W388">
        <v>1</v>
      </c>
      <c r="X388">
        <v>2881.582781651</v>
      </c>
      <c r="Y388">
        <v>20025</v>
      </c>
      <c r="Z388">
        <v>1.04467951853349E-2</v>
      </c>
      <c r="AA388">
        <v>20</v>
      </c>
    </row>
    <row r="389" spans="1:27" x14ac:dyDescent="0.2">
      <c r="A389">
        <v>15</v>
      </c>
      <c r="B389">
        <v>1</v>
      </c>
      <c r="C389">
        <v>0.4</v>
      </c>
      <c r="D389">
        <v>20</v>
      </c>
      <c r="E389">
        <v>5.0058889344916903E-2</v>
      </c>
      <c r="F389">
        <v>1</v>
      </c>
      <c r="G389">
        <v>40.302100193999998</v>
      </c>
      <c r="H389">
        <v>6.6326625440987594E-2</v>
      </c>
      <c r="I389">
        <v>1</v>
      </c>
      <c r="J389">
        <v>0.17987710500000001</v>
      </c>
      <c r="K389">
        <v>6.5962194527692405E-2</v>
      </c>
      <c r="L389">
        <v>1</v>
      </c>
      <c r="M389">
        <v>3602.896902896</v>
      </c>
      <c r="N389">
        <v>314483</v>
      </c>
      <c r="O389">
        <v>0.21879960751935801</v>
      </c>
      <c r="P389" s="5">
        <v>4.7920211843913797E-2</v>
      </c>
      <c r="Q389">
        <v>1</v>
      </c>
      <c r="R389">
        <v>32.073621504000002</v>
      </c>
      <c r="S389">
        <v>15</v>
      </c>
      <c r="T389">
        <v>2.7138640307708E-2</v>
      </c>
      <c r="U389">
        <v>16</v>
      </c>
      <c r="V389" s="5">
        <v>4.7920211844751703E-2</v>
      </c>
      <c r="W389">
        <v>1</v>
      </c>
      <c r="X389">
        <v>47.957368297000002</v>
      </c>
      <c r="Y389">
        <v>1</v>
      </c>
      <c r="Z389">
        <v>9.2740469075608997E-2</v>
      </c>
      <c r="AA389">
        <v>2</v>
      </c>
    </row>
    <row r="390" spans="1:27" x14ac:dyDescent="0.2">
      <c r="A390">
        <v>15</v>
      </c>
      <c r="B390">
        <v>1</v>
      </c>
      <c r="C390">
        <v>0.2</v>
      </c>
      <c r="D390">
        <v>20</v>
      </c>
      <c r="E390">
        <v>0.24057587350330301</v>
      </c>
      <c r="F390">
        <v>1</v>
      </c>
      <c r="G390">
        <v>30.018901643</v>
      </c>
      <c r="H390">
        <v>0.25164377163956198</v>
      </c>
      <c r="I390">
        <v>1</v>
      </c>
      <c r="J390">
        <v>0.15694675299999999</v>
      </c>
      <c r="K390">
        <v>0.26215540169547902</v>
      </c>
      <c r="L390">
        <v>1</v>
      </c>
      <c r="M390">
        <v>3600.8507081349999</v>
      </c>
      <c r="N390">
        <v>452713</v>
      </c>
      <c r="O390">
        <v>0.70080436737982899</v>
      </c>
      <c r="P390" s="5">
        <v>0.27255732076828298</v>
      </c>
      <c r="Q390">
        <v>1</v>
      </c>
      <c r="R390">
        <v>935.49559961800003</v>
      </c>
      <c r="S390">
        <v>10030</v>
      </c>
      <c r="T390">
        <v>8.0389153683106899E-3</v>
      </c>
      <c r="U390">
        <v>8600</v>
      </c>
      <c r="V390" s="5">
        <v>0.24574840826930799</v>
      </c>
      <c r="W390">
        <v>1</v>
      </c>
      <c r="X390">
        <v>2771.461931112</v>
      </c>
      <c r="Y390">
        <v>21868</v>
      </c>
      <c r="Z390">
        <v>1.3213023917152599E-2</v>
      </c>
      <c r="AA390">
        <v>20</v>
      </c>
    </row>
    <row r="391" spans="1:27" x14ac:dyDescent="0.2">
      <c r="A391">
        <v>15</v>
      </c>
      <c r="B391">
        <v>1</v>
      </c>
      <c r="C391">
        <v>0.4</v>
      </c>
      <c r="D391">
        <v>20</v>
      </c>
      <c r="E391">
        <v>6.3753785247990899E-2</v>
      </c>
      <c r="F391">
        <v>1</v>
      </c>
      <c r="G391">
        <v>33.016885569999999</v>
      </c>
      <c r="H391">
        <v>9.2324686764357497E-2</v>
      </c>
      <c r="I391">
        <v>1</v>
      </c>
      <c r="J391">
        <v>6.7079855999999993E-2</v>
      </c>
      <c r="K391">
        <v>9.4223904974075401E-2</v>
      </c>
      <c r="L391">
        <v>1</v>
      </c>
      <c r="M391">
        <v>3600.710840664</v>
      </c>
      <c r="N391">
        <v>467159</v>
      </c>
      <c r="O391">
        <v>0.16048439217857699</v>
      </c>
      <c r="P391" s="5">
        <v>7.3239763584908302E-2</v>
      </c>
      <c r="Q391">
        <v>1</v>
      </c>
      <c r="R391">
        <v>24.918842829999999</v>
      </c>
      <c r="S391">
        <v>1</v>
      </c>
      <c r="T391">
        <v>1.0129870614796701E-2</v>
      </c>
      <c r="U391">
        <v>4</v>
      </c>
      <c r="V391" s="5">
        <v>6.9489689707769406E-2</v>
      </c>
      <c r="W391">
        <v>1</v>
      </c>
      <c r="X391">
        <v>46.487114826999999</v>
      </c>
      <c r="Y391">
        <v>13105</v>
      </c>
      <c r="Z391">
        <v>6.3529685080343501E-4</v>
      </c>
      <c r="AA391">
        <v>1</v>
      </c>
    </row>
    <row r="392" spans="1:27" x14ac:dyDescent="0.2">
      <c r="A392">
        <v>15</v>
      </c>
      <c r="B392">
        <v>1</v>
      </c>
      <c r="C392">
        <v>0.3</v>
      </c>
      <c r="D392">
        <v>20</v>
      </c>
      <c r="E392">
        <v>0.17687329610878</v>
      </c>
      <c r="F392">
        <v>1</v>
      </c>
      <c r="G392">
        <v>43.351536420000002</v>
      </c>
      <c r="H392">
        <v>0.13548331949373801</v>
      </c>
      <c r="I392">
        <v>1</v>
      </c>
      <c r="J392">
        <v>0.20157008700000001</v>
      </c>
      <c r="K392">
        <v>0.179169289307266</v>
      </c>
      <c r="L392">
        <v>1</v>
      </c>
      <c r="M392">
        <v>3601.2513655839998</v>
      </c>
      <c r="N392">
        <v>273927</v>
      </c>
      <c r="O392">
        <v>0.96442567462086604</v>
      </c>
      <c r="P392" s="5">
        <v>0.20399788609765701</v>
      </c>
      <c r="Q392">
        <v>1</v>
      </c>
      <c r="R392">
        <v>843.56767822500001</v>
      </c>
      <c r="S392">
        <v>8230</v>
      </c>
      <c r="T392">
        <v>1.3051898001282499E-2</v>
      </c>
      <c r="U392">
        <v>6132</v>
      </c>
      <c r="V392" s="5">
        <v>0.116442824585389</v>
      </c>
      <c r="W392">
        <v>1</v>
      </c>
      <c r="X392">
        <v>2935.3214291019999</v>
      </c>
      <c r="Y392">
        <v>18452</v>
      </c>
      <c r="Z392">
        <v>1.2141524368578901E-2</v>
      </c>
      <c r="AA392">
        <v>20</v>
      </c>
    </row>
    <row r="393" spans="1:27" x14ac:dyDescent="0.2">
      <c r="A393">
        <v>15</v>
      </c>
      <c r="B393">
        <v>1</v>
      </c>
      <c r="C393">
        <v>0.1</v>
      </c>
      <c r="D393">
        <v>20</v>
      </c>
      <c r="E393">
        <v>0.65274107916264601</v>
      </c>
      <c r="F393">
        <v>1</v>
      </c>
      <c r="G393">
        <v>30.765136387999998</v>
      </c>
      <c r="H393">
        <v>0.54499953602120299</v>
      </c>
      <c r="I393">
        <v>1</v>
      </c>
      <c r="J393">
        <v>0.31700186000000002</v>
      </c>
      <c r="K393">
        <v>0.52025934027101695</v>
      </c>
      <c r="L393">
        <v>1</v>
      </c>
      <c r="M393">
        <v>3600.4649357049998</v>
      </c>
      <c r="N393">
        <v>685999</v>
      </c>
      <c r="O393">
        <v>0.27055434715183602</v>
      </c>
      <c r="P393" s="5">
        <v>0.54368593281578803</v>
      </c>
      <c r="Q393">
        <v>1</v>
      </c>
      <c r="R393">
        <v>223.77371123500001</v>
      </c>
      <c r="S393">
        <v>3102</v>
      </c>
      <c r="T393">
        <v>3.0157217767806102E-3</v>
      </c>
      <c r="U393">
        <v>2949</v>
      </c>
      <c r="V393" s="5">
        <v>0.59021094247779504</v>
      </c>
      <c r="W393">
        <v>1</v>
      </c>
      <c r="X393">
        <v>2560.5098378460002</v>
      </c>
      <c r="Y393">
        <v>58981</v>
      </c>
      <c r="Z393">
        <v>3.09742689322395E-3</v>
      </c>
      <c r="AA393">
        <v>20</v>
      </c>
    </row>
    <row r="394" spans="1:27" x14ac:dyDescent="0.2">
      <c r="A394">
        <v>15</v>
      </c>
      <c r="B394">
        <v>1</v>
      </c>
      <c r="C394">
        <v>0.4</v>
      </c>
      <c r="D394">
        <v>20</v>
      </c>
      <c r="E394">
        <v>4.9685786305324699E-2</v>
      </c>
      <c r="F394">
        <v>1</v>
      </c>
      <c r="G394">
        <v>35.073701028000002</v>
      </c>
      <c r="H394">
        <v>6.22429283477638E-2</v>
      </c>
      <c r="I394">
        <v>1</v>
      </c>
      <c r="J394">
        <v>0.124270352</v>
      </c>
      <c r="K394">
        <v>6.2180470439201399E-2</v>
      </c>
      <c r="L394">
        <v>1</v>
      </c>
      <c r="M394">
        <v>3601.9294186060001</v>
      </c>
      <c r="N394">
        <v>416412</v>
      </c>
      <c r="O394">
        <v>0.37999019775290999</v>
      </c>
      <c r="P394" s="5">
        <v>4.3502679882058998E-2</v>
      </c>
      <c r="Q394">
        <v>1</v>
      </c>
      <c r="R394">
        <v>23.979955827000001</v>
      </c>
      <c r="S394">
        <v>1</v>
      </c>
      <c r="T394">
        <v>1.1586611372254E-2</v>
      </c>
      <c r="U394">
        <v>4</v>
      </c>
      <c r="V394" s="5">
        <v>4.53263107426604E-2</v>
      </c>
      <c r="W394">
        <v>1</v>
      </c>
      <c r="X394">
        <v>36.996299548000003</v>
      </c>
      <c r="Y394">
        <v>15430</v>
      </c>
      <c r="Z394" s="1">
        <v>4.8037109128706798E-5</v>
      </c>
      <c r="AA394">
        <v>1</v>
      </c>
    </row>
    <row r="395" spans="1:27" x14ac:dyDescent="0.2">
      <c r="A395">
        <v>15</v>
      </c>
      <c r="B395">
        <v>1</v>
      </c>
      <c r="C395">
        <v>0.3</v>
      </c>
      <c r="D395">
        <v>20</v>
      </c>
      <c r="E395">
        <v>0.28434334016303803</v>
      </c>
      <c r="F395">
        <v>1</v>
      </c>
      <c r="G395">
        <v>29.143848687999999</v>
      </c>
      <c r="H395">
        <v>0.16077509652703201</v>
      </c>
      <c r="I395">
        <v>1</v>
      </c>
      <c r="J395">
        <v>7.6271169E-2</v>
      </c>
      <c r="K395">
        <v>0.16647764454661301</v>
      </c>
      <c r="L395">
        <v>1</v>
      </c>
      <c r="M395">
        <v>3600.6230225220002</v>
      </c>
      <c r="N395">
        <v>468289</v>
      </c>
      <c r="O395">
        <v>0.53871786096301799</v>
      </c>
      <c r="P395" s="5">
        <v>0.25015423067520798</v>
      </c>
      <c r="Q395">
        <v>1</v>
      </c>
      <c r="R395">
        <v>779.84054702100002</v>
      </c>
      <c r="S395">
        <v>10535</v>
      </c>
      <c r="T395">
        <v>1.15417071323282E-2</v>
      </c>
      <c r="U395">
        <v>7887</v>
      </c>
      <c r="V395" s="5">
        <v>0.101033867009272</v>
      </c>
      <c r="W395">
        <v>1</v>
      </c>
      <c r="X395">
        <v>2491.4838877510001</v>
      </c>
      <c r="Y395">
        <v>16411</v>
      </c>
      <c r="Z395">
        <v>3.0937667917673599E-2</v>
      </c>
      <c r="AA395">
        <v>20</v>
      </c>
    </row>
    <row r="396" spans="1:27" x14ac:dyDescent="0.2">
      <c r="A396">
        <v>15</v>
      </c>
      <c r="B396">
        <v>1</v>
      </c>
      <c r="C396">
        <v>0.3</v>
      </c>
      <c r="D396">
        <v>20</v>
      </c>
      <c r="E396">
        <v>0.114911993234026</v>
      </c>
      <c r="F396">
        <v>1</v>
      </c>
      <c r="G396">
        <v>42.885200288</v>
      </c>
      <c r="H396">
        <v>0.122804214485509</v>
      </c>
      <c r="I396">
        <v>1</v>
      </c>
      <c r="J396">
        <v>0.19139045399999999</v>
      </c>
      <c r="K396">
        <v>0.123205701527499</v>
      </c>
      <c r="L396">
        <v>1</v>
      </c>
      <c r="M396">
        <v>3605.0253344009998</v>
      </c>
      <c r="N396">
        <v>248524</v>
      </c>
      <c r="O396">
        <v>0.33534921882041102</v>
      </c>
      <c r="P396" s="5">
        <v>9.2914951478356406E-2</v>
      </c>
      <c r="Q396">
        <v>1</v>
      </c>
      <c r="R396">
        <v>41.749362243</v>
      </c>
      <c r="S396">
        <v>7</v>
      </c>
      <c r="T396">
        <v>2.18587843889523E-2</v>
      </c>
      <c r="U396">
        <v>14</v>
      </c>
      <c r="V396" s="5">
        <v>9.2914951437854207E-2</v>
      </c>
      <c r="W396">
        <v>1</v>
      </c>
      <c r="X396">
        <v>605.64784072500004</v>
      </c>
      <c r="Y396">
        <v>5114</v>
      </c>
      <c r="Z396">
        <v>1.0715062258328001E-2</v>
      </c>
      <c r="AA396">
        <v>20</v>
      </c>
    </row>
    <row r="397" spans="1:27" x14ac:dyDescent="0.2">
      <c r="A397">
        <v>15</v>
      </c>
      <c r="B397">
        <v>1</v>
      </c>
      <c r="C397">
        <v>0.2</v>
      </c>
      <c r="D397">
        <v>20</v>
      </c>
      <c r="E397">
        <v>0.50492549747846904</v>
      </c>
      <c r="F397">
        <v>1</v>
      </c>
      <c r="G397">
        <v>32.406783990000001</v>
      </c>
      <c r="H397">
        <v>0.42507492931088098</v>
      </c>
      <c r="I397">
        <v>1</v>
      </c>
      <c r="J397">
        <v>0.27397235399999997</v>
      </c>
      <c r="K397">
        <v>0.42071043633661398</v>
      </c>
      <c r="L397">
        <v>1</v>
      </c>
      <c r="M397">
        <v>3600.7946842239999</v>
      </c>
      <c r="N397">
        <v>497498</v>
      </c>
      <c r="O397">
        <v>0.36312240476473001</v>
      </c>
      <c r="P397" s="5">
        <v>0.52850913474703698</v>
      </c>
      <c r="Q397">
        <v>1</v>
      </c>
      <c r="R397">
        <v>894.64000738499999</v>
      </c>
      <c r="S397">
        <v>11514</v>
      </c>
      <c r="T397">
        <v>1.4289035051279601E-2</v>
      </c>
      <c r="U397">
        <v>9014</v>
      </c>
      <c r="V397" s="5">
        <v>0.50804396431242704</v>
      </c>
      <c r="W397">
        <v>1</v>
      </c>
      <c r="X397">
        <v>3174.4725483279999</v>
      </c>
      <c r="Y397">
        <v>22167</v>
      </c>
      <c r="Z397">
        <v>8.9029972132826402E-2</v>
      </c>
      <c r="AA397">
        <v>20</v>
      </c>
    </row>
    <row r="398" spans="1:27" x14ac:dyDescent="0.2">
      <c r="A398">
        <v>15</v>
      </c>
      <c r="B398">
        <v>1</v>
      </c>
      <c r="C398">
        <v>0.1</v>
      </c>
      <c r="D398">
        <v>20</v>
      </c>
      <c r="E398">
        <v>0.93927340955215299</v>
      </c>
      <c r="F398">
        <v>1</v>
      </c>
      <c r="G398">
        <v>39.86724985</v>
      </c>
      <c r="H398">
        <v>0.93695628749426796</v>
      </c>
      <c r="I398">
        <v>1</v>
      </c>
      <c r="J398">
        <v>9.4995980999999993E-2</v>
      </c>
      <c r="K398">
        <v>0.825738565351401</v>
      </c>
      <c r="L398">
        <v>1</v>
      </c>
      <c r="M398">
        <v>3601.7628627630002</v>
      </c>
      <c r="N398">
        <v>502249</v>
      </c>
      <c r="O398">
        <v>0.16280679136588799</v>
      </c>
      <c r="P398" s="5">
        <v>0.98705862333897099</v>
      </c>
      <c r="Q398">
        <v>1</v>
      </c>
      <c r="R398">
        <v>606.72069921499997</v>
      </c>
      <c r="S398">
        <v>4746</v>
      </c>
      <c r="T398">
        <v>1.8414645779805301E-3</v>
      </c>
      <c r="U398">
        <v>4721</v>
      </c>
      <c r="V398" s="5">
        <v>0.81655098090278799</v>
      </c>
      <c r="W398">
        <v>1</v>
      </c>
      <c r="X398">
        <v>2373.996506984</v>
      </c>
      <c r="Y398">
        <v>41362</v>
      </c>
      <c r="Z398">
        <v>4.1403353606063098E-3</v>
      </c>
      <c r="AA398">
        <v>20</v>
      </c>
    </row>
    <row r="399" spans="1:27" x14ac:dyDescent="0.2">
      <c r="A399">
        <v>15</v>
      </c>
      <c r="B399">
        <v>1</v>
      </c>
      <c r="C399">
        <v>0.1</v>
      </c>
      <c r="D399">
        <v>20</v>
      </c>
      <c r="E399">
        <v>0.889433987702405</v>
      </c>
      <c r="F399">
        <v>1</v>
      </c>
      <c r="G399">
        <v>35.994566841000001</v>
      </c>
      <c r="H399">
        <v>0.88922625598614002</v>
      </c>
      <c r="I399">
        <v>1</v>
      </c>
      <c r="J399">
        <v>0.138861711</v>
      </c>
      <c r="K399">
        <v>1.0884461717824201</v>
      </c>
      <c r="L399">
        <v>1</v>
      </c>
      <c r="M399">
        <v>3600.7568945359999</v>
      </c>
      <c r="N399">
        <v>338378</v>
      </c>
      <c r="O399">
        <v>0.211202501112254</v>
      </c>
      <c r="P399" s="5">
        <v>1.0517738231220499</v>
      </c>
      <c r="Q399">
        <v>1</v>
      </c>
      <c r="R399">
        <v>528.16242471099997</v>
      </c>
      <c r="S399">
        <v>5922</v>
      </c>
      <c r="T399">
        <v>1.3637007669758301E-3</v>
      </c>
      <c r="U399">
        <v>5772</v>
      </c>
      <c r="V399" s="5">
        <v>1.06799878136695</v>
      </c>
      <c r="W399">
        <v>1</v>
      </c>
      <c r="X399">
        <v>2657.2233152469998</v>
      </c>
      <c r="Y399">
        <v>26736</v>
      </c>
      <c r="Z399">
        <v>2.0148102994329499E-3</v>
      </c>
      <c r="AA399">
        <v>20</v>
      </c>
    </row>
    <row r="400" spans="1:27" x14ac:dyDescent="0.2">
      <c r="A400">
        <v>15</v>
      </c>
      <c r="B400">
        <v>1</v>
      </c>
      <c r="C400">
        <v>0.1</v>
      </c>
      <c r="D400">
        <v>20</v>
      </c>
      <c r="E400">
        <v>0.72136263691773495</v>
      </c>
      <c r="F400">
        <v>1</v>
      </c>
      <c r="G400">
        <v>40.544721037999999</v>
      </c>
      <c r="H400">
        <v>0.702612822983392</v>
      </c>
      <c r="I400">
        <v>1</v>
      </c>
      <c r="J400">
        <v>0.28534923899999998</v>
      </c>
      <c r="K400">
        <v>0.83413403647616302</v>
      </c>
      <c r="L400">
        <v>1</v>
      </c>
      <c r="M400">
        <v>3602.127181198</v>
      </c>
      <c r="N400">
        <v>236185</v>
      </c>
      <c r="O400">
        <v>0.25655738845876902</v>
      </c>
      <c r="P400" s="5">
        <v>0.66074588899608599</v>
      </c>
      <c r="Q400">
        <v>1</v>
      </c>
      <c r="R400">
        <v>945.43359234699994</v>
      </c>
      <c r="S400">
        <v>11504</v>
      </c>
      <c r="T400">
        <v>2.9905692400999302E-3</v>
      </c>
      <c r="U400">
        <v>10564</v>
      </c>
      <c r="V400" s="5">
        <v>0.65206532298561404</v>
      </c>
      <c r="W400">
        <v>1</v>
      </c>
      <c r="X400">
        <v>2935.1189818379999</v>
      </c>
      <c r="Y400">
        <v>44207</v>
      </c>
      <c r="Z400">
        <v>2.83256748141291E-2</v>
      </c>
      <c r="AA400">
        <v>20</v>
      </c>
    </row>
    <row r="401" spans="1:27" x14ac:dyDescent="0.2">
      <c r="A401">
        <v>15</v>
      </c>
      <c r="B401">
        <v>1</v>
      </c>
      <c r="C401">
        <v>0.4</v>
      </c>
      <c r="D401">
        <v>20</v>
      </c>
      <c r="E401">
        <v>5.80543600399187E-2</v>
      </c>
      <c r="F401">
        <v>1</v>
      </c>
      <c r="G401">
        <v>34.890620331999997</v>
      </c>
      <c r="H401">
        <v>7.8851640762712699E-2</v>
      </c>
      <c r="I401">
        <v>1</v>
      </c>
      <c r="J401">
        <v>0.101645732</v>
      </c>
      <c r="K401">
        <v>8.2107557642029302E-2</v>
      </c>
      <c r="L401">
        <v>1</v>
      </c>
      <c r="M401">
        <v>3600.7325888999999</v>
      </c>
      <c r="N401">
        <v>545364</v>
      </c>
      <c r="O401">
        <v>0.24248914652356701</v>
      </c>
      <c r="P401" s="5">
        <v>5.7784876589045797E-2</v>
      </c>
      <c r="Q401">
        <v>1</v>
      </c>
      <c r="R401">
        <v>27.199798607999998</v>
      </c>
      <c r="S401">
        <v>1</v>
      </c>
      <c r="T401">
        <v>1.55958196839414E-2</v>
      </c>
      <c r="U401">
        <v>5</v>
      </c>
      <c r="V401" s="5">
        <v>6.1709444537835903E-2</v>
      </c>
      <c r="W401">
        <v>1</v>
      </c>
      <c r="X401">
        <v>15.901711148</v>
      </c>
      <c r="Y401">
        <v>2040</v>
      </c>
      <c r="Z401">
        <v>2.2111474106520901E-3</v>
      </c>
      <c r="AA401">
        <v>1</v>
      </c>
    </row>
    <row r="402" spans="1:27" x14ac:dyDescent="0.2">
      <c r="A402">
        <v>15</v>
      </c>
      <c r="B402">
        <v>1</v>
      </c>
      <c r="C402">
        <v>0.2</v>
      </c>
      <c r="D402">
        <v>20</v>
      </c>
      <c r="E402">
        <v>0.60906546676492601</v>
      </c>
      <c r="F402">
        <v>1</v>
      </c>
      <c r="G402">
        <v>39.698016152999998</v>
      </c>
      <c r="H402">
        <v>0.47752062940890899</v>
      </c>
      <c r="I402">
        <v>1</v>
      </c>
      <c r="J402">
        <v>0.48554845000000002</v>
      </c>
      <c r="K402">
        <v>0.49148854918906698</v>
      </c>
      <c r="L402">
        <v>1</v>
      </c>
      <c r="M402">
        <v>3601.5931202659999</v>
      </c>
      <c r="N402">
        <v>545171</v>
      </c>
      <c r="O402">
        <v>0.32392619959090801</v>
      </c>
      <c r="P402" s="5">
        <v>0.55924449831779299</v>
      </c>
      <c r="Q402">
        <v>1</v>
      </c>
      <c r="R402">
        <v>1231.4419278180001</v>
      </c>
      <c r="S402">
        <v>11276</v>
      </c>
      <c r="T402">
        <v>3.50819649508116E-3</v>
      </c>
      <c r="U402">
        <v>9560</v>
      </c>
      <c r="V402" s="5">
        <v>0.55964628479502798</v>
      </c>
      <c r="W402">
        <v>1</v>
      </c>
      <c r="X402">
        <v>3207.5677246099999</v>
      </c>
      <c r="Y402">
        <v>35286</v>
      </c>
      <c r="Z402">
        <v>2.65909958730213E-2</v>
      </c>
      <c r="AA402">
        <v>20</v>
      </c>
    </row>
    <row r="403" spans="1:27" x14ac:dyDescent="0.2">
      <c r="A403">
        <v>15</v>
      </c>
      <c r="B403">
        <v>1</v>
      </c>
      <c r="C403">
        <v>0.1</v>
      </c>
      <c r="D403">
        <v>20</v>
      </c>
      <c r="E403">
        <v>0.96996229209365503</v>
      </c>
      <c r="F403">
        <v>1</v>
      </c>
      <c r="G403">
        <v>40.622781781</v>
      </c>
      <c r="H403">
        <v>0.96996229209365503</v>
      </c>
      <c r="I403">
        <v>1</v>
      </c>
      <c r="J403">
        <v>0.14652902400000001</v>
      </c>
      <c r="K403">
        <v>1.1822678701353699</v>
      </c>
      <c r="L403">
        <v>1</v>
      </c>
      <c r="M403">
        <v>3606.7621856330002</v>
      </c>
      <c r="N403">
        <v>200237</v>
      </c>
      <c r="O403">
        <v>5.5313095354008697E-2</v>
      </c>
      <c r="P403" s="5">
        <v>1.17243799364639</v>
      </c>
      <c r="Q403">
        <v>1</v>
      </c>
      <c r="R403">
        <v>640.61055280100004</v>
      </c>
      <c r="S403">
        <v>4763</v>
      </c>
      <c r="T403" s="1">
        <v>3.3216650329376202E-5</v>
      </c>
      <c r="U403">
        <v>4698</v>
      </c>
      <c r="V403" s="5">
        <v>1.1874175645617999</v>
      </c>
      <c r="W403">
        <v>1</v>
      </c>
      <c r="X403">
        <v>42.043115878999998</v>
      </c>
      <c r="Y403">
        <v>10905</v>
      </c>
      <c r="Z403" s="1">
        <v>6.0063894253739503E-5</v>
      </c>
      <c r="AA403">
        <v>1</v>
      </c>
    </row>
    <row r="404" spans="1:27" x14ac:dyDescent="0.2">
      <c r="A404">
        <v>15</v>
      </c>
      <c r="B404">
        <v>1</v>
      </c>
      <c r="C404">
        <v>0.3</v>
      </c>
      <c r="D404">
        <v>20</v>
      </c>
      <c r="E404">
        <v>8.7603887005328604E-2</v>
      </c>
      <c r="F404">
        <v>1</v>
      </c>
      <c r="G404">
        <v>30.969872104</v>
      </c>
      <c r="H404">
        <v>0.103350855285313</v>
      </c>
      <c r="I404">
        <v>1</v>
      </c>
      <c r="J404">
        <v>7.1543009000000005E-2</v>
      </c>
      <c r="K404">
        <v>0.107431817732641</v>
      </c>
      <c r="L404">
        <v>1</v>
      </c>
      <c r="M404">
        <v>3600.8235540609999</v>
      </c>
      <c r="N404">
        <v>336143</v>
      </c>
      <c r="O404">
        <v>0.35660940050402301</v>
      </c>
      <c r="P404" s="5">
        <v>7.7811923716027701E-2</v>
      </c>
      <c r="Q404">
        <v>1</v>
      </c>
      <c r="R404">
        <v>24.403518593000001</v>
      </c>
      <c r="S404">
        <v>1</v>
      </c>
      <c r="T404">
        <v>7.09722680983659E-3</v>
      </c>
      <c r="U404">
        <v>5</v>
      </c>
      <c r="V404" s="5">
        <v>7.7811923722644005E-2</v>
      </c>
      <c r="W404">
        <v>1</v>
      </c>
      <c r="X404">
        <v>316.92307862500002</v>
      </c>
      <c r="Y404">
        <v>7</v>
      </c>
      <c r="Z404">
        <v>7.54419020421381E-3</v>
      </c>
      <c r="AA404">
        <v>6</v>
      </c>
    </row>
    <row r="405" spans="1:27" x14ac:dyDescent="0.2">
      <c r="A405">
        <v>15</v>
      </c>
      <c r="B405">
        <v>1</v>
      </c>
      <c r="C405">
        <v>0.1</v>
      </c>
      <c r="D405">
        <v>20</v>
      </c>
      <c r="E405">
        <v>0.93405668390655705</v>
      </c>
      <c r="F405">
        <v>1</v>
      </c>
      <c r="G405">
        <v>39.177948424</v>
      </c>
      <c r="H405">
        <v>0.929019681379607</v>
      </c>
      <c r="I405">
        <v>1</v>
      </c>
      <c r="J405">
        <v>0.26756129000000001</v>
      </c>
      <c r="K405">
        <v>1.0460862165453</v>
      </c>
      <c r="L405">
        <v>1</v>
      </c>
      <c r="M405">
        <v>3602.4081575290002</v>
      </c>
      <c r="N405">
        <v>198348</v>
      </c>
      <c r="O405">
        <v>0.17793432696118699</v>
      </c>
      <c r="P405" s="5">
        <v>0.88355397906418498</v>
      </c>
      <c r="Q405">
        <v>1</v>
      </c>
      <c r="R405">
        <v>1371.6960243579999</v>
      </c>
      <c r="S405">
        <v>11310</v>
      </c>
      <c r="T405">
        <v>2.0753885489730099E-3</v>
      </c>
      <c r="U405">
        <v>10866</v>
      </c>
      <c r="V405" s="5">
        <v>1.05371188416156</v>
      </c>
      <c r="W405">
        <v>1</v>
      </c>
      <c r="X405">
        <v>2550.245836087</v>
      </c>
      <c r="Y405">
        <v>20956</v>
      </c>
      <c r="Z405">
        <v>3.8719711198529302E-3</v>
      </c>
      <c r="AA405">
        <v>20</v>
      </c>
    </row>
    <row r="406" spans="1:27" x14ac:dyDescent="0.2">
      <c r="A406">
        <v>15</v>
      </c>
      <c r="B406">
        <v>1</v>
      </c>
      <c r="C406">
        <v>0.4</v>
      </c>
      <c r="D406">
        <v>20</v>
      </c>
      <c r="E406">
        <v>0.10791852024196499</v>
      </c>
      <c r="F406">
        <v>1</v>
      </c>
      <c r="G406">
        <v>35.89232105</v>
      </c>
      <c r="H406">
        <v>0.12566835548875099</v>
      </c>
      <c r="I406">
        <v>1</v>
      </c>
      <c r="J406">
        <v>7.5182266999999997E-2</v>
      </c>
      <c r="K406">
        <v>0.12364223173087301</v>
      </c>
      <c r="L406">
        <v>1</v>
      </c>
      <c r="M406">
        <v>3600.7153133860002</v>
      </c>
      <c r="N406">
        <v>480671</v>
      </c>
      <c r="O406">
        <v>0.243581641686063</v>
      </c>
      <c r="P406" s="5">
        <v>9.6576587623489002E-2</v>
      </c>
      <c r="Q406">
        <v>1</v>
      </c>
      <c r="R406">
        <v>302.924636529</v>
      </c>
      <c r="S406">
        <v>4531</v>
      </c>
      <c r="T406">
        <v>1.52299474737571E-2</v>
      </c>
      <c r="U406">
        <v>2961</v>
      </c>
      <c r="V406" s="5">
        <v>9.3132493315758194E-2</v>
      </c>
      <c r="W406">
        <v>1</v>
      </c>
      <c r="X406">
        <v>193.25875650099999</v>
      </c>
      <c r="Y406">
        <v>35897</v>
      </c>
      <c r="Z406">
        <v>1.86792701090632E-3</v>
      </c>
      <c r="AA406">
        <v>1</v>
      </c>
    </row>
    <row r="407" spans="1:27" x14ac:dyDescent="0.2">
      <c r="A407">
        <v>15</v>
      </c>
      <c r="B407">
        <v>1</v>
      </c>
      <c r="C407">
        <v>0.2</v>
      </c>
      <c r="D407">
        <v>20</v>
      </c>
      <c r="E407">
        <v>0.58992361412472905</v>
      </c>
      <c r="F407">
        <v>1</v>
      </c>
      <c r="G407">
        <v>40.188573079000001</v>
      </c>
      <c r="H407">
        <v>0.51272514668875102</v>
      </c>
      <c r="I407">
        <v>1</v>
      </c>
      <c r="J407">
        <v>0.16315455600000001</v>
      </c>
      <c r="K407">
        <v>0.56162510735617799</v>
      </c>
      <c r="L407">
        <v>1</v>
      </c>
      <c r="M407">
        <v>3601.0945293250002</v>
      </c>
      <c r="N407">
        <v>459620</v>
      </c>
      <c r="O407">
        <v>0.45797693968436598</v>
      </c>
      <c r="P407" s="5">
        <v>0.55337381737146096</v>
      </c>
      <c r="Q407">
        <v>1</v>
      </c>
      <c r="R407">
        <v>3116.265802549</v>
      </c>
      <c r="S407">
        <v>42053</v>
      </c>
      <c r="T407">
        <v>4.3122010565953498E-3</v>
      </c>
      <c r="U407">
        <v>31891</v>
      </c>
      <c r="V407" s="5">
        <v>0.50534503126896202</v>
      </c>
      <c r="W407">
        <v>1</v>
      </c>
      <c r="X407">
        <v>3090.3484074500002</v>
      </c>
      <c r="Y407">
        <v>21309</v>
      </c>
      <c r="Z407">
        <v>1.0671045320074599E-2</v>
      </c>
      <c r="AA407">
        <v>20</v>
      </c>
    </row>
    <row r="408" spans="1:27" x14ac:dyDescent="0.2">
      <c r="A408">
        <v>15</v>
      </c>
      <c r="B408">
        <v>1</v>
      </c>
      <c r="C408">
        <v>0.4</v>
      </c>
      <c r="D408">
        <v>20</v>
      </c>
      <c r="E408">
        <v>0.196819199620131</v>
      </c>
      <c r="F408">
        <v>1</v>
      </c>
      <c r="G408">
        <v>35.763693961999998</v>
      </c>
      <c r="H408">
        <v>0.20607072092894499</v>
      </c>
      <c r="I408">
        <v>1</v>
      </c>
      <c r="J408">
        <v>0.29037320799999999</v>
      </c>
      <c r="K408">
        <v>0.21169840162803399</v>
      </c>
      <c r="L408">
        <v>1</v>
      </c>
      <c r="M408">
        <v>3600.8045387709999</v>
      </c>
      <c r="N408">
        <v>479233</v>
      </c>
      <c r="O408">
        <v>0.43212176039999001</v>
      </c>
      <c r="P408" s="5">
        <v>0.27146474990178898</v>
      </c>
      <c r="Q408">
        <v>1</v>
      </c>
      <c r="R408">
        <v>3666.714528986</v>
      </c>
      <c r="S408">
        <v>52618</v>
      </c>
      <c r="T408">
        <v>4.5456588868014701E-2</v>
      </c>
      <c r="U408">
        <v>37503</v>
      </c>
      <c r="V408" s="5">
        <v>0.22539747347908401</v>
      </c>
      <c r="W408">
        <v>1</v>
      </c>
      <c r="X408">
        <v>3242.208630871</v>
      </c>
      <c r="Y408">
        <v>34857</v>
      </c>
      <c r="Z408">
        <v>6.4276537885568502E-2</v>
      </c>
      <c r="AA408">
        <v>20</v>
      </c>
    </row>
    <row r="409" spans="1:27" x14ac:dyDescent="0.2">
      <c r="A409">
        <v>15</v>
      </c>
      <c r="B409">
        <v>1</v>
      </c>
      <c r="C409">
        <v>0.3</v>
      </c>
      <c r="D409">
        <v>20</v>
      </c>
      <c r="E409">
        <v>0.17512359459980301</v>
      </c>
      <c r="F409">
        <v>1</v>
      </c>
      <c r="G409">
        <v>30.854414917</v>
      </c>
      <c r="H409">
        <v>0.18756536990154099</v>
      </c>
      <c r="I409">
        <v>1</v>
      </c>
      <c r="J409">
        <v>8.2030411999999997E-2</v>
      </c>
      <c r="K409">
        <v>0.17392655386438799</v>
      </c>
      <c r="L409">
        <v>1</v>
      </c>
      <c r="M409">
        <v>3600.6058278300002</v>
      </c>
      <c r="N409">
        <v>479039</v>
      </c>
      <c r="O409">
        <v>0.233088012836113</v>
      </c>
      <c r="P409" s="5">
        <v>0.175280561461305</v>
      </c>
      <c r="Q409">
        <v>1</v>
      </c>
      <c r="R409">
        <v>77.748921602999999</v>
      </c>
      <c r="S409">
        <v>857</v>
      </c>
      <c r="T409">
        <v>1.4511643978455099E-2</v>
      </c>
      <c r="U409">
        <v>520</v>
      </c>
      <c r="V409" s="5">
        <v>0.17528056144822299</v>
      </c>
      <c r="W409">
        <v>1</v>
      </c>
      <c r="X409">
        <v>111.433853558</v>
      </c>
      <c r="Y409">
        <v>1</v>
      </c>
      <c r="Z409">
        <v>4.1872094017126597E-2</v>
      </c>
      <c r="AA409">
        <v>2</v>
      </c>
    </row>
    <row r="410" spans="1:27" x14ac:dyDescent="0.2">
      <c r="A410">
        <v>15</v>
      </c>
      <c r="B410">
        <v>1</v>
      </c>
      <c r="C410">
        <v>0.1</v>
      </c>
      <c r="D410">
        <v>20</v>
      </c>
      <c r="E410">
        <v>0.93044843454190496</v>
      </c>
      <c r="F410">
        <v>1</v>
      </c>
      <c r="G410">
        <v>43.447285291999997</v>
      </c>
      <c r="H410">
        <v>0.92368732840622803</v>
      </c>
      <c r="I410">
        <v>1</v>
      </c>
      <c r="J410">
        <v>0.59099342700000002</v>
      </c>
      <c r="K410">
        <v>0.690382534649427</v>
      </c>
      <c r="L410">
        <v>1</v>
      </c>
      <c r="M410">
        <v>3601.2006065720002</v>
      </c>
      <c r="N410">
        <v>228176</v>
      </c>
      <c r="O410">
        <v>0.229965102320389</v>
      </c>
      <c r="P410" s="5">
        <v>1.07479353100985</v>
      </c>
      <c r="Q410">
        <v>1</v>
      </c>
      <c r="R410">
        <v>645.64028062</v>
      </c>
      <c r="S410">
        <v>5340</v>
      </c>
      <c r="T410">
        <v>1.81269587780352E-3</v>
      </c>
      <c r="U410">
        <v>5084</v>
      </c>
      <c r="V410" s="5">
        <v>1.0692543150574201</v>
      </c>
      <c r="W410">
        <v>1</v>
      </c>
      <c r="X410">
        <v>2533.6189435739998</v>
      </c>
      <c r="Y410">
        <v>38051</v>
      </c>
      <c r="Z410">
        <v>2.6680036517517298E-3</v>
      </c>
      <c r="AA410">
        <v>20</v>
      </c>
    </row>
    <row r="411" spans="1:27" x14ac:dyDescent="0.2">
      <c r="A411">
        <v>15</v>
      </c>
      <c r="B411">
        <v>1</v>
      </c>
      <c r="C411">
        <v>0.2</v>
      </c>
      <c r="D411">
        <v>20</v>
      </c>
      <c r="E411">
        <v>0.54854609569436596</v>
      </c>
      <c r="F411">
        <v>1</v>
      </c>
      <c r="G411">
        <v>42.946674176000002</v>
      </c>
      <c r="H411">
        <v>0.51362009335175596</v>
      </c>
      <c r="I411">
        <v>1</v>
      </c>
      <c r="J411">
        <v>0.117916042</v>
      </c>
      <c r="K411">
        <v>0.51119511817854102</v>
      </c>
      <c r="L411">
        <v>1</v>
      </c>
      <c r="M411">
        <v>3602.7177851000001</v>
      </c>
      <c r="N411">
        <v>304390</v>
      </c>
      <c r="O411">
        <v>0.44137729443136198</v>
      </c>
      <c r="P411" s="5">
        <v>0.52601150390875395</v>
      </c>
      <c r="Q411">
        <v>1</v>
      </c>
      <c r="R411">
        <v>631.09720466299996</v>
      </c>
      <c r="S411">
        <v>6944</v>
      </c>
      <c r="T411">
        <v>1.35237558998748E-2</v>
      </c>
      <c r="U411">
        <v>6208</v>
      </c>
      <c r="V411" s="5">
        <v>0.51868155030688701</v>
      </c>
      <c r="W411">
        <v>1</v>
      </c>
      <c r="X411">
        <v>2560.9195015820001</v>
      </c>
      <c r="Y411">
        <v>22806</v>
      </c>
      <c r="Z411">
        <v>3.3562098568558199E-2</v>
      </c>
      <c r="AA411">
        <v>20</v>
      </c>
    </row>
    <row r="412" spans="1:27" x14ac:dyDescent="0.2">
      <c r="A412">
        <v>15</v>
      </c>
      <c r="B412">
        <v>1</v>
      </c>
      <c r="C412">
        <v>0.2</v>
      </c>
      <c r="D412">
        <v>20</v>
      </c>
      <c r="E412">
        <v>0.36733973908151701</v>
      </c>
      <c r="F412">
        <v>1</v>
      </c>
      <c r="G412">
        <v>35.090620411000003</v>
      </c>
      <c r="H412">
        <v>0.37385104753936299</v>
      </c>
      <c r="I412">
        <v>1</v>
      </c>
      <c r="J412">
        <v>0.21064801799999999</v>
      </c>
      <c r="K412">
        <v>0.40003102820562098</v>
      </c>
      <c r="L412">
        <v>1</v>
      </c>
      <c r="M412">
        <v>3600.785053309</v>
      </c>
      <c r="N412">
        <v>362088</v>
      </c>
      <c r="O412">
        <v>0.81998964006744002</v>
      </c>
      <c r="P412" s="5">
        <v>0.35706001708026103</v>
      </c>
      <c r="Q412">
        <v>1</v>
      </c>
      <c r="R412">
        <v>3640.5342423970001</v>
      </c>
      <c r="S412">
        <v>41510</v>
      </c>
      <c r="T412">
        <v>1.9459540285167599E-2</v>
      </c>
      <c r="U412">
        <v>39268</v>
      </c>
      <c r="V412" s="5">
        <v>0.357060017078971</v>
      </c>
      <c r="W412">
        <v>1</v>
      </c>
      <c r="X412">
        <v>2756.8333942089998</v>
      </c>
      <c r="Y412">
        <v>31414</v>
      </c>
      <c r="Z412">
        <v>1.7928055702878198E-2</v>
      </c>
      <c r="AA412">
        <v>20</v>
      </c>
    </row>
    <row r="413" spans="1:27" x14ac:dyDescent="0.2">
      <c r="A413">
        <v>15</v>
      </c>
      <c r="B413">
        <v>1</v>
      </c>
      <c r="C413">
        <v>0.1</v>
      </c>
      <c r="D413">
        <v>20</v>
      </c>
      <c r="E413">
        <v>0.97626634558820002</v>
      </c>
      <c r="F413">
        <v>1</v>
      </c>
      <c r="G413">
        <v>35.771682937999998</v>
      </c>
      <c r="H413">
        <v>0.97466391221795701</v>
      </c>
      <c r="I413">
        <v>1</v>
      </c>
      <c r="J413">
        <v>0.15139744699999999</v>
      </c>
      <c r="K413">
        <v>0.83088763473323402</v>
      </c>
      <c r="L413">
        <v>1</v>
      </c>
      <c r="M413">
        <v>3600.7934975150001</v>
      </c>
      <c r="N413">
        <v>327363</v>
      </c>
      <c r="O413">
        <v>0.30292616957637603</v>
      </c>
      <c r="P413" s="5">
        <v>1.23912922738765</v>
      </c>
      <c r="Q413">
        <v>1</v>
      </c>
      <c r="R413">
        <v>356.03701471900001</v>
      </c>
      <c r="S413">
        <v>3592</v>
      </c>
      <c r="T413">
        <v>2.2737821712116501E-3</v>
      </c>
      <c r="U413">
        <v>3517</v>
      </c>
      <c r="V413" s="5">
        <v>1.25185876072199</v>
      </c>
      <c r="W413">
        <v>1</v>
      </c>
      <c r="X413">
        <v>71.229391092</v>
      </c>
      <c r="Y413">
        <v>6155</v>
      </c>
      <c r="Z413">
        <v>1.1978323126266501E-3</v>
      </c>
      <c r="AA413">
        <v>7</v>
      </c>
    </row>
    <row r="414" spans="1:27" x14ac:dyDescent="0.2">
      <c r="A414">
        <v>15</v>
      </c>
      <c r="B414">
        <v>1</v>
      </c>
      <c r="C414">
        <v>0.3</v>
      </c>
      <c r="D414">
        <v>20</v>
      </c>
      <c r="E414">
        <v>0.23740420244694099</v>
      </c>
      <c r="F414">
        <v>1</v>
      </c>
      <c r="G414">
        <v>40.876627167999999</v>
      </c>
      <c r="H414">
        <v>0.21975771433109201</v>
      </c>
      <c r="I414">
        <v>1</v>
      </c>
      <c r="J414">
        <v>0.295337293</v>
      </c>
      <c r="K414">
        <v>0.21210021651435801</v>
      </c>
      <c r="L414">
        <v>1</v>
      </c>
      <c r="M414">
        <v>3601.2922125650002</v>
      </c>
      <c r="N414">
        <v>256223</v>
      </c>
      <c r="O414">
        <v>0.308828029888356</v>
      </c>
      <c r="P414" s="5">
        <v>0.101261820439464</v>
      </c>
      <c r="Q414">
        <v>1</v>
      </c>
      <c r="R414">
        <v>3687.5070613090002</v>
      </c>
      <c r="S414">
        <v>52003</v>
      </c>
      <c r="T414">
        <v>6.5249933690698604E-3</v>
      </c>
      <c r="U414">
        <v>36962</v>
      </c>
      <c r="V414" s="5">
        <v>0.181482211404937</v>
      </c>
      <c r="W414">
        <v>1</v>
      </c>
      <c r="X414">
        <v>2809.8956164450001</v>
      </c>
      <c r="Y414">
        <v>19840</v>
      </c>
      <c r="Z414">
        <v>8.5130226500257297E-3</v>
      </c>
      <c r="AA414">
        <v>20</v>
      </c>
    </row>
    <row r="415" spans="1:27" x14ac:dyDescent="0.2">
      <c r="A415">
        <v>15</v>
      </c>
      <c r="B415">
        <v>1</v>
      </c>
      <c r="C415">
        <v>0.1</v>
      </c>
      <c r="D415">
        <v>20</v>
      </c>
      <c r="E415">
        <v>0.94044926376910598</v>
      </c>
      <c r="F415">
        <v>1</v>
      </c>
      <c r="G415">
        <v>34.380404818999999</v>
      </c>
      <c r="H415">
        <v>0.94044949124365096</v>
      </c>
      <c r="I415">
        <v>1</v>
      </c>
      <c r="J415">
        <v>0.106781236</v>
      </c>
      <c r="K415">
        <v>1.0314986324795301</v>
      </c>
      <c r="L415">
        <v>1</v>
      </c>
      <c r="M415">
        <v>3600.7003214360002</v>
      </c>
      <c r="N415">
        <v>518436</v>
      </c>
      <c r="O415">
        <v>0.168878612958859</v>
      </c>
      <c r="P415" s="5">
        <v>1.08743949792856</v>
      </c>
      <c r="Q415">
        <v>1</v>
      </c>
      <c r="R415">
        <v>351.40577039499999</v>
      </c>
      <c r="S415">
        <v>4198</v>
      </c>
      <c r="T415">
        <v>3.0064404162946602E-4</v>
      </c>
      <c r="U415">
        <v>4192</v>
      </c>
      <c r="V415" s="5">
        <v>1.1548913228936799</v>
      </c>
      <c r="W415">
        <v>1</v>
      </c>
      <c r="X415">
        <v>53.719356595000001</v>
      </c>
      <c r="Y415">
        <v>31127</v>
      </c>
      <c r="Z415">
        <v>4.0146321798517599E-4</v>
      </c>
      <c r="AA415">
        <v>1</v>
      </c>
    </row>
    <row r="416" spans="1:27" x14ac:dyDescent="0.2">
      <c r="A416">
        <v>15</v>
      </c>
      <c r="B416">
        <v>1</v>
      </c>
      <c r="C416">
        <v>0.4</v>
      </c>
      <c r="D416">
        <v>20</v>
      </c>
      <c r="E416">
        <v>0.144654847528045</v>
      </c>
      <c r="F416">
        <v>1</v>
      </c>
      <c r="G416">
        <v>42.14531581</v>
      </c>
      <c r="H416">
        <v>0.108979108142955</v>
      </c>
      <c r="I416">
        <v>1</v>
      </c>
      <c r="J416">
        <v>0.558875817</v>
      </c>
      <c r="K416">
        <v>0.11966304306497701</v>
      </c>
      <c r="L416">
        <v>1</v>
      </c>
      <c r="M416">
        <v>3601.3068518569999</v>
      </c>
      <c r="N416">
        <v>186017</v>
      </c>
      <c r="O416">
        <v>0.63608811347809502</v>
      </c>
      <c r="P416" s="5">
        <v>0.160184188568603</v>
      </c>
      <c r="Q416">
        <v>1</v>
      </c>
      <c r="R416">
        <v>236.70491187100001</v>
      </c>
      <c r="S416">
        <v>1680</v>
      </c>
      <c r="T416">
        <v>3.2054522738937399E-2</v>
      </c>
      <c r="U416">
        <v>1224</v>
      </c>
      <c r="V416" s="5">
        <v>0.106992443602115</v>
      </c>
      <c r="W416">
        <v>1</v>
      </c>
      <c r="X416">
        <v>1322.300492592</v>
      </c>
      <c r="Y416">
        <v>7099</v>
      </c>
      <c r="Z416">
        <v>1.6168856672749098E-2</v>
      </c>
      <c r="AA416">
        <v>20</v>
      </c>
    </row>
    <row r="417" spans="1:27" x14ac:dyDescent="0.2">
      <c r="A417">
        <v>15</v>
      </c>
      <c r="B417">
        <v>1</v>
      </c>
      <c r="C417">
        <v>0.2</v>
      </c>
      <c r="D417">
        <v>20</v>
      </c>
      <c r="E417">
        <v>0.50485221446814799</v>
      </c>
      <c r="F417">
        <v>1</v>
      </c>
      <c r="G417">
        <v>43.163282092000003</v>
      </c>
      <c r="H417">
        <v>0.35730085034511899</v>
      </c>
      <c r="I417">
        <v>1</v>
      </c>
      <c r="J417">
        <v>0.38234392499999997</v>
      </c>
      <c r="K417">
        <v>0.38332866828108397</v>
      </c>
      <c r="L417">
        <v>1</v>
      </c>
      <c r="M417">
        <v>3601.7205616639999</v>
      </c>
      <c r="N417">
        <v>178149</v>
      </c>
      <c r="O417">
        <v>0.50854429787036104</v>
      </c>
      <c r="P417" s="5">
        <v>0.52475855480256794</v>
      </c>
      <c r="Q417">
        <v>1</v>
      </c>
      <c r="R417">
        <v>3681.4970141809999</v>
      </c>
      <c r="S417">
        <v>32704</v>
      </c>
      <c r="T417">
        <v>1.0638128572880001E-2</v>
      </c>
      <c r="U417">
        <v>24177</v>
      </c>
      <c r="V417" s="5">
        <v>0.47401649163814902</v>
      </c>
      <c r="W417">
        <v>1</v>
      </c>
      <c r="X417">
        <v>3135.662911549</v>
      </c>
      <c r="Y417">
        <v>18174</v>
      </c>
      <c r="Z417">
        <v>3.0905695534038199E-2</v>
      </c>
      <c r="AA417">
        <v>20</v>
      </c>
    </row>
    <row r="418" spans="1:27" x14ac:dyDescent="0.2">
      <c r="A418">
        <v>15</v>
      </c>
      <c r="B418">
        <v>1</v>
      </c>
      <c r="C418">
        <v>0.1</v>
      </c>
      <c r="D418">
        <v>20</v>
      </c>
      <c r="E418">
        <v>0.82888359517681298</v>
      </c>
      <c r="F418">
        <v>1</v>
      </c>
      <c r="G418">
        <v>29.086248272999999</v>
      </c>
      <c r="H418">
        <v>0.81971036240551398</v>
      </c>
      <c r="I418">
        <v>1</v>
      </c>
      <c r="J418">
        <v>0.24656493600000001</v>
      </c>
      <c r="K418">
        <v>0.96662321965425202</v>
      </c>
      <c r="L418">
        <v>1</v>
      </c>
      <c r="M418">
        <v>3600.4453976899999</v>
      </c>
      <c r="N418">
        <v>989355</v>
      </c>
      <c r="O418">
        <v>0.238962266240555</v>
      </c>
      <c r="P418" s="5">
        <v>1.0264593701440501</v>
      </c>
      <c r="Q418">
        <v>1</v>
      </c>
      <c r="R418">
        <v>303.91192431299999</v>
      </c>
      <c r="S418">
        <v>3668</v>
      </c>
      <c r="T418">
        <v>2.6071722368368102E-3</v>
      </c>
      <c r="U418">
        <v>3615</v>
      </c>
      <c r="V418" s="5">
        <v>1.15066631820898</v>
      </c>
      <c r="W418">
        <v>1</v>
      </c>
      <c r="X418">
        <v>2392.4330600180001</v>
      </c>
      <c r="Y418">
        <v>61155</v>
      </c>
      <c r="Z418">
        <v>4.1985315941480599E-3</v>
      </c>
      <c r="AA418">
        <v>20</v>
      </c>
    </row>
    <row r="419" spans="1:27" x14ac:dyDescent="0.2">
      <c r="A419">
        <v>15</v>
      </c>
      <c r="B419">
        <v>1</v>
      </c>
      <c r="C419">
        <v>0.4</v>
      </c>
      <c r="D419">
        <v>20</v>
      </c>
      <c r="E419">
        <v>4.6536555054566102E-2</v>
      </c>
      <c r="F419">
        <v>1</v>
      </c>
      <c r="G419">
        <v>43.384398136000002</v>
      </c>
      <c r="H419">
        <v>5.2881595641947499E-2</v>
      </c>
      <c r="I419">
        <v>1</v>
      </c>
      <c r="J419">
        <v>0.36722642500000002</v>
      </c>
      <c r="K419">
        <v>5.3074983261277103E-2</v>
      </c>
      <c r="L419">
        <v>1</v>
      </c>
      <c r="M419">
        <v>3602.946767252</v>
      </c>
      <c r="N419">
        <v>234244</v>
      </c>
      <c r="O419">
        <v>0.225522484891506</v>
      </c>
      <c r="P419" s="5">
        <v>3.3100860155252203E-2</v>
      </c>
      <c r="Q419">
        <v>1</v>
      </c>
      <c r="R419">
        <v>40.444456567000003</v>
      </c>
      <c r="S419">
        <v>1</v>
      </c>
      <c r="T419">
        <v>4.8585661641737899E-3</v>
      </c>
      <c r="U419">
        <v>5</v>
      </c>
      <c r="V419" s="5">
        <v>3.6211346930248599E-2</v>
      </c>
      <c r="W419">
        <v>1</v>
      </c>
      <c r="X419">
        <v>47.586838911999997</v>
      </c>
      <c r="Y419">
        <v>11777</v>
      </c>
      <c r="Z419" s="1">
        <v>3.0574085412959897E-5</v>
      </c>
      <c r="AA419">
        <v>1</v>
      </c>
    </row>
    <row r="420" spans="1:27" x14ac:dyDescent="0.2">
      <c r="A420">
        <v>15</v>
      </c>
      <c r="B420">
        <v>1</v>
      </c>
      <c r="C420">
        <v>0.2</v>
      </c>
      <c r="D420">
        <v>20</v>
      </c>
      <c r="E420">
        <v>0.50331273909079399</v>
      </c>
      <c r="F420">
        <v>1</v>
      </c>
      <c r="G420">
        <v>35.593012062</v>
      </c>
      <c r="H420">
        <v>0.34445648489480502</v>
      </c>
      <c r="I420">
        <v>1</v>
      </c>
      <c r="J420">
        <v>0.29931349400000001</v>
      </c>
      <c r="K420">
        <v>0.79148442219204596</v>
      </c>
      <c r="L420">
        <v>1</v>
      </c>
      <c r="M420">
        <v>3600.7759726220002</v>
      </c>
      <c r="N420">
        <v>342595</v>
      </c>
      <c r="O420">
        <v>1.2111489514321701</v>
      </c>
      <c r="P420" s="5">
        <v>0.45867154677755301</v>
      </c>
      <c r="Q420">
        <v>1</v>
      </c>
      <c r="R420">
        <v>3684.8586101609999</v>
      </c>
      <c r="S420">
        <v>45248</v>
      </c>
      <c r="T420">
        <v>9.8197068094558696E-3</v>
      </c>
      <c r="U420">
        <v>33702</v>
      </c>
      <c r="V420" s="5">
        <v>0.42083623377249002</v>
      </c>
      <c r="W420">
        <v>1</v>
      </c>
      <c r="X420">
        <v>3033.3623474689998</v>
      </c>
      <c r="Y420">
        <v>25451</v>
      </c>
      <c r="Z420">
        <v>2.78749529283219E-2</v>
      </c>
      <c r="AA420">
        <v>20</v>
      </c>
    </row>
    <row r="421" spans="1:27" x14ac:dyDescent="0.2">
      <c r="A421">
        <v>15</v>
      </c>
      <c r="B421">
        <v>1</v>
      </c>
      <c r="C421">
        <v>0.2</v>
      </c>
      <c r="D421">
        <v>20</v>
      </c>
      <c r="E421">
        <v>0.46325413960890099</v>
      </c>
      <c r="F421">
        <v>1</v>
      </c>
      <c r="G421">
        <v>30.492564181999999</v>
      </c>
      <c r="H421">
        <v>0.44320412892872202</v>
      </c>
      <c r="I421">
        <v>1</v>
      </c>
      <c r="J421">
        <v>0.16519962399999999</v>
      </c>
      <c r="K421">
        <v>0.445162234480805</v>
      </c>
      <c r="L421">
        <v>1</v>
      </c>
      <c r="M421">
        <v>3600.55425526</v>
      </c>
      <c r="N421">
        <v>531519</v>
      </c>
      <c r="O421">
        <v>0.142057201225508</v>
      </c>
      <c r="P421" s="5">
        <v>0.65585235070561099</v>
      </c>
      <c r="Q421">
        <v>1</v>
      </c>
      <c r="R421">
        <v>936.80458467300002</v>
      </c>
      <c r="S421">
        <v>13452</v>
      </c>
      <c r="T421">
        <v>5.1651589145362796E-3</v>
      </c>
      <c r="U421">
        <v>10378</v>
      </c>
      <c r="V421" s="5">
        <v>0.42076109887570601</v>
      </c>
      <c r="W421">
        <v>1</v>
      </c>
      <c r="X421">
        <v>2885.1134241290001</v>
      </c>
      <c r="Y421">
        <v>48517</v>
      </c>
      <c r="Z421">
        <v>6.30035835477704E-3</v>
      </c>
      <c r="AA421">
        <v>20</v>
      </c>
    </row>
    <row r="422" spans="1:27" x14ac:dyDescent="0.2">
      <c r="A422">
        <v>15</v>
      </c>
      <c r="B422">
        <v>1</v>
      </c>
      <c r="C422">
        <v>0.4</v>
      </c>
      <c r="D422">
        <v>20</v>
      </c>
      <c r="E422">
        <v>0.24892217686425799</v>
      </c>
      <c r="F422">
        <v>1</v>
      </c>
      <c r="G422">
        <v>35.198421465999999</v>
      </c>
      <c r="H422">
        <v>0.19168916277984299</v>
      </c>
      <c r="I422">
        <v>1</v>
      </c>
      <c r="J422">
        <v>0.17957547900000001</v>
      </c>
      <c r="K422">
        <v>0.19184023255920701</v>
      </c>
      <c r="L422">
        <v>1</v>
      </c>
      <c r="M422">
        <v>3600.7544907850001</v>
      </c>
      <c r="N422">
        <v>494390</v>
      </c>
      <c r="O422">
        <v>0.50316952993776398</v>
      </c>
      <c r="P422" s="5">
        <v>0.249619275215157</v>
      </c>
      <c r="Q422">
        <v>1</v>
      </c>
      <c r="R422">
        <v>973.09120124000003</v>
      </c>
      <c r="S422">
        <v>10830</v>
      </c>
      <c r="T422">
        <v>2.6563308442481601E-2</v>
      </c>
      <c r="U422">
        <v>9366</v>
      </c>
      <c r="V422" s="5">
        <v>0.13750791772812701</v>
      </c>
      <c r="W422">
        <v>1</v>
      </c>
      <c r="X422">
        <v>1686.2856997660001</v>
      </c>
      <c r="Y422">
        <v>10390</v>
      </c>
      <c r="Z422">
        <v>1.40174358179092E-2</v>
      </c>
      <c r="AA422">
        <v>20</v>
      </c>
    </row>
    <row r="423" spans="1:27" x14ac:dyDescent="0.2">
      <c r="A423">
        <v>15</v>
      </c>
      <c r="B423">
        <v>1</v>
      </c>
      <c r="C423">
        <v>0.4</v>
      </c>
      <c r="D423">
        <v>20</v>
      </c>
      <c r="E423">
        <v>6.1797722676732801E-2</v>
      </c>
      <c r="F423">
        <v>1</v>
      </c>
      <c r="G423">
        <v>42.564578099999999</v>
      </c>
      <c r="H423">
        <v>7.1293068734185006E-2</v>
      </c>
      <c r="I423">
        <v>1</v>
      </c>
      <c r="J423">
        <v>0.17086491100000001</v>
      </c>
      <c r="K423">
        <v>7.1791174345041994E-2</v>
      </c>
      <c r="L423">
        <v>1</v>
      </c>
      <c r="M423">
        <v>3602.230051604</v>
      </c>
      <c r="N423">
        <v>247739</v>
      </c>
      <c r="O423">
        <v>0.73387207831421997</v>
      </c>
      <c r="P423" s="5">
        <v>4.5729167911082398E-2</v>
      </c>
      <c r="Q423">
        <v>1</v>
      </c>
      <c r="R423">
        <v>29.708422723999998</v>
      </c>
      <c r="S423">
        <v>1</v>
      </c>
      <c r="T423">
        <v>1.5469379996603401E-2</v>
      </c>
      <c r="U423">
        <v>5</v>
      </c>
      <c r="V423" s="5">
        <v>4.6133121325222202E-2</v>
      </c>
      <c r="W423">
        <v>1</v>
      </c>
      <c r="X423">
        <v>43.839186196999997</v>
      </c>
      <c r="Y423">
        <v>10616</v>
      </c>
      <c r="Z423">
        <v>4.4301802236024201E-4</v>
      </c>
      <c r="AA423">
        <v>1</v>
      </c>
    </row>
    <row r="424" spans="1:27" x14ac:dyDescent="0.2">
      <c r="A424">
        <v>15</v>
      </c>
      <c r="B424">
        <v>1</v>
      </c>
      <c r="C424">
        <v>0.2</v>
      </c>
      <c r="D424">
        <v>20</v>
      </c>
      <c r="E424">
        <v>0.57892582856260799</v>
      </c>
      <c r="F424">
        <v>1</v>
      </c>
      <c r="G424">
        <v>40.883008349999997</v>
      </c>
      <c r="H424">
        <v>0.30446531494467899</v>
      </c>
      <c r="I424">
        <v>1</v>
      </c>
      <c r="J424">
        <v>0.84227512999999998</v>
      </c>
      <c r="K424">
        <v>0.30791880222552298</v>
      </c>
      <c r="L424">
        <v>1</v>
      </c>
      <c r="M424">
        <v>3603.2815613769999</v>
      </c>
      <c r="N424">
        <v>275635</v>
      </c>
      <c r="O424">
        <v>0.71790440391997101</v>
      </c>
      <c r="P424" s="5">
        <v>1.2359740353497499</v>
      </c>
      <c r="Q424">
        <v>1</v>
      </c>
      <c r="R424">
        <v>1427.5164940980001</v>
      </c>
      <c r="S424">
        <v>15277</v>
      </c>
      <c r="T424">
        <v>8.6804358287703096E-3</v>
      </c>
      <c r="U424">
        <v>11013</v>
      </c>
      <c r="V424" s="5">
        <v>0.284768472146045</v>
      </c>
      <c r="W424">
        <v>1</v>
      </c>
      <c r="X424">
        <v>2897.192609662</v>
      </c>
      <c r="Y424">
        <v>22128</v>
      </c>
      <c r="Z424">
        <v>9.30409020070843E-3</v>
      </c>
      <c r="AA424">
        <v>20</v>
      </c>
    </row>
    <row r="425" spans="1:27" x14ac:dyDescent="0.2">
      <c r="A425">
        <v>15</v>
      </c>
      <c r="B425">
        <v>1</v>
      </c>
      <c r="C425">
        <v>0.2</v>
      </c>
      <c r="D425">
        <v>20</v>
      </c>
      <c r="E425">
        <v>0.22935075017641399</v>
      </c>
      <c r="F425">
        <v>1</v>
      </c>
      <c r="G425">
        <v>39.948675461000001</v>
      </c>
      <c r="H425">
        <v>0.28561997829707297</v>
      </c>
      <c r="I425">
        <v>1</v>
      </c>
      <c r="J425">
        <v>0.55253256299999998</v>
      </c>
      <c r="K425">
        <v>0.48707166433316101</v>
      </c>
      <c r="L425">
        <v>1</v>
      </c>
      <c r="M425">
        <v>3604.6427124749998</v>
      </c>
      <c r="N425">
        <v>205898</v>
      </c>
      <c r="O425">
        <v>1.31109674465987</v>
      </c>
      <c r="P425" s="5">
        <v>0.359727749415095</v>
      </c>
      <c r="Q425">
        <v>1</v>
      </c>
      <c r="R425">
        <v>696.55390874</v>
      </c>
      <c r="S425">
        <v>5689</v>
      </c>
      <c r="T425">
        <v>6.65645943392279E-3</v>
      </c>
      <c r="U425">
        <v>5246</v>
      </c>
      <c r="V425" s="5">
        <v>0.33869468027689797</v>
      </c>
      <c r="W425">
        <v>1</v>
      </c>
      <c r="X425">
        <v>2774.9958288359999</v>
      </c>
      <c r="Y425">
        <v>42371</v>
      </c>
      <c r="Z425">
        <v>1.7701631820075201E-2</v>
      </c>
      <c r="AA425">
        <v>20</v>
      </c>
    </row>
    <row r="426" spans="1:27" x14ac:dyDescent="0.2">
      <c r="A426">
        <v>15</v>
      </c>
      <c r="B426">
        <v>1</v>
      </c>
      <c r="C426">
        <v>0.2</v>
      </c>
      <c r="D426">
        <v>20</v>
      </c>
      <c r="E426">
        <v>0.66135203614615101</v>
      </c>
      <c r="F426">
        <v>1</v>
      </c>
      <c r="G426">
        <v>41.387823879999999</v>
      </c>
      <c r="H426">
        <v>0.65288183369914998</v>
      </c>
      <c r="I426">
        <v>1</v>
      </c>
      <c r="J426">
        <v>0.82922213</v>
      </c>
      <c r="K426">
        <v>0.79095346790882703</v>
      </c>
      <c r="L426">
        <v>1</v>
      </c>
      <c r="M426">
        <v>3602.8632094439999</v>
      </c>
      <c r="N426">
        <v>279916</v>
      </c>
      <c r="O426">
        <v>0.30915841088281298</v>
      </c>
      <c r="P426" s="5">
        <v>0.70490655626607701</v>
      </c>
      <c r="Q426">
        <v>1</v>
      </c>
      <c r="R426">
        <v>3663.0235588270002</v>
      </c>
      <c r="S426">
        <v>36087</v>
      </c>
      <c r="T426">
        <v>3.64122821102338E-3</v>
      </c>
      <c r="U426">
        <v>26704</v>
      </c>
      <c r="V426" s="5">
        <v>0.77738961345415902</v>
      </c>
      <c r="W426">
        <v>1</v>
      </c>
      <c r="X426">
        <v>3384.6908359099998</v>
      </c>
      <c r="Y426">
        <v>39384</v>
      </c>
      <c r="Z426">
        <v>2.6663209639094999E-2</v>
      </c>
      <c r="AA426">
        <v>20</v>
      </c>
    </row>
    <row r="427" spans="1:27" x14ac:dyDescent="0.2">
      <c r="A427">
        <v>15</v>
      </c>
      <c r="B427">
        <v>1</v>
      </c>
      <c r="C427">
        <v>0.1</v>
      </c>
      <c r="D427">
        <v>20</v>
      </c>
      <c r="E427">
        <v>0.73122103607842603</v>
      </c>
      <c r="F427">
        <v>1</v>
      </c>
      <c r="G427">
        <v>30.753724025</v>
      </c>
      <c r="H427">
        <v>0.69504032568590302</v>
      </c>
      <c r="I427">
        <v>1</v>
      </c>
      <c r="J427">
        <v>0.27772660799999999</v>
      </c>
      <c r="K427">
        <v>0.54794101476290002</v>
      </c>
      <c r="L427">
        <v>1</v>
      </c>
      <c r="M427">
        <v>3600.8580825190002</v>
      </c>
      <c r="N427">
        <v>821713</v>
      </c>
      <c r="O427">
        <v>0.44815248860760998</v>
      </c>
      <c r="P427" s="5">
        <v>0.81979700239753694</v>
      </c>
      <c r="Q427">
        <v>1</v>
      </c>
      <c r="R427">
        <v>1270.4691111540001</v>
      </c>
      <c r="S427">
        <v>19703</v>
      </c>
      <c r="T427">
        <v>3.2082909418921701E-3</v>
      </c>
      <c r="U427">
        <v>14444</v>
      </c>
      <c r="V427" s="5">
        <v>0.79126936851486795</v>
      </c>
      <c r="W427">
        <v>1</v>
      </c>
      <c r="X427">
        <v>3135.9094499980001</v>
      </c>
      <c r="Y427">
        <v>46683</v>
      </c>
      <c r="Z427">
        <v>5.3945819152017599E-2</v>
      </c>
      <c r="AA427">
        <v>20</v>
      </c>
    </row>
    <row r="428" spans="1:27" x14ac:dyDescent="0.2">
      <c r="A428">
        <v>15</v>
      </c>
      <c r="B428">
        <v>1</v>
      </c>
      <c r="C428">
        <v>0.1</v>
      </c>
      <c r="D428">
        <v>20</v>
      </c>
      <c r="E428">
        <v>0.862621957301825</v>
      </c>
      <c r="F428">
        <v>1</v>
      </c>
      <c r="G428">
        <v>40.726352157000001</v>
      </c>
      <c r="H428">
        <v>0.82192722091298398</v>
      </c>
      <c r="I428">
        <v>1</v>
      </c>
      <c r="J428">
        <v>0.49342143900000002</v>
      </c>
      <c r="K428">
        <v>0.85779003177313395</v>
      </c>
      <c r="L428">
        <v>1</v>
      </c>
      <c r="M428">
        <v>3601.2467670000001</v>
      </c>
      <c r="N428">
        <v>459782</v>
      </c>
      <c r="O428">
        <v>0.56421714144683699</v>
      </c>
      <c r="P428" s="5">
        <v>0.73290349869793203</v>
      </c>
      <c r="Q428">
        <v>1</v>
      </c>
      <c r="R428">
        <v>859.45041521899998</v>
      </c>
      <c r="S428">
        <v>11078</v>
      </c>
      <c r="T428">
        <v>3.82351456018742E-3</v>
      </c>
      <c r="U428">
        <v>9152</v>
      </c>
      <c r="V428" s="5">
        <v>1.00558056480452</v>
      </c>
      <c r="W428">
        <v>1</v>
      </c>
      <c r="X428">
        <v>2891.985431954</v>
      </c>
      <c r="Y428">
        <v>65431</v>
      </c>
      <c r="Z428">
        <v>8.6114421701495303E-3</v>
      </c>
      <c r="AA428">
        <v>20</v>
      </c>
    </row>
    <row r="429" spans="1:27" x14ac:dyDescent="0.2">
      <c r="A429">
        <v>15</v>
      </c>
      <c r="B429">
        <v>1</v>
      </c>
      <c r="C429">
        <v>0.4</v>
      </c>
      <c r="D429">
        <v>20</v>
      </c>
      <c r="E429">
        <v>0.23600975296735399</v>
      </c>
      <c r="F429">
        <v>1</v>
      </c>
      <c r="G429">
        <v>42.292939429</v>
      </c>
      <c r="H429">
        <v>0.172793636263991</v>
      </c>
      <c r="I429">
        <v>1</v>
      </c>
      <c r="J429">
        <v>0.32501766900000001</v>
      </c>
      <c r="K429">
        <v>0.18673764968739301</v>
      </c>
      <c r="L429">
        <v>1</v>
      </c>
      <c r="M429">
        <v>3606.147703438</v>
      </c>
      <c r="N429">
        <v>214456</v>
      </c>
      <c r="O429">
        <v>1.9159064742282601</v>
      </c>
      <c r="P429" s="5">
        <v>0.27465420783872302</v>
      </c>
      <c r="Q429">
        <v>1</v>
      </c>
      <c r="R429">
        <v>3013.7414032410002</v>
      </c>
      <c r="S429">
        <v>31323</v>
      </c>
      <c r="T429">
        <v>5.8029616773816302E-2</v>
      </c>
      <c r="U429">
        <v>19583</v>
      </c>
      <c r="V429" s="5">
        <v>0.15251285302890499</v>
      </c>
      <c r="W429">
        <v>1</v>
      </c>
      <c r="X429">
        <v>3259.236343345</v>
      </c>
      <c r="Y429">
        <v>7986</v>
      </c>
      <c r="Z429">
        <v>0.16134769869978799</v>
      </c>
      <c r="AA429">
        <v>20</v>
      </c>
    </row>
    <row r="430" spans="1:27" x14ac:dyDescent="0.2">
      <c r="A430">
        <v>15</v>
      </c>
      <c r="B430">
        <v>1</v>
      </c>
      <c r="C430">
        <v>0.4</v>
      </c>
      <c r="D430">
        <v>20</v>
      </c>
      <c r="E430">
        <v>5.3495963878071602E-2</v>
      </c>
      <c r="F430">
        <v>1</v>
      </c>
      <c r="G430">
        <v>30.581008722</v>
      </c>
      <c r="H430">
        <v>7.4207198253523399E-2</v>
      </c>
      <c r="I430">
        <v>1</v>
      </c>
      <c r="J430">
        <v>9.2833074000000002E-2</v>
      </c>
      <c r="K430">
        <v>7.5699567372575605E-2</v>
      </c>
      <c r="L430">
        <v>1</v>
      </c>
      <c r="M430">
        <v>3600.7553750830002</v>
      </c>
      <c r="N430">
        <v>454286</v>
      </c>
      <c r="O430">
        <v>0.24726550741306799</v>
      </c>
      <c r="P430" s="5">
        <v>5.4520133825364102E-2</v>
      </c>
      <c r="Q430">
        <v>1</v>
      </c>
      <c r="R430">
        <v>22.622985392</v>
      </c>
      <c r="S430">
        <v>1</v>
      </c>
      <c r="T430">
        <v>1.36603387595197E-2</v>
      </c>
      <c r="U430">
        <v>5</v>
      </c>
      <c r="V430" s="5">
        <v>5.4830491624873703E-2</v>
      </c>
      <c r="W430">
        <v>1</v>
      </c>
      <c r="X430">
        <v>54.466190132000001</v>
      </c>
      <c r="Y430">
        <v>15568</v>
      </c>
      <c r="Z430" s="1">
        <v>7.9385024263078901E-6</v>
      </c>
      <c r="AA430">
        <v>1</v>
      </c>
    </row>
    <row r="431" spans="1:27" x14ac:dyDescent="0.2">
      <c r="A431">
        <v>15</v>
      </c>
      <c r="B431">
        <v>1</v>
      </c>
      <c r="C431">
        <v>0.1</v>
      </c>
      <c r="D431">
        <v>20</v>
      </c>
      <c r="E431">
        <v>0.91585639907667404</v>
      </c>
      <c r="F431">
        <v>1</v>
      </c>
      <c r="G431">
        <v>42.126763949000001</v>
      </c>
      <c r="H431">
        <v>0.91529304928578203</v>
      </c>
      <c r="I431">
        <v>1</v>
      </c>
      <c r="J431">
        <v>0.33636448899999999</v>
      </c>
      <c r="K431">
        <v>1.1847549682661001</v>
      </c>
      <c r="L431">
        <v>1</v>
      </c>
      <c r="M431">
        <v>3601.9778689200002</v>
      </c>
      <c r="N431">
        <v>263710</v>
      </c>
      <c r="O431">
        <v>0.127501726284592</v>
      </c>
      <c r="P431" s="5">
        <v>1.13024627427927</v>
      </c>
      <c r="Q431">
        <v>1</v>
      </c>
      <c r="R431">
        <v>879.01713159799999</v>
      </c>
      <c r="S431">
        <v>5628</v>
      </c>
      <c r="T431">
        <v>9.1751849972823696E-4</v>
      </c>
      <c r="U431">
        <v>5604</v>
      </c>
      <c r="V431" s="5">
        <v>1.11620563108796</v>
      </c>
      <c r="W431">
        <v>1</v>
      </c>
      <c r="X431">
        <v>109.229499926</v>
      </c>
      <c r="Y431">
        <v>1</v>
      </c>
      <c r="Z431">
        <v>6.7870722800996101E-3</v>
      </c>
      <c r="AA431">
        <v>2</v>
      </c>
    </row>
    <row r="432" spans="1:27" x14ac:dyDescent="0.2">
      <c r="A432">
        <v>15</v>
      </c>
      <c r="B432">
        <v>1</v>
      </c>
      <c r="C432">
        <v>0.1</v>
      </c>
      <c r="D432">
        <v>20</v>
      </c>
      <c r="E432">
        <v>0.94944753375180302</v>
      </c>
      <c r="F432">
        <v>1</v>
      </c>
      <c r="G432">
        <v>35.328735690999999</v>
      </c>
      <c r="H432">
        <v>0.94911777409547704</v>
      </c>
      <c r="I432">
        <v>1</v>
      </c>
      <c r="J432">
        <v>0.118491707</v>
      </c>
      <c r="K432">
        <v>1.13260204442136</v>
      </c>
      <c r="L432">
        <v>1</v>
      </c>
      <c r="M432">
        <v>3600.7028508520002</v>
      </c>
      <c r="N432">
        <v>465194</v>
      </c>
      <c r="O432">
        <v>0.13606669720669001</v>
      </c>
      <c r="P432" s="5">
        <v>1.1680936357193401</v>
      </c>
      <c r="Q432">
        <v>1</v>
      </c>
      <c r="R432">
        <v>332.79259988500002</v>
      </c>
      <c r="S432">
        <v>4215</v>
      </c>
      <c r="T432" s="1">
        <v>7.2091729736073405E-5</v>
      </c>
      <c r="U432">
        <v>4138</v>
      </c>
      <c r="V432" s="5">
        <v>1.0583677541769401</v>
      </c>
      <c r="W432">
        <v>1</v>
      </c>
      <c r="X432">
        <v>109.22538699099999</v>
      </c>
      <c r="Y432">
        <v>54737</v>
      </c>
      <c r="Z432">
        <v>5.2054792660940997E-4</v>
      </c>
      <c r="AA432">
        <v>1</v>
      </c>
    </row>
    <row r="433" spans="1:27" x14ac:dyDescent="0.2">
      <c r="A433">
        <v>15</v>
      </c>
      <c r="B433">
        <v>1</v>
      </c>
      <c r="C433">
        <v>0.3</v>
      </c>
      <c r="D433">
        <v>20</v>
      </c>
      <c r="E433">
        <v>6.4907273831579099E-2</v>
      </c>
      <c r="F433">
        <v>1</v>
      </c>
      <c r="G433">
        <v>43.428499909000003</v>
      </c>
      <c r="H433">
        <v>0.100154819523574</v>
      </c>
      <c r="I433">
        <v>1</v>
      </c>
      <c r="J433">
        <v>0.12924416599999999</v>
      </c>
      <c r="K433">
        <v>0.114016666677817</v>
      </c>
      <c r="L433">
        <v>1</v>
      </c>
      <c r="M433">
        <v>3601.6272700650002</v>
      </c>
      <c r="N433">
        <v>250980</v>
      </c>
      <c r="O433">
        <v>0.54847174856845204</v>
      </c>
      <c r="P433" s="5">
        <v>8.83375694270606E-2</v>
      </c>
      <c r="Q433">
        <v>1</v>
      </c>
      <c r="R433">
        <v>31.25485454</v>
      </c>
      <c r="S433">
        <v>1</v>
      </c>
      <c r="T433">
        <v>9.5632717508560196E-3</v>
      </c>
      <c r="U433">
        <v>5</v>
      </c>
      <c r="V433" s="5">
        <v>9.5916567756278104E-2</v>
      </c>
      <c r="W433">
        <v>1</v>
      </c>
      <c r="X433">
        <v>113.573235861</v>
      </c>
      <c r="Y433">
        <v>20825</v>
      </c>
      <c r="Z433">
        <v>9.1330045916704296E-4</v>
      </c>
      <c r="AA433">
        <v>1</v>
      </c>
    </row>
    <row r="434" spans="1:27" x14ac:dyDescent="0.2">
      <c r="A434">
        <v>15</v>
      </c>
      <c r="B434">
        <v>1</v>
      </c>
      <c r="C434">
        <v>0.2</v>
      </c>
      <c r="D434">
        <v>20</v>
      </c>
      <c r="E434">
        <v>0.42925419195172299</v>
      </c>
      <c r="F434">
        <v>1</v>
      </c>
      <c r="G434">
        <v>42.607288070999999</v>
      </c>
      <c r="H434">
        <v>0.48558714700841299</v>
      </c>
      <c r="I434">
        <v>1</v>
      </c>
      <c r="J434">
        <v>0.63469337400000003</v>
      </c>
      <c r="K434">
        <v>0.49460799290065699</v>
      </c>
      <c r="L434">
        <v>1</v>
      </c>
      <c r="M434">
        <v>3603.5021324579998</v>
      </c>
      <c r="N434">
        <v>376308</v>
      </c>
      <c r="O434">
        <v>0.17264710069612399</v>
      </c>
      <c r="P434" s="5">
        <v>0.58646253270222204</v>
      </c>
      <c r="Q434">
        <v>1</v>
      </c>
      <c r="R434">
        <v>1223.361423504</v>
      </c>
      <c r="S434">
        <v>10850</v>
      </c>
      <c r="T434">
        <v>9.0806715133212503E-3</v>
      </c>
      <c r="U434">
        <v>9450</v>
      </c>
      <c r="V434" s="5">
        <v>0.53763389729248301</v>
      </c>
      <c r="W434">
        <v>1</v>
      </c>
      <c r="X434">
        <v>3163.3371720939999</v>
      </c>
      <c r="Y434">
        <v>20022</v>
      </c>
      <c r="Z434">
        <v>3.1929681377282998E-2</v>
      </c>
      <c r="AA434">
        <v>20</v>
      </c>
    </row>
    <row r="435" spans="1:27" x14ac:dyDescent="0.2">
      <c r="A435">
        <v>15</v>
      </c>
      <c r="B435">
        <v>1</v>
      </c>
      <c r="C435">
        <v>0.4</v>
      </c>
      <c r="D435">
        <v>20</v>
      </c>
      <c r="E435">
        <v>4.8344230818060697E-2</v>
      </c>
      <c r="F435">
        <v>1</v>
      </c>
      <c r="G435">
        <v>42.573882060000003</v>
      </c>
      <c r="H435">
        <v>7.4638513384371996E-2</v>
      </c>
      <c r="I435">
        <v>1</v>
      </c>
      <c r="J435">
        <v>0.35079510800000002</v>
      </c>
      <c r="K435">
        <v>7.1578461649384903E-2</v>
      </c>
      <c r="L435">
        <v>1</v>
      </c>
      <c r="M435">
        <v>3602.2943747650002</v>
      </c>
      <c r="N435">
        <v>201204</v>
      </c>
      <c r="O435">
        <v>0.75704307066034804</v>
      </c>
      <c r="P435" s="5">
        <v>5.8878452852299798E-2</v>
      </c>
      <c r="Q435">
        <v>1</v>
      </c>
      <c r="R435">
        <v>34.631252816</v>
      </c>
      <c r="S435">
        <v>1</v>
      </c>
      <c r="T435">
        <v>3.26999956211704E-3</v>
      </c>
      <c r="U435">
        <v>5</v>
      </c>
      <c r="V435" s="5">
        <v>5.89207496006195E-2</v>
      </c>
      <c r="W435">
        <v>1</v>
      </c>
      <c r="X435">
        <v>44.050288801000001</v>
      </c>
      <c r="Y435">
        <v>4335</v>
      </c>
      <c r="Z435">
        <v>2.005797574538E-4</v>
      </c>
      <c r="AA435">
        <v>1</v>
      </c>
    </row>
    <row r="436" spans="1:27" x14ac:dyDescent="0.2">
      <c r="A436">
        <v>15</v>
      </c>
      <c r="B436">
        <v>1</v>
      </c>
      <c r="C436">
        <v>0.3</v>
      </c>
      <c r="D436">
        <v>20</v>
      </c>
      <c r="E436">
        <v>0.46556840951832201</v>
      </c>
      <c r="F436">
        <v>1</v>
      </c>
      <c r="G436">
        <v>41.277807709000001</v>
      </c>
      <c r="H436">
        <v>0.346347559465916</v>
      </c>
      <c r="I436">
        <v>1</v>
      </c>
      <c r="J436">
        <v>0.166007193</v>
      </c>
      <c r="K436">
        <v>0.36900770630322399</v>
      </c>
      <c r="L436">
        <v>1</v>
      </c>
      <c r="M436">
        <v>3602.797479503</v>
      </c>
      <c r="N436">
        <v>186368</v>
      </c>
      <c r="O436">
        <v>0.65763114630098696</v>
      </c>
      <c r="P436" s="5">
        <v>0.49101780169777298</v>
      </c>
      <c r="Q436">
        <v>1</v>
      </c>
      <c r="R436">
        <v>3633.7668567430001</v>
      </c>
      <c r="S436">
        <v>50509</v>
      </c>
      <c r="T436">
        <v>1.3550401049746299E-2</v>
      </c>
      <c r="U436">
        <v>34144</v>
      </c>
      <c r="V436" s="5">
        <v>0.44772601337215501</v>
      </c>
      <c r="W436">
        <v>1</v>
      </c>
      <c r="X436">
        <v>3173.4025620409998</v>
      </c>
      <c r="Y436">
        <v>16650</v>
      </c>
      <c r="Z436">
        <v>5.5561734672890002E-2</v>
      </c>
      <c r="AA436">
        <v>20</v>
      </c>
    </row>
    <row r="437" spans="1:27" x14ac:dyDescent="0.2">
      <c r="A437">
        <v>15</v>
      </c>
      <c r="B437">
        <v>1</v>
      </c>
      <c r="C437">
        <v>0.3</v>
      </c>
      <c r="D437">
        <v>20</v>
      </c>
      <c r="E437">
        <v>0.34035166526042698</v>
      </c>
      <c r="F437">
        <v>1</v>
      </c>
      <c r="G437">
        <v>34.261856704000003</v>
      </c>
      <c r="H437">
        <v>0.21943022356858899</v>
      </c>
      <c r="I437">
        <v>1</v>
      </c>
      <c r="J437">
        <v>0.27844946999999998</v>
      </c>
      <c r="K437">
        <v>0.24547178886703799</v>
      </c>
      <c r="L437">
        <v>1</v>
      </c>
      <c r="M437">
        <v>3600.7628903939999</v>
      </c>
      <c r="N437">
        <v>432341</v>
      </c>
      <c r="O437">
        <v>2.2536833907447602</v>
      </c>
      <c r="P437" s="5">
        <v>0.29920653875098102</v>
      </c>
      <c r="Q437">
        <v>1</v>
      </c>
      <c r="R437">
        <v>1584.1418644339999</v>
      </c>
      <c r="S437">
        <v>20932</v>
      </c>
      <c r="T437">
        <v>2.4275133550265698E-2</v>
      </c>
      <c r="U437">
        <v>16481</v>
      </c>
      <c r="V437" s="5">
        <v>0.29354715591782998</v>
      </c>
      <c r="W437">
        <v>1</v>
      </c>
      <c r="X437">
        <v>3130.0387363079999</v>
      </c>
      <c r="Y437">
        <v>18991</v>
      </c>
      <c r="Z437">
        <v>8.5863027308206594E-2</v>
      </c>
      <c r="AA437">
        <v>20</v>
      </c>
    </row>
    <row r="438" spans="1:27" x14ac:dyDescent="0.2">
      <c r="A438">
        <v>15</v>
      </c>
      <c r="B438">
        <v>1</v>
      </c>
      <c r="C438">
        <v>0.1</v>
      </c>
      <c r="D438">
        <v>20</v>
      </c>
      <c r="E438">
        <v>0.96808766037134997</v>
      </c>
      <c r="F438">
        <v>1</v>
      </c>
      <c r="G438">
        <v>34.546546354999997</v>
      </c>
      <c r="H438">
        <v>0.96743429292433203</v>
      </c>
      <c r="I438">
        <v>1</v>
      </c>
      <c r="J438">
        <v>7.6615526000000003E-2</v>
      </c>
      <c r="K438">
        <v>0.85012333335408996</v>
      </c>
      <c r="L438">
        <v>1</v>
      </c>
      <c r="M438">
        <v>3600.5363691389998</v>
      </c>
      <c r="N438">
        <v>699814</v>
      </c>
      <c r="O438">
        <v>0.124229121913359</v>
      </c>
      <c r="P438" s="5">
        <v>0.83578087943056001</v>
      </c>
      <c r="Q438">
        <v>1</v>
      </c>
      <c r="R438">
        <v>809.46225118500001</v>
      </c>
      <c r="S438">
        <v>9064</v>
      </c>
      <c r="T438">
        <v>1.63258251507769E-3</v>
      </c>
      <c r="U438">
        <v>8540</v>
      </c>
      <c r="V438" s="5">
        <v>1.12074363679178</v>
      </c>
      <c r="W438">
        <v>1</v>
      </c>
      <c r="X438">
        <v>48.211660322</v>
      </c>
      <c r="Y438">
        <v>1</v>
      </c>
      <c r="Z438">
        <v>3.70060448554115E-3</v>
      </c>
      <c r="AA438">
        <v>3</v>
      </c>
    </row>
    <row r="439" spans="1:27" x14ac:dyDescent="0.2">
      <c r="A439">
        <v>15</v>
      </c>
      <c r="B439">
        <v>1</v>
      </c>
      <c r="C439">
        <v>0.1</v>
      </c>
      <c r="D439">
        <v>20</v>
      </c>
      <c r="E439">
        <v>0.97085677665682701</v>
      </c>
      <c r="F439">
        <v>1</v>
      </c>
      <c r="G439">
        <v>42.634298436000002</v>
      </c>
      <c r="H439">
        <v>0.97077884663860003</v>
      </c>
      <c r="I439">
        <v>1</v>
      </c>
      <c r="J439">
        <v>0.141764743</v>
      </c>
      <c r="K439">
        <v>1.1176785635037501</v>
      </c>
      <c r="L439">
        <v>1</v>
      </c>
      <c r="M439">
        <v>3601.1772332380001</v>
      </c>
      <c r="N439">
        <v>236005</v>
      </c>
      <c r="O439">
        <v>0.209657167933329</v>
      </c>
      <c r="P439" s="5">
        <v>1.06227623660673</v>
      </c>
      <c r="Q439">
        <v>1</v>
      </c>
      <c r="R439">
        <v>3636.4139825030002</v>
      </c>
      <c r="S439">
        <v>61129</v>
      </c>
      <c r="T439">
        <v>2.22105341490391E-3</v>
      </c>
      <c r="U439">
        <v>39088</v>
      </c>
      <c r="V439" s="5">
        <v>1.0392313966926201</v>
      </c>
      <c r="W439">
        <v>1</v>
      </c>
      <c r="X439">
        <v>3316.417066727</v>
      </c>
      <c r="Y439">
        <v>53025</v>
      </c>
      <c r="Z439">
        <v>6.8507680806532099E-3</v>
      </c>
      <c r="AA439">
        <v>20</v>
      </c>
    </row>
    <row r="440" spans="1:27" x14ac:dyDescent="0.2">
      <c r="A440">
        <v>15</v>
      </c>
      <c r="B440">
        <v>1</v>
      </c>
      <c r="C440">
        <v>0.2</v>
      </c>
      <c r="D440">
        <v>20</v>
      </c>
      <c r="E440">
        <v>0.47908818340509601</v>
      </c>
      <c r="F440">
        <v>1</v>
      </c>
      <c r="G440">
        <v>30.286942445000001</v>
      </c>
      <c r="H440">
        <v>0.39004472749771801</v>
      </c>
      <c r="I440">
        <v>1</v>
      </c>
      <c r="J440">
        <v>7.8215836999999996E-2</v>
      </c>
      <c r="K440">
        <v>0.385563618946344</v>
      </c>
      <c r="L440">
        <v>1</v>
      </c>
      <c r="M440">
        <v>3600.8464605569998</v>
      </c>
      <c r="N440">
        <v>510009</v>
      </c>
      <c r="O440">
        <v>0.485077047412389</v>
      </c>
      <c r="P440" s="5">
        <v>0.45201256790695299</v>
      </c>
      <c r="Q440">
        <v>1</v>
      </c>
      <c r="R440">
        <v>331.24819394299999</v>
      </c>
      <c r="S440">
        <v>4650</v>
      </c>
      <c r="T440">
        <v>1.32118820420983E-2</v>
      </c>
      <c r="U440">
        <v>3853</v>
      </c>
      <c r="V440" s="5">
        <v>0.35948320371736903</v>
      </c>
      <c r="W440">
        <v>1</v>
      </c>
      <c r="X440">
        <v>878.97077391699997</v>
      </c>
      <c r="Y440">
        <v>22106</v>
      </c>
      <c r="Z440">
        <v>6.8957512649223604E-3</v>
      </c>
      <c r="AA440">
        <v>20</v>
      </c>
    </row>
    <row r="441" spans="1:27" x14ac:dyDescent="0.2">
      <c r="A441">
        <v>15</v>
      </c>
      <c r="B441">
        <v>1</v>
      </c>
      <c r="C441">
        <v>0.2</v>
      </c>
      <c r="D441">
        <v>20</v>
      </c>
      <c r="E441">
        <v>0.50082126123960602</v>
      </c>
      <c r="F441">
        <v>1</v>
      </c>
      <c r="G441">
        <v>30.505403758</v>
      </c>
      <c r="H441">
        <v>0.42617756682332297</v>
      </c>
      <c r="I441">
        <v>1</v>
      </c>
      <c r="J441">
        <v>0.18361408300000001</v>
      </c>
      <c r="K441">
        <v>0.47380132716191398</v>
      </c>
      <c r="L441">
        <v>1</v>
      </c>
      <c r="M441">
        <v>3600.8670974619999</v>
      </c>
      <c r="N441">
        <v>325077</v>
      </c>
      <c r="O441">
        <v>0.58233288860865995</v>
      </c>
      <c r="P441" s="5">
        <v>0.43871981305695301</v>
      </c>
      <c r="Q441">
        <v>1</v>
      </c>
      <c r="R441">
        <v>370.854695623</v>
      </c>
      <c r="S441">
        <v>4586</v>
      </c>
      <c r="T441">
        <v>6.30300773735748E-3</v>
      </c>
      <c r="U441">
        <v>3668</v>
      </c>
      <c r="V441" s="5">
        <v>0.49723216812878801</v>
      </c>
      <c r="W441">
        <v>1</v>
      </c>
      <c r="X441">
        <v>2872.6831508730002</v>
      </c>
      <c r="Y441">
        <v>46074</v>
      </c>
      <c r="Z441">
        <v>5.9066425432274796E-3</v>
      </c>
      <c r="AA441">
        <v>20</v>
      </c>
    </row>
    <row r="442" spans="1:27" x14ac:dyDescent="0.2">
      <c r="A442">
        <v>15</v>
      </c>
      <c r="B442">
        <v>1</v>
      </c>
      <c r="C442">
        <v>0.1</v>
      </c>
      <c r="D442">
        <v>20</v>
      </c>
      <c r="E442">
        <v>0.79440515784968802</v>
      </c>
      <c r="F442">
        <v>1</v>
      </c>
      <c r="G442">
        <v>35.879579847000002</v>
      </c>
      <c r="H442">
        <v>0.617680122533391</v>
      </c>
      <c r="I442">
        <v>1</v>
      </c>
      <c r="J442">
        <v>0.30288358799999998</v>
      </c>
      <c r="K442">
        <v>0.658292967107585</v>
      </c>
      <c r="L442">
        <v>1</v>
      </c>
      <c r="M442">
        <v>3600.5640385360002</v>
      </c>
      <c r="N442">
        <v>307378</v>
      </c>
      <c r="O442">
        <v>0.18316839293810799</v>
      </c>
      <c r="P442" s="5">
        <v>1.10319311891831</v>
      </c>
      <c r="Q442">
        <v>1</v>
      </c>
      <c r="R442">
        <v>3647.8334960890002</v>
      </c>
      <c r="S442">
        <v>52528</v>
      </c>
      <c r="T442">
        <v>2.00614764906083E-3</v>
      </c>
      <c r="U442">
        <v>38355</v>
      </c>
      <c r="V442" s="5">
        <v>0.70848038530607904</v>
      </c>
      <c r="W442">
        <v>1</v>
      </c>
      <c r="X442">
        <v>3149.2079033119999</v>
      </c>
      <c r="Y442">
        <v>55355</v>
      </c>
      <c r="Z442">
        <v>5.7623803918442403E-3</v>
      </c>
      <c r="AA442">
        <v>20</v>
      </c>
    </row>
    <row r="443" spans="1:27" x14ac:dyDescent="0.2">
      <c r="A443">
        <v>15</v>
      </c>
      <c r="B443">
        <v>1</v>
      </c>
      <c r="C443">
        <v>0.1</v>
      </c>
      <c r="D443">
        <v>20</v>
      </c>
      <c r="E443">
        <v>0.89176659227937305</v>
      </c>
      <c r="F443">
        <v>1</v>
      </c>
      <c r="G443">
        <v>41.506837572000002</v>
      </c>
      <c r="H443">
        <v>0.85814756830514605</v>
      </c>
      <c r="I443">
        <v>1</v>
      </c>
      <c r="J443">
        <v>0.889237799</v>
      </c>
      <c r="K443">
        <v>0.70249360331861899</v>
      </c>
      <c r="L443">
        <v>1</v>
      </c>
      <c r="M443">
        <v>3603.4005227990001</v>
      </c>
      <c r="N443">
        <v>162383</v>
      </c>
      <c r="O443">
        <v>6.7903117302003393E-2</v>
      </c>
      <c r="P443" s="5">
        <v>0.88842610643823505</v>
      </c>
      <c r="Q443">
        <v>1</v>
      </c>
      <c r="R443">
        <v>3691.6217438180001</v>
      </c>
      <c r="S443">
        <v>36555</v>
      </c>
      <c r="T443">
        <v>9.6687691729897796E-4</v>
      </c>
      <c r="U443">
        <v>25949</v>
      </c>
      <c r="V443" s="5">
        <v>1.0061522479751599</v>
      </c>
      <c r="W443">
        <v>1</v>
      </c>
      <c r="X443">
        <v>2926.787756058</v>
      </c>
      <c r="Y443">
        <v>26185</v>
      </c>
      <c r="Z443">
        <v>4.9579583898581503E-3</v>
      </c>
      <c r="AA443">
        <v>20</v>
      </c>
    </row>
    <row r="444" spans="1:27" x14ac:dyDescent="0.2">
      <c r="A444">
        <v>15</v>
      </c>
      <c r="B444">
        <v>1</v>
      </c>
      <c r="C444">
        <v>0.3</v>
      </c>
      <c r="D444">
        <v>20</v>
      </c>
      <c r="E444">
        <v>7.1570763150841904E-2</v>
      </c>
      <c r="F444">
        <v>1</v>
      </c>
      <c r="G444">
        <v>39.938232755000001</v>
      </c>
      <c r="H444">
        <v>8.2829462721223795E-2</v>
      </c>
      <c r="I444">
        <v>1</v>
      </c>
      <c r="J444">
        <v>0.20336404699999999</v>
      </c>
      <c r="K444">
        <v>8.2344730389245294E-2</v>
      </c>
      <c r="L444">
        <v>1</v>
      </c>
      <c r="M444">
        <v>3601.736404794</v>
      </c>
      <c r="N444">
        <v>204767</v>
      </c>
      <c r="O444">
        <v>0.18709437312924801</v>
      </c>
      <c r="P444" s="5">
        <v>5.6784267490516502E-2</v>
      </c>
      <c r="Q444">
        <v>1</v>
      </c>
      <c r="R444">
        <v>52.805069570000001</v>
      </c>
      <c r="S444">
        <v>15</v>
      </c>
      <c r="T444">
        <v>1.13063390384771E-2</v>
      </c>
      <c r="U444">
        <v>16</v>
      </c>
      <c r="V444" s="5">
        <v>5.8485162665907399E-2</v>
      </c>
      <c r="W444">
        <v>1</v>
      </c>
      <c r="X444">
        <v>261.77144169399998</v>
      </c>
      <c r="Y444">
        <v>25819</v>
      </c>
      <c r="Z444">
        <v>9.4272322621358196E-4</v>
      </c>
      <c r="AA444">
        <v>1</v>
      </c>
    </row>
    <row r="445" spans="1:27" x14ac:dyDescent="0.2">
      <c r="A445">
        <v>15</v>
      </c>
      <c r="B445">
        <v>1</v>
      </c>
      <c r="C445">
        <v>0.4</v>
      </c>
      <c r="D445">
        <v>20</v>
      </c>
      <c r="E445">
        <v>0.20168984442441901</v>
      </c>
      <c r="F445">
        <v>1</v>
      </c>
      <c r="G445">
        <v>30.047668305999998</v>
      </c>
      <c r="H445">
        <v>0.15510896103629901</v>
      </c>
      <c r="I445">
        <v>1</v>
      </c>
      <c r="J445">
        <v>0.120998864</v>
      </c>
      <c r="K445">
        <v>0.154941279691134</v>
      </c>
      <c r="L445">
        <v>1</v>
      </c>
      <c r="M445">
        <v>3600.8378424510001</v>
      </c>
      <c r="N445">
        <v>390790</v>
      </c>
      <c r="O445">
        <v>0.53022649660066101</v>
      </c>
      <c r="P445" s="5">
        <v>0.26109810568868203</v>
      </c>
      <c r="Q445">
        <v>1</v>
      </c>
      <c r="R445">
        <v>1811.037920297</v>
      </c>
      <c r="S445">
        <v>29567</v>
      </c>
      <c r="T445">
        <v>2.5058727041002499E-2</v>
      </c>
      <c r="U445">
        <v>18716</v>
      </c>
      <c r="V445" s="5">
        <v>0.19264267815410599</v>
      </c>
      <c r="W445">
        <v>1</v>
      </c>
      <c r="X445">
        <v>2785.669876075</v>
      </c>
      <c r="Y445">
        <v>17434</v>
      </c>
      <c r="Z445">
        <v>5.9772666367995102E-2</v>
      </c>
      <c r="AA445">
        <v>20</v>
      </c>
    </row>
    <row r="446" spans="1:27" x14ac:dyDescent="0.2">
      <c r="A446">
        <v>15</v>
      </c>
      <c r="B446">
        <v>1</v>
      </c>
      <c r="C446">
        <v>0.4</v>
      </c>
      <c r="D446">
        <v>20</v>
      </c>
      <c r="E446">
        <v>3.9048864365298398E-2</v>
      </c>
      <c r="F446">
        <v>1</v>
      </c>
      <c r="G446">
        <v>40.290382340000001</v>
      </c>
      <c r="H446">
        <v>7.1677101118996195E-2</v>
      </c>
      <c r="I446">
        <v>1</v>
      </c>
      <c r="J446">
        <v>0.131920448</v>
      </c>
      <c r="K446">
        <v>7.3260147993179703E-2</v>
      </c>
      <c r="L446">
        <v>1</v>
      </c>
      <c r="M446">
        <v>3605.9886628600002</v>
      </c>
      <c r="N446">
        <v>227839</v>
      </c>
      <c r="O446">
        <v>0.178978024714844</v>
      </c>
      <c r="P446" s="5">
        <v>6.1350406017057699E-2</v>
      </c>
      <c r="Q446">
        <v>1</v>
      </c>
      <c r="R446">
        <v>48.951471697000002</v>
      </c>
      <c r="S446">
        <v>1</v>
      </c>
      <c r="T446">
        <v>1.6062035650565801E-2</v>
      </c>
      <c r="U446">
        <v>4</v>
      </c>
      <c r="V446" s="5">
        <v>6.3568304595414196E-2</v>
      </c>
      <c r="W446">
        <v>1</v>
      </c>
      <c r="X446">
        <v>84.841810120999995</v>
      </c>
      <c r="Y446">
        <v>14524</v>
      </c>
      <c r="Z446">
        <v>1.8225491573087201E-4</v>
      </c>
      <c r="AA446">
        <v>1</v>
      </c>
    </row>
    <row r="447" spans="1:27" x14ac:dyDescent="0.2">
      <c r="A447">
        <v>15</v>
      </c>
      <c r="B447">
        <v>1</v>
      </c>
      <c r="C447">
        <v>0.2</v>
      </c>
      <c r="D447">
        <v>20</v>
      </c>
      <c r="E447">
        <v>0.50566560051902998</v>
      </c>
      <c r="F447">
        <v>1</v>
      </c>
      <c r="G447">
        <v>33.400394079999998</v>
      </c>
      <c r="H447">
        <v>0.51809894721911898</v>
      </c>
      <c r="I447">
        <v>1</v>
      </c>
      <c r="J447">
        <v>0.22327335000000001</v>
      </c>
      <c r="K447">
        <v>0.83746071844509995</v>
      </c>
      <c r="L447">
        <v>1</v>
      </c>
      <c r="M447">
        <v>3600.761950826</v>
      </c>
      <c r="N447">
        <v>668497</v>
      </c>
      <c r="O447">
        <v>1.87855799032694</v>
      </c>
      <c r="P447" s="5">
        <v>0.65286689484089699</v>
      </c>
      <c r="Q447">
        <v>1</v>
      </c>
      <c r="R447">
        <v>1364.8803035129999</v>
      </c>
      <c r="S447">
        <v>19626</v>
      </c>
      <c r="T447">
        <v>7.4381411002717402E-3</v>
      </c>
      <c r="U447">
        <v>15963</v>
      </c>
      <c r="V447" s="5">
        <v>0.62160541698037297</v>
      </c>
      <c r="W447">
        <v>1</v>
      </c>
      <c r="X447">
        <v>3175.871193163</v>
      </c>
      <c r="Y447">
        <v>25187</v>
      </c>
      <c r="Z447">
        <v>2.8978703954319101E-2</v>
      </c>
      <c r="AA447">
        <v>20</v>
      </c>
    </row>
    <row r="448" spans="1:27" x14ac:dyDescent="0.2">
      <c r="A448">
        <v>15</v>
      </c>
      <c r="B448">
        <v>1</v>
      </c>
      <c r="C448">
        <v>0.3</v>
      </c>
      <c r="D448">
        <v>20</v>
      </c>
      <c r="E448">
        <v>7.2188926487329094E-2</v>
      </c>
      <c r="F448">
        <v>1</v>
      </c>
      <c r="G448">
        <v>42.10205216</v>
      </c>
      <c r="H448">
        <v>8.3524410342260894E-2</v>
      </c>
      <c r="I448">
        <v>1</v>
      </c>
      <c r="J448">
        <v>0.23207446900000001</v>
      </c>
      <c r="K448">
        <v>8.2164292937072406E-2</v>
      </c>
      <c r="L448">
        <v>1</v>
      </c>
      <c r="M448">
        <v>3602.2686352720002</v>
      </c>
      <c r="N448">
        <v>165498</v>
      </c>
      <c r="O448">
        <v>0.78807838928716401</v>
      </c>
      <c r="P448" s="5">
        <v>5.5609453602529398E-2</v>
      </c>
      <c r="Q448">
        <v>1</v>
      </c>
      <c r="R448">
        <v>52.773630574999999</v>
      </c>
      <c r="S448">
        <v>7</v>
      </c>
      <c r="T448">
        <v>2.5960196546082E-2</v>
      </c>
      <c r="U448">
        <v>13</v>
      </c>
      <c r="V448" s="5">
        <v>5.5609453806546798E-2</v>
      </c>
      <c r="W448">
        <v>1</v>
      </c>
      <c r="X448">
        <v>367.08992282899999</v>
      </c>
      <c r="Y448">
        <v>103</v>
      </c>
      <c r="Z448">
        <v>1.50489161116578E-2</v>
      </c>
      <c r="AA448">
        <v>20</v>
      </c>
    </row>
    <row r="449" spans="1:27" x14ac:dyDescent="0.2">
      <c r="A449">
        <v>15</v>
      </c>
      <c r="B449">
        <v>1</v>
      </c>
      <c r="C449">
        <v>0.3</v>
      </c>
      <c r="D449">
        <v>20</v>
      </c>
      <c r="E449">
        <v>0.29959192757251002</v>
      </c>
      <c r="F449">
        <v>1</v>
      </c>
      <c r="G449">
        <v>35.077299725000003</v>
      </c>
      <c r="H449">
        <v>0.235992080947065</v>
      </c>
      <c r="I449">
        <v>1</v>
      </c>
      <c r="J449">
        <v>0.247442827</v>
      </c>
      <c r="K449">
        <v>0.26922993164761899</v>
      </c>
      <c r="L449">
        <v>1</v>
      </c>
      <c r="M449">
        <v>3600.6957538259999</v>
      </c>
      <c r="N449">
        <v>624498</v>
      </c>
      <c r="O449">
        <v>0.94454599425818397</v>
      </c>
      <c r="P449" s="5">
        <v>0.310910116775795</v>
      </c>
      <c r="Q449">
        <v>1</v>
      </c>
      <c r="R449">
        <v>2614.2597457080001</v>
      </c>
      <c r="S449">
        <v>41302</v>
      </c>
      <c r="T449">
        <v>1.1819262080169099E-2</v>
      </c>
      <c r="U449">
        <v>27778</v>
      </c>
      <c r="V449" s="5">
        <v>0.15122914402631599</v>
      </c>
      <c r="W449">
        <v>1</v>
      </c>
      <c r="X449">
        <v>2809.72331953</v>
      </c>
      <c r="Y449">
        <v>17137</v>
      </c>
      <c r="Z449">
        <v>2.2131910523428701E-2</v>
      </c>
      <c r="AA449">
        <v>20</v>
      </c>
    </row>
    <row r="450" spans="1:27" x14ac:dyDescent="0.2">
      <c r="A450">
        <v>15</v>
      </c>
      <c r="B450">
        <v>1</v>
      </c>
      <c r="C450">
        <v>0.1</v>
      </c>
      <c r="D450">
        <v>20</v>
      </c>
      <c r="E450">
        <v>0.84305066633549797</v>
      </c>
      <c r="F450">
        <v>1</v>
      </c>
      <c r="G450">
        <v>43.220031962999997</v>
      </c>
      <c r="H450">
        <v>0.84061629651956005</v>
      </c>
      <c r="I450">
        <v>1</v>
      </c>
      <c r="J450">
        <v>0.962550919</v>
      </c>
      <c r="K450">
        <v>0.829903768825897</v>
      </c>
      <c r="L450">
        <v>1</v>
      </c>
      <c r="M450">
        <v>3602.1671720170002</v>
      </c>
      <c r="N450">
        <v>248394</v>
      </c>
      <c r="O450">
        <v>0.29390135704725001</v>
      </c>
      <c r="P450" s="5">
        <v>0.92259502856197995</v>
      </c>
      <c r="Q450">
        <v>1</v>
      </c>
      <c r="R450">
        <v>1122.4914354370001</v>
      </c>
      <c r="S450">
        <v>10379</v>
      </c>
      <c r="T450">
        <v>3.4404799254802998E-3</v>
      </c>
      <c r="U450">
        <v>8941</v>
      </c>
      <c r="V450" s="5">
        <v>0.92747176830820799</v>
      </c>
      <c r="W450">
        <v>1</v>
      </c>
      <c r="X450">
        <v>2894.4909006339999</v>
      </c>
      <c r="Y450">
        <v>39576</v>
      </c>
      <c r="Z450">
        <v>2.46651930106663E-2</v>
      </c>
      <c r="AA450">
        <v>20</v>
      </c>
    </row>
    <row r="451" spans="1:27" x14ac:dyDescent="0.2">
      <c r="A451">
        <v>15</v>
      </c>
      <c r="B451">
        <v>1</v>
      </c>
      <c r="C451">
        <v>0.1</v>
      </c>
      <c r="D451">
        <v>20</v>
      </c>
      <c r="E451">
        <v>0.87667440819856401</v>
      </c>
      <c r="F451">
        <v>1</v>
      </c>
      <c r="G451">
        <v>42.109795454</v>
      </c>
      <c r="H451">
        <v>0.83556128190939405</v>
      </c>
      <c r="I451">
        <v>1</v>
      </c>
      <c r="J451">
        <v>0.61083056000000002</v>
      </c>
      <c r="K451">
        <v>0.82305022190015398</v>
      </c>
      <c r="L451">
        <v>1</v>
      </c>
      <c r="M451">
        <v>3601.1494292729999</v>
      </c>
      <c r="N451">
        <v>387237</v>
      </c>
      <c r="O451">
        <v>0.14594260705349901</v>
      </c>
      <c r="P451" s="5">
        <v>0.84238360363807196</v>
      </c>
      <c r="Q451">
        <v>1</v>
      </c>
      <c r="R451">
        <v>2161.1224025840002</v>
      </c>
      <c r="S451">
        <v>37246</v>
      </c>
      <c r="T451">
        <v>1.1049366762453301E-3</v>
      </c>
      <c r="U451">
        <v>23177</v>
      </c>
      <c r="V451" s="5">
        <v>0.85086337817699997</v>
      </c>
      <c r="W451">
        <v>1</v>
      </c>
      <c r="X451">
        <v>3222.4605004129999</v>
      </c>
      <c r="Y451">
        <v>66132</v>
      </c>
      <c r="Z451">
        <v>4.3544411572472002E-3</v>
      </c>
      <c r="AA451">
        <v>20</v>
      </c>
    </row>
    <row r="452" spans="1:27" x14ac:dyDescent="0.2">
      <c r="A452">
        <v>15</v>
      </c>
      <c r="B452">
        <v>1</v>
      </c>
      <c r="C452">
        <v>0.2</v>
      </c>
      <c r="D452">
        <v>20</v>
      </c>
      <c r="E452">
        <v>0.44624594090265701</v>
      </c>
      <c r="F452">
        <v>1</v>
      </c>
      <c r="G452">
        <v>30.102119388999999</v>
      </c>
      <c r="H452">
        <v>0.34110960473663898</v>
      </c>
      <c r="I452">
        <v>1</v>
      </c>
      <c r="J452">
        <v>0.236719392</v>
      </c>
      <c r="K452">
        <v>0.34221971036506599</v>
      </c>
      <c r="L452">
        <v>1</v>
      </c>
      <c r="M452">
        <v>3601.1216347929999</v>
      </c>
      <c r="N452">
        <v>334419</v>
      </c>
      <c r="O452">
        <v>0.519187901192669</v>
      </c>
      <c r="P452" s="5">
        <v>0.44092414609821701</v>
      </c>
      <c r="Q452">
        <v>1</v>
      </c>
      <c r="R452">
        <v>2263.419188802</v>
      </c>
      <c r="S452">
        <v>38862</v>
      </c>
      <c r="T452">
        <v>1.0119156235665699E-2</v>
      </c>
      <c r="U452">
        <v>25886</v>
      </c>
      <c r="V452" s="5">
        <v>0.40494063542761999</v>
      </c>
      <c r="W452">
        <v>1</v>
      </c>
      <c r="X452">
        <v>2867.9598298679998</v>
      </c>
      <c r="Y452">
        <v>22450</v>
      </c>
      <c r="Z452">
        <v>2.44939872096217E-2</v>
      </c>
      <c r="AA452">
        <v>20</v>
      </c>
    </row>
    <row r="453" spans="1:27" x14ac:dyDescent="0.2">
      <c r="A453">
        <v>15</v>
      </c>
      <c r="B453">
        <v>1</v>
      </c>
      <c r="C453">
        <v>0.2</v>
      </c>
      <c r="D453">
        <v>20</v>
      </c>
      <c r="E453">
        <v>0.40036063713736397</v>
      </c>
      <c r="F453">
        <v>1</v>
      </c>
      <c r="G453">
        <v>41.819043542999999</v>
      </c>
      <c r="H453">
        <v>0.26417756711657098</v>
      </c>
      <c r="I453">
        <v>1</v>
      </c>
      <c r="J453">
        <v>0.30457486299999997</v>
      </c>
      <c r="K453">
        <v>0.266540739707676</v>
      </c>
      <c r="L453">
        <v>1</v>
      </c>
      <c r="M453">
        <v>3602.1064086659999</v>
      </c>
      <c r="N453">
        <v>250784</v>
      </c>
      <c r="O453">
        <v>0.46062362594482598</v>
      </c>
      <c r="P453" s="5">
        <v>0.34036322186220402</v>
      </c>
      <c r="Q453">
        <v>1</v>
      </c>
      <c r="R453">
        <v>1956.2886710299999</v>
      </c>
      <c r="S453">
        <v>28532</v>
      </c>
      <c r="T453">
        <v>1.28690709044148E-2</v>
      </c>
      <c r="U453">
        <v>19007</v>
      </c>
      <c r="V453" s="5">
        <v>0.25587286950510502</v>
      </c>
      <c r="W453">
        <v>1</v>
      </c>
      <c r="X453">
        <v>2970.6311091590001</v>
      </c>
      <c r="Y453">
        <v>30484</v>
      </c>
      <c r="Z453">
        <v>7.1834938519848193E-2</v>
      </c>
      <c r="AA453">
        <v>20</v>
      </c>
    </row>
    <row r="454" spans="1:27" x14ac:dyDescent="0.2">
      <c r="A454">
        <v>15</v>
      </c>
      <c r="B454">
        <v>1</v>
      </c>
      <c r="C454">
        <v>0.1</v>
      </c>
      <c r="D454">
        <v>20</v>
      </c>
      <c r="E454">
        <v>0.98307950616691697</v>
      </c>
      <c r="F454">
        <v>1</v>
      </c>
      <c r="G454">
        <v>34.785110148999998</v>
      </c>
      <c r="H454">
        <v>0.97955564162977704</v>
      </c>
      <c r="I454">
        <v>1</v>
      </c>
      <c r="J454">
        <v>0.13481027000000001</v>
      </c>
      <c r="K454">
        <v>1.0583135995189501</v>
      </c>
      <c r="L454">
        <v>1</v>
      </c>
      <c r="M454">
        <v>3600.5085576729998</v>
      </c>
      <c r="N454">
        <v>552689</v>
      </c>
      <c r="O454">
        <v>4.7610081233344197E-2</v>
      </c>
      <c r="P454" s="5">
        <v>1.0009448983028499</v>
      </c>
      <c r="Q454">
        <v>1</v>
      </c>
      <c r="R454">
        <v>3701.7748735099999</v>
      </c>
      <c r="S454">
        <v>65796</v>
      </c>
      <c r="T454">
        <v>8.4487740293565702E-4</v>
      </c>
      <c r="U454">
        <v>41363</v>
      </c>
      <c r="V454" s="5">
        <v>1.0338810798221001</v>
      </c>
      <c r="W454">
        <v>1</v>
      </c>
      <c r="X454">
        <v>3192.09970699</v>
      </c>
      <c r="Y454">
        <v>56033</v>
      </c>
      <c r="Z454">
        <v>1.74627550775757E-3</v>
      </c>
      <c r="AA454">
        <v>20</v>
      </c>
    </row>
    <row r="455" spans="1:27" x14ac:dyDescent="0.2">
      <c r="A455">
        <v>15</v>
      </c>
      <c r="B455">
        <v>1</v>
      </c>
      <c r="C455">
        <v>0.2</v>
      </c>
      <c r="D455">
        <v>20</v>
      </c>
      <c r="E455">
        <v>0.32345389098424698</v>
      </c>
      <c r="F455">
        <v>1</v>
      </c>
      <c r="G455">
        <v>28.197852790999999</v>
      </c>
      <c r="H455">
        <v>0.32221156709367799</v>
      </c>
      <c r="I455">
        <v>1</v>
      </c>
      <c r="J455">
        <v>4.8105349999999998E-2</v>
      </c>
      <c r="K455">
        <v>0.33216770183886801</v>
      </c>
      <c r="L455">
        <v>1</v>
      </c>
      <c r="M455">
        <v>3601.1461337189999</v>
      </c>
      <c r="N455">
        <v>181196</v>
      </c>
      <c r="O455">
        <v>0.40116891185709003</v>
      </c>
      <c r="P455" s="5">
        <v>0.31761037186357499</v>
      </c>
      <c r="Q455">
        <v>1</v>
      </c>
      <c r="R455">
        <v>23.213335896</v>
      </c>
      <c r="S455">
        <v>1</v>
      </c>
      <c r="T455">
        <v>4.5794302430839304E-3</v>
      </c>
      <c r="U455">
        <v>4</v>
      </c>
      <c r="V455" s="5">
        <v>0.31761037186449498</v>
      </c>
      <c r="W455">
        <v>1</v>
      </c>
      <c r="X455">
        <v>8.3127295799999992</v>
      </c>
      <c r="Y455">
        <v>1</v>
      </c>
      <c r="Z455">
        <v>4.5802475781059303E-3</v>
      </c>
      <c r="AA455">
        <v>1</v>
      </c>
    </row>
    <row r="456" spans="1:27" x14ac:dyDescent="0.2">
      <c r="A456">
        <v>15</v>
      </c>
      <c r="B456">
        <v>1</v>
      </c>
      <c r="C456">
        <v>0.4</v>
      </c>
      <c r="D456">
        <v>20</v>
      </c>
      <c r="E456">
        <v>6.3678767882236406E-2</v>
      </c>
      <c r="F456">
        <v>1</v>
      </c>
      <c r="G456">
        <v>28.455843801</v>
      </c>
      <c r="H456">
        <v>0.11241021383284901</v>
      </c>
      <c r="I456">
        <v>1</v>
      </c>
      <c r="J456">
        <v>0.113899818</v>
      </c>
      <c r="K456">
        <v>0.143885693667025</v>
      </c>
      <c r="L456">
        <v>1</v>
      </c>
      <c r="M456">
        <v>3602.4357665100001</v>
      </c>
      <c r="N456">
        <v>194382</v>
      </c>
      <c r="O456">
        <v>0.54975492747571697</v>
      </c>
      <c r="P456" s="5">
        <v>9.8902841034862896E-2</v>
      </c>
      <c r="Q456">
        <v>1</v>
      </c>
      <c r="R456">
        <v>26.881304578999998</v>
      </c>
      <c r="S456">
        <v>23</v>
      </c>
      <c r="T456">
        <v>9.5138604138647002E-3</v>
      </c>
      <c r="U456">
        <v>20</v>
      </c>
      <c r="V456" s="5">
        <v>9.8902841037605202E-2</v>
      </c>
      <c r="W456">
        <v>1</v>
      </c>
      <c r="X456">
        <v>7.5272726959999998</v>
      </c>
      <c r="Y456">
        <v>25</v>
      </c>
      <c r="Z456">
        <v>9.5701516473323204E-3</v>
      </c>
      <c r="AA456">
        <v>1</v>
      </c>
    </row>
    <row r="457" spans="1:27" x14ac:dyDescent="0.2">
      <c r="A457">
        <v>15</v>
      </c>
      <c r="B457">
        <v>1</v>
      </c>
      <c r="C457">
        <v>0.4</v>
      </c>
      <c r="D457">
        <v>20</v>
      </c>
      <c r="E457">
        <v>8.1102211641829597E-2</v>
      </c>
      <c r="F457">
        <v>1</v>
      </c>
      <c r="G457">
        <v>25.420616410000001</v>
      </c>
      <c r="H457">
        <v>9.3128236779580098E-2</v>
      </c>
      <c r="I457">
        <v>1</v>
      </c>
      <c r="J457">
        <v>4.4363794999999998E-2</v>
      </c>
      <c r="K457">
        <v>9.34858405865725E-2</v>
      </c>
      <c r="L457">
        <v>1</v>
      </c>
      <c r="M457">
        <v>3601.6775443940001</v>
      </c>
      <c r="N457">
        <v>271958</v>
      </c>
      <c r="O457">
        <v>0.33460141868142301</v>
      </c>
      <c r="P457" s="5">
        <v>6.3127887170251404E-2</v>
      </c>
      <c r="Q457">
        <v>1</v>
      </c>
      <c r="R457">
        <v>18.840536710999999</v>
      </c>
      <c r="S457">
        <v>1</v>
      </c>
      <c r="T457">
        <v>4.4936213579616002E-3</v>
      </c>
      <c r="U457">
        <v>6</v>
      </c>
      <c r="V457" s="5">
        <v>6.3127887165562196E-2</v>
      </c>
      <c r="W457">
        <v>1</v>
      </c>
      <c r="X457">
        <v>41.728383731999998</v>
      </c>
      <c r="Y457">
        <v>1</v>
      </c>
      <c r="Z457">
        <v>5.8560151036819398E-3</v>
      </c>
      <c r="AA457">
        <v>10</v>
      </c>
    </row>
    <row r="458" spans="1:27" x14ac:dyDescent="0.2">
      <c r="A458">
        <v>15</v>
      </c>
      <c r="B458">
        <v>1</v>
      </c>
      <c r="C458">
        <v>0.3</v>
      </c>
      <c r="D458">
        <v>20</v>
      </c>
      <c r="E458">
        <v>6.1159184196673801E-2</v>
      </c>
      <c r="F458">
        <v>1</v>
      </c>
      <c r="G458">
        <v>26.865408138999999</v>
      </c>
      <c r="H458">
        <v>7.8199916598855002E-2</v>
      </c>
      <c r="I458">
        <v>1</v>
      </c>
      <c r="J458">
        <v>0.103899861</v>
      </c>
      <c r="K458">
        <v>7.9319393501104396E-2</v>
      </c>
      <c r="L458">
        <v>1</v>
      </c>
      <c r="M458">
        <v>3600.6352247949999</v>
      </c>
      <c r="N458">
        <v>403766</v>
      </c>
      <c r="O458">
        <v>0.21297895242800199</v>
      </c>
      <c r="P458" s="5">
        <v>6.1217078473867099E-2</v>
      </c>
      <c r="Q458">
        <v>1</v>
      </c>
      <c r="R458">
        <v>64.285426287000007</v>
      </c>
      <c r="S458">
        <v>654</v>
      </c>
      <c r="T458">
        <v>5.1259397765006601E-3</v>
      </c>
      <c r="U458">
        <v>435</v>
      </c>
      <c r="V458" s="5">
        <v>6.1217078413914001E-2</v>
      </c>
      <c r="W458">
        <v>1</v>
      </c>
      <c r="X458">
        <v>7.1816609309999997</v>
      </c>
      <c r="Y458">
        <v>77</v>
      </c>
      <c r="Z458">
        <v>5.2648991445817198E-3</v>
      </c>
      <c r="AA458">
        <v>1</v>
      </c>
    </row>
    <row r="459" spans="1:27" x14ac:dyDescent="0.2">
      <c r="A459">
        <v>15</v>
      </c>
      <c r="B459">
        <v>1</v>
      </c>
      <c r="C459">
        <v>0.4</v>
      </c>
      <c r="D459">
        <v>20</v>
      </c>
      <c r="E459">
        <v>8.6751287602101906E-2</v>
      </c>
      <c r="F459">
        <v>1</v>
      </c>
      <c r="G459">
        <v>26.101562128000001</v>
      </c>
      <c r="H459">
        <v>9.6343010913515395E-2</v>
      </c>
      <c r="I459">
        <v>1</v>
      </c>
      <c r="J459">
        <v>9.6120400999999994E-2</v>
      </c>
      <c r="K459">
        <v>9.8094746070019501E-2</v>
      </c>
      <c r="L459">
        <v>1</v>
      </c>
      <c r="M459">
        <v>3601.6508503499999</v>
      </c>
      <c r="N459">
        <v>184209</v>
      </c>
      <c r="O459">
        <v>0.48449845146924198</v>
      </c>
      <c r="P459" s="5">
        <v>6.3612046639686795E-2</v>
      </c>
      <c r="Q459">
        <v>1</v>
      </c>
      <c r="R459">
        <v>20.888112378999999</v>
      </c>
      <c r="S459">
        <v>1</v>
      </c>
      <c r="T459">
        <v>6.2025923386474996E-3</v>
      </c>
      <c r="U459">
        <v>5</v>
      </c>
      <c r="V459" s="5">
        <v>6.3612046612715703E-2</v>
      </c>
      <c r="W459">
        <v>1</v>
      </c>
      <c r="X459">
        <v>93.528441040000004</v>
      </c>
      <c r="Y459">
        <v>7</v>
      </c>
      <c r="Z459">
        <v>3.3076381472265598E-3</v>
      </c>
      <c r="AA459">
        <v>19</v>
      </c>
    </row>
    <row r="460" spans="1:27" x14ac:dyDescent="0.2">
      <c r="A460">
        <v>15</v>
      </c>
      <c r="B460">
        <v>1</v>
      </c>
      <c r="C460">
        <v>0.4</v>
      </c>
      <c r="D460">
        <v>20</v>
      </c>
      <c r="E460">
        <v>0.161869498413654</v>
      </c>
      <c r="F460">
        <v>1</v>
      </c>
      <c r="G460">
        <v>30.670036507999999</v>
      </c>
      <c r="H460">
        <v>0.103360878039907</v>
      </c>
      <c r="I460">
        <v>1</v>
      </c>
      <c r="J460">
        <v>0.14229299100000001</v>
      </c>
      <c r="K460">
        <v>0.20332984296534401</v>
      </c>
      <c r="L460">
        <v>1</v>
      </c>
      <c r="M460">
        <v>3600.9976098870002</v>
      </c>
      <c r="N460">
        <v>467287</v>
      </c>
      <c r="O460">
        <v>0.87573022231692499</v>
      </c>
      <c r="P460" s="5">
        <v>8.3204841962015705E-2</v>
      </c>
      <c r="Q460">
        <v>1</v>
      </c>
      <c r="R460">
        <v>30.278735652000002</v>
      </c>
      <c r="S460">
        <v>93</v>
      </c>
      <c r="T460">
        <v>1.1607110637946E-2</v>
      </c>
      <c r="U460">
        <v>62</v>
      </c>
      <c r="V460" s="5">
        <v>8.3204841970725099E-2</v>
      </c>
      <c r="W460">
        <v>1</v>
      </c>
      <c r="X460">
        <v>102.160538137</v>
      </c>
      <c r="Y460">
        <v>475</v>
      </c>
      <c r="Z460">
        <v>9.3390728323432502E-3</v>
      </c>
      <c r="AA460">
        <v>12</v>
      </c>
    </row>
    <row r="461" spans="1:27" x14ac:dyDescent="0.2">
      <c r="A461">
        <v>15</v>
      </c>
      <c r="B461">
        <v>1</v>
      </c>
      <c r="C461">
        <v>0.4</v>
      </c>
      <c r="D461">
        <v>20</v>
      </c>
      <c r="E461">
        <v>0.10061054618552601</v>
      </c>
      <c r="F461">
        <v>1</v>
      </c>
      <c r="G461">
        <v>26.548343126999999</v>
      </c>
      <c r="H461">
        <v>0.123140146616076</v>
      </c>
      <c r="I461">
        <v>1</v>
      </c>
      <c r="J461">
        <v>5.9789716999999999E-2</v>
      </c>
      <c r="K461">
        <v>0.124789398779959</v>
      </c>
      <c r="L461">
        <v>1</v>
      </c>
      <c r="M461">
        <v>3602.328903784</v>
      </c>
      <c r="N461">
        <v>180411</v>
      </c>
      <c r="O461">
        <v>0.62372448692221305</v>
      </c>
      <c r="P461" s="5">
        <v>9.2323853397664093E-2</v>
      </c>
      <c r="Q461">
        <v>1</v>
      </c>
      <c r="R461">
        <v>22.236409362</v>
      </c>
      <c r="S461">
        <v>15</v>
      </c>
      <c r="T461">
        <v>2.8163406866928701E-2</v>
      </c>
      <c r="U461">
        <v>16</v>
      </c>
      <c r="V461" s="5">
        <v>9.2323853369303793E-2</v>
      </c>
      <c r="W461">
        <v>1</v>
      </c>
      <c r="X461">
        <v>144.057195562</v>
      </c>
      <c r="Y461">
        <v>107</v>
      </c>
      <c r="Z461">
        <v>1.3648478823436699E-2</v>
      </c>
      <c r="AA461">
        <v>20</v>
      </c>
    </row>
    <row r="462" spans="1:27" x14ac:dyDescent="0.2">
      <c r="A462">
        <v>15</v>
      </c>
      <c r="B462">
        <v>1</v>
      </c>
      <c r="C462">
        <v>0.3</v>
      </c>
      <c r="D462">
        <v>20</v>
      </c>
      <c r="E462">
        <v>0.154120470718035</v>
      </c>
      <c r="F462">
        <v>1</v>
      </c>
      <c r="G462">
        <v>26.489518540999999</v>
      </c>
      <c r="H462">
        <v>0.147157938128361</v>
      </c>
      <c r="I462">
        <v>1</v>
      </c>
      <c r="J462">
        <v>5.8422934000000003E-2</v>
      </c>
      <c r="K462">
        <v>0.15045211102161499</v>
      </c>
      <c r="L462">
        <v>1</v>
      </c>
      <c r="M462">
        <v>3602.5014869679999</v>
      </c>
      <c r="N462">
        <v>181922</v>
      </c>
      <c r="O462">
        <v>0.53034684191773995</v>
      </c>
      <c r="P462" s="5">
        <v>0.141402901688956</v>
      </c>
      <c r="Q462">
        <v>1</v>
      </c>
      <c r="R462">
        <v>23.925048459999999</v>
      </c>
      <c r="S462">
        <v>7</v>
      </c>
      <c r="T462">
        <v>1.6711754259388999E-2</v>
      </c>
      <c r="U462">
        <v>14</v>
      </c>
      <c r="V462" s="5">
        <v>0.14140290168153899</v>
      </c>
      <c r="W462">
        <v>1</v>
      </c>
      <c r="X462">
        <v>153.99062088900001</v>
      </c>
      <c r="Y462">
        <v>2334</v>
      </c>
      <c r="Z462">
        <v>9.5108906984433493E-3</v>
      </c>
      <c r="AA462">
        <v>17</v>
      </c>
    </row>
    <row r="463" spans="1:27" x14ac:dyDescent="0.2">
      <c r="A463">
        <v>15</v>
      </c>
      <c r="B463">
        <v>1</v>
      </c>
      <c r="C463">
        <v>0.1</v>
      </c>
      <c r="D463">
        <v>20</v>
      </c>
      <c r="E463">
        <v>0.942883030226215</v>
      </c>
      <c r="F463">
        <v>1</v>
      </c>
      <c r="G463">
        <v>26.942027026000002</v>
      </c>
      <c r="H463">
        <v>0.94192545316371601</v>
      </c>
      <c r="I463">
        <v>1</v>
      </c>
      <c r="J463">
        <v>7.1896226999999993E-2</v>
      </c>
      <c r="K463">
        <v>1.0827068547459999</v>
      </c>
      <c r="L463">
        <v>1</v>
      </c>
      <c r="M463">
        <v>3602.4850357629998</v>
      </c>
      <c r="N463">
        <v>203521</v>
      </c>
      <c r="O463">
        <v>8.2146548736370797E-2</v>
      </c>
      <c r="P463" s="5">
        <v>1.0195798979223101</v>
      </c>
      <c r="Q463">
        <v>1</v>
      </c>
      <c r="R463">
        <v>230.21728277</v>
      </c>
      <c r="S463">
        <v>3472</v>
      </c>
      <c r="T463">
        <v>9.1304351367331395E-4</v>
      </c>
      <c r="U463">
        <v>3407</v>
      </c>
      <c r="V463" s="5">
        <v>1.0275293481054799</v>
      </c>
      <c r="W463">
        <v>1</v>
      </c>
      <c r="X463">
        <v>39.348468531000002</v>
      </c>
      <c r="Y463">
        <v>1</v>
      </c>
      <c r="Z463">
        <v>1.7694332366358901E-3</v>
      </c>
      <c r="AA463">
        <v>5</v>
      </c>
    </row>
    <row r="464" spans="1:27" x14ac:dyDescent="0.2">
      <c r="A464">
        <v>15</v>
      </c>
      <c r="B464">
        <v>1</v>
      </c>
      <c r="C464">
        <v>0.4</v>
      </c>
      <c r="D464">
        <v>20</v>
      </c>
      <c r="E464">
        <v>9.1119312451657997E-2</v>
      </c>
      <c r="F464">
        <v>1</v>
      </c>
      <c r="G464">
        <v>26.913791750000001</v>
      </c>
      <c r="H464">
        <v>0.104556242795562</v>
      </c>
      <c r="I464">
        <v>1</v>
      </c>
      <c r="J464">
        <v>9.2796180000000006E-2</v>
      </c>
      <c r="K464">
        <v>0.103993039243959</v>
      </c>
      <c r="L464">
        <v>1</v>
      </c>
      <c r="M464">
        <v>3601.3904145189999</v>
      </c>
      <c r="N464">
        <v>216850</v>
      </c>
      <c r="O464">
        <v>0.56490466021782004</v>
      </c>
      <c r="P464" s="5">
        <v>8.2721813674477798E-2</v>
      </c>
      <c r="Q464">
        <v>1</v>
      </c>
      <c r="R464">
        <v>32.398876770000001</v>
      </c>
      <c r="S464">
        <v>122</v>
      </c>
      <c r="T464">
        <v>2.5864577368356099E-2</v>
      </c>
      <c r="U464">
        <v>74</v>
      </c>
      <c r="V464" s="5">
        <v>8.2721813680607395E-2</v>
      </c>
      <c r="W464">
        <v>1</v>
      </c>
      <c r="X464">
        <v>246.89356269000001</v>
      </c>
      <c r="Y464">
        <v>1265</v>
      </c>
      <c r="Z464">
        <v>9.0087207436049203E-3</v>
      </c>
      <c r="AA464">
        <v>18</v>
      </c>
    </row>
    <row r="465" spans="1:27" x14ac:dyDescent="0.2">
      <c r="A465">
        <v>15</v>
      </c>
      <c r="B465">
        <v>1</v>
      </c>
      <c r="C465">
        <v>0.3</v>
      </c>
      <c r="D465">
        <v>20</v>
      </c>
      <c r="E465">
        <v>0.1218753540781</v>
      </c>
      <c r="F465">
        <v>1</v>
      </c>
      <c r="G465">
        <v>28.13999102</v>
      </c>
      <c r="H465">
        <v>0.13806438229892901</v>
      </c>
      <c r="I465">
        <v>1</v>
      </c>
      <c r="J465">
        <v>0.1047608</v>
      </c>
      <c r="K465">
        <v>0.21767069018985399</v>
      </c>
      <c r="L465">
        <v>1</v>
      </c>
      <c r="M465">
        <v>3600.998052038</v>
      </c>
      <c r="N465">
        <v>317998</v>
      </c>
      <c r="O465">
        <v>0.80523024753572603</v>
      </c>
      <c r="P465" s="5">
        <v>0.108949342517216</v>
      </c>
      <c r="Q465">
        <v>1</v>
      </c>
      <c r="R465">
        <v>312.60105738200002</v>
      </c>
      <c r="S465">
        <v>5295</v>
      </c>
      <c r="T465">
        <v>8.3520967159225103E-3</v>
      </c>
      <c r="U465">
        <v>3401</v>
      </c>
      <c r="V465" s="5">
        <v>0.10894934251694099</v>
      </c>
      <c r="W465">
        <v>1</v>
      </c>
      <c r="X465">
        <v>46.226861552999999</v>
      </c>
      <c r="Y465">
        <v>1</v>
      </c>
      <c r="Z465">
        <v>3.32150984205856E-2</v>
      </c>
      <c r="AA465">
        <v>2</v>
      </c>
    </row>
    <row r="466" spans="1:27" x14ac:dyDescent="0.2">
      <c r="A466">
        <v>15</v>
      </c>
      <c r="B466">
        <v>1</v>
      </c>
      <c r="C466">
        <v>0.1</v>
      </c>
      <c r="D466">
        <v>20</v>
      </c>
      <c r="E466">
        <v>0.76109364095914001</v>
      </c>
      <c r="F466">
        <v>1</v>
      </c>
      <c r="G466">
        <v>28.134337977000001</v>
      </c>
      <c r="H466">
        <v>0.76533704699346095</v>
      </c>
      <c r="I466">
        <v>1</v>
      </c>
      <c r="J466">
        <v>0.17785532400000001</v>
      </c>
      <c r="K466">
        <v>1.0826376282618999</v>
      </c>
      <c r="L466">
        <v>1</v>
      </c>
      <c r="M466">
        <v>3601.520889202</v>
      </c>
      <c r="N466">
        <v>217621</v>
      </c>
      <c r="O466">
        <v>0.17312451176143501</v>
      </c>
      <c r="P466" s="5">
        <v>1.24824656769452</v>
      </c>
      <c r="Q466">
        <v>1</v>
      </c>
      <c r="R466">
        <v>490.48656387099999</v>
      </c>
      <c r="S466">
        <v>4486</v>
      </c>
      <c r="T466">
        <v>1.5361608524722601E-3</v>
      </c>
      <c r="U466">
        <v>4430</v>
      </c>
      <c r="V466" s="5">
        <v>0.583988042334188</v>
      </c>
      <c r="W466">
        <v>1</v>
      </c>
      <c r="X466">
        <v>35.103669474999997</v>
      </c>
      <c r="Y466">
        <v>1</v>
      </c>
      <c r="Z466">
        <v>3.3657882811327301E-3</v>
      </c>
      <c r="AA466">
        <v>2</v>
      </c>
    </row>
    <row r="467" spans="1:27" x14ac:dyDescent="0.2">
      <c r="A467">
        <v>15</v>
      </c>
      <c r="B467">
        <v>1</v>
      </c>
      <c r="C467">
        <v>0.1</v>
      </c>
      <c r="D467">
        <v>20</v>
      </c>
      <c r="E467">
        <v>0.93366401069258798</v>
      </c>
      <c r="F467">
        <v>1</v>
      </c>
      <c r="G467">
        <v>30.501891165</v>
      </c>
      <c r="H467">
        <v>0.93018502492379995</v>
      </c>
      <c r="I467">
        <v>1</v>
      </c>
      <c r="J467">
        <v>0.19460006099999999</v>
      </c>
      <c r="K467">
        <v>0.81449919327735798</v>
      </c>
      <c r="L467">
        <v>1</v>
      </c>
      <c r="M467">
        <v>3601.488408315</v>
      </c>
      <c r="N467">
        <v>312357</v>
      </c>
      <c r="O467">
        <v>6.5030251123090396E-2</v>
      </c>
      <c r="P467" s="5">
        <v>0.82756526818499498</v>
      </c>
      <c r="Q467">
        <v>1</v>
      </c>
      <c r="R467">
        <v>486.73749186200001</v>
      </c>
      <c r="S467">
        <v>6216</v>
      </c>
      <c r="T467">
        <v>5.1347447587025898E-4</v>
      </c>
      <c r="U467">
        <v>5700</v>
      </c>
      <c r="V467" s="5">
        <v>1.11612204819566</v>
      </c>
      <c r="W467">
        <v>1</v>
      </c>
      <c r="X467">
        <v>26.752150282999999</v>
      </c>
      <c r="Y467">
        <v>2900</v>
      </c>
      <c r="Z467">
        <v>7.0332126606827096E-4</v>
      </c>
      <c r="AA467">
        <v>1</v>
      </c>
    </row>
    <row r="468" spans="1:27" x14ac:dyDescent="0.2">
      <c r="A468">
        <v>15</v>
      </c>
      <c r="B468">
        <v>1</v>
      </c>
      <c r="C468">
        <v>0.1</v>
      </c>
      <c r="D468">
        <v>20</v>
      </c>
      <c r="E468">
        <v>0.96709028650200701</v>
      </c>
      <c r="F468">
        <v>1</v>
      </c>
      <c r="G468">
        <v>28.995059013999999</v>
      </c>
      <c r="H468">
        <v>0.96627732227355601</v>
      </c>
      <c r="I468">
        <v>1</v>
      </c>
      <c r="J468">
        <v>0.114011847</v>
      </c>
      <c r="K468">
        <v>0.66759840445162899</v>
      </c>
      <c r="L468">
        <v>1</v>
      </c>
      <c r="M468">
        <v>3602.0107379460001</v>
      </c>
      <c r="N468">
        <v>263354</v>
      </c>
      <c r="O468">
        <v>0.30084975853741103</v>
      </c>
      <c r="P468" s="5">
        <v>0.96963295118621196</v>
      </c>
      <c r="Q468">
        <v>1</v>
      </c>
      <c r="R468">
        <v>540.51498278199995</v>
      </c>
      <c r="S468">
        <v>4627</v>
      </c>
      <c r="T468">
        <v>3.5021169710247602E-4</v>
      </c>
      <c r="U468">
        <v>4627</v>
      </c>
      <c r="V468" s="5">
        <v>0.85081525939410696</v>
      </c>
      <c r="W468">
        <v>1</v>
      </c>
      <c r="X468">
        <v>28.276292364</v>
      </c>
      <c r="Y468">
        <v>4599</v>
      </c>
      <c r="Z468">
        <v>8.7011783673279699E-4</v>
      </c>
      <c r="AA468">
        <v>1</v>
      </c>
    </row>
    <row r="469" spans="1:27" x14ac:dyDescent="0.2">
      <c r="A469">
        <v>15</v>
      </c>
      <c r="B469">
        <v>1</v>
      </c>
      <c r="C469">
        <v>0.2</v>
      </c>
      <c r="D469">
        <v>20</v>
      </c>
      <c r="E469">
        <v>0.58517362906753301</v>
      </c>
      <c r="F469">
        <v>1</v>
      </c>
      <c r="G469">
        <v>33.667987154999999</v>
      </c>
      <c r="H469">
        <v>0.58581227103966405</v>
      </c>
      <c r="I469">
        <v>1</v>
      </c>
      <c r="J469">
        <v>0.13330515600000001</v>
      </c>
      <c r="K469">
        <v>0.608148976472356</v>
      </c>
      <c r="L469">
        <v>1</v>
      </c>
      <c r="M469">
        <v>3600.6278371059998</v>
      </c>
      <c r="N469">
        <v>256460</v>
      </c>
      <c r="O469">
        <v>0.75560378176364995</v>
      </c>
      <c r="P469" s="5">
        <v>0.55945923290261701</v>
      </c>
      <c r="Q469">
        <v>1</v>
      </c>
      <c r="R469">
        <v>566.45265936800001</v>
      </c>
      <c r="S469">
        <v>6531</v>
      </c>
      <c r="T469">
        <v>6.0804018682736301E-3</v>
      </c>
      <c r="U469">
        <v>5684</v>
      </c>
      <c r="V469" s="5">
        <v>0.57533786746659898</v>
      </c>
      <c r="W469">
        <v>1</v>
      </c>
      <c r="X469">
        <v>59.291010841000002</v>
      </c>
      <c r="Y469">
        <v>1</v>
      </c>
      <c r="Z469">
        <v>1.18128588880451E-2</v>
      </c>
      <c r="AA469">
        <v>5</v>
      </c>
    </row>
    <row r="470" spans="1:27" x14ac:dyDescent="0.2">
      <c r="A470">
        <v>15</v>
      </c>
      <c r="B470">
        <v>1</v>
      </c>
      <c r="C470">
        <v>0.3</v>
      </c>
      <c r="D470">
        <v>20</v>
      </c>
      <c r="E470">
        <v>0.33484844719155998</v>
      </c>
      <c r="F470">
        <v>1</v>
      </c>
      <c r="G470">
        <v>28.847516436999999</v>
      </c>
      <c r="H470">
        <v>0.32146330991656102</v>
      </c>
      <c r="I470">
        <v>1</v>
      </c>
      <c r="J470">
        <v>0.14324166599999999</v>
      </c>
      <c r="K470">
        <v>0.31741766899207502</v>
      </c>
      <c r="L470">
        <v>1</v>
      </c>
      <c r="M470">
        <v>3602.0262309350001</v>
      </c>
      <c r="N470">
        <v>257539</v>
      </c>
      <c r="O470">
        <v>0.39643228393857999</v>
      </c>
      <c r="P470" s="5">
        <v>0.34915275574236798</v>
      </c>
      <c r="Q470">
        <v>1</v>
      </c>
      <c r="R470">
        <v>177.46635083999999</v>
      </c>
      <c r="S470">
        <v>3494</v>
      </c>
      <c r="T470">
        <v>2.0250050075761101E-2</v>
      </c>
      <c r="U470">
        <v>3078</v>
      </c>
      <c r="V470" s="5">
        <v>0.30402786127480602</v>
      </c>
      <c r="W470">
        <v>1</v>
      </c>
      <c r="X470">
        <v>957.27832010700001</v>
      </c>
      <c r="Y470">
        <v>9213</v>
      </c>
      <c r="Z470">
        <v>1.0305843238465499E-2</v>
      </c>
      <c r="AA470">
        <v>20</v>
      </c>
    </row>
    <row r="471" spans="1:27" x14ac:dyDescent="0.2">
      <c r="A471">
        <v>15</v>
      </c>
      <c r="B471">
        <v>1</v>
      </c>
      <c r="C471">
        <v>0.2</v>
      </c>
      <c r="D471">
        <v>20</v>
      </c>
      <c r="E471">
        <v>0.48715197147013101</v>
      </c>
      <c r="F471">
        <v>1</v>
      </c>
      <c r="G471">
        <v>27.913533391000001</v>
      </c>
      <c r="H471">
        <v>0.49829000473921697</v>
      </c>
      <c r="I471">
        <v>1</v>
      </c>
      <c r="J471">
        <v>0.14753185899999999</v>
      </c>
      <c r="K471">
        <v>0.75216364395894098</v>
      </c>
      <c r="L471">
        <v>1</v>
      </c>
      <c r="M471">
        <v>3602.2081636120001</v>
      </c>
      <c r="N471">
        <v>149329</v>
      </c>
      <c r="O471">
        <v>0.74190494655032901</v>
      </c>
      <c r="P471" s="5">
        <v>0.318201473152528</v>
      </c>
      <c r="Q471">
        <v>1</v>
      </c>
      <c r="R471">
        <v>390.85345353500003</v>
      </c>
      <c r="S471">
        <v>3408</v>
      </c>
      <c r="T471">
        <v>8.35516111751077E-3</v>
      </c>
      <c r="U471">
        <v>3249</v>
      </c>
      <c r="V471" s="5">
        <v>0.808497288278205</v>
      </c>
      <c r="W471">
        <v>1</v>
      </c>
      <c r="X471">
        <v>2804.520669856</v>
      </c>
      <c r="Y471">
        <v>15712</v>
      </c>
      <c r="Z471">
        <v>2.6912110907703998E-2</v>
      </c>
      <c r="AA471">
        <v>20</v>
      </c>
    </row>
    <row r="472" spans="1:27" x14ac:dyDescent="0.2">
      <c r="A472">
        <v>15</v>
      </c>
      <c r="B472">
        <v>1</v>
      </c>
      <c r="C472">
        <v>0.3</v>
      </c>
      <c r="D472">
        <v>20</v>
      </c>
      <c r="E472">
        <v>0.240432455443718</v>
      </c>
      <c r="F472">
        <v>1</v>
      </c>
      <c r="G472">
        <v>29.161996601999999</v>
      </c>
      <c r="H472">
        <v>0.27218352159255399</v>
      </c>
      <c r="I472">
        <v>1</v>
      </c>
      <c r="J472">
        <v>0.131990461</v>
      </c>
      <c r="K472">
        <v>0.30288948890463002</v>
      </c>
      <c r="L472">
        <v>1</v>
      </c>
      <c r="M472">
        <v>3603.638899001</v>
      </c>
      <c r="N472">
        <v>156391</v>
      </c>
      <c r="O472">
        <v>0.65922573527107098</v>
      </c>
      <c r="P472" s="5">
        <v>0.34830525165283499</v>
      </c>
      <c r="Q472">
        <v>1</v>
      </c>
      <c r="R472">
        <v>669.62432268099997</v>
      </c>
      <c r="S472">
        <v>5849</v>
      </c>
      <c r="T472">
        <v>6.6518505456810697E-3</v>
      </c>
      <c r="U472">
        <v>5207</v>
      </c>
      <c r="V472" s="5">
        <v>0.28357506472166899</v>
      </c>
      <c r="W472">
        <v>1</v>
      </c>
      <c r="X472">
        <v>2584.0690055209998</v>
      </c>
      <c r="Y472">
        <v>14025</v>
      </c>
      <c r="Z472">
        <v>1.8981824591279901E-2</v>
      </c>
      <c r="AA472">
        <v>20</v>
      </c>
    </row>
    <row r="473" spans="1:27" x14ac:dyDescent="0.2">
      <c r="A473">
        <v>15</v>
      </c>
      <c r="B473">
        <v>1</v>
      </c>
      <c r="C473">
        <v>0.2</v>
      </c>
      <c r="D473">
        <v>20</v>
      </c>
      <c r="E473">
        <v>0.277435574423401</v>
      </c>
      <c r="F473">
        <v>1</v>
      </c>
      <c r="G473">
        <v>26.380884085000002</v>
      </c>
      <c r="H473">
        <v>0.18977132715061601</v>
      </c>
      <c r="I473">
        <v>1</v>
      </c>
      <c r="J473">
        <v>6.6412975999999999E-2</v>
      </c>
      <c r="K473">
        <v>0.196717891847625</v>
      </c>
      <c r="L473">
        <v>1</v>
      </c>
      <c r="M473">
        <v>3603.1098751059999</v>
      </c>
      <c r="N473">
        <v>167022</v>
      </c>
      <c r="O473">
        <v>0.54920894299182299</v>
      </c>
      <c r="P473" s="5">
        <v>0.26920173479698301</v>
      </c>
      <c r="Q473">
        <v>1</v>
      </c>
      <c r="R473">
        <v>990.01750086499999</v>
      </c>
      <c r="S473">
        <v>8367</v>
      </c>
      <c r="T473">
        <v>5.0723255700922901E-3</v>
      </c>
      <c r="U473">
        <v>7484</v>
      </c>
      <c r="V473" s="5">
        <v>0.18023496565355701</v>
      </c>
      <c r="W473">
        <v>1</v>
      </c>
      <c r="X473">
        <v>2272.4915009830002</v>
      </c>
      <c r="Y473">
        <v>24558</v>
      </c>
      <c r="Z473">
        <v>4.3686412692881503E-3</v>
      </c>
      <c r="AA473">
        <v>20</v>
      </c>
    </row>
    <row r="474" spans="1:27" x14ac:dyDescent="0.2">
      <c r="A474">
        <v>15</v>
      </c>
      <c r="B474">
        <v>1</v>
      </c>
      <c r="C474">
        <v>0.1</v>
      </c>
      <c r="D474">
        <v>20</v>
      </c>
      <c r="E474">
        <v>0.94833000531077105</v>
      </c>
      <c r="F474">
        <v>1</v>
      </c>
      <c r="G474">
        <v>25.784023453</v>
      </c>
      <c r="H474">
        <v>0.939290207771039</v>
      </c>
      <c r="I474">
        <v>1</v>
      </c>
      <c r="J474">
        <v>6.7318865000000006E-2</v>
      </c>
      <c r="K474">
        <v>1.1628142500310801</v>
      </c>
      <c r="L474">
        <v>1</v>
      </c>
      <c r="M474">
        <v>3600.4545931289999</v>
      </c>
      <c r="N474">
        <v>424527</v>
      </c>
      <c r="O474">
        <v>0.20278089546997699</v>
      </c>
      <c r="P474" s="5">
        <v>1.1677334632171501</v>
      </c>
      <c r="Q474">
        <v>1</v>
      </c>
      <c r="R474">
        <v>808.112168204</v>
      </c>
      <c r="S474">
        <v>15164</v>
      </c>
      <c r="T474">
        <v>2.1010632150428501E-3</v>
      </c>
      <c r="U474">
        <v>12549</v>
      </c>
      <c r="V474" s="5">
        <v>0.78091898789911396</v>
      </c>
      <c r="W474">
        <v>1</v>
      </c>
      <c r="X474">
        <v>2647.448394046</v>
      </c>
      <c r="Y474">
        <v>49450</v>
      </c>
      <c r="Z474">
        <v>1.6032175902115E-2</v>
      </c>
      <c r="AA474">
        <v>20</v>
      </c>
    </row>
    <row r="475" spans="1:27" x14ac:dyDescent="0.2">
      <c r="A475">
        <v>15</v>
      </c>
      <c r="B475">
        <v>1</v>
      </c>
      <c r="C475">
        <v>0.1</v>
      </c>
      <c r="D475">
        <v>20</v>
      </c>
      <c r="E475">
        <v>0.76103332509764199</v>
      </c>
      <c r="F475">
        <v>1</v>
      </c>
      <c r="G475">
        <v>26.154542203999998</v>
      </c>
      <c r="H475">
        <v>0.73589599044781295</v>
      </c>
      <c r="I475">
        <v>1</v>
      </c>
      <c r="J475">
        <v>0.19675013799999999</v>
      </c>
      <c r="K475">
        <v>0.71358644236359303</v>
      </c>
      <c r="L475">
        <v>1</v>
      </c>
      <c r="M475">
        <v>3600.4917289559999</v>
      </c>
      <c r="N475">
        <v>519886</v>
      </c>
      <c r="O475">
        <v>8.4548312572465895E-2</v>
      </c>
      <c r="P475" s="5">
        <v>0.66092224156115598</v>
      </c>
      <c r="Q475">
        <v>1</v>
      </c>
      <c r="R475">
        <v>672.28279584500001</v>
      </c>
      <c r="S475">
        <v>10646</v>
      </c>
      <c r="T475">
        <v>7.4996705918668695E-4</v>
      </c>
      <c r="U475">
        <v>9141</v>
      </c>
      <c r="V475" s="5">
        <v>0.60697597941800996</v>
      </c>
      <c r="W475">
        <v>1</v>
      </c>
      <c r="X475">
        <v>2889.4265653580001</v>
      </c>
      <c r="Y475">
        <v>51062</v>
      </c>
      <c r="Z475">
        <v>2.3137225934115801E-3</v>
      </c>
      <c r="AA475">
        <v>20</v>
      </c>
    </row>
    <row r="476" spans="1:27" x14ac:dyDescent="0.2">
      <c r="A476">
        <v>15</v>
      </c>
      <c r="B476">
        <v>1</v>
      </c>
      <c r="C476">
        <v>0.3</v>
      </c>
      <c r="D476">
        <v>20</v>
      </c>
      <c r="E476">
        <v>0.30110446978342997</v>
      </c>
      <c r="F476">
        <v>1</v>
      </c>
      <c r="G476">
        <v>29.395342485</v>
      </c>
      <c r="H476">
        <v>0.25846726324157199</v>
      </c>
      <c r="I476">
        <v>1</v>
      </c>
      <c r="J476">
        <v>6.7895608999999996E-2</v>
      </c>
      <c r="K476">
        <v>0.251256471035189</v>
      </c>
      <c r="L476">
        <v>1</v>
      </c>
      <c r="M476">
        <v>3601.367981546</v>
      </c>
      <c r="N476">
        <v>266953</v>
      </c>
      <c r="O476">
        <v>0.98351307888853801</v>
      </c>
      <c r="P476" s="5">
        <v>0.33024557057291998</v>
      </c>
      <c r="Q476">
        <v>1</v>
      </c>
      <c r="R476">
        <v>1660.9161622930001</v>
      </c>
      <c r="S476">
        <v>23866</v>
      </c>
      <c r="T476">
        <v>1.2278555947740501E-2</v>
      </c>
      <c r="U476">
        <v>16873</v>
      </c>
      <c r="V476" s="5">
        <v>0.17917511209222001</v>
      </c>
      <c r="W476">
        <v>1</v>
      </c>
      <c r="X476">
        <v>2404.4567058170001</v>
      </c>
      <c r="Y476">
        <v>31678</v>
      </c>
      <c r="Z476">
        <v>8.3814661573402508E-3</v>
      </c>
      <c r="AA476">
        <v>20</v>
      </c>
    </row>
    <row r="477" spans="1:27" x14ac:dyDescent="0.2">
      <c r="A477">
        <v>15</v>
      </c>
      <c r="B477">
        <v>1</v>
      </c>
      <c r="C477">
        <v>0.3</v>
      </c>
      <c r="D477">
        <v>20</v>
      </c>
      <c r="E477">
        <v>0.29195665585888902</v>
      </c>
      <c r="F477">
        <v>1</v>
      </c>
      <c r="G477">
        <v>29.017635062</v>
      </c>
      <c r="H477">
        <v>0.22713361258929601</v>
      </c>
      <c r="I477">
        <v>1</v>
      </c>
      <c r="J477">
        <v>0.21640211100000001</v>
      </c>
      <c r="K477">
        <v>0.28126061130353402</v>
      </c>
      <c r="L477">
        <v>1</v>
      </c>
      <c r="M477">
        <v>3600.902651028</v>
      </c>
      <c r="N477">
        <v>261690</v>
      </c>
      <c r="O477">
        <v>1.09050290786988</v>
      </c>
      <c r="P477" s="5">
        <v>0.38229826654621601</v>
      </c>
      <c r="Q477">
        <v>1</v>
      </c>
      <c r="R477">
        <v>1381.918149305</v>
      </c>
      <c r="S477">
        <v>22233</v>
      </c>
      <c r="T477">
        <v>1.4424298385141599E-2</v>
      </c>
      <c r="U477">
        <v>14647</v>
      </c>
      <c r="V477" s="5">
        <v>0.15032084157332101</v>
      </c>
      <c r="W477">
        <v>1</v>
      </c>
      <c r="X477">
        <v>2835.072256638</v>
      </c>
      <c r="Y477">
        <v>37415</v>
      </c>
      <c r="Z477">
        <v>4.0364326558254698E-2</v>
      </c>
      <c r="AA477">
        <v>20</v>
      </c>
    </row>
    <row r="478" spans="1:27" x14ac:dyDescent="0.2">
      <c r="A478">
        <v>15</v>
      </c>
      <c r="B478">
        <v>1</v>
      </c>
      <c r="C478">
        <v>0.4</v>
      </c>
      <c r="D478">
        <v>20</v>
      </c>
      <c r="E478">
        <v>0.20420951859526801</v>
      </c>
      <c r="F478">
        <v>1</v>
      </c>
      <c r="G478">
        <v>28.418372311999999</v>
      </c>
      <c r="H478">
        <v>0.14759412308324399</v>
      </c>
      <c r="I478">
        <v>1</v>
      </c>
      <c r="J478">
        <v>0.13078257600000001</v>
      </c>
      <c r="K478">
        <v>0.14607851003561301</v>
      </c>
      <c r="L478">
        <v>1</v>
      </c>
      <c r="M478">
        <v>3602.0475039759999</v>
      </c>
      <c r="N478">
        <v>211090</v>
      </c>
      <c r="O478">
        <v>0.39065172001104997</v>
      </c>
      <c r="P478" s="5">
        <v>0.201259519637185</v>
      </c>
      <c r="Q478">
        <v>1</v>
      </c>
      <c r="R478">
        <v>3647.9110822940002</v>
      </c>
      <c r="S478">
        <v>36755</v>
      </c>
      <c r="T478">
        <v>1.2377255844390801E-2</v>
      </c>
      <c r="U478">
        <v>25290</v>
      </c>
      <c r="V478" s="5">
        <v>0.10007288103777599</v>
      </c>
      <c r="W478">
        <v>1</v>
      </c>
      <c r="X478">
        <v>2636.1781554300001</v>
      </c>
      <c r="Y478">
        <v>16523</v>
      </c>
      <c r="Z478">
        <v>1.5801402777615398E-2</v>
      </c>
      <c r="AA478">
        <v>20</v>
      </c>
    </row>
    <row r="479" spans="1:27" x14ac:dyDescent="0.2">
      <c r="A479">
        <v>15</v>
      </c>
      <c r="B479">
        <v>1</v>
      </c>
      <c r="C479">
        <v>0.1</v>
      </c>
      <c r="D479">
        <v>20</v>
      </c>
      <c r="E479">
        <v>0.938309168487099</v>
      </c>
      <c r="F479">
        <v>1</v>
      </c>
      <c r="G479">
        <v>28.373491788999999</v>
      </c>
      <c r="H479">
        <v>0.90737711758695105</v>
      </c>
      <c r="I479">
        <v>1</v>
      </c>
      <c r="J479">
        <v>0.24614615300000001</v>
      </c>
      <c r="K479">
        <v>1.0877265058563399</v>
      </c>
      <c r="L479">
        <v>1</v>
      </c>
      <c r="M479">
        <v>3600.8423875570002</v>
      </c>
      <c r="N479">
        <v>303839</v>
      </c>
      <c r="O479">
        <v>0.104511222289807</v>
      </c>
      <c r="P479" s="5">
        <v>1.0812824594430099</v>
      </c>
      <c r="Q479">
        <v>1</v>
      </c>
      <c r="R479">
        <v>3151.1132982059999</v>
      </c>
      <c r="S479">
        <v>44332</v>
      </c>
      <c r="T479">
        <v>9.4603267382978296E-4</v>
      </c>
      <c r="U479">
        <v>28598</v>
      </c>
      <c r="V479" s="5">
        <v>1.16453475907486</v>
      </c>
      <c r="W479">
        <v>1</v>
      </c>
      <c r="X479">
        <v>3153.8659711109999</v>
      </c>
      <c r="Y479">
        <v>62863</v>
      </c>
      <c r="Z479">
        <v>9.8573991521816694E-3</v>
      </c>
      <c r="AA479">
        <v>20</v>
      </c>
    </row>
    <row r="480" spans="1:27" x14ac:dyDescent="0.2">
      <c r="A480">
        <v>15</v>
      </c>
      <c r="B480">
        <v>1</v>
      </c>
      <c r="C480">
        <v>0.2</v>
      </c>
      <c r="D480">
        <v>20</v>
      </c>
      <c r="E480">
        <v>0.16301185210583899</v>
      </c>
      <c r="F480">
        <v>1</v>
      </c>
      <c r="G480">
        <v>26.81913162</v>
      </c>
      <c r="H480">
        <v>0.24788017364241199</v>
      </c>
      <c r="I480">
        <v>1</v>
      </c>
      <c r="J480">
        <v>0.11638622799999999</v>
      </c>
      <c r="K480">
        <v>0.24263651524857499</v>
      </c>
      <c r="L480">
        <v>1</v>
      </c>
      <c r="M480">
        <v>3603.7560223149999</v>
      </c>
      <c r="N480">
        <v>264242</v>
      </c>
      <c r="O480">
        <v>0.862128739130952</v>
      </c>
      <c r="P480" s="5">
        <v>0.88292320358256704</v>
      </c>
      <c r="Q480">
        <v>1</v>
      </c>
      <c r="R480">
        <v>3649.3915448299999</v>
      </c>
      <c r="S480">
        <v>39172</v>
      </c>
      <c r="T480">
        <v>1.45602549417405E-2</v>
      </c>
      <c r="U480">
        <v>29181</v>
      </c>
      <c r="V480" s="5">
        <v>0.87540914533505798</v>
      </c>
      <c r="W480">
        <v>1</v>
      </c>
      <c r="X480">
        <v>2710.7977217530001</v>
      </c>
      <c r="Y480">
        <v>18927</v>
      </c>
      <c r="Z480">
        <v>3.2298183341475897E-2</v>
      </c>
      <c r="AA480">
        <v>20</v>
      </c>
    </row>
    <row r="481" spans="1:27" x14ac:dyDescent="0.2">
      <c r="A481">
        <v>15</v>
      </c>
      <c r="B481">
        <v>1</v>
      </c>
      <c r="C481">
        <v>0.2</v>
      </c>
      <c r="D481">
        <v>20</v>
      </c>
      <c r="E481">
        <v>0.51727925320547796</v>
      </c>
      <c r="F481">
        <v>1</v>
      </c>
      <c r="G481">
        <v>26.546799732</v>
      </c>
      <c r="H481">
        <v>0.47932971293786902</v>
      </c>
      <c r="I481">
        <v>1</v>
      </c>
      <c r="J481">
        <v>0.122339909</v>
      </c>
      <c r="K481">
        <v>0.49152518482484903</v>
      </c>
      <c r="L481">
        <v>1</v>
      </c>
      <c r="M481">
        <v>3600.5345933240001</v>
      </c>
      <c r="N481">
        <v>320811</v>
      </c>
      <c r="O481">
        <v>0.140789308349101</v>
      </c>
      <c r="P481" s="5">
        <v>0.564450550445181</v>
      </c>
      <c r="Q481">
        <v>1</v>
      </c>
      <c r="R481">
        <v>3658.0701859139999</v>
      </c>
      <c r="S481">
        <v>73843</v>
      </c>
      <c r="T481">
        <v>3.5124832706196702E-3</v>
      </c>
      <c r="U481">
        <v>49017</v>
      </c>
      <c r="V481" s="5">
        <v>0.40989948434463302</v>
      </c>
      <c r="W481">
        <v>1</v>
      </c>
      <c r="X481">
        <v>2874.2769894640001</v>
      </c>
      <c r="Y481">
        <v>31764</v>
      </c>
      <c r="Z481">
        <v>4.7526864973316202E-3</v>
      </c>
      <c r="AA481">
        <v>20</v>
      </c>
    </row>
    <row r="482" spans="1:27" x14ac:dyDescent="0.2">
      <c r="A482">
        <v>15</v>
      </c>
      <c r="B482">
        <v>1</v>
      </c>
      <c r="C482">
        <v>0.2</v>
      </c>
      <c r="D482">
        <v>20</v>
      </c>
      <c r="E482">
        <v>0.28052126014598699</v>
      </c>
      <c r="F482">
        <v>1</v>
      </c>
      <c r="G482">
        <v>26.474361352999999</v>
      </c>
      <c r="H482">
        <v>0.199929430102361</v>
      </c>
      <c r="I482">
        <v>1</v>
      </c>
      <c r="J482">
        <v>0.18663865700000001</v>
      </c>
      <c r="K482">
        <v>0.46237405995295799</v>
      </c>
      <c r="L482">
        <v>1</v>
      </c>
      <c r="M482">
        <v>3601.8889970659998</v>
      </c>
      <c r="N482">
        <v>165856</v>
      </c>
      <c r="O482">
        <v>2.1327397304485398</v>
      </c>
      <c r="P482" s="5">
        <v>0.27802141999632601</v>
      </c>
      <c r="Q482">
        <v>1</v>
      </c>
      <c r="R482">
        <v>3666.0362941950002</v>
      </c>
      <c r="S482">
        <v>51450</v>
      </c>
      <c r="T482">
        <v>2.2547757000132201E-2</v>
      </c>
      <c r="U482">
        <v>32356</v>
      </c>
      <c r="V482" s="5">
        <v>0.24241010436735499</v>
      </c>
      <c r="W482">
        <v>1</v>
      </c>
      <c r="X482">
        <v>3060.3691501120002</v>
      </c>
      <c r="Y482">
        <v>41521</v>
      </c>
      <c r="Z482">
        <v>5.5905518910612302E-2</v>
      </c>
      <c r="AA482">
        <v>20</v>
      </c>
    </row>
    <row r="483" spans="1:27" x14ac:dyDescent="0.2">
      <c r="A483">
        <v>15</v>
      </c>
      <c r="B483">
        <v>1</v>
      </c>
      <c r="C483">
        <v>0.3</v>
      </c>
      <c r="D483">
        <v>20</v>
      </c>
      <c r="E483">
        <v>0.33676171856325898</v>
      </c>
      <c r="F483">
        <v>1</v>
      </c>
      <c r="G483">
        <v>32.544855550999998</v>
      </c>
      <c r="H483">
        <v>0.22228951612614101</v>
      </c>
      <c r="I483">
        <v>1</v>
      </c>
      <c r="J483">
        <v>0.17696579400000001</v>
      </c>
      <c r="K483">
        <v>0.25304023915026302</v>
      </c>
      <c r="L483">
        <v>1</v>
      </c>
      <c r="M483">
        <v>3600.835396599</v>
      </c>
      <c r="N483">
        <v>288482</v>
      </c>
      <c r="O483">
        <v>0.44746000458721702</v>
      </c>
      <c r="P483" s="5">
        <v>0.32012733995520398</v>
      </c>
      <c r="Q483">
        <v>1</v>
      </c>
      <c r="R483">
        <v>3634.5828918669999</v>
      </c>
      <c r="S483">
        <v>42331</v>
      </c>
      <c r="T483">
        <v>1.1840991735289101E-2</v>
      </c>
      <c r="U483">
        <v>30009</v>
      </c>
      <c r="V483" s="5">
        <v>0.19926686968085899</v>
      </c>
      <c r="W483">
        <v>1</v>
      </c>
      <c r="X483">
        <v>3180.1136685370002</v>
      </c>
      <c r="Y483">
        <v>34317</v>
      </c>
      <c r="Z483">
        <v>1.28034873201527E-2</v>
      </c>
      <c r="AA483">
        <v>20</v>
      </c>
    </row>
    <row r="484" spans="1:27" x14ac:dyDescent="0.2">
      <c r="A484">
        <v>15</v>
      </c>
      <c r="B484">
        <v>1</v>
      </c>
      <c r="C484">
        <v>0.2</v>
      </c>
      <c r="D484">
        <v>20</v>
      </c>
      <c r="E484">
        <v>0.55292248821382195</v>
      </c>
      <c r="F484">
        <v>1</v>
      </c>
      <c r="G484">
        <v>28.824042868999999</v>
      </c>
      <c r="H484">
        <v>0.51865562236111895</v>
      </c>
      <c r="I484">
        <v>1</v>
      </c>
      <c r="J484">
        <v>0.21686740199999999</v>
      </c>
      <c r="K484">
        <v>0.49353125953784899</v>
      </c>
      <c r="L484">
        <v>1</v>
      </c>
      <c r="M484">
        <v>3600.9420420930001</v>
      </c>
      <c r="N484">
        <v>298514</v>
      </c>
      <c r="O484">
        <v>0.23799206677806001</v>
      </c>
      <c r="P484" s="5">
        <v>0.60144898738136798</v>
      </c>
      <c r="Q484">
        <v>1</v>
      </c>
      <c r="R484">
        <v>3631.075081857</v>
      </c>
      <c r="S484">
        <v>58173</v>
      </c>
      <c r="T484">
        <v>2.1792842066417901E-3</v>
      </c>
      <c r="U484">
        <v>36897</v>
      </c>
      <c r="V484" s="5">
        <v>0.57190683018124999</v>
      </c>
      <c r="W484">
        <v>1</v>
      </c>
      <c r="X484">
        <v>3283.6923958739999</v>
      </c>
      <c r="Y484">
        <v>66535</v>
      </c>
      <c r="Z484">
        <v>5.0850045153385502E-3</v>
      </c>
      <c r="AA484">
        <v>20</v>
      </c>
    </row>
    <row r="485" spans="1:27" x14ac:dyDescent="0.2">
      <c r="A485">
        <v>15</v>
      </c>
      <c r="B485">
        <v>1</v>
      </c>
      <c r="C485">
        <v>0.4</v>
      </c>
      <c r="D485">
        <v>20</v>
      </c>
      <c r="E485">
        <v>0.443149524333315</v>
      </c>
      <c r="F485">
        <v>1</v>
      </c>
      <c r="G485">
        <v>29.134157386999998</v>
      </c>
      <c r="H485">
        <v>0.32440353679713502</v>
      </c>
      <c r="I485">
        <v>1</v>
      </c>
      <c r="J485">
        <v>0.144839936</v>
      </c>
      <c r="K485">
        <v>0.343471601051898</v>
      </c>
      <c r="L485">
        <v>1</v>
      </c>
      <c r="M485">
        <v>3601.7540953429998</v>
      </c>
      <c r="N485">
        <v>216161</v>
      </c>
      <c r="O485">
        <v>1.4354913955501301</v>
      </c>
      <c r="P485" s="5">
        <v>0.37556190626254998</v>
      </c>
      <c r="Q485">
        <v>1</v>
      </c>
      <c r="R485">
        <v>3624.3920550490002</v>
      </c>
      <c r="S485">
        <v>33559</v>
      </c>
      <c r="T485">
        <v>5.8247044973224797E-2</v>
      </c>
      <c r="U485">
        <v>24072</v>
      </c>
      <c r="V485" s="5">
        <v>0.35786395570343998</v>
      </c>
      <c r="W485">
        <v>1</v>
      </c>
      <c r="X485">
        <v>3307.7979363710001</v>
      </c>
      <c r="Y485">
        <v>17156</v>
      </c>
      <c r="Z485">
        <v>0.130103758692587</v>
      </c>
      <c r="AA485">
        <v>20</v>
      </c>
    </row>
    <row r="486" spans="1:27" x14ac:dyDescent="0.2">
      <c r="A486">
        <v>15</v>
      </c>
      <c r="B486">
        <v>1</v>
      </c>
      <c r="C486">
        <v>0.1</v>
      </c>
      <c r="D486">
        <v>20</v>
      </c>
      <c r="E486">
        <v>0.95418389698712303</v>
      </c>
      <c r="F486">
        <v>1</v>
      </c>
      <c r="G486">
        <v>26.113610178999998</v>
      </c>
      <c r="H486">
        <v>0.842103850245008</v>
      </c>
      <c r="I486">
        <v>1</v>
      </c>
      <c r="J486">
        <v>0.30765476000000003</v>
      </c>
      <c r="K486">
        <v>0.92230298700935298</v>
      </c>
      <c r="L486">
        <v>1</v>
      </c>
      <c r="M486">
        <v>3600.7952050280001</v>
      </c>
      <c r="N486">
        <v>287431</v>
      </c>
      <c r="O486">
        <v>9.2027244238971295E-2</v>
      </c>
      <c r="P486" s="5">
        <v>1.01596333154011</v>
      </c>
      <c r="Q486">
        <v>1</v>
      </c>
      <c r="R486">
        <v>3651.0545095910002</v>
      </c>
      <c r="S486">
        <v>65764</v>
      </c>
      <c r="T486">
        <v>2.0455408361333099E-3</v>
      </c>
      <c r="U486">
        <v>44132</v>
      </c>
      <c r="V486" s="5">
        <v>0.85252046651376601</v>
      </c>
      <c r="W486">
        <v>1</v>
      </c>
      <c r="X486">
        <v>3374.8558005730001</v>
      </c>
      <c r="Y486">
        <v>68596</v>
      </c>
      <c r="Z486">
        <v>2.6075484475451198E-3</v>
      </c>
      <c r="AA486">
        <v>20</v>
      </c>
    </row>
    <row r="487" spans="1:27" x14ac:dyDescent="0.2">
      <c r="A487">
        <v>15</v>
      </c>
      <c r="B487">
        <v>1</v>
      </c>
      <c r="C487">
        <v>0.4</v>
      </c>
      <c r="D487">
        <v>100</v>
      </c>
      <c r="E487">
        <v>7.2311360587284199E-2</v>
      </c>
      <c r="F487">
        <v>1</v>
      </c>
      <c r="G487">
        <v>27.766278321000001</v>
      </c>
      <c r="H487">
        <v>2.18999264950125E-2</v>
      </c>
      <c r="I487">
        <v>1</v>
      </c>
      <c r="J487">
        <v>0.12639479200000001</v>
      </c>
      <c r="K487">
        <v>2.1294525649175899E-2</v>
      </c>
      <c r="L487">
        <v>1</v>
      </c>
      <c r="M487">
        <v>3600.6646104830002</v>
      </c>
      <c r="N487">
        <v>297395</v>
      </c>
      <c r="O487">
        <v>3.56279102133783E-2</v>
      </c>
      <c r="P487" s="5">
        <v>1.82879688638421E-2</v>
      </c>
      <c r="Q487">
        <v>1</v>
      </c>
      <c r="R487">
        <v>103.788266079</v>
      </c>
      <c r="S487">
        <v>676</v>
      </c>
      <c r="T487">
        <v>3.6920296764648601E-3</v>
      </c>
      <c r="U487">
        <v>476</v>
      </c>
      <c r="V487" s="5">
        <v>1.82879688583194E-2</v>
      </c>
      <c r="W487">
        <v>1</v>
      </c>
      <c r="X487">
        <v>17.874414335000001</v>
      </c>
      <c r="Y487">
        <v>1</v>
      </c>
      <c r="Z487">
        <v>3.0678409079686799E-3</v>
      </c>
      <c r="AA487">
        <v>1</v>
      </c>
    </row>
    <row r="488" spans="1:27" x14ac:dyDescent="0.2">
      <c r="A488">
        <v>15</v>
      </c>
      <c r="B488">
        <v>1</v>
      </c>
      <c r="C488">
        <v>0.1</v>
      </c>
      <c r="D488">
        <v>100</v>
      </c>
      <c r="E488">
        <v>1.70125718173917</v>
      </c>
      <c r="F488">
        <v>1</v>
      </c>
      <c r="G488">
        <v>22.216610252999999</v>
      </c>
      <c r="H488">
        <v>0.69077833067618299</v>
      </c>
      <c r="I488">
        <v>1</v>
      </c>
      <c r="J488">
        <v>0.54847754299999996</v>
      </c>
      <c r="K488">
        <v>0.67044096274513998</v>
      </c>
      <c r="L488">
        <v>1</v>
      </c>
      <c r="M488">
        <v>3600.608427441</v>
      </c>
      <c r="N488">
        <v>541489</v>
      </c>
      <c r="O488">
        <v>5.2860256121000697E-2</v>
      </c>
      <c r="P488" s="5">
        <v>0.55636613309503402</v>
      </c>
      <c r="Q488">
        <v>1</v>
      </c>
      <c r="R488">
        <v>904.03702546199997</v>
      </c>
      <c r="S488">
        <v>13938</v>
      </c>
      <c r="T488">
        <v>4.5628349721948898E-4</v>
      </c>
      <c r="U488">
        <v>13432</v>
      </c>
      <c r="V488" s="5">
        <v>1.2640016197444</v>
      </c>
      <c r="W488">
        <v>1</v>
      </c>
      <c r="X488">
        <v>681.84244434000004</v>
      </c>
      <c r="Y488">
        <v>76593</v>
      </c>
      <c r="Z488">
        <v>5.80453740933087E-4</v>
      </c>
      <c r="AA488">
        <v>13</v>
      </c>
    </row>
    <row r="489" spans="1:27" x14ac:dyDescent="0.2">
      <c r="A489">
        <v>15</v>
      </c>
      <c r="B489">
        <v>1</v>
      </c>
      <c r="C489">
        <v>0.1</v>
      </c>
      <c r="D489">
        <v>100</v>
      </c>
      <c r="E489">
        <v>0.77485666593574198</v>
      </c>
      <c r="F489">
        <v>1</v>
      </c>
      <c r="G489">
        <v>31.079675307999999</v>
      </c>
      <c r="H489">
        <v>0.75648934279357105</v>
      </c>
      <c r="I489">
        <v>1</v>
      </c>
      <c r="J489">
        <v>0.39303356299999997</v>
      </c>
      <c r="K489">
        <v>0.66047517139013601</v>
      </c>
      <c r="L489">
        <v>1</v>
      </c>
      <c r="M489">
        <v>3601.1345857870001</v>
      </c>
      <c r="N489">
        <v>203591</v>
      </c>
      <c r="O489">
        <v>3.9976107537377598E-2</v>
      </c>
      <c r="P489" s="5">
        <v>0.75347698802632201</v>
      </c>
      <c r="Q489">
        <v>1</v>
      </c>
      <c r="R489">
        <v>2172.0821682699998</v>
      </c>
      <c r="S489">
        <v>20658</v>
      </c>
      <c r="T489">
        <v>2.4574395679159E-4</v>
      </c>
      <c r="U489">
        <v>16687</v>
      </c>
      <c r="V489" s="5">
        <v>0.74062537503654202</v>
      </c>
      <c r="W489">
        <v>1</v>
      </c>
      <c r="X489">
        <v>57.304053848000002</v>
      </c>
      <c r="Y489">
        <v>7188</v>
      </c>
      <c r="Z489">
        <v>3.9014208669797102E-4</v>
      </c>
      <c r="AA489">
        <v>1</v>
      </c>
    </row>
    <row r="490" spans="1:27" x14ac:dyDescent="0.2">
      <c r="A490">
        <v>15</v>
      </c>
      <c r="B490">
        <v>1</v>
      </c>
      <c r="C490">
        <v>0.1</v>
      </c>
      <c r="D490">
        <v>100</v>
      </c>
      <c r="E490">
        <v>0.77592059437821304</v>
      </c>
      <c r="F490">
        <v>1</v>
      </c>
      <c r="G490">
        <v>29.674753359</v>
      </c>
      <c r="H490">
        <v>0.68708126197956998</v>
      </c>
      <c r="I490">
        <v>1</v>
      </c>
      <c r="J490">
        <v>0.59252332900000004</v>
      </c>
      <c r="K490">
        <v>0.88825205503467197</v>
      </c>
      <c r="L490">
        <v>1</v>
      </c>
      <c r="M490">
        <v>3601.908249783</v>
      </c>
      <c r="N490">
        <v>396099</v>
      </c>
      <c r="O490">
        <v>1.8526068053370499E-2</v>
      </c>
      <c r="P490" s="5">
        <v>0.72469864142368801</v>
      </c>
      <c r="Q490">
        <v>1</v>
      </c>
      <c r="R490">
        <v>693.62708761099998</v>
      </c>
      <c r="S490">
        <v>4796</v>
      </c>
      <c r="T490" s="1">
        <v>1.20168745557265E-5</v>
      </c>
      <c r="U490">
        <v>4642</v>
      </c>
      <c r="V490" s="5">
        <v>0.85212711819793696</v>
      </c>
      <c r="W490">
        <v>1</v>
      </c>
      <c r="X490">
        <v>216.10354344999999</v>
      </c>
      <c r="Y490">
        <v>1</v>
      </c>
      <c r="Z490">
        <v>3.08176596311434E-4</v>
      </c>
      <c r="AA490">
        <v>9</v>
      </c>
    </row>
    <row r="491" spans="1:27" x14ac:dyDescent="0.2">
      <c r="A491">
        <v>15</v>
      </c>
      <c r="B491">
        <v>1</v>
      </c>
      <c r="C491">
        <v>0.4</v>
      </c>
      <c r="D491">
        <v>100</v>
      </c>
      <c r="E491">
        <v>1.15206882036733E-2</v>
      </c>
      <c r="F491">
        <v>1</v>
      </c>
      <c r="G491">
        <v>28.409370332000002</v>
      </c>
      <c r="H491">
        <v>1.30064576858476E-2</v>
      </c>
      <c r="I491">
        <v>1</v>
      </c>
      <c r="J491">
        <v>5.0370366999999999E-2</v>
      </c>
      <c r="K491">
        <v>1.31756020584368E-2</v>
      </c>
      <c r="L491">
        <v>1</v>
      </c>
      <c r="M491">
        <v>3601.4822538859999</v>
      </c>
      <c r="N491">
        <v>458986</v>
      </c>
      <c r="O491">
        <v>1.3080255306618899E-2</v>
      </c>
      <c r="P491" s="5">
        <v>7.7431316445730003E-3</v>
      </c>
      <c r="Q491">
        <v>1</v>
      </c>
      <c r="R491">
        <v>24.022898697999999</v>
      </c>
      <c r="S491">
        <v>1</v>
      </c>
      <c r="T491">
        <v>3.4590526525295402E-3</v>
      </c>
      <c r="U491">
        <v>4</v>
      </c>
      <c r="V491" s="5">
        <v>7.7431316547160603E-3</v>
      </c>
      <c r="W491">
        <v>1</v>
      </c>
      <c r="X491">
        <v>13.88492265</v>
      </c>
      <c r="Y491">
        <v>1</v>
      </c>
      <c r="Z491">
        <v>8.1433630637400801E-4</v>
      </c>
      <c r="AA491">
        <v>1</v>
      </c>
    </row>
    <row r="492" spans="1:27" x14ac:dyDescent="0.2">
      <c r="A492">
        <v>15</v>
      </c>
      <c r="B492">
        <v>1</v>
      </c>
      <c r="C492">
        <v>0.4</v>
      </c>
      <c r="D492">
        <v>100</v>
      </c>
      <c r="E492">
        <v>1.0621563482485099E-2</v>
      </c>
      <c r="F492">
        <v>1</v>
      </c>
      <c r="G492">
        <v>28.277386258</v>
      </c>
      <c r="H492">
        <v>1.13279155955419E-2</v>
      </c>
      <c r="I492">
        <v>1</v>
      </c>
      <c r="J492">
        <v>4.5100556E-2</v>
      </c>
      <c r="K492">
        <v>1.1270065659347499E-2</v>
      </c>
      <c r="L492">
        <v>1</v>
      </c>
      <c r="M492">
        <v>3601.8978700759999</v>
      </c>
      <c r="N492">
        <v>711252</v>
      </c>
      <c r="O492">
        <v>5.3570920441785496E-3</v>
      </c>
      <c r="P492" s="5">
        <v>6.2266727393179297E-3</v>
      </c>
      <c r="Q492">
        <v>1</v>
      </c>
      <c r="R492">
        <v>23.750579685999998</v>
      </c>
      <c r="S492">
        <v>1</v>
      </c>
      <c r="T492">
        <v>1.89780343503354E-3</v>
      </c>
      <c r="U492">
        <v>4</v>
      </c>
      <c r="V492" s="5">
        <v>6.2266727393179297E-3</v>
      </c>
      <c r="W492">
        <v>1</v>
      </c>
      <c r="X492">
        <v>11.169253587</v>
      </c>
      <c r="Y492">
        <v>1</v>
      </c>
      <c r="Z492">
        <v>3.3810404507385E-3</v>
      </c>
      <c r="AA492">
        <v>1</v>
      </c>
    </row>
    <row r="493" spans="1:27" x14ac:dyDescent="0.2">
      <c r="A493">
        <v>15</v>
      </c>
      <c r="B493">
        <v>1</v>
      </c>
      <c r="C493">
        <v>0.4</v>
      </c>
      <c r="D493">
        <v>100</v>
      </c>
      <c r="E493">
        <v>1.4088663710346E-2</v>
      </c>
      <c r="F493">
        <v>1</v>
      </c>
      <c r="G493">
        <v>28.066102526000002</v>
      </c>
      <c r="H493">
        <v>2.2419960168271399E-2</v>
      </c>
      <c r="I493">
        <v>1</v>
      </c>
      <c r="J493">
        <v>6.2440600999999998E-2</v>
      </c>
      <c r="K493">
        <v>0.23703159017988501</v>
      </c>
      <c r="L493">
        <v>1</v>
      </c>
      <c r="M493">
        <v>3602.0644234000001</v>
      </c>
      <c r="N493">
        <v>318480</v>
      </c>
      <c r="O493">
        <v>0.758542655335122</v>
      </c>
      <c r="P493" s="5">
        <v>1.7153529954431399E-2</v>
      </c>
      <c r="Q493">
        <v>1</v>
      </c>
      <c r="R493">
        <v>33.065486614000001</v>
      </c>
      <c r="S493">
        <v>59</v>
      </c>
      <c r="T493">
        <v>2.1513938571333601E-3</v>
      </c>
      <c r="U493">
        <v>40</v>
      </c>
      <c r="V493" s="5">
        <v>1.71535299515252E-2</v>
      </c>
      <c r="W493">
        <v>1</v>
      </c>
      <c r="X493">
        <v>21.510286247</v>
      </c>
      <c r="Y493">
        <v>391</v>
      </c>
      <c r="Z493">
        <v>2.11271260714285E-3</v>
      </c>
      <c r="AA493">
        <v>1</v>
      </c>
    </row>
    <row r="494" spans="1:27" x14ac:dyDescent="0.2">
      <c r="A494">
        <v>15</v>
      </c>
      <c r="B494">
        <v>1</v>
      </c>
      <c r="C494">
        <v>0.1</v>
      </c>
      <c r="D494">
        <v>100</v>
      </c>
      <c r="E494">
        <v>0.86941327093403198</v>
      </c>
      <c r="F494">
        <v>1</v>
      </c>
      <c r="G494">
        <v>27.736262422999999</v>
      </c>
      <c r="H494">
        <v>0.814328431720311</v>
      </c>
      <c r="I494">
        <v>1</v>
      </c>
      <c r="J494">
        <v>0.36450849400000002</v>
      </c>
      <c r="K494">
        <v>0.91748505319560802</v>
      </c>
      <c r="L494">
        <v>1</v>
      </c>
      <c r="M494">
        <v>3600.9384204910002</v>
      </c>
      <c r="N494">
        <v>249055</v>
      </c>
      <c r="O494">
        <v>2.0521179052003399E-2</v>
      </c>
      <c r="P494" s="5">
        <v>0.90112797310580195</v>
      </c>
      <c r="Q494">
        <v>1</v>
      </c>
      <c r="R494">
        <v>430.09040001</v>
      </c>
      <c r="S494">
        <v>7159</v>
      </c>
      <c r="T494" s="1">
        <v>3.5897548001172203E-5</v>
      </c>
      <c r="U494">
        <v>6735</v>
      </c>
      <c r="V494" s="5">
        <v>0.88430346820433003</v>
      </c>
      <c r="W494">
        <v>1</v>
      </c>
      <c r="X494">
        <v>496.28597215100001</v>
      </c>
      <c r="Y494">
        <v>13687</v>
      </c>
      <c r="Z494">
        <v>1.4633288929506499E-4</v>
      </c>
      <c r="AA494">
        <v>10</v>
      </c>
    </row>
    <row r="495" spans="1:27" x14ac:dyDescent="0.2">
      <c r="A495">
        <v>15</v>
      </c>
      <c r="B495">
        <v>1</v>
      </c>
      <c r="C495">
        <v>0.4</v>
      </c>
      <c r="D495">
        <v>100</v>
      </c>
      <c r="E495">
        <v>6.3635310495225694E-2</v>
      </c>
      <c r="F495">
        <v>1</v>
      </c>
      <c r="G495">
        <v>28.951546144000002</v>
      </c>
      <c r="H495">
        <v>2.9800128036961301E-2</v>
      </c>
      <c r="I495">
        <v>1</v>
      </c>
      <c r="J495">
        <v>0.13426123300000001</v>
      </c>
      <c r="K495">
        <v>2.97644712288853E-2</v>
      </c>
      <c r="L495">
        <v>1</v>
      </c>
      <c r="M495">
        <v>3601.2257455549998</v>
      </c>
      <c r="N495">
        <v>329272</v>
      </c>
      <c r="O495">
        <v>6.0321616949209997E-2</v>
      </c>
      <c r="P495" s="5">
        <v>3.74643034080002E-2</v>
      </c>
      <c r="Q495">
        <v>1</v>
      </c>
      <c r="R495">
        <v>476.24198393699999</v>
      </c>
      <c r="S495">
        <v>6808</v>
      </c>
      <c r="T495">
        <v>6.6082047764869298E-3</v>
      </c>
      <c r="U495">
        <v>5371</v>
      </c>
      <c r="V495" s="5">
        <v>1.44488202928053E-2</v>
      </c>
      <c r="W495">
        <v>1</v>
      </c>
      <c r="X495">
        <v>2471.5588712990002</v>
      </c>
      <c r="Y495">
        <v>14163</v>
      </c>
      <c r="Z495">
        <v>5.0752079086233597E-3</v>
      </c>
      <c r="AA495">
        <v>20</v>
      </c>
    </row>
    <row r="496" spans="1:27" x14ac:dyDescent="0.2">
      <c r="A496">
        <v>15</v>
      </c>
      <c r="B496">
        <v>1</v>
      </c>
      <c r="C496">
        <v>0.2</v>
      </c>
      <c r="D496">
        <v>100</v>
      </c>
      <c r="E496">
        <v>0.37024355596525099</v>
      </c>
      <c r="F496">
        <v>1</v>
      </c>
      <c r="G496">
        <v>28.363404383999999</v>
      </c>
      <c r="H496">
        <v>0.34399110743622402</v>
      </c>
      <c r="I496">
        <v>1</v>
      </c>
      <c r="J496">
        <v>0.22628937599999999</v>
      </c>
      <c r="K496">
        <v>0.342502931776967</v>
      </c>
      <c r="L496">
        <v>1</v>
      </c>
      <c r="M496">
        <v>3601.2835431369999</v>
      </c>
      <c r="N496">
        <v>434931</v>
      </c>
      <c r="O496">
        <v>5.8396701681566299E-2</v>
      </c>
      <c r="P496" s="5">
        <v>0.35900919603266002</v>
      </c>
      <c r="Q496">
        <v>1</v>
      </c>
      <c r="R496">
        <v>420.71126109400001</v>
      </c>
      <c r="S496">
        <v>4955</v>
      </c>
      <c r="T496">
        <v>1.26226681913887E-3</v>
      </c>
      <c r="U496">
        <v>4388</v>
      </c>
      <c r="V496" s="5">
        <v>0.320618922432372</v>
      </c>
      <c r="W496">
        <v>1</v>
      </c>
      <c r="X496">
        <v>672.94509076600002</v>
      </c>
      <c r="Y496">
        <v>43774</v>
      </c>
      <c r="Z496">
        <v>8.5467868646460499E-4</v>
      </c>
      <c r="AA496">
        <v>19</v>
      </c>
    </row>
    <row r="497" spans="1:27" x14ac:dyDescent="0.2">
      <c r="A497">
        <v>15</v>
      </c>
      <c r="B497">
        <v>1</v>
      </c>
      <c r="C497">
        <v>0.3</v>
      </c>
      <c r="D497">
        <v>100</v>
      </c>
      <c r="E497">
        <v>0.36907106385544902</v>
      </c>
      <c r="F497">
        <v>1</v>
      </c>
      <c r="G497">
        <v>28.390887487000001</v>
      </c>
      <c r="H497">
        <v>0.105441397908836</v>
      </c>
      <c r="I497">
        <v>1</v>
      </c>
      <c r="J497">
        <v>0.22812985899999999</v>
      </c>
      <c r="K497">
        <v>0.32984628389144899</v>
      </c>
      <c r="L497">
        <v>1</v>
      </c>
      <c r="M497">
        <v>3603.1663721559999</v>
      </c>
      <c r="N497">
        <v>265068</v>
      </c>
      <c r="O497">
        <v>0.83316301267291504</v>
      </c>
      <c r="P497" s="5">
        <v>0.21605554065222901</v>
      </c>
      <c r="Q497">
        <v>1</v>
      </c>
      <c r="R497">
        <v>2171.2019515749998</v>
      </c>
      <c r="S497">
        <v>23668</v>
      </c>
      <c r="T497">
        <v>2.3610550223199201E-3</v>
      </c>
      <c r="U497">
        <v>17063</v>
      </c>
      <c r="V497" s="5">
        <v>0.20604954841760001</v>
      </c>
      <c r="W497">
        <v>1</v>
      </c>
      <c r="X497">
        <v>3088.3163802680001</v>
      </c>
      <c r="Y497">
        <v>8958</v>
      </c>
      <c r="Z497">
        <v>7.6103279774581397E-3</v>
      </c>
      <c r="AA497">
        <v>20</v>
      </c>
    </row>
    <row r="498" spans="1:27" x14ac:dyDescent="0.2">
      <c r="A498">
        <v>15</v>
      </c>
      <c r="B498">
        <v>1</v>
      </c>
      <c r="C498">
        <v>0.1</v>
      </c>
      <c r="D498">
        <v>100</v>
      </c>
      <c r="E498">
        <v>0.96798311961550199</v>
      </c>
      <c r="F498">
        <v>1</v>
      </c>
      <c r="G498">
        <v>26.007493805999999</v>
      </c>
      <c r="H498">
        <v>0.96798311961550199</v>
      </c>
      <c r="I498">
        <v>1</v>
      </c>
      <c r="J498">
        <v>3.2011256000000002E-2</v>
      </c>
      <c r="K498">
        <v>0.60215966721884895</v>
      </c>
      <c r="L498">
        <v>1</v>
      </c>
      <c r="M498">
        <v>3601.338330776</v>
      </c>
      <c r="N498">
        <v>262085</v>
      </c>
      <c r="O498">
        <v>8.4678598693244497E-2</v>
      </c>
      <c r="P498" s="5">
        <v>1.19913123139827</v>
      </c>
      <c r="Q498">
        <v>1</v>
      </c>
      <c r="R498">
        <v>3010.605055125</v>
      </c>
      <c r="S498">
        <v>40393</v>
      </c>
      <c r="T498">
        <v>9.0939921406650505E-4</v>
      </c>
      <c r="U498">
        <v>28060</v>
      </c>
      <c r="V498" s="5">
        <v>1.1654035022421101</v>
      </c>
      <c r="W498">
        <v>1</v>
      </c>
      <c r="X498">
        <v>2651.6947198540001</v>
      </c>
      <c r="Y498">
        <v>32453</v>
      </c>
      <c r="Z498">
        <v>2.0847902852762501E-3</v>
      </c>
      <c r="AA498">
        <v>20</v>
      </c>
    </row>
    <row r="499" spans="1:27" x14ac:dyDescent="0.2">
      <c r="A499">
        <v>15</v>
      </c>
      <c r="B499">
        <v>1</v>
      </c>
      <c r="C499">
        <v>0.2</v>
      </c>
      <c r="D499">
        <v>100</v>
      </c>
      <c r="E499">
        <v>0.65732101566475598</v>
      </c>
      <c r="F499">
        <v>1</v>
      </c>
      <c r="G499">
        <v>28.913366054000001</v>
      </c>
      <c r="H499">
        <v>0.65428962220176701</v>
      </c>
      <c r="I499">
        <v>1</v>
      </c>
      <c r="J499">
        <v>8.6938024000000003E-2</v>
      </c>
      <c r="K499">
        <v>0.82050357528982998</v>
      </c>
      <c r="L499">
        <v>1</v>
      </c>
      <c r="M499">
        <v>3600.6418437580001</v>
      </c>
      <c r="N499">
        <v>279578</v>
      </c>
      <c r="O499">
        <v>6.0074415170418199E-2</v>
      </c>
      <c r="P499" s="5">
        <v>0.72301497074007104</v>
      </c>
      <c r="Q499">
        <v>1</v>
      </c>
      <c r="R499">
        <v>712.00059963800004</v>
      </c>
      <c r="S499">
        <v>13772</v>
      </c>
      <c r="T499">
        <v>3.7637188984147797E-4</v>
      </c>
      <c r="U499">
        <v>9368</v>
      </c>
      <c r="V499" s="5">
        <v>0.65562765178454196</v>
      </c>
      <c r="W499">
        <v>1</v>
      </c>
      <c r="X499">
        <v>210.12639933899999</v>
      </c>
      <c r="Y499">
        <v>9663</v>
      </c>
      <c r="Z499">
        <v>6.2589605400881199E-4</v>
      </c>
      <c r="AA499">
        <v>4</v>
      </c>
    </row>
    <row r="500" spans="1:27" x14ac:dyDescent="0.2">
      <c r="A500">
        <v>15</v>
      </c>
      <c r="B500">
        <v>1</v>
      </c>
      <c r="C500">
        <v>0.2</v>
      </c>
      <c r="D500">
        <v>100</v>
      </c>
      <c r="E500">
        <v>0.57849869771986095</v>
      </c>
      <c r="F500">
        <v>1</v>
      </c>
      <c r="G500">
        <v>22.518942989999999</v>
      </c>
      <c r="H500">
        <v>0.31189606224757599</v>
      </c>
      <c r="I500">
        <v>1</v>
      </c>
      <c r="J500">
        <v>0.44859741400000003</v>
      </c>
      <c r="K500">
        <v>0.30539230865648698</v>
      </c>
      <c r="L500">
        <v>1</v>
      </c>
      <c r="M500">
        <v>3600.6434930270002</v>
      </c>
      <c r="N500">
        <v>470340</v>
      </c>
      <c r="O500">
        <v>0.16157256661865499</v>
      </c>
      <c r="P500" s="5">
        <v>0.65264346486906699</v>
      </c>
      <c r="Q500">
        <v>1</v>
      </c>
      <c r="R500">
        <v>3634.3771535189999</v>
      </c>
      <c r="S500">
        <v>90833</v>
      </c>
      <c r="T500">
        <v>2.4896870494464599E-3</v>
      </c>
      <c r="U500">
        <v>55198</v>
      </c>
      <c r="V500" s="5">
        <v>0.415137550149763</v>
      </c>
      <c r="W500">
        <v>1</v>
      </c>
      <c r="X500">
        <v>2817.3872512110001</v>
      </c>
      <c r="Y500">
        <v>30045</v>
      </c>
      <c r="Z500">
        <v>2.7057475467818998E-3</v>
      </c>
      <c r="AA500">
        <v>20</v>
      </c>
    </row>
    <row r="501" spans="1:27" x14ac:dyDescent="0.2">
      <c r="A501">
        <v>15</v>
      </c>
      <c r="B501">
        <v>1</v>
      </c>
      <c r="C501">
        <v>0.4</v>
      </c>
      <c r="D501">
        <v>100</v>
      </c>
      <c r="E501">
        <v>0.13130110229084699</v>
      </c>
      <c r="F501">
        <v>1</v>
      </c>
      <c r="G501">
        <v>28.525813498000002</v>
      </c>
      <c r="H501">
        <v>6.0500589611806099E-2</v>
      </c>
      <c r="I501">
        <v>1</v>
      </c>
      <c r="J501">
        <v>0.146517273</v>
      </c>
      <c r="K501">
        <v>5.97266032338023E-2</v>
      </c>
      <c r="L501">
        <v>1</v>
      </c>
      <c r="M501">
        <v>3601.3937442189999</v>
      </c>
      <c r="N501">
        <v>600463</v>
      </c>
      <c r="O501">
        <v>3.6831849159817402E-2</v>
      </c>
      <c r="P501" s="5">
        <v>0.19715985167911601</v>
      </c>
      <c r="Q501">
        <v>1</v>
      </c>
      <c r="R501">
        <v>617.39524100699998</v>
      </c>
      <c r="S501">
        <v>9523</v>
      </c>
      <c r="T501">
        <v>3.22403604219845E-3</v>
      </c>
      <c r="U501">
        <v>7648</v>
      </c>
      <c r="V501" s="5">
        <v>0.150546953513329</v>
      </c>
      <c r="W501">
        <v>1</v>
      </c>
      <c r="X501">
        <v>2387.2405989600002</v>
      </c>
      <c r="Y501">
        <v>15504</v>
      </c>
      <c r="Z501">
        <v>3.8659143922559198E-3</v>
      </c>
      <c r="AA501">
        <v>20</v>
      </c>
    </row>
    <row r="502" spans="1:27" x14ac:dyDescent="0.2">
      <c r="A502">
        <v>15</v>
      </c>
      <c r="B502">
        <v>1</v>
      </c>
      <c r="C502">
        <v>0.3</v>
      </c>
      <c r="D502">
        <v>100</v>
      </c>
      <c r="E502">
        <v>0.58471835388495597</v>
      </c>
      <c r="F502">
        <v>1</v>
      </c>
      <c r="G502">
        <v>22.327403749999998</v>
      </c>
      <c r="H502">
        <v>0.548436967482547</v>
      </c>
      <c r="I502">
        <v>1</v>
      </c>
      <c r="J502">
        <v>0.15920659500000001</v>
      </c>
      <c r="K502">
        <v>0.54844549032715795</v>
      </c>
      <c r="L502">
        <v>1</v>
      </c>
      <c r="M502">
        <v>3600.913379055</v>
      </c>
      <c r="N502">
        <v>408782</v>
      </c>
      <c r="O502">
        <v>4.7098925489020602E-2</v>
      </c>
      <c r="P502" s="5">
        <v>0.73498518073641805</v>
      </c>
      <c r="Q502">
        <v>1</v>
      </c>
      <c r="R502">
        <v>3621.8903865440002</v>
      </c>
      <c r="S502">
        <v>70947</v>
      </c>
      <c r="T502">
        <v>3.2074145778165E-3</v>
      </c>
      <c r="U502">
        <v>43277</v>
      </c>
      <c r="V502" s="5">
        <v>0.559233739738488</v>
      </c>
      <c r="W502">
        <v>1</v>
      </c>
      <c r="X502">
        <v>3095.5263441520001</v>
      </c>
      <c r="Y502">
        <v>31018</v>
      </c>
      <c r="Z502">
        <v>1.0112415503063099E-2</v>
      </c>
      <c r="AA502">
        <v>20</v>
      </c>
    </row>
    <row r="503" spans="1:27" x14ac:dyDescent="0.2">
      <c r="A503">
        <v>15</v>
      </c>
      <c r="B503">
        <v>1</v>
      </c>
      <c r="C503">
        <v>0.3</v>
      </c>
      <c r="D503">
        <v>100</v>
      </c>
      <c r="E503">
        <v>7.7558835126546294E-2</v>
      </c>
      <c r="F503">
        <v>1</v>
      </c>
      <c r="G503">
        <v>27.758909934999998</v>
      </c>
      <c r="H503">
        <v>5.2225351323548899E-2</v>
      </c>
      <c r="I503">
        <v>1</v>
      </c>
      <c r="J503">
        <v>7.7908957000000001E-2</v>
      </c>
      <c r="K503">
        <v>7.9021280906004396E-2</v>
      </c>
      <c r="L503">
        <v>1</v>
      </c>
      <c r="M503">
        <v>3602.0969496570001</v>
      </c>
      <c r="N503">
        <v>181617</v>
      </c>
      <c r="O503">
        <v>4.5550371233019797E-2</v>
      </c>
      <c r="P503" s="5">
        <v>0.25597347067819898</v>
      </c>
      <c r="Q503">
        <v>1</v>
      </c>
      <c r="R503">
        <v>3311.4262322700001</v>
      </c>
      <c r="S503">
        <v>37107</v>
      </c>
      <c r="T503">
        <v>4.4851491055632799E-4</v>
      </c>
      <c r="U503">
        <v>22712</v>
      </c>
      <c r="V503" s="5">
        <v>8.9987825243060704E-2</v>
      </c>
      <c r="W503">
        <v>1</v>
      </c>
      <c r="X503">
        <v>3186.888087279</v>
      </c>
      <c r="Y503">
        <v>28581</v>
      </c>
      <c r="Z503">
        <v>1.9213142900359099E-3</v>
      </c>
      <c r="AA503">
        <v>20</v>
      </c>
    </row>
    <row r="504" spans="1:27" x14ac:dyDescent="0.2">
      <c r="A504">
        <v>15</v>
      </c>
      <c r="B504">
        <v>1</v>
      </c>
      <c r="C504">
        <v>0.3</v>
      </c>
      <c r="D504">
        <v>100</v>
      </c>
      <c r="E504">
        <v>0.20404126649225399</v>
      </c>
      <c r="F504">
        <v>1</v>
      </c>
      <c r="G504">
        <v>28.738145722999999</v>
      </c>
      <c r="H504">
        <v>6.9703574816409195E-2</v>
      </c>
      <c r="I504">
        <v>1</v>
      </c>
      <c r="J504">
        <v>0.25152592600000001</v>
      </c>
      <c r="K504">
        <v>0.37739555611395498</v>
      </c>
      <c r="L504">
        <v>1</v>
      </c>
      <c r="M504">
        <v>3602.9889737909998</v>
      </c>
      <c r="N504">
        <v>138053</v>
      </c>
      <c r="O504">
        <v>1.1077855234262699</v>
      </c>
      <c r="P504" s="5">
        <v>0.20990017229716801</v>
      </c>
      <c r="Q504">
        <v>1</v>
      </c>
      <c r="R504">
        <v>3254.516114516</v>
      </c>
      <c r="S504">
        <v>45847</v>
      </c>
      <c r="T504">
        <v>2.50225073506188E-3</v>
      </c>
      <c r="U504">
        <v>30435</v>
      </c>
      <c r="V504" s="5">
        <v>6.4945527777141396E-2</v>
      </c>
      <c r="W504">
        <v>1</v>
      </c>
      <c r="X504">
        <v>333.00823140799997</v>
      </c>
      <c r="Y504">
        <v>7</v>
      </c>
      <c r="Z504">
        <v>1.49490069600482E-2</v>
      </c>
      <c r="AA504">
        <v>2</v>
      </c>
    </row>
    <row r="505" spans="1:27" x14ac:dyDescent="0.2">
      <c r="A505">
        <v>15</v>
      </c>
      <c r="B505">
        <v>1</v>
      </c>
      <c r="C505">
        <v>0.1</v>
      </c>
      <c r="D505">
        <v>100</v>
      </c>
      <c r="E505">
        <v>0.94269651494072804</v>
      </c>
      <c r="F505">
        <v>1</v>
      </c>
      <c r="G505">
        <v>28.402821221</v>
      </c>
      <c r="H505">
        <v>0.91044992989287699</v>
      </c>
      <c r="I505">
        <v>1</v>
      </c>
      <c r="J505">
        <v>0.41924360399999999</v>
      </c>
      <c r="K505">
        <v>0.941291237499713</v>
      </c>
      <c r="L505">
        <v>1</v>
      </c>
      <c r="M505">
        <v>3601.0342735610002</v>
      </c>
      <c r="N505">
        <v>243296</v>
      </c>
      <c r="O505">
        <v>1.1007653858872301E-2</v>
      </c>
      <c r="P505" s="5">
        <v>1.04870477692773</v>
      </c>
      <c r="Q505">
        <v>1</v>
      </c>
      <c r="R505">
        <v>2394.3384420739999</v>
      </c>
      <c r="S505">
        <v>37333</v>
      </c>
      <c r="T505" s="1">
        <v>6.5821275498340902E-5</v>
      </c>
      <c r="U505">
        <v>24203</v>
      </c>
      <c r="V505" s="5">
        <v>0.94978553381224595</v>
      </c>
      <c r="W505">
        <v>1</v>
      </c>
      <c r="X505">
        <v>1061.1789175890001</v>
      </c>
      <c r="Y505">
        <v>18463</v>
      </c>
      <c r="Z505">
        <v>8.3616952972156099E-4</v>
      </c>
      <c r="AA505">
        <v>10</v>
      </c>
    </row>
    <row r="506" spans="1:27" x14ac:dyDescent="0.2">
      <c r="A506">
        <v>15</v>
      </c>
      <c r="B506">
        <v>1</v>
      </c>
      <c r="C506">
        <v>0.2</v>
      </c>
      <c r="D506">
        <v>100</v>
      </c>
      <c r="E506">
        <v>0.58064689265986502</v>
      </c>
      <c r="F506">
        <v>1</v>
      </c>
      <c r="G506">
        <v>25.594087149</v>
      </c>
      <c r="H506">
        <v>0.46679046893792697</v>
      </c>
      <c r="I506">
        <v>1</v>
      </c>
      <c r="J506">
        <v>0.26471675099999997</v>
      </c>
      <c r="K506">
        <v>0.64032778173647398</v>
      </c>
      <c r="L506">
        <v>1</v>
      </c>
      <c r="M506">
        <v>3602.2870710890002</v>
      </c>
      <c r="N506">
        <v>196445</v>
      </c>
      <c r="O506">
        <v>9.5146979868014001E-2</v>
      </c>
      <c r="P506" s="5">
        <v>0.67092089210612804</v>
      </c>
      <c r="Q506">
        <v>1</v>
      </c>
      <c r="R506">
        <v>3638.137969675</v>
      </c>
      <c r="S506">
        <v>34457</v>
      </c>
      <c r="T506">
        <v>2.3461878670744899E-3</v>
      </c>
      <c r="U506">
        <v>24597</v>
      </c>
      <c r="V506" s="5">
        <v>0.64869146477555695</v>
      </c>
      <c r="W506">
        <v>1</v>
      </c>
      <c r="X506">
        <v>3353.3929821000002</v>
      </c>
      <c r="Y506">
        <v>12170</v>
      </c>
      <c r="Z506">
        <v>1.9710789673212199E-3</v>
      </c>
      <c r="AA506">
        <v>20</v>
      </c>
    </row>
    <row r="507" spans="1:27" x14ac:dyDescent="0.2">
      <c r="A507">
        <v>15</v>
      </c>
      <c r="B507">
        <v>1</v>
      </c>
      <c r="C507">
        <v>0.4</v>
      </c>
      <c r="D507">
        <v>100</v>
      </c>
      <c r="E507">
        <v>0.44604135945768097</v>
      </c>
      <c r="F507">
        <v>1</v>
      </c>
      <c r="G507">
        <v>27.64692329</v>
      </c>
      <c r="H507">
        <v>0.214288057793831</v>
      </c>
      <c r="I507">
        <v>1</v>
      </c>
      <c r="J507">
        <v>0.421388867</v>
      </c>
      <c r="K507">
        <v>0.21125821998177399</v>
      </c>
      <c r="L507">
        <v>1</v>
      </c>
      <c r="M507">
        <v>3601.174837557</v>
      </c>
      <c r="N507">
        <v>402308</v>
      </c>
      <c r="O507">
        <v>0.121334691971114</v>
      </c>
      <c r="P507" s="5">
        <v>0.39422178362546301</v>
      </c>
      <c r="Q507">
        <v>1</v>
      </c>
      <c r="R507">
        <v>3664.237979387</v>
      </c>
      <c r="S507">
        <v>55145</v>
      </c>
      <c r="T507">
        <v>6.7170380554073999E-3</v>
      </c>
      <c r="U507">
        <v>36506</v>
      </c>
      <c r="V507" s="5">
        <v>0.39729911962827902</v>
      </c>
      <c r="W507">
        <v>1</v>
      </c>
      <c r="X507">
        <v>3338.39540631</v>
      </c>
      <c r="Y507">
        <v>35865</v>
      </c>
      <c r="Z507">
        <v>3.3866069933357598E-2</v>
      </c>
      <c r="AA507">
        <v>20</v>
      </c>
    </row>
    <row r="508" spans="1:27" x14ac:dyDescent="0.2">
      <c r="A508">
        <v>15</v>
      </c>
      <c r="B508">
        <v>1</v>
      </c>
      <c r="C508">
        <v>0.2</v>
      </c>
      <c r="D508">
        <v>100</v>
      </c>
      <c r="E508">
        <v>0.63580948027548301</v>
      </c>
      <c r="F508">
        <v>1</v>
      </c>
      <c r="G508">
        <v>28.934777502999999</v>
      </c>
      <c r="H508">
        <v>0.55663623388568495</v>
      </c>
      <c r="I508">
        <v>1</v>
      </c>
      <c r="J508">
        <v>0.15862273800000001</v>
      </c>
      <c r="K508">
        <v>0.28271759525600298</v>
      </c>
      <c r="L508">
        <v>1</v>
      </c>
      <c r="M508">
        <v>3601.464666584</v>
      </c>
      <c r="N508">
        <v>171130</v>
      </c>
      <c r="O508">
        <v>0.224801207551623</v>
      </c>
      <c r="P508" s="5">
        <v>1.04142719878288</v>
      </c>
      <c r="Q508">
        <v>1</v>
      </c>
      <c r="R508">
        <v>3706.5217091509999</v>
      </c>
      <c r="S508">
        <v>39105</v>
      </c>
      <c r="T508">
        <v>2.3208277632858201E-3</v>
      </c>
      <c r="U508">
        <v>25897</v>
      </c>
      <c r="V508" s="5">
        <v>7.5971639527857002E-2</v>
      </c>
      <c r="W508">
        <v>1</v>
      </c>
      <c r="X508">
        <v>3162.7759708170001</v>
      </c>
      <c r="Y508">
        <v>27908</v>
      </c>
      <c r="Z508">
        <v>2.4346038346845901E-3</v>
      </c>
      <c r="AA508">
        <v>20</v>
      </c>
    </row>
    <row r="509" spans="1:27" x14ac:dyDescent="0.2">
      <c r="A509">
        <v>15</v>
      </c>
      <c r="B509">
        <v>1</v>
      </c>
      <c r="C509">
        <v>0.4</v>
      </c>
      <c r="D509">
        <v>100</v>
      </c>
      <c r="E509">
        <v>0.13054013406441201</v>
      </c>
      <c r="F509">
        <v>1</v>
      </c>
      <c r="G509">
        <v>26.251865048999999</v>
      </c>
      <c r="H509">
        <v>4.9488129653639197E-2</v>
      </c>
      <c r="I509">
        <v>1</v>
      </c>
      <c r="J509">
        <v>0.14272046399999999</v>
      </c>
      <c r="K509">
        <v>0.12936833662570599</v>
      </c>
      <c r="L509">
        <v>1</v>
      </c>
      <c r="M509">
        <v>3601.209434421</v>
      </c>
      <c r="N509">
        <v>328483</v>
      </c>
      <c r="O509">
        <v>0.174450171390581</v>
      </c>
      <c r="P509" s="5">
        <v>0.43027198979620901</v>
      </c>
      <c r="Q509">
        <v>1</v>
      </c>
      <c r="R509">
        <v>3718.130455424</v>
      </c>
      <c r="S509">
        <v>35640</v>
      </c>
      <c r="T509">
        <v>4.4042853274223401E-3</v>
      </c>
      <c r="U509">
        <v>23187</v>
      </c>
      <c r="V509" s="5">
        <v>0.12748820214633599</v>
      </c>
      <c r="W509">
        <v>1</v>
      </c>
      <c r="X509">
        <v>3160.2640217889998</v>
      </c>
      <c r="Y509">
        <v>6837</v>
      </c>
      <c r="Z509">
        <v>9.6971016550002898E-3</v>
      </c>
      <c r="AA509">
        <v>20</v>
      </c>
    </row>
    <row r="510" spans="1:27" x14ac:dyDescent="0.2">
      <c r="A510">
        <v>15</v>
      </c>
      <c r="B510">
        <v>1</v>
      </c>
      <c r="C510">
        <v>0.1</v>
      </c>
      <c r="D510">
        <v>100</v>
      </c>
      <c r="E510">
        <v>0.90756445233806204</v>
      </c>
      <c r="F510">
        <v>1</v>
      </c>
      <c r="G510">
        <v>28.26869773</v>
      </c>
      <c r="H510">
        <v>0.82174246724493505</v>
      </c>
      <c r="I510">
        <v>1</v>
      </c>
      <c r="J510">
        <v>0.640404168</v>
      </c>
      <c r="K510">
        <v>0.77451467944085495</v>
      </c>
      <c r="L510">
        <v>1</v>
      </c>
      <c r="M510">
        <v>3601.103888911</v>
      </c>
      <c r="N510">
        <v>207449</v>
      </c>
      <c r="O510">
        <v>3.10602035874534E-2</v>
      </c>
      <c r="P510" s="5">
        <v>0.97769156840900395</v>
      </c>
      <c r="Q510">
        <v>1</v>
      </c>
      <c r="R510">
        <v>256.08533143699998</v>
      </c>
      <c r="S510">
        <v>3232</v>
      </c>
      <c r="T510" s="1">
        <v>5.9306839831133698E-5</v>
      </c>
      <c r="U510">
        <v>3171</v>
      </c>
      <c r="V510" s="5">
        <v>0.95265468756355698</v>
      </c>
      <c r="W510">
        <v>1</v>
      </c>
      <c r="X510">
        <v>2728.4862467029998</v>
      </c>
      <c r="Y510">
        <v>33012</v>
      </c>
      <c r="Z510">
        <v>4.6568560826238103E-4</v>
      </c>
      <c r="AA510">
        <v>20</v>
      </c>
    </row>
    <row r="511" spans="1:27" x14ac:dyDescent="0.2">
      <c r="A511">
        <v>15</v>
      </c>
      <c r="B511">
        <v>1</v>
      </c>
      <c r="C511">
        <v>0.1</v>
      </c>
      <c r="D511">
        <v>100</v>
      </c>
      <c r="E511">
        <v>0.80597514343042698</v>
      </c>
      <c r="F511">
        <v>1</v>
      </c>
      <c r="G511">
        <v>26.268677409999999</v>
      </c>
      <c r="H511">
        <v>0.77589740812293095</v>
      </c>
      <c r="I511">
        <v>1</v>
      </c>
      <c r="J511">
        <v>0.16332476500000001</v>
      </c>
      <c r="K511">
        <v>0.66579395616120396</v>
      </c>
      <c r="L511">
        <v>1</v>
      </c>
      <c r="M511">
        <v>3600.7198806169999</v>
      </c>
      <c r="N511">
        <v>227231</v>
      </c>
      <c r="O511">
        <v>6.0136601681064002E-2</v>
      </c>
      <c r="P511" s="5">
        <v>0.70479819831625001</v>
      </c>
      <c r="Q511">
        <v>1</v>
      </c>
      <c r="R511">
        <v>3642.258361914</v>
      </c>
      <c r="S511">
        <v>68252</v>
      </c>
      <c r="T511">
        <v>1.2352134103947299E-3</v>
      </c>
      <c r="U511">
        <v>45897</v>
      </c>
      <c r="V511" s="5">
        <v>0.67583184062256296</v>
      </c>
      <c r="W511">
        <v>1</v>
      </c>
      <c r="X511">
        <v>3484.5529079329999</v>
      </c>
      <c r="Y511">
        <v>72736</v>
      </c>
      <c r="Z511">
        <v>1.1929412789877299E-3</v>
      </c>
      <c r="AA511">
        <v>20</v>
      </c>
    </row>
    <row r="512" spans="1:27" x14ac:dyDescent="0.2">
      <c r="A512">
        <v>15</v>
      </c>
      <c r="B512">
        <v>1</v>
      </c>
      <c r="C512">
        <v>0.2</v>
      </c>
      <c r="D512">
        <v>100</v>
      </c>
      <c r="E512">
        <v>0.48845329669041898</v>
      </c>
      <c r="F512">
        <v>1</v>
      </c>
      <c r="G512">
        <v>28.695967720999999</v>
      </c>
      <c r="H512">
        <v>0.28608818941029401</v>
      </c>
      <c r="I512">
        <v>1</v>
      </c>
      <c r="J512">
        <v>0.25894737400000001</v>
      </c>
      <c r="K512">
        <v>0.283031790486097</v>
      </c>
      <c r="L512">
        <v>1</v>
      </c>
      <c r="M512">
        <v>3601.2344779499999</v>
      </c>
      <c r="N512">
        <v>392705</v>
      </c>
      <c r="O512">
        <v>0.19963443759202801</v>
      </c>
      <c r="P512" s="5">
        <v>0.67276307898903898</v>
      </c>
      <c r="Q512">
        <v>1</v>
      </c>
      <c r="R512">
        <v>3662.5455282940002</v>
      </c>
      <c r="S512">
        <v>52303</v>
      </c>
      <c r="T512">
        <v>5.7137612916796903E-3</v>
      </c>
      <c r="U512">
        <v>38335</v>
      </c>
      <c r="V512" s="5">
        <v>0.34242143194150898</v>
      </c>
      <c r="W512">
        <v>1</v>
      </c>
      <c r="X512">
        <v>3372.4817022679999</v>
      </c>
      <c r="Y512">
        <v>54391</v>
      </c>
      <c r="Z512">
        <v>8.57246401456257E-3</v>
      </c>
      <c r="AA512">
        <v>20</v>
      </c>
    </row>
    <row r="513" spans="1:27" x14ac:dyDescent="0.2">
      <c r="A513">
        <v>15</v>
      </c>
      <c r="B513">
        <v>1</v>
      </c>
      <c r="C513">
        <v>0.3</v>
      </c>
      <c r="D513">
        <v>100</v>
      </c>
      <c r="E513">
        <v>0.31330172374336901</v>
      </c>
      <c r="F513">
        <v>1</v>
      </c>
      <c r="G513">
        <v>28.583832295000001</v>
      </c>
      <c r="H513">
        <v>8.2441816903633794E-2</v>
      </c>
      <c r="I513">
        <v>1</v>
      </c>
      <c r="J513">
        <v>0.19657193100000001</v>
      </c>
      <c r="K513">
        <v>0.171409150374632</v>
      </c>
      <c r="L513">
        <v>1</v>
      </c>
      <c r="M513">
        <v>3602.1009249650001</v>
      </c>
      <c r="N513">
        <v>184827</v>
      </c>
      <c r="O513">
        <v>0.25644497331287303</v>
      </c>
      <c r="P513" s="5">
        <v>0.21972517191388799</v>
      </c>
      <c r="Q513">
        <v>1</v>
      </c>
      <c r="R513">
        <v>1075.445989006</v>
      </c>
      <c r="S513">
        <v>15678</v>
      </c>
      <c r="T513">
        <v>1.94552796048463E-3</v>
      </c>
      <c r="U513">
        <v>12003</v>
      </c>
      <c r="V513" s="5">
        <v>0.20226277326540201</v>
      </c>
      <c r="W513">
        <v>1</v>
      </c>
      <c r="X513">
        <v>3031.1796209590002</v>
      </c>
      <c r="Y513">
        <v>7409</v>
      </c>
      <c r="Z513">
        <v>7.3896705323897001E-3</v>
      </c>
      <c r="AA513">
        <v>20</v>
      </c>
    </row>
    <row r="514" spans="1:27" x14ac:dyDescent="0.2">
      <c r="A514">
        <v>15</v>
      </c>
      <c r="B514">
        <v>1</v>
      </c>
      <c r="C514">
        <v>0.3</v>
      </c>
      <c r="D514">
        <v>100</v>
      </c>
      <c r="E514">
        <v>7.2851567419983401E-2</v>
      </c>
      <c r="F514">
        <v>1</v>
      </c>
      <c r="G514">
        <v>30.883646848000001</v>
      </c>
      <c r="H514">
        <v>3.4099524929640398E-2</v>
      </c>
      <c r="I514">
        <v>1</v>
      </c>
      <c r="J514">
        <v>0.142119839</v>
      </c>
      <c r="K514">
        <v>3.3477937000528299E-2</v>
      </c>
      <c r="L514">
        <v>1</v>
      </c>
      <c r="M514">
        <v>3601.00035755</v>
      </c>
      <c r="N514">
        <v>343565</v>
      </c>
      <c r="O514">
        <v>4.4737473416304803E-2</v>
      </c>
      <c r="P514" s="5">
        <v>0.12996238373724001</v>
      </c>
      <c r="Q514">
        <v>1</v>
      </c>
      <c r="R514">
        <v>921.07298654399995</v>
      </c>
      <c r="S514">
        <v>15426</v>
      </c>
      <c r="T514">
        <v>2.2353232074924199E-3</v>
      </c>
      <c r="U514">
        <v>12167</v>
      </c>
      <c r="V514" s="5">
        <v>3.3804456419620099E-2</v>
      </c>
      <c r="W514">
        <v>1</v>
      </c>
      <c r="X514">
        <v>2183.1783566250001</v>
      </c>
      <c r="Y514">
        <v>37863</v>
      </c>
      <c r="Z514">
        <v>1.62211726563424E-3</v>
      </c>
      <c r="AA514">
        <v>20</v>
      </c>
    </row>
    <row r="515" spans="1:27" x14ac:dyDescent="0.2">
      <c r="A515">
        <v>15</v>
      </c>
      <c r="B515">
        <v>1</v>
      </c>
      <c r="C515">
        <v>0.3</v>
      </c>
      <c r="D515">
        <v>100</v>
      </c>
      <c r="E515">
        <v>0.29618418662357798</v>
      </c>
      <c r="F515">
        <v>1</v>
      </c>
      <c r="G515">
        <v>28.688260424999999</v>
      </c>
      <c r="H515">
        <v>8.6199631941770702E-2</v>
      </c>
      <c r="I515">
        <v>1</v>
      </c>
      <c r="J515">
        <v>0.285577148</v>
      </c>
      <c r="K515">
        <v>9.2015997552780004E-2</v>
      </c>
      <c r="L515">
        <v>1</v>
      </c>
      <c r="M515">
        <v>3603.7287708079998</v>
      </c>
      <c r="N515">
        <v>180540</v>
      </c>
      <c r="O515">
        <v>0.13168582663608999</v>
      </c>
      <c r="P515" s="5">
        <v>0.32161998439193901</v>
      </c>
      <c r="Q515">
        <v>1</v>
      </c>
      <c r="R515">
        <v>3719.247645852</v>
      </c>
      <c r="S515">
        <v>34778</v>
      </c>
      <c r="T515">
        <v>8.4438965351764598E-3</v>
      </c>
      <c r="U515">
        <v>23764</v>
      </c>
      <c r="V515" s="5">
        <v>0.27283019105205703</v>
      </c>
      <c r="W515">
        <v>1</v>
      </c>
      <c r="X515">
        <v>3355.829684156</v>
      </c>
      <c r="Y515">
        <v>20835</v>
      </c>
      <c r="Z515">
        <v>1.2800358119179201E-2</v>
      </c>
      <c r="AA515">
        <v>20</v>
      </c>
    </row>
    <row r="516" spans="1:27" x14ac:dyDescent="0.2">
      <c r="A516">
        <v>15</v>
      </c>
      <c r="B516">
        <v>1</v>
      </c>
      <c r="C516">
        <v>0.1</v>
      </c>
      <c r="D516">
        <v>100</v>
      </c>
      <c r="E516">
        <v>1.2062537039780401</v>
      </c>
      <c r="F516">
        <v>1</v>
      </c>
      <c r="G516">
        <v>28.859688752</v>
      </c>
      <c r="H516">
        <v>0.93169009541908399</v>
      </c>
      <c r="I516">
        <v>1</v>
      </c>
      <c r="J516">
        <v>0.72912416999999996</v>
      </c>
      <c r="K516">
        <v>0.93061733333848595</v>
      </c>
      <c r="L516">
        <v>1</v>
      </c>
      <c r="M516">
        <v>3601.5262323410002</v>
      </c>
      <c r="N516">
        <v>239351</v>
      </c>
      <c r="O516">
        <v>3.3450180456108897E-2</v>
      </c>
      <c r="P516" s="5">
        <v>0.71625321595281699</v>
      </c>
      <c r="Q516">
        <v>1</v>
      </c>
      <c r="R516">
        <v>583.95295902600003</v>
      </c>
      <c r="S516">
        <v>8333</v>
      </c>
      <c r="T516">
        <v>2.7515474155466398E-4</v>
      </c>
      <c r="U516">
        <v>7819</v>
      </c>
      <c r="V516" s="5">
        <v>0.95043696227888597</v>
      </c>
      <c r="W516">
        <v>1</v>
      </c>
      <c r="X516">
        <v>34.104812586999998</v>
      </c>
      <c r="Y516">
        <v>2899</v>
      </c>
      <c r="Z516">
        <v>1.67760897133835E-4</v>
      </c>
      <c r="AA516">
        <v>1</v>
      </c>
    </row>
    <row r="517" spans="1:27" x14ac:dyDescent="0.2">
      <c r="A517">
        <v>15</v>
      </c>
      <c r="B517">
        <v>1</v>
      </c>
      <c r="C517">
        <v>0.4</v>
      </c>
      <c r="D517">
        <v>100</v>
      </c>
      <c r="E517">
        <v>0.14463106221160599</v>
      </c>
      <c r="F517">
        <v>1</v>
      </c>
      <c r="G517">
        <v>29.689119006999999</v>
      </c>
      <c r="H517">
        <v>4.4666300139336299E-2</v>
      </c>
      <c r="I517">
        <v>1</v>
      </c>
      <c r="J517">
        <v>9.0358403000000004E-2</v>
      </c>
      <c r="K517">
        <v>9.5941907943490695E-2</v>
      </c>
      <c r="L517">
        <v>1</v>
      </c>
      <c r="M517">
        <v>3601.5581141090001</v>
      </c>
      <c r="N517">
        <v>300630</v>
      </c>
      <c r="O517">
        <v>0.14762031288174501</v>
      </c>
      <c r="P517" s="5">
        <v>0.114642274137153</v>
      </c>
      <c r="Q517">
        <v>1</v>
      </c>
      <c r="R517">
        <v>935.19500742499997</v>
      </c>
      <c r="S517">
        <v>7773</v>
      </c>
      <c r="T517">
        <v>1.69072416935692E-3</v>
      </c>
      <c r="U517">
        <v>6282</v>
      </c>
      <c r="V517" s="5">
        <v>9.4927405160389305E-2</v>
      </c>
      <c r="W517">
        <v>1</v>
      </c>
      <c r="X517">
        <v>1870.056578916</v>
      </c>
      <c r="Y517">
        <v>9232</v>
      </c>
      <c r="Z517">
        <v>1.6835308397289599E-3</v>
      </c>
      <c r="AA517">
        <v>17</v>
      </c>
    </row>
    <row r="518" spans="1:27" x14ac:dyDescent="0.2">
      <c r="A518">
        <v>15</v>
      </c>
      <c r="B518">
        <v>1</v>
      </c>
      <c r="C518">
        <v>0.1</v>
      </c>
      <c r="D518">
        <v>100</v>
      </c>
      <c r="E518">
        <v>0.65164520454792796</v>
      </c>
      <c r="F518">
        <v>1</v>
      </c>
      <c r="G518">
        <v>28.619903778000001</v>
      </c>
      <c r="H518">
        <v>0.69637857007246695</v>
      </c>
      <c r="I518">
        <v>1</v>
      </c>
      <c r="J518">
        <v>7.8905775999999997E-2</v>
      </c>
      <c r="K518">
        <v>0.75056598466117297</v>
      </c>
      <c r="L518">
        <v>1</v>
      </c>
      <c r="M518">
        <v>3604.7876082369999</v>
      </c>
      <c r="N518">
        <v>184594</v>
      </c>
      <c r="O518">
        <v>2.6872134455175001E-2</v>
      </c>
      <c r="P518" s="5">
        <v>0.70481617345947301</v>
      </c>
      <c r="Q518">
        <v>1</v>
      </c>
      <c r="R518">
        <v>1765.727187596</v>
      </c>
      <c r="S518">
        <v>18727</v>
      </c>
      <c r="T518">
        <v>3.1526803562118E-4</v>
      </c>
      <c r="U518">
        <v>15503</v>
      </c>
      <c r="V518" s="5">
        <v>0.72081096741110895</v>
      </c>
      <c r="W518">
        <v>1</v>
      </c>
      <c r="X518">
        <v>3045.589786865</v>
      </c>
      <c r="Y518">
        <v>39292</v>
      </c>
      <c r="Z518">
        <v>2.6470450958004099E-3</v>
      </c>
      <c r="AA518">
        <v>20</v>
      </c>
    </row>
    <row r="519" spans="1:27" x14ac:dyDescent="0.2">
      <c r="A519">
        <v>15</v>
      </c>
      <c r="B519">
        <v>1</v>
      </c>
      <c r="C519">
        <v>0.2</v>
      </c>
      <c r="D519">
        <v>100</v>
      </c>
      <c r="E519">
        <v>0.46185916297569501</v>
      </c>
      <c r="F519">
        <v>1</v>
      </c>
      <c r="G519">
        <v>28.126397492999999</v>
      </c>
      <c r="H519">
        <v>0.25429406110966202</v>
      </c>
      <c r="I519">
        <v>1</v>
      </c>
      <c r="J519">
        <v>0.415136954</v>
      </c>
      <c r="K519">
        <v>0.34709480847177598</v>
      </c>
      <c r="L519">
        <v>1</v>
      </c>
      <c r="M519">
        <v>3600.6005281819998</v>
      </c>
      <c r="N519">
        <v>358008</v>
      </c>
      <c r="O519">
        <v>0.19489714350860801</v>
      </c>
      <c r="P519" s="5">
        <v>0.44545609855121399</v>
      </c>
      <c r="Q519">
        <v>1</v>
      </c>
      <c r="R519">
        <v>3675.366124702</v>
      </c>
      <c r="S519">
        <v>75457</v>
      </c>
      <c r="T519">
        <v>2.5281528548913501E-3</v>
      </c>
      <c r="U519">
        <v>44975</v>
      </c>
      <c r="V519" s="5">
        <v>0.34630382077690203</v>
      </c>
      <c r="W519">
        <v>1</v>
      </c>
      <c r="X519">
        <v>3287.2734799049999</v>
      </c>
      <c r="Y519">
        <v>28335</v>
      </c>
      <c r="Z519">
        <v>5.1704460738576097E-3</v>
      </c>
      <c r="AA519">
        <v>20</v>
      </c>
    </row>
    <row r="520" spans="1:27" x14ac:dyDescent="0.2">
      <c r="A520">
        <v>15</v>
      </c>
      <c r="B520">
        <v>1</v>
      </c>
      <c r="C520">
        <v>0.3</v>
      </c>
      <c r="D520">
        <v>100</v>
      </c>
      <c r="E520">
        <v>0.19011250129430099</v>
      </c>
      <c r="F520">
        <v>1</v>
      </c>
      <c r="G520">
        <v>22.50350482</v>
      </c>
      <c r="H520">
        <v>0.136164184787362</v>
      </c>
      <c r="I520">
        <v>1</v>
      </c>
      <c r="J520">
        <v>0.16040886800000001</v>
      </c>
      <c r="K520">
        <v>0.136244711414159</v>
      </c>
      <c r="L520">
        <v>1</v>
      </c>
      <c r="M520">
        <v>3600.729124079</v>
      </c>
      <c r="N520">
        <v>606480</v>
      </c>
      <c r="O520">
        <v>2.94185218973055E-2</v>
      </c>
      <c r="P520" s="5">
        <v>0.31829777374289903</v>
      </c>
      <c r="Q520">
        <v>1</v>
      </c>
      <c r="R520">
        <v>2563.1901727250001</v>
      </c>
      <c r="S520">
        <v>65872</v>
      </c>
      <c r="T520">
        <v>1.7310394139213E-3</v>
      </c>
      <c r="U520">
        <v>42159</v>
      </c>
      <c r="V520" s="5">
        <v>0.32598406158788601</v>
      </c>
      <c r="W520">
        <v>1</v>
      </c>
      <c r="X520">
        <v>3208.6384301029998</v>
      </c>
      <c r="Y520">
        <v>26887</v>
      </c>
      <c r="Z520">
        <v>5.6328925575910797E-3</v>
      </c>
      <c r="AA520">
        <v>20</v>
      </c>
    </row>
    <row r="521" spans="1:27" x14ac:dyDescent="0.2">
      <c r="A521">
        <v>15</v>
      </c>
      <c r="B521">
        <v>1</v>
      </c>
      <c r="C521">
        <v>0.1</v>
      </c>
      <c r="D521">
        <v>100</v>
      </c>
      <c r="E521">
        <v>0.89593556703823996</v>
      </c>
      <c r="F521">
        <v>1</v>
      </c>
      <c r="G521">
        <v>26.25770138</v>
      </c>
      <c r="H521">
        <v>0.88125801205545196</v>
      </c>
      <c r="I521">
        <v>1</v>
      </c>
      <c r="J521">
        <v>0.110655243</v>
      </c>
      <c r="K521">
        <v>1.0878125041706099</v>
      </c>
      <c r="L521">
        <v>1</v>
      </c>
      <c r="M521">
        <v>3602.8180528930002</v>
      </c>
      <c r="N521">
        <v>156462</v>
      </c>
      <c r="O521">
        <v>4.5710788145452597E-2</v>
      </c>
      <c r="P521" s="5">
        <v>1.00159484542736</v>
      </c>
      <c r="Q521">
        <v>1</v>
      </c>
      <c r="R521">
        <v>467.66509375700002</v>
      </c>
      <c r="S521">
        <v>4085</v>
      </c>
      <c r="T521">
        <v>1.2897155589055399E-4</v>
      </c>
      <c r="U521">
        <v>4091</v>
      </c>
      <c r="V521" s="5">
        <v>1.1515085778454699</v>
      </c>
      <c r="W521">
        <v>1</v>
      </c>
      <c r="X521">
        <v>35.551219402999997</v>
      </c>
      <c r="Y521">
        <v>5500</v>
      </c>
      <c r="Z521">
        <v>4.3234326278837598E-4</v>
      </c>
      <c r="AA521">
        <v>1</v>
      </c>
    </row>
    <row r="522" spans="1:27" x14ac:dyDescent="0.2">
      <c r="A522">
        <v>15</v>
      </c>
      <c r="B522">
        <v>1</v>
      </c>
      <c r="C522">
        <v>0.2</v>
      </c>
      <c r="D522">
        <v>100</v>
      </c>
      <c r="E522">
        <v>0.59433468066157402</v>
      </c>
      <c r="F522">
        <v>1</v>
      </c>
      <c r="G522">
        <v>28.561331581000001</v>
      </c>
      <c r="H522">
        <v>0.25629186542520199</v>
      </c>
      <c r="I522">
        <v>1</v>
      </c>
      <c r="J522">
        <v>0.22033129700000001</v>
      </c>
      <c r="K522">
        <v>0.48257932234405299</v>
      </c>
      <c r="L522">
        <v>1</v>
      </c>
      <c r="M522">
        <v>3602.6253362130001</v>
      </c>
      <c r="N522">
        <v>181350</v>
      </c>
      <c r="O522">
        <v>0.24091881352582301</v>
      </c>
      <c r="P522" s="5">
        <v>0.79511185518641503</v>
      </c>
      <c r="Q522">
        <v>1</v>
      </c>
      <c r="R522">
        <v>3671.5955460179998</v>
      </c>
      <c r="S522">
        <v>60533</v>
      </c>
      <c r="T522">
        <v>2.3863560552535501E-3</v>
      </c>
      <c r="U522">
        <v>38004</v>
      </c>
      <c r="V522" s="5">
        <v>0.40809769826791897</v>
      </c>
      <c r="W522">
        <v>1</v>
      </c>
      <c r="X522">
        <v>3250.3013298639999</v>
      </c>
      <c r="Y522">
        <v>39326</v>
      </c>
      <c r="Z522">
        <v>5.2969868028620503E-3</v>
      </c>
      <c r="AA522">
        <v>20</v>
      </c>
    </row>
    <row r="523" spans="1:27" x14ac:dyDescent="0.2">
      <c r="A523">
        <v>15</v>
      </c>
      <c r="B523">
        <v>1</v>
      </c>
      <c r="C523">
        <v>0.4</v>
      </c>
      <c r="D523">
        <v>100</v>
      </c>
      <c r="E523">
        <v>1.2204631877231E-2</v>
      </c>
      <c r="F523">
        <v>1</v>
      </c>
      <c r="G523">
        <v>22.214314720000001</v>
      </c>
      <c r="H523">
        <v>1.6153112100567399E-2</v>
      </c>
      <c r="I523">
        <v>1</v>
      </c>
      <c r="J523">
        <v>4.2668884999999997E-2</v>
      </c>
      <c r="K523">
        <v>1.6381453689243701E-2</v>
      </c>
      <c r="L523">
        <v>1</v>
      </c>
      <c r="M523">
        <v>3601.271991222</v>
      </c>
      <c r="N523">
        <v>462797</v>
      </c>
      <c r="O523">
        <v>2.4888384437645E-2</v>
      </c>
      <c r="P523" s="5">
        <v>1.11443301871001E-2</v>
      </c>
      <c r="Q523">
        <v>1</v>
      </c>
      <c r="R523">
        <v>18.995927864999999</v>
      </c>
      <c r="S523">
        <v>1</v>
      </c>
      <c r="T523">
        <v>2.7676097851982899E-3</v>
      </c>
      <c r="U523">
        <v>4</v>
      </c>
      <c r="V523" s="5">
        <v>1.11443301847594E-2</v>
      </c>
      <c r="W523">
        <v>1</v>
      </c>
      <c r="X523">
        <v>11.086493709000001</v>
      </c>
      <c r="Y523">
        <v>1</v>
      </c>
      <c r="Z523">
        <v>1.5887820232926E-3</v>
      </c>
      <c r="AA523">
        <v>1</v>
      </c>
    </row>
    <row r="524" spans="1:27" x14ac:dyDescent="0.2">
      <c r="A524">
        <v>15</v>
      </c>
      <c r="B524">
        <v>1</v>
      </c>
      <c r="C524">
        <v>0.3</v>
      </c>
      <c r="D524">
        <v>100</v>
      </c>
      <c r="E524">
        <v>0.23825973824018301</v>
      </c>
      <c r="F524">
        <v>1</v>
      </c>
      <c r="G524">
        <v>30.075024767999999</v>
      </c>
      <c r="H524">
        <v>7.0904898102792699E-2</v>
      </c>
      <c r="I524">
        <v>1</v>
      </c>
      <c r="J524">
        <v>0.21121697</v>
      </c>
      <c r="K524">
        <v>0.13226502323716299</v>
      </c>
      <c r="L524">
        <v>1</v>
      </c>
      <c r="M524">
        <v>3601.3751852599999</v>
      </c>
      <c r="N524">
        <v>143097</v>
      </c>
      <c r="O524">
        <v>0.18419505729708799</v>
      </c>
      <c r="P524" s="5">
        <v>0.24861022442502101</v>
      </c>
      <c r="Q524">
        <v>1</v>
      </c>
      <c r="R524">
        <v>3630.3495510590001</v>
      </c>
      <c r="S524">
        <v>57357</v>
      </c>
      <c r="T524">
        <v>2.5047310753363301E-3</v>
      </c>
      <c r="U524">
        <v>37567</v>
      </c>
      <c r="V524" s="5">
        <v>0.244962526845033</v>
      </c>
      <c r="W524">
        <v>1</v>
      </c>
      <c r="X524">
        <v>3339.1520454299998</v>
      </c>
      <c r="Y524">
        <v>23075</v>
      </c>
      <c r="Z524">
        <v>6.2585677874386599E-3</v>
      </c>
      <c r="AA524">
        <v>20</v>
      </c>
    </row>
    <row r="525" spans="1:27" x14ac:dyDescent="0.2">
      <c r="A525">
        <v>15</v>
      </c>
      <c r="B525">
        <v>1</v>
      </c>
      <c r="C525">
        <v>0.3</v>
      </c>
      <c r="D525">
        <v>100</v>
      </c>
      <c r="E525">
        <v>0.20991578931108601</v>
      </c>
      <c r="F525">
        <v>1</v>
      </c>
      <c r="G525">
        <v>21.886009611999999</v>
      </c>
      <c r="H525">
        <v>0.109360579356064</v>
      </c>
      <c r="I525">
        <v>1</v>
      </c>
      <c r="J525">
        <v>3.1855434000000002E-2</v>
      </c>
      <c r="K525">
        <v>0.109181470972845</v>
      </c>
      <c r="L525">
        <v>1</v>
      </c>
      <c r="M525">
        <v>3600.6809744779998</v>
      </c>
      <c r="N525">
        <v>459085</v>
      </c>
      <c r="O525">
        <v>1.65067564152643E-2</v>
      </c>
      <c r="P525" s="5">
        <v>0.19640018587761501</v>
      </c>
      <c r="Q525">
        <v>1</v>
      </c>
      <c r="R525">
        <v>222.34132536199999</v>
      </c>
      <c r="S525">
        <v>3813</v>
      </c>
      <c r="T525">
        <v>1.1795531803801399E-3</v>
      </c>
      <c r="U525">
        <v>3198</v>
      </c>
      <c r="V525" s="5">
        <v>0.16951692673731</v>
      </c>
      <c r="W525">
        <v>1</v>
      </c>
      <c r="X525">
        <v>36.816446984999999</v>
      </c>
      <c r="Y525">
        <v>1</v>
      </c>
      <c r="Z525">
        <v>2.96313889887508E-3</v>
      </c>
      <c r="AA525">
        <v>2</v>
      </c>
    </row>
    <row r="526" spans="1:27" x14ac:dyDescent="0.2">
      <c r="A526">
        <v>15</v>
      </c>
      <c r="B526">
        <v>1</v>
      </c>
      <c r="C526">
        <v>0.1</v>
      </c>
      <c r="D526">
        <v>100</v>
      </c>
      <c r="E526">
        <v>0.91503939660682498</v>
      </c>
      <c r="F526">
        <v>1</v>
      </c>
      <c r="G526">
        <v>29.421746665000001</v>
      </c>
      <c r="H526">
        <v>0.88443136610044704</v>
      </c>
      <c r="I526">
        <v>1</v>
      </c>
      <c r="J526">
        <v>0.40912215400000002</v>
      </c>
      <c r="K526">
        <v>0.98080730050683695</v>
      </c>
      <c r="L526">
        <v>1</v>
      </c>
      <c r="M526">
        <v>3602.2061978370002</v>
      </c>
      <c r="N526">
        <v>200688</v>
      </c>
      <c r="O526">
        <v>2.1615987467599199E-2</v>
      </c>
      <c r="P526" s="5">
        <v>0.97451101545044305</v>
      </c>
      <c r="Q526">
        <v>1</v>
      </c>
      <c r="R526">
        <v>565.98837515399998</v>
      </c>
      <c r="S526">
        <v>6027</v>
      </c>
      <c r="T526">
        <v>1.7434559297689199E-4</v>
      </c>
      <c r="U526">
        <v>5938</v>
      </c>
      <c r="V526" s="5">
        <v>1.0729488017872499</v>
      </c>
      <c r="W526">
        <v>1</v>
      </c>
      <c r="X526">
        <v>51.899236213000002</v>
      </c>
      <c r="Y526">
        <v>9554</v>
      </c>
      <c r="Z526">
        <v>1.90029859834954E-4</v>
      </c>
      <c r="AA526">
        <v>1</v>
      </c>
    </row>
    <row r="527" spans="1:27" x14ac:dyDescent="0.2">
      <c r="A527">
        <v>15</v>
      </c>
      <c r="B527">
        <v>1</v>
      </c>
      <c r="C527">
        <v>0.2</v>
      </c>
      <c r="D527">
        <v>100</v>
      </c>
      <c r="E527">
        <v>0.37561173932562703</v>
      </c>
      <c r="F527">
        <v>1</v>
      </c>
      <c r="G527">
        <v>28.669077981000001</v>
      </c>
      <c r="H527">
        <v>0.28536551763004703</v>
      </c>
      <c r="I527">
        <v>1</v>
      </c>
      <c r="J527">
        <v>0.328541268</v>
      </c>
      <c r="K527">
        <v>0.41446181411748501</v>
      </c>
      <c r="L527">
        <v>1</v>
      </c>
      <c r="M527">
        <v>3601.762540227</v>
      </c>
      <c r="N527">
        <v>148866</v>
      </c>
      <c r="O527">
        <v>0.29623346939202799</v>
      </c>
      <c r="P527" s="5">
        <v>0.50398382704502198</v>
      </c>
      <c r="Q527">
        <v>1</v>
      </c>
      <c r="R527">
        <v>3664.4203854739999</v>
      </c>
      <c r="S527">
        <v>72755</v>
      </c>
      <c r="T527">
        <v>1.5530894355763401E-3</v>
      </c>
      <c r="U527">
        <v>46359</v>
      </c>
      <c r="V527" s="5">
        <v>0.36010791077572002</v>
      </c>
      <c r="W527">
        <v>1</v>
      </c>
      <c r="X527">
        <v>3339.794267575</v>
      </c>
      <c r="Y527">
        <v>13943</v>
      </c>
      <c r="Z527">
        <v>2.8328497510538399E-3</v>
      </c>
      <c r="AA527">
        <v>20</v>
      </c>
    </row>
    <row r="528" spans="1:27" x14ac:dyDescent="0.2">
      <c r="A528">
        <v>15</v>
      </c>
      <c r="B528">
        <v>1</v>
      </c>
      <c r="C528">
        <v>0.1</v>
      </c>
      <c r="D528">
        <v>100</v>
      </c>
      <c r="E528">
        <v>0.80142442242859202</v>
      </c>
      <c r="F528">
        <v>1</v>
      </c>
      <c r="G528">
        <v>46.328827257</v>
      </c>
      <c r="H528">
        <v>0.725028659840941</v>
      </c>
      <c r="I528">
        <v>1</v>
      </c>
      <c r="J528">
        <v>0.40365406399999998</v>
      </c>
      <c r="K528">
        <v>0.82023278573081904</v>
      </c>
      <c r="L528">
        <v>1</v>
      </c>
      <c r="M528">
        <v>3602.2783675830001</v>
      </c>
      <c r="N528">
        <v>112595</v>
      </c>
      <c r="O528">
        <v>3.20438616792156E-2</v>
      </c>
      <c r="P528" s="5">
        <v>0.57691766912281905</v>
      </c>
      <c r="Q528">
        <v>1</v>
      </c>
      <c r="R528">
        <v>291.51341176400001</v>
      </c>
      <c r="S528">
        <v>3059</v>
      </c>
      <c r="T528" s="1">
        <v>3.87421690580917E-5</v>
      </c>
      <c r="U528">
        <v>3008</v>
      </c>
      <c r="V528" s="5">
        <v>0.928996301119695</v>
      </c>
      <c r="W528">
        <v>1</v>
      </c>
      <c r="X528">
        <v>232.18900637600001</v>
      </c>
      <c r="Y528">
        <v>4265</v>
      </c>
      <c r="Z528">
        <v>3.5151478780860002E-4</v>
      </c>
      <c r="AA528">
        <v>8</v>
      </c>
    </row>
    <row r="529" spans="1:27" x14ac:dyDescent="0.2">
      <c r="A529">
        <v>15</v>
      </c>
      <c r="B529">
        <v>1</v>
      </c>
      <c r="C529">
        <v>0.4</v>
      </c>
      <c r="D529">
        <v>100</v>
      </c>
      <c r="E529">
        <v>0.33984299215908798</v>
      </c>
      <c r="F529">
        <v>1</v>
      </c>
      <c r="G529">
        <v>28.205006378</v>
      </c>
      <c r="H529">
        <v>9.6768015334194796E-2</v>
      </c>
      <c r="I529">
        <v>1</v>
      </c>
      <c r="J529">
        <v>0.14070819500000001</v>
      </c>
      <c r="K529">
        <v>0.19329879670236999</v>
      </c>
      <c r="L529">
        <v>1</v>
      </c>
      <c r="M529">
        <v>3600.9565002250001</v>
      </c>
      <c r="N529">
        <v>242360</v>
      </c>
      <c r="O529">
        <v>0.39943767715640199</v>
      </c>
      <c r="P529" s="5">
        <v>0.23071385803748801</v>
      </c>
      <c r="Q529">
        <v>1</v>
      </c>
      <c r="R529">
        <v>491.548787301</v>
      </c>
      <c r="S529">
        <v>6693</v>
      </c>
      <c r="T529">
        <v>3.7251543774207601E-3</v>
      </c>
      <c r="U529">
        <v>5432</v>
      </c>
      <c r="V529" s="5">
        <v>0.22227639558385501</v>
      </c>
      <c r="W529">
        <v>1</v>
      </c>
      <c r="X529">
        <v>2938.4887792720001</v>
      </c>
      <c r="Y529">
        <v>10907</v>
      </c>
      <c r="Z529">
        <v>7.0395607519783601E-3</v>
      </c>
      <c r="AA529">
        <v>20</v>
      </c>
    </row>
    <row r="530" spans="1:27" x14ac:dyDescent="0.2">
      <c r="A530">
        <v>15</v>
      </c>
      <c r="B530">
        <v>1</v>
      </c>
      <c r="C530">
        <v>0.2</v>
      </c>
      <c r="D530">
        <v>100</v>
      </c>
      <c r="E530">
        <v>0.28314278036665202</v>
      </c>
      <c r="F530">
        <v>1</v>
      </c>
      <c r="G530">
        <v>26.227159101000002</v>
      </c>
      <c r="H530">
        <v>0.160188856003701</v>
      </c>
      <c r="I530">
        <v>1</v>
      </c>
      <c r="J530">
        <v>0.21413979499999999</v>
      </c>
      <c r="K530">
        <v>0.160958550118697</v>
      </c>
      <c r="L530">
        <v>1</v>
      </c>
      <c r="M530">
        <v>3600.8888956569999</v>
      </c>
      <c r="N530">
        <v>355984</v>
      </c>
      <c r="O530">
        <v>0.1239561501662</v>
      </c>
      <c r="P530" s="5">
        <v>0.21492097406653399</v>
      </c>
      <c r="Q530">
        <v>1</v>
      </c>
      <c r="R530">
        <v>423.73116378600002</v>
      </c>
      <c r="S530">
        <v>6205</v>
      </c>
      <c r="T530">
        <v>2.7520553377784998E-3</v>
      </c>
      <c r="U530">
        <v>4718</v>
      </c>
      <c r="V530" s="5">
        <v>0.19862832984099699</v>
      </c>
      <c r="W530">
        <v>1</v>
      </c>
      <c r="X530">
        <v>2436.9411487480002</v>
      </c>
      <c r="Y530">
        <v>30707</v>
      </c>
      <c r="Z530">
        <v>3.78293726652212E-3</v>
      </c>
      <c r="AA530">
        <v>20</v>
      </c>
    </row>
    <row r="531" spans="1:27" x14ac:dyDescent="0.2">
      <c r="A531">
        <v>15</v>
      </c>
      <c r="B531">
        <v>1</v>
      </c>
      <c r="C531">
        <v>0.2</v>
      </c>
      <c r="D531">
        <v>100</v>
      </c>
      <c r="E531">
        <v>0.25446812405238101</v>
      </c>
      <c r="F531">
        <v>1</v>
      </c>
      <c r="G531">
        <v>27.640506281</v>
      </c>
      <c r="H531">
        <v>8.2301457631245703E-2</v>
      </c>
      <c r="I531">
        <v>1</v>
      </c>
      <c r="J531">
        <v>0.18974818900000001</v>
      </c>
      <c r="K531">
        <v>9.1368348020538406E-2</v>
      </c>
      <c r="L531">
        <v>1</v>
      </c>
      <c r="M531">
        <v>3602.6505764620001</v>
      </c>
      <c r="N531">
        <v>256795</v>
      </c>
      <c r="O531">
        <v>0.19005447867281999</v>
      </c>
      <c r="P531" s="5">
        <v>0.173248755830336</v>
      </c>
      <c r="Q531">
        <v>1</v>
      </c>
      <c r="R531">
        <v>1170.351370825</v>
      </c>
      <c r="S531">
        <v>17612</v>
      </c>
      <c r="T531">
        <v>2.07103716001053E-3</v>
      </c>
      <c r="U531">
        <v>12791</v>
      </c>
      <c r="V531" s="5">
        <v>7.9362101987936404E-2</v>
      </c>
      <c r="W531">
        <v>1</v>
      </c>
      <c r="X531">
        <v>2953.9729644119998</v>
      </c>
      <c r="Y531">
        <v>35309</v>
      </c>
      <c r="Z531">
        <v>4.6344532009543402E-3</v>
      </c>
      <c r="AA531">
        <v>20</v>
      </c>
    </row>
    <row r="532" spans="1:27" x14ac:dyDescent="0.2">
      <c r="A532">
        <v>15</v>
      </c>
      <c r="B532">
        <v>1</v>
      </c>
      <c r="C532">
        <v>0.1</v>
      </c>
      <c r="D532">
        <v>100</v>
      </c>
      <c r="E532">
        <v>0.96428511335178402</v>
      </c>
      <c r="F532">
        <v>1</v>
      </c>
      <c r="G532">
        <v>26.349869176999999</v>
      </c>
      <c r="H532">
        <v>0.96428525914391106</v>
      </c>
      <c r="I532">
        <v>1</v>
      </c>
      <c r="J532">
        <v>3.3758758999999999E-2</v>
      </c>
      <c r="K532">
        <v>0.83269011226210299</v>
      </c>
      <c r="L532">
        <v>1</v>
      </c>
      <c r="M532">
        <v>3601.3385840880001</v>
      </c>
      <c r="N532">
        <v>389504</v>
      </c>
      <c r="O532">
        <v>2.3089619085123299E-2</v>
      </c>
      <c r="P532" s="5">
        <v>1.1250768312520201</v>
      </c>
      <c r="Q532">
        <v>1</v>
      </c>
      <c r="R532">
        <v>467.00051268200002</v>
      </c>
      <c r="S532">
        <v>6593</v>
      </c>
      <c r="T532">
        <v>2.1107778598165099E-4</v>
      </c>
      <c r="U532">
        <v>6581</v>
      </c>
      <c r="V532" s="5">
        <v>0.80990200602672602</v>
      </c>
      <c r="W532">
        <v>1</v>
      </c>
      <c r="X532">
        <v>49.174115886000003</v>
      </c>
      <c r="Y532">
        <v>13058</v>
      </c>
      <c r="Z532">
        <v>2.9395089119972601E-4</v>
      </c>
      <c r="AA532">
        <v>1</v>
      </c>
    </row>
    <row r="533" spans="1:27" x14ac:dyDescent="0.2">
      <c r="A533">
        <v>15</v>
      </c>
      <c r="B533">
        <v>1</v>
      </c>
      <c r="C533">
        <v>0.4</v>
      </c>
      <c r="D533">
        <v>100</v>
      </c>
      <c r="E533">
        <v>6.3196720179181806E-2</v>
      </c>
      <c r="F533">
        <v>1</v>
      </c>
      <c r="G533">
        <v>26.791622048000001</v>
      </c>
      <c r="H533">
        <v>3.0728872822276699E-2</v>
      </c>
      <c r="I533">
        <v>1</v>
      </c>
      <c r="J533">
        <v>0.106043763</v>
      </c>
      <c r="K533">
        <v>2.95118411912406E-2</v>
      </c>
      <c r="L533">
        <v>1</v>
      </c>
      <c r="M533">
        <v>3602.8474660289999</v>
      </c>
      <c r="N533">
        <v>192373</v>
      </c>
      <c r="O533">
        <v>8.7468415828645604E-2</v>
      </c>
      <c r="P533" s="5">
        <v>3.8723833404992601E-2</v>
      </c>
      <c r="Q533">
        <v>1</v>
      </c>
      <c r="R533">
        <v>560.425504832</v>
      </c>
      <c r="S533">
        <v>4262</v>
      </c>
      <c r="T533">
        <v>4.1637277856563203E-3</v>
      </c>
      <c r="U533">
        <v>3059</v>
      </c>
      <c r="V533" s="5">
        <v>2.4853270531531E-2</v>
      </c>
      <c r="W533">
        <v>1</v>
      </c>
      <c r="X533">
        <v>31.345534366999999</v>
      </c>
      <c r="Y533">
        <v>457</v>
      </c>
      <c r="Z533">
        <v>4.2183315447454298E-3</v>
      </c>
      <c r="AA533">
        <v>1</v>
      </c>
    </row>
    <row r="534" spans="1:27" x14ac:dyDescent="0.2">
      <c r="A534">
        <v>15</v>
      </c>
      <c r="B534">
        <v>1</v>
      </c>
      <c r="C534">
        <v>0.2</v>
      </c>
      <c r="D534">
        <v>100</v>
      </c>
      <c r="E534">
        <v>0.44826349134777399</v>
      </c>
      <c r="F534">
        <v>1</v>
      </c>
      <c r="G534">
        <v>28.766153931000002</v>
      </c>
      <c r="H534">
        <v>0.35786208397739999</v>
      </c>
      <c r="I534">
        <v>1</v>
      </c>
      <c r="J534">
        <v>0.13125632300000001</v>
      </c>
      <c r="K534">
        <v>0.37004056338990898</v>
      </c>
      <c r="L534">
        <v>1</v>
      </c>
      <c r="M534">
        <v>3600.7828814439999</v>
      </c>
      <c r="N534">
        <v>369837</v>
      </c>
      <c r="O534">
        <v>0.12300967226921899</v>
      </c>
      <c r="P534" s="5">
        <v>0.38542030562869301</v>
      </c>
      <c r="Q534">
        <v>1</v>
      </c>
      <c r="R534">
        <v>498.75180364900001</v>
      </c>
      <c r="S534">
        <v>8804</v>
      </c>
      <c r="T534">
        <v>1.75175258065393E-3</v>
      </c>
      <c r="U534">
        <v>6556</v>
      </c>
      <c r="V534" s="5">
        <v>0.504553152748621</v>
      </c>
      <c r="W534">
        <v>1</v>
      </c>
      <c r="X534">
        <v>3017.2218998409999</v>
      </c>
      <c r="Y534">
        <v>45276</v>
      </c>
      <c r="Z534">
        <v>2.3443290962613102E-3</v>
      </c>
      <c r="AA534">
        <v>20</v>
      </c>
    </row>
    <row r="535" spans="1:27" x14ac:dyDescent="0.2">
      <c r="A535">
        <v>15</v>
      </c>
      <c r="B535">
        <v>1</v>
      </c>
      <c r="C535">
        <v>0.4</v>
      </c>
      <c r="D535">
        <v>100</v>
      </c>
      <c r="E535">
        <v>0.43891914581077901</v>
      </c>
      <c r="F535">
        <v>1</v>
      </c>
      <c r="G535">
        <v>25.340405406999999</v>
      </c>
      <c r="H535">
        <v>0.15506749837304401</v>
      </c>
      <c r="I535">
        <v>1</v>
      </c>
      <c r="J535">
        <v>0.13903823400000001</v>
      </c>
      <c r="K535">
        <v>0.15681465886052801</v>
      </c>
      <c r="L535">
        <v>1</v>
      </c>
      <c r="M535">
        <v>3601.9546929019998</v>
      </c>
      <c r="N535">
        <v>314618</v>
      </c>
      <c r="O535">
        <v>9.5271063252759802E-2</v>
      </c>
      <c r="P535" s="5">
        <v>0.28682033836537602</v>
      </c>
      <c r="Q535">
        <v>1</v>
      </c>
      <c r="R535">
        <v>532.76941043700003</v>
      </c>
      <c r="S535">
        <v>3807</v>
      </c>
      <c r="T535">
        <v>4.4653382408088001E-3</v>
      </c>
      <c r="U535">
        <v>3267</v>
      </c>
      <c r="V535" s="5">
        <v>0.24879774383543299</v>
      </c>
      <c r="W535">
        <v>1</v>
      </c>
      <c r="X535">
        <v>3164.0308371189999</v>
      </c>
      <c r="Y535">
        <v>9257</v>
      </c>
      <c r="Z535">
        <v>1.13740463879371E-2</v>
      </c>
      <c r="AA535">
        <v>20</v>
      </c>
    </row>
    <row r="536" spans="1:27" x14ac:dyDescent="0.2">
      <c r="A536">
        <v>15</v>
      </c>
      <c r="B536">
        <v>1</v>
      </c>
      <c r="C536">
        <v>0.3</v>
      </c>
      <c r="D536">
        <v>100</v>
      </c>
      <c r="E536">
        <v>0.21675679338051701</v>
      </c>
      <c r="F536">
        <v>1</v>
      </c>
      <c r="G536">
        <v>35.350349207999997</v>
      </c>
      <c r="H536">
        <v>5.43600083607923E-2</v>
      </c>
      <c r="I536">
        <v>1</v>
      </c>
      <c r="J536">
        <v>0.23246835399999999</v>
      </c>
      <c r="K536">
        <v>5.3165764072399598E-2</v>
      </c>
      <c r="L536">
        <v>1</v>
      </c>
      <c r="M536">
        <v>3602.8128774689999</v>
      </c>
      <c r="N536">
        <v>127788</v>
      </c>
      <c r="O536">
        <v>0.24638703318511099</v>
      </c>
      <c r="P536" s="5">
        <v>0.16507069481165601</v>
      </c>
      <c r="Q536">
        <v>1</v>
      </c>
      <c r="R536">
        <v>493.32252428800001</v>
      </c>
      <c r="S536">
        <v>4431</v>
      </c>
      <c r="T536">
        <v>3.20712021851821E-3</v>
      </c>
      <c r="U536">
        <v>3654</v>
      </c>
      <c r="V536" s="5">
        <v>4.9853066630530303E-2</v>
      </c>
      <c r="W536">
        <v>1</v>
      </c>
      <c r="X536">
        <v>3263.684536059</v>
      </c>
      <c r="Y536">
        <v>20669</v>
      </c>
      <c r="Z536">
        <v>6.4871296054634896E-3</v>
      </c>
      <c r="AA536">
        <v>20</v>
      </c>
    </row>
    <row r="537" spans="1:27" x14ac:dyDescent="0.2">
      <c r="A537">
        <v>15</v>
      </c>
      <c r="B537">
        <v>1</v>
      </c>
      <c r="C537">
        <v>0.3</v>
      </c>
      <c r="D537">
        <v>100</v>
      </c>
      <c r="E537">
        <v>0.41368636015624699</v>
      </c>
      <c r="F537">
        <v>1</v>
      </c>
      <c r="G537">
        <v>21.341106026999999</v>
      </c>
      <c r="H537">
        <v>0.14225950582119701</v>
      </c>
      <c r="I537">
        <v>1</v>
      </c>
      <c r="J537">
        <v>0.31119423800000001</v>
      </c>
      <c r="K537">
        <v>0.14625702302978899</v>
      </c>
      <c r="L537">
        <v>1</v>
      </c>
      <c r="M537">
        <v>3600.5806507940001</v>
      </c>
      <c r="N537">
        <v>492488</v>
      </c>
      <c r="O537">
        <v>6.7693699129943496E-2</v>
      </c>
      <c r="P537" s="5">
        <v>0.34005698815299501</v>
      </c>
      <c r="Q537">
        <v>1</v>
      </c>
      <c r="R537">
        <v>3386.822905555</v>
      </c>
      <c r="S537">
        <v>83974</v>
      </c>
      <c r="T537">
        <v>2.1734842832672702E-3</v>
      </c>
      <c r="U537">
        <v>50094</v>
      </c>
      <c r="V537" s="5">
        <v>0.333199468633333</v>
      </c>
      <c r="W537">
        <v>1</v>
      </c>
      <c r="X537">
        <v>3163.773540314</v>
      </c>
      <c r="Y537">
        <v>54610</v>
      </c>
      <c r="Z537">
        <v>2.1412796763094499E-2</v>
      </c>
      <c r="AA537">
        <v>20</v>
      </c>
    </row>
    <row r="538" spans="1:27" x14ac:dyDescent="0.2">
      <c r="A538">
        <v>15</v>
      </c>
      <c r="B538">
        <v>1</v>
      </c>
      <c r="C538">
        <v>0.2</v>
      </c>
      <c r="D538">
        <v>100</v>
      </c>
      <c r="E538">
        <v>7.7642223629443105E-2</v>
      </c>
      <c r="F538">
        <v>1</v>
      </c>
      <c r="G538">
        <v>27.182039224</v>
      </c>
      <c r="H538">
        <v>4.69555799240935E-2</v>
      </c>
      <c r="I538">
        <v>1</v>
      </c>
      <c r="J538">
        <v>0.12146804899999999</v>
      </c>
      <c r="K538">
        <v>4.9775152989594097E-2</v>
      </c>
      <c r="L538">
        <v>1</v>
      </c>
      <c r="M538">
        <v>3601.097330353</v>
      </c>
      <c r="N538">
        <v>419896</v>
      </c>
      <c r="O538">
        <v>3.7850878975721203E-2</v>
      </c>
      <c r="P538" s="5">
        <v>0.150473664158526</v>
      </c>
      <c r="Q538">
        <v>1</v>
      </c>
      <c r="R538">
        <v>330.03238210199999</v>
      </c>
      <c r="S538">
        <v>5573</v>
      </c>
      <c r="T538">
        <v>1.0479123100318301E-3</v>
      </c>
      <c r="U538">
        <v>4270</v>
      </c>
      <c r="V538" s="5">
        <v>0.12935609197755599</v>
      </c>
      <c r="W538">
        <v>1</v>
      </c>
      <c r="X538">
        <v>32.590661908999998</v>
      </c>
      <c r="Y538">
        <v>1</v>
      </c>
      <c r="Z538">
        <v>5.0874025963305296E-3</v>
      </c>
      <c r="AA538">
        <v>2</v>
      </c>
    </row>
    <row r="539" spans="1:27" x14ac:dyDescent="0.2">
      <c r="A539">
        <v>15</v>
      </c>
      <c r="B539">
        <v>1</v>
      </c>
      <c r="C539">
        <v>0.3</v>
      </c>
      <c r="D539">
        <v>100</v>
      </c>
      <c r="E539">
        <v>1.2447076413489E-2</v>
      </c>
      <c r="F539">
        <v>1</v>
      </c>
      <c r="G539">
        <v>27.281590464000001</v>
      </c>
      <c r="H539">
        <v>2.07262367693689E-2</v>
      </c>
      <c r="I539">
        <v>1</v>
      </c>
      <c r="J539">
        <v>5.6498727999999998E-2</v>
      </c>
      <c r="K539">
        <v>2.0549151680519E-2</v>
      </c>
      <c r="L539">
        <v>1</v>
      </c>
      <c r="M539">
        <v>3602.68743675</v>
      </c>
      <c r="N539">
        <v>282328</v>
      </c>
      <c r="O539">
        <v>4.5189595800408697E-2</v>
      </c>
      <c r="P539" s="5">
        <v>1.6910148753412201E-2</v>
      </c>
      <c r="Q539">
        <v>1</v>
      </c>
      <c r="R539">
        <v>22.462932714000001</v>
      </c>
      <c r="S539">
        <v>1</v>
      </c>
      <c r="T539">
        <v>1.79637398037524E-3</v>
      </c>
      <c r="U539">
        <v>4</v>
      </c>
      <c r="V539" s="5">
        <v>1.6910148758132602E-2</v>
      </c>
      <c r="W539">
        <v>1</v>
      </c>
      <c r="X539">
        <v>10.890735564</v>
      </c>
      <c r="Y539">
        <v>1</v>
      </c>
      <c r="Z539">
        <v>1.7067500628837301E-3</v>
      </c>
      <c r="AA539">
        <v>1</v>
      </c>
    </row>
    <row r="540" spans="1:27" x14ac:dyDescent="0.2">
      <c r="A540">
        <v>15</v>
      </c>
      <c r="B540">
        <v>1</v>
      </c>
      <c r="C540">
        <v>0.1</v>
      </c>
      <c r="D540">
        <v>100</v>
      </c>
      <c r="E540">
        <v>0.80410680381473698</v>
      </c>
      <c r="F540">
        <v>1</v>
      </c>
      <c r="G540">
        <v>28.185200127000002</v>
      </c>
      <c r="H540">
        <v>0.792503315264798</v>
      </c>
      <c r="I540">
        <v>1</v>
      </c>
      <c r="J540">
        <v>0.20575051699999999</v>
      </c>
      <c r="K540">
        <v>0.87223044548760698</v>
      </c>
      <c r="L540">
        <v>1</v>
      </c>
      <c r="M540">
        <v>3600.8377763210001</v>
      </c>
      <c r="N540">
        <v>227436</v>
      </c>
      <c r="O540">
        <v>2.30261897904647E-2</v>
      </c>
      <c r="P540" s="5">
        <v>0.89085719921243101</v>
      </c>
      <c r="Q540">
        <v>1</v>
      </c>
      <c r="R540">
        <v>1266.6497925230001</v>
      </c>
      <c r="S540">
        <v>17000</v>
      </c>
      <c r="T540">
        <v>2.1147973393318499E-4</v>
      </c>
      <c r="U540">
        <v>14763</v>
      </c>
      <c r="V540" s="5">
        <v>1.1757435726094401</v>
      </c>
      <c r="W540">
        <v>1</v>
      </c>
      <c r="X540">
        <v>62.679154881000002</v>
      </c>
      <c r="Y540">
        <v>1</v>
      </c>
      <c r="Z540">
        <v>6.7147851503908699E-4</v>
      </c>
      <c r="AA540">
        <v>3</v>
      </c>
    </row>
    <row r="541" spans="1:27" x14ac:dyDescent="0.2">
      <c r="A541">
        <v>15</v>
      </c>
      <c r="B541">
        <v>1</v>
      </c>
      <c r="C541">
        <v>0.2</v>
      </c>
      <c r="D541">
        <v>100</v>
      </c>
      <c r="E541">
        <v>0.42363392004672201</v>
      </c>
      <c r="F541">
        <v>1</v>
      </c>
      <c r="G541">
        <v>28.168747579000001</v>
      </c>
      <c r="H541">
        <v>0.38636899234282501</v>
      </c>
      <c r="I541">
        <v>1</v>
      </c>
      <c r="J541">
        <v>0.21362783599999999</v>
      </c>
      <c r="K541">
        <v>0.38790515285592098</v>
      </c>
      <c r="L541">
        <v>1</v>
      </c>
      <c r="M541">
        <v>3601.5530227200002</v>
      </c>
      <c r="N541">
        <v>252728</v>
      </c>
      <c r="O541">
        <v>7.0809309706319795E-2</v>
      </c>
      <c r="P541" s="5">
        <v>0.59337465381643095</v>
      </c>
      <c r="Q541">
        <v>1</v>
      </c>
      <c r="R541">
        <v>1399.097280773</v>
      </c>
      <c r="S541">
        <v>22855</v>
      </c>
      <c r="T541">
        <v>2.9621329233772602E-3</v>
      </c>
      <c r="U541">
        <v>14919</v>
      </c>
      <c r="V541" s="5">
        <v>0.38669682849926701</v>
      </c>
      <c r="W541">
        <v>1</v>
      </c>
      <c r="X541">
        <v>2696.4543294529999</v>
      </c>
      <c r="Y541">
        <v>28588</v>
      </c>
      <c r="Z541">
        <v>4.5515878451874402E-3</v>
      </c>
      <c r="AA541">
        <v>20</v>
      </c>
    </row>
    <row r="542" spans="1:27" x14ac:dyDescent="0.2">
      <c r="A542">
        <v>15</v>
      </c>
      <c r="B542">
        <v>1</v>
      </c>
      <c r="C542">
        <v>0.2</v>
      </c>
      <c r="D542">
        <v>100</v>
      </c>
      <c r="E542">
        <v>0.64576979577687899</v>
      </c>
      <c r="F542">
        <v>1</v>
      </c>
      <c r="G542">
        <v>22.343924393999998</v>
      </c>
      <c r="H542">
        <v>0.598396991361412</v>
      </c>
      <c r="I542">
        <v>1</v>
      </c>
      <c r="J542">
        <v>0.107354482</v>
      </c>
      <c r="K542">
        <v>0.53237552202509497</v>
      </c>
      <c r="L542">
        <v>1</v>
      </c>
      <c r="M542">
        <v>3602.9170111110002</v>
      </c>
      <c r="N542">
        <v>444526</v>
      </c>
      <c r="O542">
        <v>5.69659955401959E-2</v>
      </c>
      <c r="P542" s="5">
        <v>0.73712845325728504</v>
      </c>
      <c r="Q542">
        <v>1</v>
      </c>
      <c r="R542">
        <v>576.40044111099996</v>
      </c>
      <c r="S542">
        <v>8985</v>
      </c>
      <c r="T542">
        <v>1.63318713013435E-3</v>
      </c>
      <c r="U542">
        <v>7527</v>
      </c>
      <c r="V542" s="5">
        <v>0.72886662988191497</v>
      </c>
      <c r="W542">
        <v>1</v>
      </c>
      <c r="X542">
        <v>2019.2140853000001</v>
      </c>
      <c r="Y542">
        <v>28918</v>
      </c>
      <c r="Z542">
        <v>1.75402469930691E-3</v>
      </c>
      <c r="AA542">
        <v>20</v>
      </c>
    </row>
    <row r="543" spans="1:27" x14ac:dyDescent="0.2">
      <c r="A543">
        <v>15</v>
      </c>
      <c r="B543">
        <v>1</v>
      </c>
      <c r="C543">
        <v>0.1</v>
      </c>
      <c r="D543">
        <v>100</v>
      </c>
      <c r="E543">
        <v>1.1929775313120099</v>
      </c>
      <c r="F543">
        <v>1</v>
      </c>
      <c r="G543">
        <v>48.958646100999999</v>
      </c>
      <c r="H543">
        <v>0.92567767669940404</v>
      </c>
      <c r="I543">
        <v>1</v>
      </c>
      <c r="J543">
        <v>0.85724793399999999</v>
      </c>
      <c r="K543">
        <v>1.1191397539550401</v>
      </c>
      <c r="L543">
        <v>1</v>
      </c>
      <c r="M543">
        <v>3601.372972528</v>
      </c>
      <c r="N543">
        <v>275617</v>
      </c>
      <c r="O543">
        <v>4.3466002066725802E-2</v>
      </c>
      <c r="P543" s="5">
        <v>1.08549717976045</v>
      </c>
      <c r="Q543">
        <v>1</v>
      </c>
      <c r="R543">
        <v>2305.7616047749998</v>
      </c>
      <c r="S543">
        <v>19740</v>
      </c>
      <c r="T543">
        <v>3.3764976985470302E-4</v>
      </c>
      <c r="U543">
        <v>17027</v>
      </c>
      <c r="V543" s="5">
        <v>1.0444444598037801</v>
      </c>
      <c r="W543">
        <v>1</v>
      </c>
      <c r="X543">
        <v>2461.7752640849999</v>
      </c>
      <c r="Y543">
        <v>33026</v>
      </c>
      <c r="Z543">
        <v>9.0487260611389598E-4</v>
      </c>
      <c r="AA543">
        <v>20</v>
      </c>
    </row>
    <row r="544" spans="1:27" x14ac:dyDescent="0.2">
      <c r="A544">
        <v>15</v>
      </c>
      <c r="B544">
        <v>1</v>
      </c>
      <c r="C544">
        <v>0.4</v>
      </c>
      <c r="D544">
        <v>100</v>
      </c>
      <c r="E544">
        <v>6.0722274192998499E-2</v>
      </c>
      <c r="F544">
        <v>1</v>
      </c>
      <c r="G544">
        <v>27.327032458000001</v>
      </c>
      <c r="H544">
        <v>3.0823030701108201E-2</v>
      </c>
      <c r="I544">
        <v>1</v>
      </c>
      <c r="J544">
        <v>0.126379559</v>
      </c>
      <c r="K544">
        <v>3.0925866570484802E-2</v>
      </c>
      <c r="L544">
        <v>1</v>
      </c>
      <c r="M544">
        <v>3601.0334132170001</v>
      </c>
      <c r="N544">
        <v>467144</v>
      </c>
      <c r="O544">
        <v>3.5242986432244501E-2</v>
      </c>
      <c r="P544" s="5">
        <v>0.118581539720469</v>
      </c>
      <c r="Q544">
        <v>1</v>
      </c>
      <c r="R544">
        <v>830.69099068699995</v>
      </c>
      <c r="S544">
        <v>12372</v>
      </c>
      <c r="T544">
        <v>3.8990251776614398E-3</v>
      </c>
      <c r="U544">
        <v>8880</v>
      </c>
      <c r="V544" s="5">
        <v>2.44672515691432E-2</v>
      </c>
      <c r="W544">
        <v>1</v>
      </c>
      <c r="X544">
        <v>126.677932758</v>
      </c>
      <c r="Y544">
        <v>907</v>
      </c>
      <c r="Z544">
        <v>7.67206570005624E-3</v>
      </c>
      <c r="AA544">
        <v>5</v>
      </c>
    </row>
    <row r="545" spans="1:27" x14ac:dyDescent="0.2">
      <c r="A545">
        <v>15</v>
      </c>
      <c r="B545">
        <v>1</v>
      </c>
      <c r="C545">
        <v>0.2</v>
      </c>
      <c r="D545">
        <v>100</v>
      </c>
      <c r="E545">
        <v>0.473751622789714</v>
      </c>
      <c r="F545">
        <v>1</v>
      </c>
      <c r="G545">
        <v>29.838948218999999</v>
      </c>
      <c r="H545">
        <v>0.31107845341766999</v>
      </c>
      <c r="I545">
        <v>1</v>
      </c>
      <c r="J545">
        <v>0.188752215</v>
      </c>
      <c r="K545">
        <v>0.49878852832958198</v>
      </c>
      <c r="L545">
        <v>1</v>
      </c>
      <c r="M545">
        <v>3601.5621271559999</v>
      </c>
      <c r="N545">
        <v>163324</v>
      </c>
      <c r="O545">
        <v>0.30322169138347699</v>
      </c>
      <c r="P545" s="5">
        <v>0.43501384120576803</v>
      </c>
      <c r="Q545">
        <v>1</v>
      </c>
      <c r="R545">
        <v>3656.3045074070001</v>
      </c>
      <c r="S545">
        <v>54404</v>
      </c>
      <c r="T545">
        <v>1.5615333758051599E-3</v>
      </c>
      <c r="U545">
        <v>34594</v>
      </c>
      <c r="V545" s="5">
        <v>0.425201598701832</v>
      </c>
      <c r="W545">
        <v>1</v>
      </c>
      <c r="X545">
        <v>3394.369061809</v>
      </c>
      <c r="Y545">
        <v>38789</v>
      </c>
      <c r="Z545">
        <v>6.4298055412897103E-3</v>
      </c>
      <c r="AA545">
        <v>20</v>
      </c>
    </row>
    <row r="546" spans="1:27" x14ac:dyDescent="0.2">
      <c r="A546">
        <v>15</v>
      </c>
      <c r="B546">
        <v>1</v>
      </c>
      <c r="C546">
        <v>0.3</v>
      </c>
      <c r="D546">
        <v>100</v>
      </c>
      <c r="E546">
        <v>0.119874254536318</v>
      </c>
      <c r="F546">
        <v>1</v>
      </c>
      <c r="G546">
        <v>31.298283415</v>
      </c>
      <c r="H546">
        <v>6.4341450050708696E-2</v>
      </c>
      <c r="I546">
        <v>1</v>
      </c>
      <c r="J546">
        <v>0.12949413800000001</v>
      </c>
      <c r="K546">
        <v>6.5847215277319696E-2</v>
      </c>
      <c r="L546">
        <v>1</v>
      </c>
      <c r="M546">
        <v>3602.3738545669999</v>
      </c>
      <c r="N546">
        <v>287202</v>
      </c>
      <c r="O546">
        <v>6.1933178538893602E-2</v>
      </c>
      <c r="P546" s="5">
        <v>0.115294713599232</v>
      </c>
      <c r="Q546">
        <v>1</v>
      </c>
      <c r="R546">
        <v>859.02257588800001</v>
      </c>
      <c r="S546">
        <v>7505</v>
      </c>
      <c r="T546">
        <v>6.1480778457981798E-3</v>
      </c>
      <c r="U546">
        <v>6202</v>
      </c>
      <c r="V546" s="5">
        <v>5.7185911007995499E-2</v>
      </c>
      <c r="W546">
        <v>1</v>
      </c>
      <c r="X546">
        <v>90.683991355000003</v>
      </c>
      <c r="Y546">
        <v>1</v>
      </c>
      <c r="Z546">
        <v>2.69928123774269E-2</v>
      </c>
      <c r="AA546">
        <v>2</v>
      </c>
    </row>
    <row r="547" spans="1:27" x14ac:dyDescent="0.2">
      <c r="A547">
        <v>15</v>
      </c>
      <c r="B547">
        <v>1</v>
      </c>
      <c r="C547">
        <v>0.3</v>
      </c>
      <c r="D547">
        <v>100</v>
      </c>
      <c r="E547">
        <v>0.333197854612795</v>
      </c>
      <c r="F547">
        <v>1</v>
      </c>
      <c r="G547">
        <v>26.884508219000001</v>
      </c>
      <c r="H547">
        <v>8.2677296390941193E-2</v>
      </c>
      <c r="I547">
        <v>1</v>
      </c>
      <c r="J547">
        <v>0.166775389</v>
      </c>
      <c r="K547">
        <v>8.30056473751795E-2</v>
      </c>
      <c r="L547">
        <v>1</v>
      </c>
      <c r="M547">
        <v>3601.4000722699998</v>
      </c>
      <c r="N547">
        <v>413448</v>
      </c>
      <c r="O547">
        <v>0.124155123366435</v>
      </c>
      <c r="P547" s="5">
        <v>6.84646633634826E-2</v>
      </c>
      <c r="Q547">
        <v>1</v>
      </c>
      <c r="R547">
        <v>3638.1987824739999</v>
      </c>
      <c r="S547">
        <v>42267</v>
      </c>
      <c r="T547">
        <v>0.143308760699212</v>
      </c>
      <c r="U547">
        <v>41971</v>
      </c>
      <c r="V547" s="5">
        <v>0.26280356968003599</v>
      </c>
      <c r="W547">
        <v>1</v>
      </c>
      <c r="X547">
        <v>3323.1626296690001</v>
      </c>
      <c r="Y547">
        <v>25340</v>
      </c>
      <c r="Z547">
        <v>3.8041378617988002E-2</v>
      </c>
      <c r="AA547">
        <v>20</v>
      </c>
    </row>
    <row r="548" spans="1:27" x14ac:dyDescent="0.2">
      <c r="A548">
        <v>15</v>
      </c>
      <c r="B548">
        <v>1</v>
      </c>
      <c r="C548">
        <v>0.3</v>
      </c>
      <c r="D548">
        <v>100</v>
      </c>
      <c r="E548">
        <v>0.28696673424402802</v>
      </c>
      <c r="F548">
        <v>1</v>
      </c>
      <c r="G548">
        <v>22.130782953000001</v>
      </c>
      <c r="H548">
        <v>8.5390599152428096E-2</v>
      </c>
      <c r="I548">
        <v>1</v>
      </c>
      <c r="J548">
        <v>0.130954136</v>
      </c>
      <c r="K548">
        <v>8.8478326238071503E-2</v>
      </c>
      <c r="L548">
        <v>1</v>
      </c>
      <c r="M548">
        <v>3601.1983597600001</v>
      </c>
      <c r="N548">
        <v>629991</v>
      </c>
      <c r="O548">
        <v>6.5798692148717905E-2</v>
      </c>
      <c r="P548" s="5">
        <v>0.267400828158465</v>
      </c>
      <c r="Q548">
        <v>1</v>
      </c>
      <c r="R548">
        <v>1190.839947879</v>
      </c>
      <c r="S548">
        <v>21699</v>
      </c>
      <c r="T548">
        <v>5.5491646838267102E-3</v>
      </c>
      <c r="U548">
        <v>15557</v>
      </c>
      <c r="V548" s="5">
        <v>0.206846879689457</v>
      </c>
      <c r="W548">
        <v>1</v>
      </c>
      <c r="X548">
        <v>2835.1246971370001</v>
      </c>
      <c r="Y548">
        <v>24812</v>
      </c>
      <c r="Z548">
        <v>1.9707337914214001E-2</v>
      </c>
      <c r="AA548">
        <v>20</v>
      </c>
    </row>
    <row r="549" spans="1:27" x14ac:dyDescent="0.2">
      <c r="A549">
        <v>15</v>
      </c>
      <c r="B549">
        <v>1</v>
      </c>
      <c r="C549">
        <v>0.4</v>
      </c>
      <c r="D549">
        <v>100</v>
      </c>
      <c r="E549">
        <v>0.26650828836294499</v>
      </c>
      <c r="F549">
        <v>1</v>
      </c>
      <c r="G549">
        <v>29.444035863</v>
      </c>
      <c r="H549">
        <v>8.5079094611757E-2</v>
      </c>
      <c r="I549">
        <v>1</v>
      </c>
      <c r="J549">
        <v>0.11537459999999999</v>
      </c>
      <c r="K549">
        <v>8.6685074927829397E-2</v>
      </c>
      <c r="L549">
        <v>1</v>
      </c>
      <c r="M549">
        <v>3600.9500019480001</v>
      </c>
      <c r="N549">
        <v>518068</v>
      </c>
      <c r="O549">
        <v>4.5303871095910601E-2</v>
      </c>
      <c r="P549" s="5">
        <v>0.180003113957977</v>
      </c>
      <c r="Q549">
        <v>1</v>
      </c>
      <c r="R549">
        <v>731.28589829400005</v>
      </c>
      <c r="S549">
        <v>8807</v>
      </c>
      <c r="T549">
        <v>6.4863226836703296E-3</v>
      </c>
      <c r="U549">
        <v>8008</v>
      </c>
      <c r="V549" s="5">
        <v>0.165203995356629</v>
      </c>
      <c r="W549">
        <v>1</v>
      </c>
      <c r="X549">
        <v>2416.1360191879999</v>
      </c>
      <c r="Y549">
        <v>16217</v>
      </c>
      <c r="Z549">
        <v>1.29871062473077E-2</v>
      </c>
      <c r="AA549">
        <v>20</v>
      </c>
    </row>
    <row r="550" spans="1:27" x14ac:dyDescent="0.2">
      <c r="A550">
        <v>15</v>
      </c>
      <c r="B550">
        <v>1</v>
      </c>
      <c r="C550">
        <v>0.3</v>
      </c>
      <c r="D550">
        <v>100</v>
      </c>
      <c r="E550">
        <v>0.198711583876029</v>
      </c>
      <c r="F550">
        <v>1</v>
      </c>
      <c r="G550">
        <v>27.88061824</v>
      </c>
      <c r="H550">
        <v>4.9306843326043903E-2</v>
      </c>
      <c r="I550">
        <v>1</v>
      </c>
      <c r="J550">
        <v>8.1924874999999994E-2</v>
      </c>
      <c r="K550">
        <v>0.12690918551022301</v>
      </c>
      <c r="L550">
        <v>1</v>
      </c>
      <c r="M550">
        <v>3601.8490289400002</v>
      </c>
      <c r="N550">
        <v>197332</v>
      </c>
      <c r="O550">
        <v>0.26047957370503999</v>
      </c>
      <c r="P550" s="5">
        <v>0.16773380555070599</v>
      </c>
      <c r="Q550">
        <v>1</v>
      </c>
      <c r="R550">
        <v>920.04990904800002</v>
      </c>
      <c r="S550">
        <v>14948</v>
      </c>
      <c r="T550">
        <v>2.48550702074429E-3</v>
      </c>
      <c r="U550">
        <v>9964</v>
      </c>
      <c r="V550" s="5">
        <v>5.2953960879734002E-2</v>
      </c>
      <c r="W550">
        <v>1</v>
      </c>
      <c r="X550">
        <v>2831.9896761519999</v>
      </c>
      <c r="Y550">
        <v>15055</v>
      </c>
      <c r="Z550">
        <v>4.9531323978818601E-3</v>
      </c>
      <c r="AA550">
        <v>20</v>
      </c>
    </row>
    <row r="551" spans="1:27" x14ac:dyDescent="0.2">
      <c r="A551">
        <v>15</v>
      </c>
      <c r="B551">
        <v>1</v>
      </c>
      <c r="C551">
        <v>0.3</v>
      </c>
      <c r="D551">
        <v>100</v>
      </c>
      <c r="E551">
        <v>0.237967804985495</v>
      </c>
      <c r="F551">
        <v>1</v>
      </c>
      <c r="G551">
        <v>28.716671095999999</v>
      </c>
      <c r="H551">
        <v>0.22509131052740899</v>
      </c>
      <c r="I551">
        <v>1</v>
      </c>
      <c r="J551">
        <v>0.15333332199999999</v>
      </c>
      <c r="K551">
        <v>0.240552304308814</v>
      </c>
      <c r="L551">
        <v>1</v>
      </c>
      <c r="M551">
        <v>3602.194870114</v>
      </c>
      <c r="N551">
        <v>276779</v>
      </c>
      <c r="O551">
        <v>3.0346512244690801E-2</v>
      </c>
      <c r="P551" s="5">
        <v>0.25036716300814499</v>
      </c>
      <c r="Q551">
        <v>1</v>
      </c>
      <c r="R551">
        <v>1123.6775383639999</v>
      </c>
      <c r="S551">
        <v>12886</v>
      </c>
      <c r="T551">
        <v>5.1908992719637004E-3</v>
      </c>
      <c r="U551">
        <v>9349</v>
      </c>
      <c r="V551" s="5">
        <v>0.23769476684351101</v>
      </c>
      <c r="W551">
        <v>1</v>
      </c>
      <c r="X551">
        <v>2834.8518380989999</v>
      </c>
      <c r="Y551">
        <v>16650</v>
      </c>
      <c r="Z551">
        <v>7.4653229605244897E-3</v>
      </c>
      <c r="AA551">
        <v>20</v>
      </c>
    </row>
    <row r="552" spans="1:27" x14ac:dyDescent="0.2">
      <c r="A552">
        <v>15</v>
      </c>
      <c r="B552">
        <v>1</v>
      </c>
      <c r="C552">
        <v>0.4</v>
      </c>
      <c r="D552">
        <v>100</v>
      </c>
      <c r="E552">
        <v>0.47644017865105798</v>
      </c>
      <c r="F552">
        <v>1</v>
      </c>
      <c r="G552">
        <v>27.518636567000001</v>
      </c>
      <c r="H552">
        <v>0.34853705516668598</v>
      </c>
      <c r="I552">
        <v>1</v>
      </c>
      <c r="J552">
        <v>0.192314448</v>
      </c>
      <c r="K552">
        <v>0.42862629713112999</v>
      </c>
      <c r="L552">
        <v>1</v>
      </c>
      <c r="M552">
        <v>3600.9115813520002</v>
      </c>
      <c r="N552">
        <v>453513</v>
      </c>
      <c r="O552">
        <v>0.119680845352826</v>
      </c>
      <c r="P552" s="5">
        <v>0.407231250660611</v>
      </c>
      <c r="Q552">
        <v>1</v>
      </c>
      <c r="R552">
        <v>3664.007968549</v>
      </c>
      <c r="S552">
        <v>60520</v>
      </c>
      <c r="T552">
        <v>1.9763857296903101E-3</v>
      </c>
      <c r="U552">
        <v>38840</v>
      </c>
      <c r="V552" s="5">
        <v>0.38698695870977201</v>
      </c>
      <c r="W552">
        <v>1</v>
      </c>
      <c r="X552">
        <v>3394.2567740949999</v>
      </c>
      <c r="Y552">
        <v>32049</v>
      </c>
      <c r="Z552">
        <v>6.9129724905407598E-3</v>
      </c>
      <c r="AA552">
        <v>20</v>
      </c>
    </row>
    <row r="553" spans="1:27" x14ac:dyDescent="0.2">
      <c r="A553">
        <v>15</v>
      </c>
      <c r="B553">
        <v>1</v>
      </c>
      <c r="C553">
        <v>0.1</v>
      </c>
      <c r="D553">
        <v>100</v>
      </c>
      <c r="E553">
        <v>0.84635605073619602</v>
      </c>
      <c r="F553">
        <v>1</v>
      </c>
      <c r="G553">
        <v>22.513424832999998</v>
      </c>
      <c r="H553">
        <v>0.86333289078869302</v>
      </c>
      <c r="I553">
        <v>1</v>
      </c>
      <c r="J553">
        <v>4.3344952999999999E-2</v>
      </c>
      <c r="K553">
        <v>0.86851251195763102</v>
      </c>
      <c r="L553">
        <v>1</v>
      </c>
      <c r="M553">
        <v>3600.4497907139998</v>
      </c>
      <c r="N553">
        <v>402967</v>
      </c>
      <c r="O553">
        <v>1.5969062468909299E-2</v>
      </c>
      <c r="P553" s="5">
        <v>1.1112749027698301</v>
      </c>
      <c r="Q553">
        <v>1</v>
      </c>
      <c r="R553">
        <v>406.33936974199997</v>
      </c>
      <c r="S553">
        <v>7630</v>
      </c>
      <c r="T553" s="1">
        <v>1.7126557761992E-5</v>
      </c>
      <c r="U553">
        <v>7092</v>
      </c>
      <c r="V553" s="5">
        <v>0.94593032461922699</v>
      </c>
      <c r="W553">
        <v>1</v>
      </c>
      <c r="X553">
        <v>16.329517994</v>
      </c>
      <c r="Y553">
        <v>0</v>
      </c>
      <c r="Z553">
        <v>2.1874756568941199E-4</v>
      </c>
      <c r="AA553">
        <v>2</v>
      </c>
    </row>
    <row r="554" spans="1:27" x14ac:dyDescent="0.2">
      <c r="A554">
        <v>15</v>
      </c>
      <c r="B554">
        <v>1</v>
      </c>
      <c r="C554">
        <v>0.3</v>
      </c>
      <c r="D554">
        <v>100</v>
      </c>
      <c r="E554">
        <v>0.30036004169293901</v>
      </c>
      <c r="F554">
        <v>1</v>
      </c>
      <c r="G554">
        <v>35.372171086999998</v>
      </c>
      <c r="H554">
        <v>0.20729927822907601</v>
      </c>
      <c r="I554">
        <v>1</v>
      </c>
      <c r="J554">
        <v>0.19817370400000001</v>
      </c>
      <c r="K554">
        <v>0.163446750607074</v>
      </c>
      <c r="L554">
        <v>1</v>
      </c>
      <c r="M554">
        <v>3601.4914106189999</v>
      </c>
      <c r="N554">
        <v>153908</v>
      </c>
      <c r="O554">
        <v>0.177605042465106</v>
      </c>
      <c r="P554" s="5">
        <v>0.47000636604895502</v>
      </c>
      <c r="Q554">
        <v>1</v>
      </c>
      <c r="R554">
        <v>3697.9040640329999</v>
      </c>
      <c r="S554">
        <v>39810</v>
      </c>
      <c r="T554">
        <v>3.70055345195791E-3</v>
      </c>
      <c r="U554">
        <v>31988</v>
      </c>
      <c r="V554" s="5">
        <v>0.202832182322988</v>
      </c>
      <c r="W554">
        <v>1</v>
      </c>
      <c r="X554">
        <v>3242.4930497270002</v>
      </c>
      <c r="Y554">
        <v>4973</v>
      </c>
      <c r="Z554">
        <v>2.4452625852205701E-2</v>
      </c>
      <c r="AA554">
        <v>20</v>
      </c>
    </row>
    <row r="555" spans="1:27" x14ac:dyDescent="0.2">
      <c r="A555">
        <v>15</v>
      </c>
      <c r="B555">
        <v>1</v>
      </c>
      <c r="C555">
        <v>0.1</v>
      </c>
      <c r="D555">
        <v>100</v>
      </c>
      <c r="E555">
        <v>0.96367906565432704</v>
      </c>
      <c r="F555">
        <v>1</v>
      </c>
      <c r="G555">
        <v>29.17205787</v>
      </c>
      <c r="H555">
        <v>0.96367906565432704</v>
      </c>
      <c r="I555">
        <v>1</v>
      </c>
      <c r="J555">
        <v>4.3669057999999997E-2</v>
      </c>
      <c r="K555">
        <v>0.82269921277862901</v>
      </c>
      <c r="L555">
        <v>1</v>
      </c>
      <c r="M555">
        <v>3602.4904109949998</v>
      </c>
      <c r="N555">
        <v>198424</v>
      </c>
      <c r="O555">
        <v>5.3757361786754297E-2</v>
      </c>
      <c r="P555" s="5">
        <v>1.1849135623509801</v>
      </c>
      <c r="Q555">
        <v>1</v>
      </c>
      <c r="R555">
        <v>583.37757662599995</v>
      </c>
      <c r="S555">
        <v>8398</v>
      </c>
      <c r="T555">
        <v>6.2337038273407104E-4</v>
      </c>
      <c r="U555">
        <v>7136</v>
      </c>
      <c r="V555" s="5">
        <v>1.18790510867681</v>
      </c>
      <c r="W555">
        <v>1</v>
      </c>
      <c r="X555">
        <v>2517.281299326</v>
      </c>
      <c r="Y555">
        <v>35254</v>
      </c>
      <c r="Z555">
        <v>2.4114045335958401E-3</v>
      </c>
      <c r="AA555">
        <v>20</v>
      </c>
    </row>
    <row r="556" spans="1:27" x14ac:dyDescent="0.2">
      <c r="A556">
        <v>15</v>
      </c>
      <c r="B556">
        <v>1</v>
      </c>
      <c r="C556">
        <v>0.2</v>
      </c>
      <c r="D556">
        <v>100</v>
      </c>
      <c r="E556">
        <v>0.27415230912694599</v>
      </c>
      <c r="F556">
        <v>1</v>
      </c>
      <c r="G556">
        <v>28.678160430999998</v>
      </c>
      <c r="H556">
        <v>0.279105743888304</v>
      </c>
      <c r="I556">
        <v>1</v>
      </c>
      <c r="J556">
        <v>0.24988079899999999</v>
      </c>
      <c r="K556">
        <v>0.57318239459028297</v>
      </c>
      <c r="L556">
        <v>1</v>
      </c>
      <c r="M556">
        <v>3602.8734900919999</v>
      </c>
      <c r="N556">
        <v>146281</v>
      </c>
      <c r="O556">
        <v>0.557158127532002</v>
      </c>
      <c r="P556" s="5">
        <v>0.47695410456652998</v>
      </c>
      <c r="Q556">
        <v>1</v>
      </c>
      <c r="R556">
        <v>530.56784198900004</v>
      </c>
      <c r="S556">
        <v>8343</v>
      </c>
      <c r="T556">
        <v>2.2040630953316302E-3</v>
      </c>
      <c r="U556">
        <v>6739</v>
      </c>
      <c r="V556" s="5">
        <v>0.28258761311678399</v>
      </c>
      <c r="W556">
        <v>1</v>
      </c>
      <c r="X556">
        <v>3012.2409658930001</v>
      </c>
      <c r="Y556">
        <v>18324</v>
      </c>
      <c r="Z556">
        <v>4.6610757472328396E-3</v>
      </c>
      <c r="AA556">
        <v>20</v>
      </c>
    </row>
    <row r="557" spans="1:27" x14ac:dyDescent="0.2">
      <c r="A557">
        <v>15</v>
      </c>
      <c r="B557">
        <v>1</v>
      </c>
      <c r="C557">
        <v>0.2</v>
      </c>
      <c r="D557">
        <v>100</v>
      </c>
      <c r="E557">
        <v>0.60565208416092498</v>
      </c>
      <c r="F557">
        <v>1</v>
      </c>
      <c r="G557">
        <v>29.416172133</v>
      </c>
      <c r="H557">
        <v>0.27592623398713501</v>
      </c>
      <c r="I557">
        <v>1</v>
      </c>
      <c r="J557">
        <v>0.27543844000000001</v>
      </c>
      <c r="K557">
        <v>0.31289920315818598</v>
      </c>
      <c r="L557">
        <v>1</v>
      </c>
      <c r="M557">
        <v>3601.7952715629999</v>
      </c>
      <c r="N557">
        <v>129747</v>
      </c>
      <c r="O557">
        <v>4.9170902591477501E-2</v>
      </c>
      <c r="P557" s="5">
        <v>0.81212228841706702</v>
      </c>
      <c r="Q557">
        <v>1</v>
      </c>
      <c r="R557">
        <v>3646.883986538</v>
      </c>
      <c r="S557">
        <v>50007</v>
      </c>
      <c r="T557">
        <v>4.8434488288618099E-4</v>
      </c>
      <c r="U557">
        <v>32984</v>
      </c>
      <c r="V557" s="5">
        <v>0.38574186810797401</v>
      </c>
      <c r="W557">
        <v>1</v>
      </c>
      <c r="X557">
        <v>3356.4567053720002</v>
      </c>
      <c r="Y557">
        <v>11691</v>
      </c>
      <c r="Z557">
        <v>5.7561498035112505E-4</v>
      </c>
      <c r="AA557">
        <v>20</v>
      </c>
    </row>
    <row r="558" spans="1:27" x14ac:dyDescent="0.2">
      <c r="A558">
        <v>15</v>
      </c>
      <c r="B558">
        <v>1</v>
      </c>
      <c r="C558">
        <v>0.1</v>
      </c>
      <c r="D558">
        <v>100</v>
      </c>
      <c r="E558">
        <v>0.923622641290063</v>
      </c>
      <c r="F558">
        <v>1</v>
      </c>
      <c r="G558">
        <v>25.777214459</v>
      </c>
      <c r="H558">
        <v>0.906820924442446</v>
      </c>
      <c r="I558">
        <v>1</v>
      </c>
      <c r="J558">
        <v>0.113475216</v>
      </c>
      <c r="K558">
        <v>1.1833349458984299</v>
      </c>
      <c r="L558">
        <v>1</v>
      </c>
      <c r="M558">
        <v>3600.6987208119999</v>
      </c>
      <c r="N558">
        <v>376013</v>
      </c>
      <c r="O558">
        <v>2.7742716076665199E-2</v>
      </c>
      <c r="P558" s="5">
        <v>1.1313746333146799</v>
      </c>
      <c r="Q558">
        <v>1</v>
      </c>
      <c r="R558">
        <v>3638.3672398049998</v>
      </c>
      <c r="S558">
        <v>80773</v>
      </c>
      <c r="T558">
        <v>2.0421437466309599E-4</v>
      </c>
      <c r="U558">
        <v>49945</v>
      </c>
      <c r="V558" s="5">
        <v>0.89043012055524695</v>
      </c>
      <c r="W558">
        <v>1</v>
      </c>
      <c r="X558">
        <v>3197.7547002460001</v>
      </c>
      <c r="Y558">
        <v>69969</v>
      </c>
      <c r="Z558">
        <v>3.7618228750511902E-4</v>
      </c>
      <c r="AA558">
        <v>20</v>
      </c>
    </row>
    <row r="559" spans="1:27" x14ac:dyDescent="0.2">
      <c r="A559">
        <v>15</v>
      </c>
      <c r="B559">
        <v>1</v>
      </c>
      <c r="C559">
        <v>0.4</v>
      </c>
      <c r="D559">
        <v>100</v>
      </c>
      <c r="E559">
        <v>0.24401803600577601</v>
      </c>
      <c r="F559">
        <v>1</v>
      </c>
      <c r="G559">
        <v>32.824011527000003</v>
      </c>
      <c r="H559">
        <v>0.14941838303246299</v>
      </c>
      <c r="I559">
        <v>1</v>
      </c>
      <c r="J559">
        <v>0.36980297200000001</v>
      </c>
      <c r="K559">
        <v>0.14818182287184101</v>
      </c>
      <c r="L559">
        <v>1</v>
      </c>
      <c r="M559">
        <v>3601.4132347889999</v>
      </c>
      <c r="N559">
        <v>442749</v>
      </c>
      <c r="O559">
        <v>8.7563757086456903E-2</v>
      </c>
      <c r="P559" s="5">
        <v>0.35571942869198597</v>
      </c>
      <c r="Q559">
        <v>1</v>
      </c>
      <c r="R559">
        <v>3640.0703464409999</v>
      </c>
      <c r="S559">
        <v>31171</v>
      </c>
      <c r="T559">
        <v>1.91929832726364E-2</v>
      </c>
      <c r="U559">
        <v>24272</v>
      </c>
      <c r="V559" s="5">
        <v>0.35896906861092498</v>
      </c>
      <c r="W559">
        <v>1</v>
      </c>
      <c r="X559">
        <v>3293.551878368</v>
      </c>
      <c r="Y559">
        <v>30220</v>
      </c>
      <c r="Z559">
        <v>2.5858864211122799E-2</v>
      </c>
      <c r="AA559">
        <v>20</v>
      </c>
    </row>
    <row r="560" spans="1:27" x14ac:dyDescent="0.2">
      <c r="A560">
        <v>15</v>
      </c>
      <c r="B560">
        <v>1</v>
      </c>
      <c r="C560">
        <v>0.2</v>
      </c>
      <c r="D560">
        <v>100</v>
      </c>
      <c r="E560">
        <v>0.41055289976484799</v>
      </c>
      <c r="F560">
        <v>1</v>
      </c>
      <c r="G560">
        <v>26.331032011000001</v>
      </c>
      <c r="H560">
        <v>0.101332441956982</v>
      </c>
      <c r="I560">
        <v>1</v>
      </c>
      <c r="J560">
        <v>0.23806909800000001</v>
      </c>
      <c r="K560">
        <v>0.14107853326383299</v>
      </c>
      <c r="L560">
        <v>1</v>
      </c>
      <c r="M560">
        <v>3601.2019978909998</v>
      </c>
      <c r="N560">
        <v>216778</v>
      </c>
      <c r="O560">
        <v>0.160372910360189</v>
      </c>
      <c r="P560" s="5">
        <v>0.269788577683861</v>
      </c>
      <c r="Q560">
        <v>1</v>
      </c>
      <c r="R560">
        <v>1098.8192521460001</v>
      </c>
      <c r="S560">
        <v>14828</v>
      </c>
      <c r="T560">
        <v>1.4084088759328201E-3</v>
      </c>
      <c r="U560">
        <v>11495</v>
      </c>
      <c r="V560" s="5">
        <v>0.227756486387094</v>
      </c>
      <c r="W560">
        <v>1</v>
      </c>
      <c r="X560">
        <v>2984.3830510050002</v>
      </c>
      <c r="Y560">
        <v>65397</v>
      </c>
      <c r="Z560">
        <v>3.7121619630418601E-3</v>
      </c>
      <c r="AA560">
        <v>20</v>
      </c>
    </row>
    <row r="561" spans="1:27" x14ac:dyDescent="0.2">
      <c r="A561">
        <v>15</v>
      </c>
      <c r="B561">
        <v>1</v>
      </c>
      <c r="C561">
        <v>0.4</v>
      </c>
      <c r="D561">
        <v>100</v>
      </c>
      <c r="E561">
        <v>0.16973690113555401</v>
      </c>
      <c r="F561">
        <v>1</v>
      </c>
      <c r="G561">
        <v>28.986789988000002</v>
      </c>
      <c r="H561">
        <v>5.0244100930957401E-2</v>
      </c>
      <c r="I561">
        <v>1</v>
      </c>
      <c r="J561">
        <v>0.30365376599999999</v>
      </c>
      <c r="K561">
        <v>5.5021550431172697E-2</v>
      </c>
      <c r="L561">
        <v>1</v>
      </c>
      <c r="M561">
        <v>3601.4964486620001</v>
      </c>
      <c r="N561">
        <v>338857</v>
      </c>
      <c r="O561">
        <v>0.110065244698049</v>
      </c>
      <c r="P561" s="5">
        <v>0.228798508832566</v>
      </c>
      <c r="Q561">
        <v>1</v>
      </c>
      <c r="R561">
        <v>1450.0267761600001</v>
      </c>
      <c r="S561">
        <v>22099</v>
      </c>
      <c r="T561">
        <v>4.34509216811973E-3</v>
      </c>
      <c r="U561">
        <v>14633</v>
      </c>
      <c r="V561" s="5">
        <v>0.102107379542244</v>
      </c>
      <c r="W561">
        <v>1</v>
      </c>
      <c r="X561">
        <v>3007.6343987979999</v>
      </c>
      <c r="Y561">
        <v>16230</v>
      </c>
      <c r="Z561">
        <v>1.11255283909361E-2</v>
      </c>
      <c r="AA561">
        <v>20</v>
      </c>
    </row>
    <row r="562" spans="1:27" x14ac:dyDescent="0.2">
      <c r="A562">
        <v>15</v>
      </c>
      <c r="B562">
        <v>1</v>
      </c>
      <c r="C562">
        <v>0.4</v>
      </c>
      <c r="D562">
        <v>100</v>
      </c>
      <c r="E562">
        <v>9.0011755673532701E-2</v>
      </c>
      <c r="F562">
        <v>1</v>
      </c>
      <c r="G562">
        <v>29.251842486000001</v>
      </c>
      <c r="H562">
        <v>9.5293581151844206E-2</v>
      </c>
      <c r="I562">
        <v>1</v>
      </c>
      <c r="J562">
        <v>6.1114369000000002E-2</v>
      </c>
      <c r="K562">
        <v>9.5080322341561996E-2</v>
      </c>
      <c r="L562">
        <v>1</v>
      </c>
      <c r="M562">
        <v>3602.069480395</v>
      </c>
      <c r="N562">
        <v>259478</v>
      </c>
      <c r="O562">
        <v>4.4513691149020901E-2</v>
      </c>
      <c r="P562" s="5">
        <v>0.17967090322388701</v>
      </c>
      <c r="Q562">
        <v>1</v>
      </c>
      <c r="R562">
        <v>418.75851483600002</v>
      </c>
      <c r="S562">
        <v>8991</v>
      </c>
      <c r="T562">
        <v>6.3916750110136703E-3</v>
      </c>
      <c r="U562">
        <v>7645</v>
      </c>
      <c r="V562" s="5">
        <v>0.12183753668573501</v>
      </c>
      <c r="W562">
        <v>1</v>
      </c>
      <c r="X562">
        <v>2779.6578466149999</v>
      </c>
      <c r="Y562">
        <v>21284</v>
      </c>
      <c r="Z562">
        <v>1.44793621046015E-2</v>
      </c>
      <c r="AA562">
        <v>20</v>
      </c>
    </row>
    <row r="563" spans="1:27" x14ac:dyDescent="0.2">
      <c r="A563">
        <v>15</v>
      </c>
      <c r="B563">
        <v>1</v>
      </c>
      <c r="C563">
        <v>0.4</v>
      </c>
      <c r="D563">
        <v>100</v>
      </c>
      <c r="E563">
        <v>0.29177326218308403</v>
      </c>
      <c r="F563">
        <v>1</v>
      </c>
      <c r="G563">
        <v>27.117788829999999</v>
      </c>
      <c r="H563">
        <v>0.102110741898401</v>
      </c>
      <c r="I563">
        <v>1</v>
      </c>
      <c r="J563">
        <v>0.29209924399999998</v>
      </c>
      <c r="K563">
        <v>0.115587854907706</v>
      </c>
      <c r="L563">
        <v>1</v>
      </c>
      <c r="M563">
        <v>3601.1682743430001</v>
      </c>
      <c r="N563">
        <v>252201</v>
      </c>
      <c r="O563">
        <v>0.24699476653994501</v>
      </c>
      <c r="P563" s="5">
        <v>0.30040774547337601</v>
      </c>
      <c r="Q563">
        <v>1</v>
      </c>
      <c r="R563">
        <v>3658.1023239020001</v>
      </c>
      <c r="S563">
        <v>51452</v>
      </c>
      <c r="T563">
        <v>6.3824959632153202E-3</v>
      </c>
      <c r="U563">
        <v>35307</v>
      </c>
      <c r="V563" s="5">
        <v>9.86077597637771E-2</v>
      </c>
      <c r="W563">
        <v>1</v>
      </c>
      <c r="X563">
        <v>3347.7879978189999</v>
      </c>
      <c r="Y563">
        <v>7593</v>
      </c>
      <c r="Z563">
        <v>1.4318509892370501E-2</v>
      </c>
      <c r="AA563">
        <v>20</v>
      </c>
    </row>
    <row r="564" spans="1:27" x14ac:dyDescent="0.2">
      <c r="A564">
        <v>15</v>
      </c>
      <c r="B564">
        <v>1</v>
      </c>
      <c r="C564">
        <v>0.1</v>
      </c>
      <c r="D564">
        <v>100</v>
      </c>
      <c r="E564">
        <v>0.87122474279707696</v>
      </c>
      <c r="F564">
        <v>1</v>
      </c>
      <c r="G564">
        <v>27.913663936999999</v>
      </c>
      <c r="H564">
        <v>0.87095766860867696</v>
      </c>
      <c r="I564">
        <v>1</v>
      </c>
      <c r="J564">
        <v>7.1926372000000002E-2</v>
      </c>
      <c r="K564">
        <v>0.98161584511698496</v>
      </c>
      <c r="L564">
        <v>1</v>
      </c>
      <c r="M564">
        <v>3601.0572567029999</v>
      </c>
      <c r="N564">
        <v>410293</v>
      </c>
      <c r="O564">
        <v>1.920145240957E-2</v>
      </c>
      <c r="P564" s="5">
        <v>0.82316376379575396</v>
      </c>
      <c r="Q564">
        <v>1</v>
      </c>
      <c r="R564">
        <v>2289.5874897110002</v>
      </c>
      <c r="S564">
        <v>44617</v>
      </c>
      <c r="T564">
        <v>2.1498700900194099E-4</v>
      </c>
      <c r="U564">
        <v>27589</v>
      </c>
      <c r="V564" s="5">
        <v>0.82418227955349699</v>
      </c>
      <c r="W564">
        <v>1</v>
      </c>
      <c r="X564">
        <v>60.797444542000001</v>
      </c>
      <c r="Y564">
        <v>1</v>
      </c>
      <c r="Z564">
        <v>6.4540271679798501E-4</v>
      </c>
      <c r="AA564">
        <v>2</v>
      </c>
    </row>
    <row r="565" spans="1:27" x14ac:dyDescent="0.2">
      <c r="A565">
        <v>15</v>
      </c>
      <c r="B565">
        <v>1</v>
      </c>
      <c r="C565">
        <v>0.1</v>
      </c>
      <c r="D565">
        <v>100</v>
      </c>
      <c r="E565">
        <v>0.98263003017630901</v>
      </c>
      <c r="F565">
        <v>1</v>
      </c>
      <c r="G565">
        <v>29.602135061999999</v>
      </c>
      <c r="H565">
        <v>0.982207067608727</v>
      </c>
      <c r="I565">
        <v>1</v>
      </c>
      <c r="J565">
        <v>4.4388323E-2</v>
      </c>
      <c r="K565">
        <v>0.71239585922667303</v>
      </c>
      <c r="L565">
        <v>1</v>
      </c>
      <c r="M565">
        <v>3601.131464607</v>
      </c>
      <c r="N565">
        <v>207612</v>
      </c>
      <c r="O565">
        <v>2.3329549666942902E-2</v>
      </c>
      <c r="P565" s="5">
        <v>1.06468538096675</v>
      </c>
      <c r="Q565">
        <v>1</v>
      </c>
      <c r="R565">
        <v>3628.6689700719999</v>
      </c>
      <c r="S565">
        <v>43229</v>
      </c>
      <c r="T565">
        <v>5.7360386220490502E-4</v>
      </c>
      <c r="U565">
        <v>29134</v>
      </c>
      <c r="V565" s="5">
        <v>0.92743019730410703</v>
      </c>
      <c r="W565">
        <v>1</v>
      </c>
      <c r="X565">
        <v>3164.4569484680001</v>
      </c>
      <c r="Y565">
        <v>29897</v>
      </c>
      <c r="Z565">
        <v>2.7060688234933E-4</v>
      </c>
      <c r="AA565">
        <v>20</v>
      </c>
    </row>
    <row r="566" spans="1:27" x14ac:dyDescent="0.2">
      <c r="A566">
        <v>15</v>
      </c>
      <c r="B566">
        <v>1</v>
      </c>
      <c r="C566">
        <v>0.3</v>
      </c>
      <c r="D566">
        <v>100</v>
      </c>
      <c r="E566">
        <v>0.33789430088103301</v>
      </c>
      <c r="F566">
        <v>1</v>
      </c>
      <c r="G566">
        <v>27.689304754999998</v>
      </c>
      <c r="H566">
        <v>0.215866766646547</v>
      </c>
      <c r="I566">
        <v>1</v>
      </c>
      <c r="J566">
        <v>4.4695086000000002E-2</v>
      </c>
      <c r="K566">
        <v>0.21701225118780401</v>
      </c>
      <c r="L566">
        <v>1</v>
      </c>
      <c r="M566">
        <v>3601.2369081400002</v>
      </c>
      <c r="N566">
        <v>349017</v>
      </c>
      <c r="O566">
        <v>3.6813603882048698E-2</v>
      </c>
      <c r="P566" s="5">
        <v>0.26423060608806198</v>
      </c>
      <c r="Q566">
        <v>1</v>
      </c>
      <c r="R566">
        <v>185.99819296300001</v>
      </c>
      <c r="S566">
        <v>2417</v>
      </c>
      <c r="T566">
        <v>1.85785441192376E-3</v>
      </c>
      <c r="U566">
        <v>2088</v>
      </c>
      <c r="V566" s="5">
        <v>0.25678294175288102</v>
      </c>
      <c r="W566">
        <v>1</v>
      </c>
      <c r="X566">
        <v>2246.2259734610002</v>
      </c>
      <c r="Y566">
        <v>23487</v>
      </c>
      <c r="Z566">
        <v>2.0481670728577299E-3</v>
      </c>
      <c r="AA566">
        <v>20</v>
      </c>
    </row>
    <row r="567" spans="1:27" x14ac:dyDescent="0.2">
      <c r="A567">
        <v>15</v>
      </c>
      <c r="B567">
        <v>1</v>
      </c>
      <c r="C567">
        <v>0.2</v>
      </c>
      <c r="D567">
        <v>100</v>
      </c>
      <c r="E567">
        <v>0.250170101783035</v>
      </c>
      <c r="F567">
        <v>1</v>
      </c>
      <c r="G567">
        <v>27.918451347000001</v>
      </c>
      <c r="H567">
        <v>9.8666806661772299E-2</v>
      </c>
      <c r="I567">
        <v>1</v>
      </c>
      <c r="J567">
        <v>0.55180431299999999</v>
      </c>
      <c r="K567">
        <v>0.103303830618675</v>
      </c>
      <c r="L567">
        <v>1</v>
      </c>
      <c r="M567">
        <v>3601.2072082330001</v>
      </c>
      <c r="N567">
        <v>361866</v>
      </c>
      <c r="O567">
        <v>0.116508760338803</v>
      </c>
      <c r="P567" s="5">
        <v>0.25611758288836001</v>
      </c>
      <c r="Q567">
        <v>1</v>
      </c>
      <c r="R567">
        <v>3636.8475797770002</v>
      </c>
      <c r="S567">
        <v>60076</v>
      </c>
      <c r="T567">
        <v>9.6977906040844296E-3</v>
      </c>
      <c r="U567">
        <v>41620</v>
      </c>
      <c r="V567" s="5">
        <v>0.12756799796336399</v>
      </c>
      <c r="W567">
        <v>1</v>
      </c>
      <c r="X567">
        <v>3209.7609554539999</v>
      </c>
      <c r="Y567">
        <v>44343</v>
      </c>
      <c r="Z567">
        <v>1.3025540117481501E-2</v>
      </c>
      <c r="AA567">
        <v>20</v>
      </c>
    </row>
    <row r="568" spans="1:27" x14ac:dyDescent="0.2">
      <c r="A568">
        <v>15</v>
      </c>
      <c r="B568">
        <v>1</v>
      </c>
      <c r="C568">
        <v>0.1</v>
      </c>
      <c r="D568">
        <v>100</v>
      </c>
      <c r="E568">
        <v>0.97067799362190699</v>
      </c>
      <c r="F568">
        <v>1</v>
      </c>
      <c r="G568">
        <v>27.206103903999999</v>
      </c>
      <c r="H568">
        <v>0.84237178762999299</v>
      </c>
      <c r="I568">
        <v>1</v>
      </c>
      <c r="J568">
        <v>0.36882932099999999</v>
      </c>
      <c r="K568">
        <v>1.1053558549395399</v>
      </c>
      <c r="L568">
        <v>1</v>
      </c>
      <c r="M568">
        <v>3601.725628745</v>
      </c>
      <c r="N568">
        <v>171705</v>
      </c>
      <c r="O568">
        <v>3.8753095866858198E-2</v>
      </c>
      <c r="P568" s="5">
        <v>0.80176824599663099</v>
      </c>
      <c r="Q568">
        <v>1</v>
      </c>
      <c r="R568">
        <v>3624.7217618320001</v>
      </c>
      <c r="S568">
        <v>44269</v>
      </c>
      <c r="T568">
        <v>2.8807563259890598E-4</v>
      </c>
      <c r="U568">
        <v>29518</v>
      </c>
      <c r="V568" s="5">
        <v>1.07385763472268</v>
      </c>
      <c r="W568">
        <v>1</v>
      </c>
      <c r="X568">
        <v>3297.8924663859998</v>
      </c>
      <c r="Y568">
        <v>33892</v>
      </c>
      <c r="Z568">
        <v>1.18556356261776E-3</v>
      </c>
      <c r="AA568">
        <v>20</v>
      </c>
    </row>
    <row r="569" spans="1:27" x14ac:dyDescent="0.2">
      <c r="A569">
        <v>15</v>
      </c>
      <c r="B569">
        <v>1</v>
      </c>
      <c r="C569">
        <v>0.3</v>
      </c>
      <c r="D569">
        <v>100</v>
      </c>
      <c r="E569">
        <v>0.26802729035642398</v>
      </c>
      <c r="F569">
        <v>1</v>
      </c>
      <c r="G569">
        <v>28.162292702999999</v>
      </c>
      <c r="H569">
        <v>0.107071649421077</v>
      </c>
      <c r="I569">
        <v>1</v>
      </c>
      <c r="J569">
        <v>0.18581910600000001</v>
      </c>
      <c r="K569">
        <v>0.160500952642087</v>
      </c>
      <c r="L569">
        <v>1</v>
      </c>
      <c r="M569">
        <v>3600.6010259909999</v>
      </c>
      <c r="N569">
        <v>317785</v>
      </c>
      <c r="O569">
        <v>0.106746439647703</v>
      </c>
      <c r="P569" s="5">
        <v>0.29916863732797899</v>
      </c>
      <c r="Q569">
        <v>1</v>
      </c>
      <c r="R569">
        <v>3646.4342271780001</v>
      </c>
      <c r="S569">
        <v>63096</v>
      </c>
      <c r="T569">
        <v>1.23306751373426E-3</v>
      </c>
      <c r="U569">
        <v>38690</v>
      </c>
      <c r="V569" s="5">
        <v>0.26744765993568498</v>
      </c>
      <c r="W569">
        <v>1</v>
      </c>
      <c r="X569">
        <v>3235.187338967</v>
      </c>
      <c r="Y569">
        <v>22081</v>
      </c>
      <c r="Z569">
        <v>4.5941269107200398E-3</v>
      </c>
      <c r="AA569">
        <v>20</v>
      </c>
    </row>
    <row r="570" spans="1:27" x14ac:dyDescent="0.2">
      <c r="A570">
        <v>15</v>
      </c>
      <c r="B570">
        <v>1</v>
      </c>
      <c r="C570">
        <v>0.2</v>
      </c>
      <c r="D570">
        <v>100</v>
      </c>
      <c r="E570">
        <v>0.67265787398543897</v>
      </c>
      <c r="F570">
        <v>1</v>
      </c>
      <c r="G570">
        <v>31.277249867999998</v>
      </c>
      <c r="H570">
        <v>0.61167310936901598</v>
      </c>
      <c r="I570">
        <v>1</v>
      </c>
      <c r="J570">
        <v>0.308299985</v>
      </c>
      <c r="K570">
        <v>0.61252581154224806</v>
      </c>
      <c r="L570">
        <v>1</v>
      </c>
      <c r="M570">
        <v>3600.7393610710001</v>
      </c>
      <c r="N570">
        <v>159201</v>
      </c>
      <c r="O570">
        <v>0.11139382723058</v>
      </c>
      <c r="P570" s="5">
        <v>0.64791514082715795</v>
      </c>
      <c r="Q570">
        <v>1</v>
      </c>
      <c r="R570">
        <v>2932.6928530199998</v>
      </c>
      <c r="S570">
        <v>79513</v>
      </c>
      <c r="T570">
        <v>9.5055981080742404E-4</v>
      </c>
      <c r="U570">
        <v>49758</v>
      </c>
      <c r="V570" s="5">
        <v>0.63361008379682604</v>
      </c>
      <c r="W570">
        <v>1</v>
      </c>
      <c r="X570">
        <v>3102.4704557330001</v>
      </c>
      <c r="Y570">
        <v>36654</v>
      </c>
      <c r="Z570">
        <v>6.3978796650434704E-3</v>
      </c>
      <c r="AA570">
        <v>20</v>
      </c>
    </row>
    <row r="571" spans="1:27" x14ac:dyDescent="0.2">
      <c r="A571">
        <v>15</v>
      </c>
      <c r="B571">
        <v>1</v>
      </c>
      <c r="C571">
        <v>0.4</v>
      </c>
      <c r="D571">
        <v>100</v>
      </c>
      <c r="E571">
        <v>0.19406504849123801</v>
      </c>
      <c r="F571">
        <v>1</v>
      </c>
      <c r="G571">
        <v>29.173727795000001</v>
      </c>
      <c r="H571">
        <v>4.6891134818919898E-2</v>
      </c>
      <c r="I571">
        <v>1</v>
      </c>
      <c r="J571">
        <v>0.18964758400000001</v>
      </c>
      <c r="K571">
        <v>4.7234219703631397E-2</v>
      </c>
      <c r="L571">
        <v>1</v>
      </c>
      <c r="M571">
        <v>3601.9018283780001</v>
      </c>
      <c r="N571">
        <v>555459</v>
      </c>
      <c r="O571">
        <v>3.2488198107991098E-2</v>
      </c>
      <c r="P571" s="5">
        <v>0.197332321097412</v>
      </c>
      <c r="Q571">
        <v>1</v>
      </c>
      <c r="R571">
        <v>3655.105137256</v>
      </c>
      <c r="S571">
        <v>59060</v>
      </c>
      <c r="T571">
        <v>7.4371057632461801E-3</v>
      </c>
      <c r="U571">
        <v>37280</v>
      </c>
      <c r="V571" s="5">
        <v>0.131893923106042</v>
      </c>
      <c r="W571">
        <v>1</v>
      </c>
      <c r="X571">
        <v>3146.8046409210001</v>
      </c>
      <c r="Y571">
        <v>12471</v>
      </c>
      <c r="Z571">
        <v>1.9100737312811401E-2</v>
      </c>
      <c r="AA571">
        <v>20</v>
      </c>
    </row>
    <row r="572" spans="1:27" x14ac:dyDescent="0.2">
      <c r="A572">
        <v>15</v>
      </c>
      <c r="B572">
        <v>1</v>
      </c>
      <c r="C572">
        <v>0.3</v>
      </c>
      <c r="D572">
        <v>100</v>
      </c>
      <c r="E572">
        <v>0.53486565009972498</v>
      </c>
      <c r="F572">
        <v>1</v>
      </c>
      <c r="G572">
        <v>28.057607716</v>
      </c>
      <c r="H572">
        <v>0.27307251669460603</v>
      </c>
      <c r="I572">
        <v>1</v>
      </c>
      <c r="J572">
        <v>0.249235711</v>
      </c>
      <c r="K572">
        <v>0.26290562193941103</v>
      </c>
      <c r="L572">
        <v>1</v>
      </c>
      <c r="M572">
        <v>3606.3925160429999</v>
      </c>
      <c r="N572">
        <v>354024</v>
      </c>
      <c r="O572">
        <v>0.226813720337744</v>
      </c>
      <c r="P572" s="5">
        <v>0.26956298436889498</v>
      </c>
      <c r="Q572">
        <v>1</v>
      </c>
      <c r="R572">
        <v>3627.7951733340001</v>
      </c>
      <c r="S572">
        <v>43892</v>
      </c>
      <c r="T572">
        <v>7.4981736056825204E-2</v>
      </c>
      <c r="U572">
        <v>43809</v>
      </c>
      <c r="V572" s="5">
        <v>0.26956298437448001</v>
      </c>
      <c r="W572">
        <v>1</v>
      </c>
      <c r="X572">
        <v>3357.5259772300001</v>
      </c>
      <c r="Y572">
        <v>20786</v>
      </c>
      <c r="Z572">
        <v>6.4288350042209204E-3</v>
      </c>
      <c r="AA572">
        <v>20</v>
      </c>
    </row>
    <row r="573" spans="1:27" x14ac:dyDescent="0.2">
      <c r="A573">
        <v>15</v>
      </c>
      <c r="B573">
        <v>1</v>
      </c>
      <c r="C573">
        <v>0.2</v>
      </c>
      <c r="D573">
        <v>100</v>
      </c>
      <c r="E573">
        <v>0.418881435276376</v>
      </c>
      <c r="F573">
        <v>1</v>
      </c>
      <c r="G573">
        <v>28.728748421999999</v>
      </c>
      <c r="H573">
        <v>0.26352579547390198</v>
      </c>
      <c r="I573">
        <v>1</v>
      </c>
      <c r="J573">
        <v>0.28174783799999997</v>
      </c>
      <c r="K573">
        <v>0.67311344972367304</v>
      </c>
      <c r="L573">
        <v>1</v>
      </c>
      <c r="M573">
        <v>3601.6299520150001</v>
      </c>
      <c r="N573">
        <v>274452</v>
      </c>
      <c r="O573">
        <v>8.4999998737437105E-2</v>
      </c>
      <c r="P573" s="5">
        <v>0.44972512464719799</v>
      </c>
      <c r="Q573">
        <v>1</v>
      </c>
      <c r="R573">
        <v>3668.0994067339998</v>
      </c>
      <c r="S573">
        <v>65761</v>
      </c>
      <c r="T573">
        <v>1.09077766541569E-3</v>
      </c>
      <c r="U573">
        <v>43734</v>
      </c>
      <c r="V573" s="5">
        <v>0.45417765519508801</v>
      </c>
      <c r="W573">
        <v>1</v>
      </c>
      <c r="X573">
        <v>3371.0560955840001</v>
      </c>
      <c r="Y573">
        <v>59388</v>
      </c>
      <c r="Z573">
        <v>4.8756397662447102E-3</v>
      </c>
      <c r="AA573">
        <v>20</v>
      </c>
    </row>
    <row r="574" spans="1:27" x14ac:dyDescent="0.2">
      <c r="A574">
        <v>15</v>
      </c>
      <c r="B574">
        <v>1</v>
      </c>
      <c r="C574">
        <v>0.4</v>
      </c>
      <c r="D574">
        <v>100</v>
      </c>
      <c r="E574">
        <v>0.172315172626269</v>
      </c>
      <c r="F574">
        <v>1</v>
      </c>
      <c r="G574">
        <v>22.400969795999998</v>
      </c>
      <c r="H574">
        <v>5.60852339995924E-2</v>
      </c>
      <c r="I574">
        <v>1</v>
      </c>
      <c r="J574">
        <v>0.131567078</v>
      </c>
      <c r="K574">
        <v>5.5393898439132602E-2</v>
      </c>
      <c r="L574">
        <v>1</v>
      </c>
      <c r="M574">
        <v>3600.7022077279998</v>
      </c>
      <c r="N574">
        <v>516666</v>
      </c>
      <c r="O574">
        <v>3.1464156422884998E-2</v>
      </c>
      <c r="P574" s="5">
        <v>0.241340769793147</v>
      </c>
      <c r="Q574">
        <v>1</v>
      </c>
      <c r="R574">
        <v>3637.2110567220002</v>
      </c>
      <c r="S574">
        <v>76249</v>
      </c>
      <c r="T574">
        <v>7.1927874233012803E-3</v>
      </c>
      <c r="U574">
        <v>50621</v>
      </c>
      <c r="V574" s="5">
        <v>0.13500986029342499</v>
      </c>
      <c r="W574">
        <v>1</v>
      </c>
      <c r="X574">
        <v>3311.7731052680001</v>
      </c>
      <c r="Y574">
        <v>47599</v>
      </c>
      <c r="Z574">
        <v>1.2514425104037601E-2</v>
      </c>
      <c r="AA574">
        <v>20</v>
      </c>
    </row>
    <row r="575" spans="1:27" x14ac:dyDescent="0.2">
      <c r="A575">
        <v>20</v>
      </c>
      <c r="B575">
        <v>1</v>
      </c>
      <c r="C575">
        <v>0.1</v>
      </c>
      <c r="D575">
        <v>20</v>
      </c>
      <c r="E575">
        <v>0.62347362604230505</v>
      </c>
      <c r="F575">
        <v>1</v>
      </c>
      <c r="G575">
        <v>35.164363418000001</v>
      </c>
      <c r="H575">
        <v>0.68884551278010897</v>
      </c>
      <c r="I575">
        <v>1</v>
      </c>
      <c r="J575">
        <v>0.38330548800000003</v>
      </c>
      <c r="K575">
        <v>0.90978946439603303</v>
      </c>
      <c r="L575">
        <v>1</v>
      </c>
      <c r="M575">
        <v>3601.3397419180001</v>
      </c>
      <c r="N575">
        <v>190277</v>
      </c>
      <c r="O575">
        <v>0.61333661123082395</v>
      </c>
      <c r="P575" s="5">
        <v>0.895513660577818</v>
      </c>
      <c r="Q575">
        <v>1</v>
      </c>
      <c r="R575">
        <v>1197.71975819</v>
      </c>
      <c r="S575">
        <v>9390</v>
      </c>
      <c r="T575">
        <v>1.0705633917074101E-3</v>
      </c>
      <c r="U575">
        <v>9367</v>
      </c>
      <c r="V575" s="5">
        <v>1.0229603316484399</v>
      </c>
      <c r="W575">
        <v>1</v>
      </c>
      <c r="X575">
        <v>307.17990363400003</v>
      </c>
      <c r="Y575">
        <v>4220</v>
      </c>
      <c r="Z575">
        <v>8.8953422526127902E-4</v>
      </c>
      <c r="AA575">
        <v>6</v>
      </c>
    </row>
    <row r="576" spans="1:27" x14ac:dyDescent="0.2">
      <c r="A576">
        <v>20</v>
      </c>
      <c r="B576">
        <v>1</v>
      </c>
      <c r="C576">
        <v>0.2</v>
      </c>
      <c r="D576">
        <v>20</v>
      </c>
      <c r="E576">
        <v>0.159858353325039</v>
      </c>
      <c r="F576">
        <v>1</v>
      </c>
      <c r="G576">
        <v>35.153991726999998</v>
      </c>
      <c r="H576">
        <v>0.16816722607251</v>
      </c>
      <c r="I576">
        <v>1</v>
      </c>
      <c r="J576">
        <v>9.4255598999999995E-2</v>
      </c>
      <c r="K576">
        <v>0.186006813446388</v>
      </c>
      <c r="L576">
        <v>1</v>
      </c>
      <c r="M576">
        <v>3601.8086548249998</v>
      </c>
      <c r="N576">
        <v>223407</v>
      </c>
      <c r="O576">
        <v>1.1393619045484</v>
      </c>
      <c r="P576" s="5">
        <v>0.138882678455782</v>
      </c>
      <c r="Q576">
        <v>1</v>
      </c>
      <c r="R576">
        <v>481.78563789100002</v>
      </c>
      <c r="S576">
        <v>5278</v>
      </c>
      <c r="T576">
        <v>1.7730831155220401E-2</v>
      </c>
      <c r="U576">
        <v>3386</v>
      </c>
      <c r="V576" s="5">
        <v>0.13888267845570601</v>
      </c>
      <c r="W576">
        <v>1</v>
      </c>
      <c r="X576">
        <v>1392.2759075450001</v>
      </c>
      <c r="Y576">
        <v>9404</v>
      </c>
      <c r="Z576">
        <v>8.2351559017104208E-3</v>
      </c>
      <c r="AA576">
        <v>17</v>
      </c>
    </row>
    <row r="577" spans="1:27" x14ac:dyDescent="0.2">
      <c r="A577">
        <v>20</v>
      </c>
      <c r="B577">
        <v>1</v>
      </c>
      <c r="C577">
        <v>0.3</v>
      </c>
      <c r="D577">
        <v>20</v>
      </c>
      <c r="E577">
        <v>5.9762107817704302E-2</v>
      </c>
      <c r="F577">
        <v>1</v>
      </c>
      <c r="G577">
        <v>34.662352157000001</v>
      </c>
      <c r="H577">
        <v>6.7622768696754196E-2</v>
      </c>
      <c r="I577">
        <v>1</v>
      </c>
      <c r="J577">
        <v>0.22868787600000001</v>
      </c>
      <c r="K577">
        <v>8.2161988279314493E-2</v>
      </c>
      <c r="L577">
        <v>1</v>
      </c>
      <c r="M577">
        <v>3601.415565715</v>
      </c>
      <c r="N577">
        <v>226865</v>
      </c>
      <c r="O577">
        <v>2.27322059374948</v>
      </c>
      <c r="P577" s="5">
        <v>4.2657033471538597E-2</v>
      </c>
      <c r="Q577">
        <v>1</v>
      </c>
      <c r="R577">
        <v>28.579817276</v>
      </c>
      <c r="S577">
        <v>1</v>
      </c>
      <c r="T577">
        <v>1.42146636634477E-2</v>
      </c>
      <c r="U577">
        <v>5</v>
      </c>
      <c r="V577" s="5">
        <v>4.3687896209878403E-2</v>
      </c>
      <c r="W577">
        <v>1</v>
      </c>
      <c r="X577">
        <v>107.72603243</v>
      </c>
      <c r="Y577">
        <v>26848</v>
      </c>
      <c r="Z577">
        <v>4.1849233505519801E-4</v>
      </c>
      <c r="AA577">
        <v>1</v>
      </c>
    </row>
    <row r="578" spans="1:27" x14ac:dyDescent="0.2">
      <c r="A578">
        <v>20</v>
      </c>
      <c r="B578">
        <v>1</v>
      </c>
      <c r="C578">
        <v>0.4</v>
      </c>
      <c r="D578">
        <v>20</v>
      </c>
      <c r="E578">
        <v>5.6467556316153897E-2</v>
      </c>
      <c r="F578">
        <v>1</v>
      </c>
      <c r="G578">
        <v>36.102754668999999</v>
      </c>
      <c r="H578">
        <v>7.6087344249775493E-2</v>
      </c>
      <c r="I578">
        <v>1</v>
      </c>
      <c r="J578">
        <v>0.21664573200000001</v>
      </c>
      <c r="K578">
        <v>0.17944377861890901</v>
      </c>
      <c r="L578">
        <v>1</v>
      </c>
      <c r="M578">
        <v>3600.981926122</v>
      </c>
      <c r="N578">
        <v>219534</v>
      </c>
      <c r="O578">
        <v>2.4061491254884499</v>
      </c>
      <c r="P578" s="5">
        <v>5.42509815442173E-2</v>
      </c>
      <c r="Q578">
        <v>1</v>
      </c>
      <c r="R578">
        <v>29.292191048999999</v>
      </c>
      <c r="S578">
        <v>1</v>
      </c>
      <c r="T578">
        <v>1.1392684903138399E-2</v>
      </c>
      <c r="U578">
        <v>5</v>
      </c>
      <c r="V578" s="5">
        <v>6.0401949113613101E-2</v>
      </c>
      <c r="W578">
        <v>1</v>
      </c>
      <c r="X578">
        <v>64.738302841000007</v>
      </c>
      <c r="Y578">
        <v>4807</v>
      </c>
      <c r="Z578">
        <v>1.9383720874790399E-3</v>
      </c>
      <c r="AA578">
        <v>1</v>
      </c>
    </row>
    <row r="579" spans="1:27" x14ac:dyDescent="0.2">
      <c r="A579">
        <v>20</v>
      </c>
      <c r="B579">
        <v>1</v>
      </c>
      <c r="C579">
        <v>0.3</v>
      </c>
      <c r="D579">
        <v>20</v>
      </c>
      <c r="E579">
        <v>0.10686560014777</v>
      </c>
      <c r="F579">
        <v>1</v>
      </c>
      <c r="G579">
        <v>35.096102850000001</v>
      </c>
      <c r="H579">
        <v>0.116663961551584</v>
      </c>
      <c r="I579">
        <v>1</v>
      </c>
      <c r="J579">
        <v>0.17065119200000001</v>
      </c>
      <c r="K579">
        <v>0.23371603515547901</v>
      </c>
      <c r="L579">
        <v>1</v>
      </c>
      <c r="M579">
        <v>3600.9389854390001</v>
      </c>
      <c r="N579">
        <v>195996</v>
      </c>
      <c r="O579">
        <v>1.0109573897705399</v>
      </c>
      <c r="P579" s="5">
        <v>9.1398181551343105E-2</v>
      </c>
      <c r="Q579">
        <v>1</v>
      </c>
      <c r="R579">
        <v>821.12379115600004</v>
      </c>
      <c r="S579">
        <v>8009</v>
      </c>
      <c r="T579">
        <v>1.10236091146755E-2</v>
      </c>
      <c r="U579">
        <v>5250</v>
      </c>
      <c r="V579" s="5">
        <v>9.1398181551335403E-2</v>
      </c>
      <c r="W579">
        <v>1</v>
      </c>
      <c r="X579">
        <v>1379.761511401</v>
      </c>
      <c r="Y579">
        <v>6748</v>
      </c>
      <c r="Z579">
        <v>8.5415896464995297E-3</v>
      </c>
      <c r="AA579">
        <v>13</v>
      </c>
    </row>
    <row r="580" spans="1:27" x14ac:dyDescent="0.2">
      <c r="A580">
        <v>20</v>
      </c>
      <c r="B580">
        <v>1</v>
      </c>
      <c r="C580">
        <v>0.4</v>
      </c>
      <c r="D580">
        <v>20</v>
      </c>
      <c r="E580">
        <v>6.5094408862758593E-2</v>
      </c>
      <c r="F580">
        <v>1</v>
      </c>
      <c r="G580">
        <v>35.614988292</v>
      </c>
      <c r="H580">
        <v>8.1227578858521401E-2</v>
      </c>
      <c r="I580">
        <v>1</v>
      </c>
      <c r="J580">
        <v>0.14228376600000001</v>
      </c>
      <c r="K580">
        <v>0.107435959554602</v>
      </c>
      <c r="L580">
        <v>1</v>
      </c>
      <c r="M580">
        <v>3600.9517342459999</v>
      </c>
      <c r="N580">
        <v>189787</v>
      </c>
      <c r="O580">
        <v>3.0671742720355399</v>
      </c>
      <c r="P580" s="5">
        <v>6.08438701680519E-2</v>
      </c>
      <c r="Q580">
        <v>1</v>
      </c>
      <c r="R580">
        <v>158.522979155</v>
      </c>
      <c r="S580">
        <v>1016</v>
      </c>
      <c r="T580">
        <v>3.1049108445026601E-2</v>
      </c>
      <c r="U580">
        <v>715</v>
      </c>
      <c r="V580" s="5">
        <v>6.1576716359538201E-2</v>
      </c>
      <c r="W580">
        <v>1</v>
      </c>
      <c r="X580">
        <v>206.46726530800001</v>
      </c>
      <c r="Y580">
        <v>21368</v>
      </c>
      <c r="Z580">
        <v>1.4031207426503599E-3</v>
      </c>
      <c r="AA580">
        <v>1</v>
      </c>
    </row>
    <row r="581" spans="1:27" x14ac:dyDescent="0.2">
      <c r="A581">
        <v>20</v>
      </c>
      <c r="B581">
        <v>1</v>
      </c>
      <c r="C581">
        <v>0.4</v>
      </c>
      <c r="D581">
        <v>20</v>
      </c>
      <c r="E581">
        <v>5.3438054301873497E-2</v>
      </c>
      <c r="F581">
        <v>1</v>
      </c>
      <c r="G581">
        <v>35.553306431999999</v>
      </c>
      <c r="H581">
        <v>6.9142520488741199E-2</v>
      </c>
      <c r="I581">
        <v>1</v>
      </c>
      <c r="J581">
        <v>0.125397482</v>
      </c>
      <c r="K581">
        <v>6.8668512178416796E-2</v>
      </c>
      <c r="L581">
        <v>1</v>
      </c>
      <c r="M581">
        <v>3601.030963875</v>
      </c>
      <c r="N581">
        <v>325794</v>
      </c>
      <c r="O581">
        <v>1.1846300554959299</v>
      </c>
      <c r="P581" s="5">
        <v>4.93851227658011E-2</v>
      </c>
      <c r="Q581">
        <v>1</v>
      </c>
      <c r="R581">
        <v>29.810724084</v>
      </c>
      <c r="S581">
        <v>1</v>
      </c>
      <c r="T581">
        <v>1.17505291288968E-2</v>
      </c>
      <c r="U581">
        <v>5</v>
      </c>
      <c r="V581" s="5">
        <v>5.1724373112254599E-2</v>
      </c>
      <c r="W581">
        <v>1</v>
      </c>
      <c r="X581">
        <v>92.681576141999997</v>
      </c>
      <c r="Y581">
        <v>18378</v>
      </c>
      <c r="Z581">
        <v>6.2554590666996602E-4</v>
      </c>
      <c r="AA581">
        <v>1</v>
      </c>
    </row>
    <row r="582" spans="1:27" x14ac:dyDescent="0.2">
      <c r="A582">
        <v>20</v>
      </c>
      <c r="B582">
        <v>1</v>
      </c>
      <c r="C582">
        <v>0.4</v>
      </c>
      <c r="D582">
        <v>20</v>
      </c>
      <c r="E582">
        <v>4.5160747380146901E-2</v>
      </c>
      <c r="F582">
        <v>1</v>
      </c>
      <c r="G582">
        <v>30.734443824</v>
      </c>
      <c r="H582">
        <v>5.8189262743031302E-2</v>
      </c>
      <c r="I582">
        <v>1</v>
      </c>
      <c r="J582">
        <v>0.116082054</v>
      </c>
      <c r="K582">
        <v>0.112824749564069</v>
      </c>
      <c r="L582">
        <v>1</v>
      </c>
      <c r="M582">
        <v>3601.156519615</v>
      </c>
      <c r="N582">
        <v>159477</v>
      </c>
      <c r="O582">
        <v>1.5853409027085801</v>
      </c>
      <c r="P582" s="5">
        <v>4.0728754979550197E-2</v>
      </c>
      <c r="Q582">
        <v>1</v>
      </c>
      <c r="R582">
        <v>27.320340974000001</v>
      </c>
      <c r="S582">
        <v>1</v>
      </c>
      <c r="T582">
        <v>1.3888670641950899E-2</v>
      </c>
      <c r="U582">
        <v>4</v>
      </c>
      <c r="V582" s="5">
        <v>4.2106165756998E-2</v>
      </c>
      <c r="W582">
        <v>1</v>
      </c>
      <c r="X582">
        <v>64.519256987999995</v>
      </c>
      <c r="Y582">
        <v>14887</v>
      </c>
      <c r="Z582" s="1">
        <v>7.2208482937874394E-5</v>
      </c>
      <c r="AA582">
        <v>1</v>
      </c>
    </row>
    <row r="583" spans="1:27" x14ac:dyDescent="0.2">
      <c r="A583">
        <v>20</v>
      </c>
      <c r="B583">
        <v>1</v>
      </c>
      <c r="C583">
        <v>0.3</v>
      </c>
      <c r="D583">
        <v>20</v>
      </c>
      <c r="E583">
        <v>4.4165283265710099E-2</v>
      </c>
      <c r="F583">
        <v>1</v>
      </c>
      <c r="G583">
        <v>42.721590024999998</v>
      </c>
      <c r="H583">
        <v>6.8817963286125494E-2</v>
      </c>
      <c r="I583">
        <v>1</v>
      </c>
      <c r="J583">
        <v>0.28429620100000003</v>
      </c>
      <c r="K583">
        <v>0.137529751515992</v>
      </c>
      <c r="L583">
        <v>1</v>
      </c>
      <c r="M583">
        <v>3606.5495322420002</v>
      </c>
      <c r="N583">
        <v>136251</v>
      </c>
      <c r="O583">
        <v>2.0033155265943901</v>
      </c>
      <c r="P583" s="5">
        <v>5.4520876001861798E-2</v>
      </c>
      <c r="Q583">
        <v>1</v>
      </c>
      <c r="R583">
        <v>50.475809050000002</v>
      </c>
      <c r="S583">
        <v>1</v>
      </c>
      <c r="T583">
        <v>1.2389508400978799E-2</v>
      </c>
      <c r="U583">
        <v>5</v>
      </c>
      <c r="V583" s="5">
        <v>5.4520876001861798E-2</v>
      </c>
      <c r="W583">
        <v>1</v>
      </c>
      <c r="X583">
        <v>55.933816845999999</v>
      </c>
      <c r="Y583">
        <v>1</v>
      </c>
      <c r="Z583">
        <v>3.9984929910314097E-2</v>
      </c>
      <c r="AA583">
        <v>2</v>
      </c>
    </row>
    <row r="584" spans="1:27" x14ac:dyDescent="0.2">
      <c r="A584">
        <v>20</v>
      </c>
      <c r="B584">
        <v>1</v>
      </c>
      <c r="C584">
        <v>0.4</v>
      </c>
      <c r="D584">
        <v>20</v>
      </c>
      <c r="E584">
        <v>5.5473999491802303E-2</v>
      </c>
      <c r="F584">
        <v>1</v>
      </c>
      <c r="G584">
        <v>30.643384060999999</v>
      </c>
      <c r="H584">
        <v>7.2775158493341E-2</v>
      </c>
      <c r="I584">
        <v>1</v>
      </c>
      <c r="J584">
        <v>0.19461642500000001</v>
      </c>
      <c r="K584">
        <v>7.42774439086996E-2</v>
      </c>
      <c r="L584">
        <v>1</v>
      </c>
      <c r="M584">
        <v>3602.267109158</v>
      </c>
      <c r="N584">
        <v>341094</v>
      </c>
      <c r="O584">
        <v>0.86314420139161996</v>
      </c>
      <c r="P584" s="5">
        <v>5.1427759756584701E-2</v>
      </c>
      <c r="Q584">
        <v>1</v>
      </c>
      <c r="R584">
        <v>53.963369964999998</v>
      </c>
      <c r="S584">
        <v>273</v>
      </c>
      <c r="T584">
        <v>5.1387062263380301E-2</v>
      </c>
      <c r="U584">
        <v>191</v>
      </c>
      <c r="V584" s="5">
        <v>5.1773172211048102E-2</v>
      </c>
      <c r="W584">
        <v>1</v>
      </c>
      <c r="X584">
        <v>230.45213125000001</v>
      </c>
      <c r="Y584">
        <v>26206</v>
      </c>
      <c r="Z584">
        <v>3.6122719170652499E-3</v>
      </c>
      <c r="AA584">
        <v>1</v>
      </c>
    </row>
    <row r="585" spans="1:27" x14ac:dyDescent="0.2">
      <c r="A585">
        <v>20</v>
      </c>
      <c r="B585">
        <v>1</v>
      </c>
      <c r="C585">
        <v>0.1</v>
      </c>
      <c r="D585">
        <v>20</v>
      </c>
      <c r="E585">
        <v>0.77990045137983499</v>
      </c>
      <c r="F585">
        <v>1</v>
      </c>
      <c r="G585">
        <v>33.196683675000003</v>
      </c>
      <c r="H585">
        <v>0.76211456811267198</v>
      </c>
      <c r="I585">
        <v>1</v>
      </c>
      <c r="J585">
        <v>0.21714365899999999</v>
      </c>
      <c r="K585">
        <v>1.0163580606593099</v>
      </c>
      <c r="L585">
        <v>1</v>
      </c>
      <c r="M585">
        <v>3600.862278309</v>
      </c>
      <c r="N585">
        <v>164139</v>
      </c>
      <c r="O585">
        <v>0.64961602953004705</v>
      </c>
      <c r="P585" s="5">
        <v>0.78696138452803299</v>
      </c>
      <c r="Q585">
        <v>1</v>
      </c>
      <c r="R585">
        <v>862.44751639699996</v>
      </c>
      <c r="S585">
        <v>7433</v>
      </c>
      <c r="T585">
        <v>3.20149385066037E-3</v>
      </c>
      <c r="U585">
        <v>7432</v>
      </c>
      <c r="V585" s="5">
        <v>0.78299422159662901</v>
      </c>
      <c r="W585">
        <v>1</v>
      </c>
      <c r="X585">
        <v>3329.3362790679998</v>
      </c>
      <c r="Y585">
        <v>22298</v>
      </c>
      <c r="Z585">
        <v>2.5917654887412701E-2</v>
      </c>
      <c r="AA585">
        <v>20</v>
      </c>
    </row>
    <row r="586" spans="1:27" x14ac:dyDescent="0.2">
      <c r="A586" s="4">
        <v>20</v>
      </c>
      <c r="B586" s="4">
        <v>1</v>
      </c>
      <c r="C586" s="4">
        <v>0.4</v>
      </c>
      <c r="D586" s="4">
        <v>20</v>
      </c>
      <c r="E586" s="4">
        <v>4.4396289999999998E-2</v>
      </c>
      <c r="F586" s="4">
        <v>1</v>
      </c>
      <c r="G586" s="4">
        <v>27.370034499999999</v>
      </c>
      <c r="H586" s="4">
        <v>7.0074109999999995E-2</v>
      </c>
      <c r="I586" s="4">
        <v>1</v>
      </c>
      <c r="J586" s="4">
        <v>0.11331852000000001</v>
      </c>
      <c r="K586" s="4">
        <v>0.37853455000000003</v>
      </c>
      <c r="L586" s="4">
        <v>1</v>
      </c>
      <c r="M586" s="4">
        <v>3606.17335</v>
      </c>
      <c r="N586" s="4">
        <v>95203</v>
      </c>
      <c r="O586" s="4">
        <v>4.90572696</v>
      </c>
      <c r="P586" s="6">
        <v>5.5118550000000002E-2</v>
      </c>
      <c r="Q586" s="4">
        <v>1</v>
      </c>
      <c r="R586" s="4">
        <v>36.9626412</v>
      </c>
      <c r="S586" s="4">
        <v>1</v>
      </c>
      <c r="T586" s="4">
        <v>8.0905300000000003E-3</v>
      </c>
      <c r="U586" s="4">
        <v>5</v>
      </c>
      <c r="V586" s="6">
        <v>5.5118550000000002E-2</v>
      </c>
      <c r="W586" s="4">
        <v>1</v>
      </c>
      <c r="X586" s="4">
        <v>16.7234944</v>
      </c>
      <c r="Y586" s="4">
        <v>1</v>
      </c>
      <c r="Z586" s="4">
        <v>9.2137599999999997E-3</v>
      </c>
      <c r="AA586" s="4">
        <v>1</v>
      </c>
    </row>
    <row r="587" spans="1:27" x14ac:dyDescent="0.2">
      <c r="A587">
        <v>20</v>
      </c>
      <c r="B587">
        <v>1</v>
      </c>
      <c r="C587">
        <v>0.4</v>
      </c>
      <c r="D587" s="4">
        <v>20</v>
      </c>
      <c r="E587">
        <v>8.6193996250928301E-2</v>
      </c>
      <c r="F587">
        <v>1</v>
      </c>
      <c r="G587">
        <v>31.603588676000001</v>
      </c>
      <c r="H587">
        <v>0.11090268074196701</v>
      </c>
      <c r="I587">
        <v>1</v>
      </c>
      <c r="J587">
        <v>0.18196163600000001</v>
      </c>
      <c r="K587">
        <v>0.246673157219226</v>
      </c>
      <c r="L587">
        <v>1</v>
      </c>
      <c r="M587">
        <v>3601.0882796689998</v>
      </c>
      <c r="N587">
        <v>222376</v>
      </c>
      <c r="O587">
        <v>3.3375412657999499</v>
      </c>
      <c r="P587" s="5">
        <v>8.7104912306971899E-2</v>
      </c>
      <c r="Q587">
        <v>1</v>
      </c>
      <c r="R587">
        <v>668.58036580500004</v>
      </c>
      <c r="S587">
        <v>6397</v>
      </c>
      <c r="T587">
        <v>3.1560968809452902E-2</v>
      </c>
      <c r="U587">
        <v>4579</v>
      </c>
      <c r="V587" s="5">
        <v>8.71049123069398E-2</v>
      </c>
      <c r="W587">
        <v>1</v>
      </c>
      <c r="X587">
        <v>1405.174603465</v>
      </c>
      <c r="Y587">
        <v>6969</v>
      </c>
      <c r="Z587">
        <v>1.6147721871528398E-2</v>
      </c>
      <c r="AA587">
        <v>20</v>
      </c>
    </row>
    <row r="588" spans="1:27" x14ac:dyDescent="0.2">
      <c r="A588">
        <v>20</v>
      </c>
      <c r="B588">
        <v>1</v>
      </c>
      <c r="C588">
        <v>0.3</v>
      </c>
      <c r="D588" s="4">
        <v>20</v>
      </c>
      <c r="E588">
        <v>0.15450550239765801</v>
      </c>
      <c r="F588">
        <v>1</v>
      </c>
      <c r="G588">
        <v>31.079398740999999</v>
      </c>
      <c r="H588">
        <v>0.121443741805922</v>
      </c>
      <c r="I588">
        <v>1</v>
      </c>
      <c r="J588">
        <v>0.108357097</v>
      </c>
      <c r="K588">
        <v>0.12836961154025001</v>
      </c>
      <c r="L588">
        <v>1</v>
      </c>
      <c r="M588">
        <v>3600.8682956789999</v>
      </c>
      <c r="N588">
        <v>225299</v>
      </c>
      <c r="O588">
        <v>1.1388252931613201</v>
      </c>
      <c r="P588" s="5">
        <v>9.9081054714746195E-2</v>
      </c>
      <c r="Q588">
        <v>1</v>
      </c>
      <c r="R588">
        <v>1107.3195659620001</v>
      </c>
      <c r="S588">
        <v>11564</v>
      </c>
      <c r="T588">
        <v>1.67801414143453E-2</v>
      </c>
      <c r="U588">
        <v>8669</v>
      </c>
      <c r="V588" s="5">
        <v>0.10285782809227501</v>
      </c>
      <c r="W588">
        <v>1</v>
      </c>
      <c r="X588">
        <v>2667.0295598859998</v>
      </c>
      <c r="Y588">
        <v>10105</v>
      </c>
      <c r="Z588">
        <v>1.45288410528219E-2</v>
      </c>
      <c r="AA588">
        <v>20</v>
      </c>
    </row>
    <row r="589" spans="1:27" x14ac:dyDescent="0.2">
      <c r="A589">
        <v>20</v>
      </c>
      <c r="B589">
        <v>1</v>
      </c>
      <c r="C589">
        <v>0.4</v>
      </c>
      <c r="D589" s="4">
        <v>20</v>
      </c>
      <c r="E589">
        <v>0.15835130005409301</v>
      </c>
      <c r="F589">
        <v>1</v>
      </c>
      <c r="G589">
        <v>33.647184996999997</v>
      </c>
      <c r="H589">
        <v>0.18654009612768599</v>
      </c>
      <c r="I589">
        <v>1</v>
      </c>
      <c r="J589">
        <v>0.11482680000000001</v>
      </c>
      <c r="K589">
        <v>0.176711529748831</v>
      </c>
      <c r="L589">
        <v>1</v>
      </c>
      <c r="M589">
        <v>3602.6413684899999</v>
      </c>
      <c r="N589">
        <v>282519</v>
      </c>
      <c r="O589">
        <v>0.51295169618232705</v>
      </c>
      <c r="P589" s="5">
        <v>0.180574360297659</v>
      </c>
      <c r="Q589">
        <v>1</v>
      </c>
      <c r="R589">
        <v>33.259870476000003</v>
      </c>
      <c r="S589">
        <v>1</v>
      </c>
      <c r="T589">
        <v>2.95088311123907E-2</v>
      </c>
      <c r="U589">
        <v>4</v>
      </c>
      <c r="V589" s="5">
        <v>0.180574360297695</v>
      </c>
      <c r="W589">
        <v>1</v>
      </c>
      <c r="X589">
        <v>15.152791149</v>
      </c>
      <c r="Y589">
        <v>1</v>
      </c>
      <c r="Z589">
        <v>7.8437837535023595E-3</v>
      </c>
      <c r="AA589">
        <v>1</v>
      </c>
    </row>
    <row r="590" spans="1:27" x14ac:dyDescent="0.2">
      <c r="A590">
        <v>20</v>
      </c>
      <c r="B590">
        <v>1</v>
      </c>
      <c r="C590">
        <v>0.4</v>
      </c>
      <c r="D590" s="4">
        <v>20</v>
      </c>
      <c r="E590">
        <v>5.9427971658059797E-2</v>
      </c>
      <c r="F590">
        <v>1</v>
      </c>
      <c r="G590">
        <v>39.454407322999998</v>
      </c>
      <c r="H590">
        <v>9.3130811598670996E-2</v>
      </c>
      <c r="I590">
        <v>1</v>
      </c>
      <c r="J590">
        <v>0.23758269000000001</v>
      </c>
      <c r="K590">
        <v>0.109368509049068</v>
      </c>
      <c r="L590">
        <v>1</v>
      </c>
      <c r="M590">
        <v>3606.1755794599999</v>
      </c>
      <c r="N590">
        <v>118441</v>
      </c>
      <c r="O590">
        <v>1.0417495828269401</v>
      </c>
      <c r="P590" s="5">
        <v>7.6028459251892597E-2</v>
      </c>
      <c r="Q590">
        <v>1</v>
      </c>
      <c r="R590">
        <v>253.901780667</v>
      </c>
      <c r="S590">
        <v>2167</v>
      </c>
      <c r="T590">
        <v>1.26191104476203E-2</v>
      </c>
      <c r="U590">
        <v>1186</v>
      </c>
      <c r="V590" s="5">
        <v>7.6028459251907599E-2</v>
      </c>
      <c r="W590">
        <v>1</v>
      </c>
      <c r="X590">
        <v>1396.9199841740001</v>
      </c>
      <c r="Y590">
        <v>6327</v>
      </c>
      <c r="Z590">
        <v>6.7926844286099099E-3</v>
      </c>
      <c r="AA590">
        <v>15</v>
      </c>
    </row>
    <row r="591" spans="1:27" x14ac:dyDescent="0.2">
      <c r="A591">
        <v>20</v>
      </c>
      <c r="B591">
        <v>1</v>
      </c>
      <c r="C591">
        <v>0.4</v>
      </c>
      <c r="D591" s="4">
        <v>20</v>
      </c>
      <c r="E591">
        <v>9.5665821770761994E-2</v>
      </c>
      <c r="F591">
        <v>1</v>
      </c>
      <c r="G591">
        <v>36.613289621</v>
      </c>
      <c r="H591">
        <v>0.104023866125734</v>
      </c>
      <c r="I591">
        <v>1</v>
      </c>
      <c r="J591">
        <v>0.18658456900000001</v>
      </c>
      <c r="K591">
        <v>0.229200361705094</v>
      </c>
      <c r="L591">
        <v>1</v>
      </c>
      <c r="M591">
        <v>3606.1026684069998</v>
      </c>
      <c r="N591">
        <v>65458</v>
      </c>
      <c r="O591">
        <v>6.3806406654330399</v>
      </c>
      <c r="P591" s="5">
        <v>0.125651644034144</v>
      </c>
      <c r="Q591">
        <v>1</v>
      </c>
      <c r="R591">
        <v>2086.7081805799999</v>
      </c>
      <c r="S591">
        <v>5482</v>
      </c>
      <c r="T591">
        <v>4.5733892901724298E-2</v>
      </c>
      <c r="U591">
        <v>4475</v>
      </c>
      <c r="V591" s="5">
        <v>7.8231277554331596E-2</v>
      </c>
      <c r="W591">
        <v>1</v>
      </c>
      <c r="X591">
        <v>2811.568563322</v>
      </c>
      <c r="Y591">
        <v>1537</v>
      </c>
      <c r="Z591">
        <v>5.2725960087871102E-2</v>
      </c>
      <c r="AA591">
        <v>20</v>
      </c>
    </row>
    <row r="592" spans="1:27" x14ac:dyDescent="0.2">
      <c r="A592">
        <v>20</v>
      </c>
      <c r="B592">
        <v>1</v>
      </c>
      <c r="C592">
        <v>0.4</v>
      </c>
      <c r="D592" s="4">
        <v>20</v>
      </c>
      <c r="E592">
        <v>7.1125650936904594E-2</v>
      </c>
      <c r="F592">
        <v>1</v>
      </c>
      <c r="G592">
        <v>56.68485956</v>
      </c>
      <c r="H592">
        <v>8.3684471431327304E-2</v>
      </c>
      <c r="I592">
        <v>1</v>
      </c>
      <c r="J592">
        <v>0.30767212300000002</v>
      </c>
      <c r="K592">
        <v>0.16971453777596501</v>
      </c>
      <c r="L592">
        <v>1</v>
      </c>
      <c r="M592">
        <v>3614.4265184669998</v>
      </c>
      <c r="N592">
        <v>37994</v>
      </c>
      <c r="O592">
        <v>5.4975716202320299</v>
      </c>
      <c r="P592" s="5">
        <v>6.2651553126499698E-2</v>
      </c>
      <c r="Q592">
        <v>1</v>
      </c>
      <c r="R592">
        <v>1683.2880401370001</v>
      </c>
      <c r="S592">
        <v>3214</v>
      </c>
      <c r="T592">
        <v>4.4969805596164002E-2</v>
      </c>
      <c r="U592">
        <v>2117</v>
      </c>
      <c r="V592" s="5">
        <v>6.2651553126499698E-2</v>
      </c>
      <c r="W592">
        <v>1</v>
      </c>
      <c r="X592">
        <v>2554.7583187549999</v>
      </c>
      <c r="Y592">
        <v>1482</v>
      </c>
      <c r="Z592">
        <v>3.6610768290582699E-2</v>
      </c>
      <c r="AA592">
        <v>20</v>
      </c>
    </row>
    <row r="593" spans="1:27" x14ac:dyDescent="0.2">
      <c r="A593">
        <v>20</v>
      </c>
      <c r="B593">
        <v>1</v>
      </c>
      <c r="C593">
        <v>0.1</v>
      </c>
      <c r="D593" s="4">
        <v>20</v>
      </c>
      <c r="E593">
        <v>0.74195719781958203</v>
      </c>
      <c r="F593">
        <v>1</v>
      </c>
      <c r="G593">
        <v>31.064627652999999</v>
      </c>
      <c r="H593">
        <v>0.67772494928365401</v>
      </c>
      <c r="I593">
        <v>1</v>
      </c>
      <c r="J593">
        <v>0.37024144399999998</v>
      </c>
      <c r="K593">
        <v>0.72312193957359905</v>
      </c>
      <c r="L593">
        <v>1</v>
      </c>
      <c r="M593">
        <v>3600.8397745329999</v>
      </c>
      <c r="N593">
        <v>198229</v>
      </c>
      <c r="O593">
        <v>0.31739272050893302</v>
      </c>
      <c r="P593" s="5">
        <v>0.66501639736720997</v>
      </c>
      <c r="Q593">
        <v>1</v>
      </c>
      <c r="R593">
        <v>3651.826835931</v>
      </c>
      <c r="S593">
        <v>33561</v>
      </c>
      <c r="T593">
        <v>2.5248777155705102E-2</v>
      </c>
      <c r="U593">
        <v>33477</v>
      </c>
      <c r="V593" s="5">
        <v>0.71127098335307903</v>
      </c>
      <c r="W593">
        <v>1</v>
      </c>
      <c r="X593">
        <v>1521.205081977</v>
      </c>
      <c r="Y593">
        <v>43343</v>
      </c>
      <c r="Z593">
        <v>6.3891976584544699E-3</v>
      </c>
      <c r="AA593">
        <v>20</v>
      </c>
    </row>
    <row r="594" spans="1:27" x14ac:dyDescent="0.2">
      <c r="A594">
        <v>20</v>
      </c>
      <c r="B594">
        <v>1</v>
      </c>
      <c r="C594">
        <v>0.1</v>
      </c>
      <c r="D594" s="4">
        <v>20</v>
      </c>
      <c r="E594">
        <v>0.68517627893200705</v>
      </c>
      <c r="F594">
        <v>1</v>
      </c>
      <c r="G594">
        <v>27.274887927000002</v>
      </c>
      <c r="H594">
        <v>0.67214950355990599</v>
      </c>
      <c r="I594">
        <v>1</v>
      </c>
      <c r="J594">
        <v>0.262101853</v>
      </c>
      <c r="K594">
        <v>1.0362116380002899</v>
      </c>
      <c r="L594">
        <v>1</v>
      </c>
      <c r="M594">
        <v>3607.8921787529998</v>
      </c>
      <c r="N594">
        <v>102000</v>
      </c>
      <c r="O594">
        <v>1.0224353754334801</v>
      </c>
      <c r="P594" s="5">
        <v>0.97530579512938098</v>
      </c>
      <c r="Q594">
        <v>1</v>
      </c>
      <c r="R594">
        <v>2592.1587141710002</v>
      </c>
      <c r="S594">
        <v>7766</v>
      </c>
      <c r="T594">
        <v>5.4489998639711797E-3</v>
      </c>
      <c r="U594">
        <v>7641</v>
      </c>
      <c r="V594" s="5">
        <v>0.90116042033766897</v>
      </c>
      <c r="W594">
        <v>1</v>
      </c>
      <c r="X594">
        <v>2940.693281501</v>
      </c>
      <c r="Y594">
        <v>7116</v>
      </c>
      <c r="Z594">
        <v>1.9536916089946E-2</v>
      </c>
      <c r="AA594">
        <v>20</v>
      </c>
    </row>
    <row r="595" spans="1:27" x14ac:dyDescent="0.2">
      <c r="A595">
        <v>20</v>
      </c>
      <c r="B595">
        <v>1</v>
      </c>
      <c r="C595">
        <v>0.2</v>
      </c>
      <c r="D595" s="4">
        <v>20</v>
      </c>
      <c r="E595">
        <v>0.37341627352044399</v>
      </c>
      <c r="F595">
        <v>1</v>
      </c>
      <c r="G595">
        <v>36.079881256999997</v>
      </c>
      <c r="H595">
        <v>0.38826028396578299</v>
      </c>
      <c r="I595">
        <v>1</v>
      </c>
      <c r="J595">
        <v>0.16518427299999999</v>
      </c>
      <c r="K595">
        <v>0.37715007421878299</v>
      </c>
      <c r="L595">
        <v>1</v>
      </c>
      <c r="M595">
        <v>3601.0044723380001</v>
      </c>
      <c r="N595">
        <v>218798</v>
      </c>
      <c r="O595">
        <v>0.55308053584860695</v>
      </c>
      <c r="P595" s="5">
        <v>0.38392824145113602</v>
      </c>
      <c r="Q595">
        <v>1</v>
      </c>
      <c r="R595">
        <v>33.143433342000002</v>
      </c>
      <c r="S595">
        <v>1</v>
      </c>
      <c r="T595">
        <v>1.0752879370289299E-2</v>
      </c>
      <c r="U595">
        <v>4</v>
      </c>
      <c r="V595" s="5">
        <v>0.38392824145113402</v>
      </c>
      <c r="W595">
        <v>1</v>
      </c>
      <c r="X595">
        <v>14.803985451000001</v>
      </c>
      <c r="Y595">
        <v>1</v>
      </c>
      <c r="Z595">
        <v>5.1847560389615098E-3</v>
      </c>
      <c r="AA595">
        <v>1</v>
      </c>
    </row>
    <row r="596" spans="1:27" x14ac:dyDescent="0.2">
      <c r="A596">
        <v>20</v>
      </c>
      <c r="B596">
        <v>1</v>
      </c>
      <c r="C596">
        <v>0.3</v>
      </c>
      <c r="D596">
        <v>20</v>
      </c>
      <c r="E596">
        <v>6.9636410727108994E-2</v>
      </c>
      <c r="F596">
        <v>1</v>
      </c>
      <c r="G596">
        <v>34.657386080999999</v>
      </c>
      <c r="H596">
        <v>0.110618958521639</v>
      </c>
      <c r="I596">
        <v>1</v>
      </c>
      <c r="J596">
        <v>0.21267714200000001</v>
      </c>
      <c r="K596">
        <v>0.10773288423274099</v>
      </c>
      <c r="L596">
        <v>1</v>
      </c>
      <c r="M596">
        <v>3600.8923256799999</v>
      </c>
      <c r="N596">
        <v>398430</v>
      </c>
      <c r="O596">
        <v>0.54185239540249996</v>
      </c>
      <c r="P596" s="5">
        <v>9.9726718572482595E-2</v>
      </c>
      <c r="Q596">
        <v>1</v>
      </c>
      <c r="R596">
        <v>773.49038777400006</v>
      </c>
      <c r="S596">
        <v>8845</v>
      </c>
      <c r="T596">
        <v>2.7501545593741201E-2</v>
      </c>
      <c r="U596">
        <v>5607</v>
      </c>
      <c r="V596" s="5">
        <v>9.7875243022148395E-2</v>
      </c>
      <c r="W596">
        <v>1</v>
      </c>
      <c r="X596">
        <v>1436.90630474</v>
      </c>
      <c r="Y596">
        <v>3856</v>
      </c>
      <c r="Z596">
        <v>1.2270901080644299E-2</v>
      </c>
      <c r="AA596">
        <v>20</v>
      </c>
    </row>
    <row r="597" spans="1:27" x14ac:dyDescent="0.2">
      <c r="A597">
        <v>20</v>
      </c>
      <c r="B597">
        <v>1</v>
      </c>
      <c r="C597">
        <v>0.1</v>
      </c>
      <c r="D597">
        <v>20</v>
      </c>
      <c r="E597">
        <v>0.865536655544625</v>
      </c>
      <c r="F597">
        <v>1</v>
      </c>
      <c r="G597">
        <v>33.854942725999997</v>
      </c>
      <c r="H597">
        <v>0.84311818767821001</v>
      </c>
      <c r="I597">
        <v>1</v>
      </c>
      <c r="J597">
        <v>0.37991675000000003</v>
      </c>
      <c r="K597">
        <v>1.11024741012738</v>
      </c>
      <c r="L597">
        <v>1</v>
      </c>
      <c r="M597">
        <v>3601.2203136449998</v>
      </c>
      <c r="N597">
        <v>245443</v>
      </c>
      <c r="O597">
        <v>0.40581802592320998</v>
      </c>
      <c r="P597" s="5">
        <v>0.86045523078727704</v>
      </c>
      <c r="Q597">
        <v>1</v>
      </c>
      <c r="R597">
        <v>3673.6103441800001</v>
      </c>
      <c r="S597">
        <v>34926</v>
      </c>
      <c r="T597">
        <v>7.6747462124787096E-3</v>
      </c>
      <c r="U597">
        <v>31472</v>
      </c>
      <c r="V597" s="5">
        <v>0.996745536585116</v>
      </c>
      <c r="W597">
        <v>1</v>
      </c>
      <c r="X597">
        <v>3236.9187329790002</v>
      </c>
      <c r="Y597">
        <v>23803</v>
      </c>
      <c r="Z597">
        <v>7.85299755857621E-3</v>
      </c>
      <c r="AA597">
        <v>20</v>
      </c>
    </row>
    <row r="598" spans="1:27" x14ac:dyDescent="0.2">
      <c r="A598">
        <v>20</v>
      </c>
      <c r="B598">
        <v>1</v>
      </c>
      <c r="C598">
        <v>0.2</v>
      </c>
      <c r="D598">
        <v>20</v>
      </c>
      <c r="E598">
        <v>0.32731930446131002</v>
      </c>
      <c r="F598">
        <v>1</v>
      </c>
      <c r="G598">
        <v>30.425889382000001</v>
      </c>
      <c r="H598">
        <v>0.31860937596053901</v>
      </c>
      <c r="I598">
        <v>1</v>
      </c>
      <c r="J598">
        <v>0.28697274</v>
      </c>
      <c r="K598">
        <v>0.34912806825612303</v>
      </c>
      <c r="L598">
        <v>1</v>
      </c>
      <c r="M598">
        <v>3600.6614525129999</v>
      </c>
      <c r="N598">
        <v>319350</v>
      </c>
      <c r="O598">
        <v>0.81352992252368295</v>
      </c>
      <c r="P598" s="5">
        <v>0.38709905123687099</v>
      </c>
      <c r="Q598">
        <v>1</v>
      </c>
      <c r="R598">
        <v>3657.9309631579999</v>
      </c>
      <c r="S598">
        <v>34865</v>
      </c>
      <c r="T598">
        <v>1.59126803092366E-2</v>
      </c>
      <c r="U598">
        <v>29878</v>
      </c>
      <c r="V598" s="5">
        <v>0.30025400800686097</v>
      </c>
      <c r="W598">
        <v>1</v>
      </c>
      <c r="X598">
        <v>3204.5535190159999</v>
      </c>
      <c r="Y598">
        <v>0</v>
      </c>
      <c r="Z598" s="1"/>
      <c r="AA598">
        <v>20</v>
      </c>
    </row>
    <row r="599" spans="1:27" x14ac:dyDescent="0.2">
      <c r="A599">
        <v>20</v>
      </c>
      <c r="B599">
        <v>1</v>
      </c>
      <c r="C599">
        <v>0.1</v>
      </c>
      <c r="D599">
        <v>20</v>
      </c>
      <c r="E599">
        <v>0.68856618374129996</v>
      </c>
      <c r="F599">
        <v>1</v>
      </c>
      <c r="G599">
        <v>30.280234486000001</v>
      </c>
      <c r="H599">
        <v>0.65266586902638701</v>
      </c>
      <c r="I599">
        <v>1</v>
      </c>
      <c r="J599">
        <v>0.37035654899999998</v>
      </c>
      <c r="K599">
        <v>0.70759939988382503</v>
      </c>
      <c r="L599">
        <v>1</v>
      </c>
      <c r="M599">
        <v>3603.9907626710001</v>
      </c>
      <c r="N599">
        <v>86499</v>
      </c>
      <c r="O599">
        <v>0.34472070346102301</v>
      </c>
      <c r="P599" s="5">
        <v>0.63556483540473996</v>
      </c>
      <c r="Q599">
        <v>1</v>
      </c>
      <c r="R599">
        <v>3660.516813147</v>
      </c>
      <c r="S599">
        <v>10830</v>
      </c>
      <c r="T599">
        <v>2.89620392572864E-3</v>
      </c>
      <c r="U599">
        <v>10151</v>
      </c>
      <c r="V599" s="5">
        <v>0.619699990978552</v>
      </c>
      <c r="W599">
        <v>1</v>
      </c>
      <c r="X599">
        <v>3304.2869776140001</v>
      </c>
      <c r="Y599">
        <v>13584</v>
      </c>
      <c r="Z599">
        <v>1.5558476589532501E-2</v>
      </c>
      <c r="AA599">
        <v>20</v>
      </c>
    </row>
    <row r="600" spans="1:27" x14ac:dyDescent="0.2">
      <c r="A600">
        <v>20</v>
      </c>
      <c r="B600">
        <v>1</v>
      </c>
      <c r="C600">
        <v>0.2</v>
      </c>
      <c r="D600">
        <v>20</v>
      </c>
      <c r="E600">
        <v>0.23693669947533499</v>
      </c>
      <c r="F600">
        <v>1</v>
      </c>
      <c r="G600">
        <v>33.857593113999997</v>
      </c>
      <c r="H600">
        <v>0.20194766926146199</v>
      </c>
      <c r="I600">
        <v>1</v>
      </c>
      <c r="J600">
        <v>0.219256279</v>
      </c>
      <c r="K600">
        <v>0.21085792150350899</v>
      </c>
      <c r="L600">
        <v>1</v>
      </c>
      <c r="M600">
        <v>3601.1654128219998</v>
      </c>
      <c r="N600">
        <v>298444</v>
      </c>
      <c r="O600">
        <v>1.3659716677918301</v>
      </c>
      <c r="P600" s="5">
        <v>0.238755428969817</v>
      </c>
      <c r="Q600">
        <v>1</v>
      </c>
      <c r="R600">
        <v>3693.89701044</v>
      </c>
      <c r="S600">
        <v>39897</v>
      </c>
      <c r="T600">
        <v>3.02586071363708E-2</v>
      </c>
      <c r="U600">
        <v>29167</v>
      </c>
      <c r="V600" s="5">
        <v>0.17006039491043101</v>
      </c>
      <c r="W600">
        <v>1</v>
      </c>
      <c r="X600">
        <v>3298.8175245269999</v>
      </c>
      <c r="Y600">
        <v>15119</v>
      </c>
      <c r="Z600">
        <v>3.45954405929607E-2</v>
      </c>
      <c r="AA600">
        <v>20</v>
      </c>
    </row>
    <row r="601" spans="1:27" x14ac:dyDescent="0.2">
      <c r="A601">
        <v>20</v>
      </c>
      <c r="B601">
        <v>1</v>
      </c>
      <c r="C601">
        <v>0.1</v>
      </c>
      <c r="D601">
        <v>20</v>
      </c>
      <c r="E601">
        <v>0.65223504893098505</v>
      </c>
      <c r="F601">
        <v>1</v>
      </c>
      <c r="G601">
        <v>38.736375864000003</v>
      </c>
      <c r="H601">
        <v>0.557809571067862</v>
      </c>
      <c r="I601">
        <v>1</v>
      </c>
      <c r="J601">
        <v>0.42616047899999998</v>
      </c>
      <c r="K601">
        <v>0.93482332974841298</v>
      </c>
      <c r="L601">
        <v>1</v>
      </c>
      <c r="M601">
        <v>3604.2162845030002</v>
      </c>
      <c r="N601">
        <v>80439</v>
      </c>
      <c r="O601">
        <v>0.62750813810258099</v>
      </c>
      <c r="P601" s="5">
        <v>0.61797324914672502</v>
      </c>
      <c r="Q601">
        <v>1</v>
      </c>
      <c r="R601">
        <v>3670.5563560649998</v>
      </c>
      <c r="S601">
        <v>27670</v>
      </c>
      <c r="T601">
        <v>8.1076389793653392E-3</v>
      </c>
      <c r="U601">
        <v>22388</v>
      </c>
      <c r="V601" s="5">
        <v>0.53523158110276703</v>
      </c>
      <c r="W601">
        <v>1</v>
      </c>
      <c r="X601">
        <v>3381.0731216290001</v>
      </c>
      <c r="Y601">
        <v>5608</v>
      </c>
      <c r="Z601">
        <v>3.0187964637602E-2</v>
      </c>
      <c r="AA601">
        <v>20</v>
      </c>
    </row>
    <row r="602" spans="1:27" x14ac:dyDescent="0.2">
      <c r="A602">
        <v>20</v>
      </c>
      <c r="B602">
        <v>1</v>
      </c>
      <c r="C602">
        <v>0.3</v>
      </c>
      <c r="D602">
        <v>20</v>
      </c>
      <c r="E602">
        <v>0.177495684429754</v>
      </c>
      <c r="F602">
        <v>1</v>
      </c>
      <c r="G602">
        <v>33.591907483999996</v>
      </c>
      <c r="H602">
        <v>0.15174150080327101</v>
      </c>
      <c r="I602">
        <v>1</v>
      </c>
      <c r="J602">
        <v>0.19810068</v>
      </c>
      <c r="K602">
        <v>0.15997871313552101</v>
      </c>
      <c r="L602">
        <v>1</v>
      </c>
      <c r="M602">
        <v>3600.5316324089999</v>
      </c>
      <c r="N602">
        <v>263373</v>
      </c>
      <c r="O602">
        <v>1.4888065417794401</v>
      </c>
      <c r="P602" s="5">
        <v>0.205808305375004</v>
      </c>
      <c r="Q602">
        <v>1</v>
      </c>
      <c r="R602">
        <v>3685.610756864</v>
      </c>
      <c r="S602">
        <v>37373</v>
      </c>
      <c r="T602">
        <v>3.4550479481756803E-2</v>
      </c>
      <c r="U602">
        <v>27768</v>
      </c>
      <c r="V602" s="5">
        <v>0.12186588541191599</v>
      </c>
      <c r="W602">
        <v>1</v>
      </c>
      <c r="X602">
        <v>3346.6134371899998</v>
      </c>
      <c r="Y602">
        <v>7696</v>
      </c>
      <c r="Z602">
        <v>5.0216375206907103E-2</v>
      </c>
      <c r="AA602">
        <v>20</v>
      </c>
    </row>
    <row r="603" spans="1:27" x14ac:dyDescent="0.2">
      <c r="A603">
        <v>20</v>
      </c>
      <c r="B603">
        <v>1</v>
      </c>
      <c r="C603">
        <v>0.2</v>
      </c>
      <c r="D603">
        <v>20</v>
      </c>
      <c r="E603">
        <v>0.40376471197672398</v>
      </c>
      <c r="F603">
        <v>1</v>
      </c>
      <c r="G603">
        <v>36.260489280999998</v>
      </c>
      <c r="H603">
        <v>0.27555559753820702</v>
      </c>
      <c r="I603">
        <v>1</v>
      </c>
      <c r="J603">
        <v>0.25918497400000001</v>
      </c>
      <c r="K603">
        <v>0.56318301397053905</v>
      </c>
      <c r="L603">
        <v>1</v>
      </c>
      <c r="M603">
        <v>3608.341411505</v>
      </c>
      <c r="N603">
        <v>84664</v>
      </c>
      <c r="O603">
        <v>2.9119703961550001</v>
      </c>
      <c r="P603" s="5">
        <v>0.35652550132715999</v>
      </c>
      <c r="Q603">
        <v>1</v>
      </c>
      <c r="R603">
        <v>3693.759856655</v>
      </c>
      <c r="S603">
        <v>24427</v>
      </c>
      <c r="T603">
        <v>2.8540216038401602E-2</v>
      </c>
      <c r="U603">
        <v>20276</v>
      </c>
      <c r="V603" s="5">
        <v>0.24953563715395399</v>
      </c>
      <c r="W603">
        <v>1</v>
      </c>
      <c r="X603">
        <v>3376.8981299530001</v>
      </c>
      <c r="Y603">
        <v>3946</v>
      </c>
      <c r="Z603">
        <v>8.1922861137025502E-2</v>
      </c>
      <c r="AA603">
        <v>20</v>
      </c>
    </row>
    <row r="604" spans="1:27" x14ac:dyDescent="0.2">
      <c r="A604">
        <v>20</v>
      </c>
      <c r="B604">
        <v>1</v>
      </c>
      <c r="C604">
        <v>0.3</v>
      </c>
      <c r="D604">
        <v>20</v>
      </c>
      <c r="E604">
        <v>0.20090089587198601</v>
      </c>
      <c r="F604">
        <v>1</v>
      </c>
      <c r="G604">
        <v>37.861215891000001</v>
      </c>
      <c r="H604">
        <v>0.15628751244049499</v>
      </c>
      <c r="I604">
        <v>1</v>
      </c>
      <c r="J604">
        <v>0.23348032199999999</v>
      </c>
      <c r="K604">
        <v>0.161266447083668</v>
      </c>
      <c r="L604">
        <v>1</v>
      </c>
      <c r="M604">
        <v>3604.6926146599999</v>
      </c>
      <c r="N604">
        <v>55212</v>
      </c>
      <c r="O604">
        <v>2.7517544683746902</v>
      </c>
      <c r="P604" s="5">
        <v>0.22838132432272501</v>
      </c>
      <c r="Q604">
        <v>1</v>
      </c>
      <c r="R604">
        <v>3694.7192421979998</v>
      </c>
      <c r="S604">
        <v>8979</v>
      </c>
      <c r="T604">
        <v>6.3783384576691304E-2</v>
      </c>
      <c r="U604">
        <v>7054</v>
      </c>
      <c r="V604" s="5">
        <v>0.123759790498637</v>
      </c>
      <c r="W604">
        <v>1</v>
      </c>
      <c r="X604">
        <v>3383.8214782260002</v>
      </c>
      <c r="Y604">
        <v>3668</v>
      </c>
      <c r="Z604">
        <v>9.3711064316943204E-2</v>
      </c>
      <c r="AA604">
        <v>20</v>
      </c>
    </row>
    <row r="605" spans="1:27" x14ac:dyDescent="0.2">
      <c r="A605">
        <v>20</v>
      </c>
      <c r="B605">
        <v>1</v>
      </c>
      <c r="C605">
        <v>0.2</v>
      </c>
      <c r="D605">
        <v>20</v>
      </c>
      <c r="E605">
        <v>0.27323211559083399</v>
      </c>
      <c r="F605">
        <v>1</v>
      </c>
      <c r="G605">
        <v>36.210501299999997</v>
      </c>
      <c r="H605">
        <v>0.278555063735555</v>
      </c>
      <c r="I605">
        <v>1</v>
      </c>
      <c r="J605">
        <v>0.26516246900000001</v>
      </c>
      <c r="K605">
        <v>0.86038561447036599</v>
      </c>
      <c r="L605">
        <v>1</v>
      </c>
      <c r="M605">
        <v>3605.3381342799998</v>
      </c>
      <c r="N605">
        <v>21109</v>
      </c>
      <c r="O605">
        <v>2.6898167305793699</v>
      </c>
      <c r="P605" s="5">
        <v>0.52252943901843996</v>
      </c>
      <c r="Q605">
        <v>1</v>
      </c>
      <c r="R605">
        <v>3676.5853624810002</v>
      </c>
      <c r="S605">
        <v>9434</v>
      </c>
      <c r="T605">
        <v>2.95621761869286E-2</v>
      </c>
      <c r="U605">
        <v>8564</v>
      </c>
      <c r="V605" s="5">
        <v>0.23928503238646501</v>
      </c>
      <c r="W605">
        <v>1</v>
      </c>
      <c r="X605">
        <v>3448.4749447089998</v>
      </c>
      <c r="Y605">
        <v>4876</v>
      </c>
      <c r="Z605">
        <v>7.0948537114062502E-2</v>
      </c>
      <c r="AA605">
        <v>20</v>
      </c>
    </row>
    <row r="606" spans="1:27" x14ac:dyDescent="0.2">
      <c r="A606">
        <v>20</v>
      </c>
      <c r="B606">
        <v>1</v>
      </c>
      <c r="C606">
        <v>0.3</v>
      </c>
      <c r="D606">
        <v>20</v>
      </c>
      <c r="E606">
        <v>0.115761487293034</v>
      </c>
      <c r="F606">
        <v>1</v>
      </c>
      <c r="G606">
        <v>33.128920561000001</v>
      </c>
      <c r="H606">
        <v>0.105700242131606</v>
      </c>
      <c r="I606">
        <v>1</v>
      </c>
      <c r="J606">
        <v>0.12851544100000001</v>
      </c>
      <c r="K606">
        <v>0.34956460985676202</v>
      </c>
      <c r="L606">
        <v>1</v>
      </c>
      <c r="M606">
        <v>3607.516899617</v>
      </c>
      <c r="N606">
        <v>71435</v>
      </c>
      <c r="O606">
        <v>3.68532623063312</v>
      </c>
      <c r="P606" s="5">
        <v>9.2986567291722402E-2</v>
      </c>
      <c r="Q606">
        <v>1</v>
      </c>
      <c r="R606">
        <v>46.041778850999997</v>
      </c>
      <c r="S606">
        <v>1</v>
      </c>
      <c r="T606">
        <v>1.78520492473777E-2</v>
      </c>
      <c r="U606">
        <v>5</v>
      </c>
      <c r="V606" s="5">
        <v>9.2986567291697603E-2</v>
      </c>
      <c r="W606">
        <v>1</v>
      </c>
      <c r="X606">
        <v>558.707759022</v>
      </c>
      <c r="Y606">
        <v>774</v>
      </c>
      <c r="Z606">
        <v>8.6572327965552792E-3</v>
      </c>
      <c r="AA606">
        <v>18</v>
      </c>
    </row>
    <row r="607" spans="1:27" x14ac:dyDescent="0.2">
      <c r="A607">
        <v>20</v>
      </c>
      <c r="B607">
        <v>1</v>
      </c>
      <c r="C607">
        <v>0.3</v>
      </c>
      <c r="D607">
        <v>20</v>
      </c>
      <c r="E607">
        <v>7.6389832900821797E-2</v>
      </c>
      <c r="F607">
        <v>1</v>
      </c>
      <c r="G607">
        <v>47.198548969999997</v>
      </c>
      <c r="H607">
        <v>9.0984048244775101E-2</v>
      </c>
      <c r="I607">
        <v>1</v>
      </c>
      <c r="J607">
        <v>0.15172697299999999</v>
      </c>
      <c r="K607">
        <v>9.5413723791893404E-2</v>
      </c>
      <c r="L607">
        <v>1</v>
      </c>
      <c r="M607">
        <v>3609.9663243340001</v>
      </c>
      <c r="N607">
        <v>34279</v>
      </c>
      <c r="O607">
        <v>1.1018572075312401</v>
      </c>
      <c r="P607" s="5">
        <v>6.3421241920554594E-2</v>
      </c>
      <c r="Q607">
        <v>1</v>
      </c>
      <c r="R607">
        <v>3664.6418802930002</v>
      </c>
      <c r="S607">
        <v>7288</v>
      </c>
      <c r="T607">
        <v>2.5251981414881702E-2</v>
      </c>
      <c r="U607">
        <v>5175</v>
      </c>
      <c r="V607" s="5">
        <v>6.6737049768506307E-2</v>
      </c>
      <c r="W607">
        <v>1</v>
      </c>
      <c r="X607">
        <v>3490.4767497520002</v>
      </c>
      <c r="Y607">
        <v>2982</v>
      </c>
      <c r="Z607">
        <v>5.87648567479606E-2</v>
      </c>
      <c r="AA607">
        <v>20</v>
      </c>
    </row>
    <row r="608" spans="1:27" x14ac:dyDescent="0.2">
      <c r="A608">
        <v>20</v>
      </c>
      <c r="B608">
        <v>1</v>
      </c>
      <c r="C608">
        <v>0.2</v>
      </c>
      <c r="D608">
        <v>20</v>
      </c>
      <c r="E608">
        <v>0.22192755932664601</v>
      </c>
      <c r="F608">
        <v>1</v>
      </c>
      <c r="G608">
        <v>46.702793247999999</v>
      </c>
      <c r="H608">
        <v>0.16796882858488299</v>
      </c>
      <c r="I608">
        <v>1</v>
      </c>
      <c r="J608">
        <v>0.292338394</v>
      </c>
      <c r="K608">
        <v>0.71427911771483998</v>
      </c>
      <c r="L608">
        <v>1</v>
      </c>
      <c r="M608">
        <v>3614.3964249189999</v>
      </c>
      <c r="N608">
        <v>44177</v>
      </c>
      <c r="O608">
        <v>15.008651238946401</v>
      </c>
      <c r="P608" s="5">
        <v>0.25455969934381101</v>
      </c>
      <c r="Q608">
        <v>1</v>
      </c>
      <c r="R608">
        <v>3724.747772061</v>
      </c>
      <c r="S608">
        <v>7109</v>
      </c>
      <c r="T608">
        <v>4.7956227124510802E-2</v>
      </c>
      <c r="U608">
        <v>5537</v>
      </c>
      <c r="V608" s="5">
        <v>0.137947600601843</v>
      </c>
      <c r="W608">
        <v>1</v>
      </c>
      <c r="X608">
        <v>3497.8291896619999</v>
      </c>
      <c r="Y608">
        <v>3439</v>
      </c>
      <c r="Z608">
        <v>5.2875616682585197E-2</v>
      </c>
      <c r="AA608">
        <v>20</v>
      </c>
    </row>
    <row r="609" spans="1:27" x14ac:dyDescent="0.2">
      <c r="A609">
        <v>20</v>
      </c>
      <c r="B609">
        <v>1</v>
      </c>
      <c r="C609">
        <v>0.3</v>
      </c>
      <c r="D609">
        <v>20</v>
      </c>
      <c r="E609">
        <v>5.2886887875434101E-2</v>
      </c>
      <c r="F609">
        <v>1</v>
      </c>
      <c r="G609">
        <v>34.196688238999997</v>
      </c>
      <c r="H609">
        <v>6.0664525031101903E-2</v>
      </c>
      <c r="I609">
        <v>1</v>
      </c>
      <c r="J609">
        <v>0.152377868</v>
      </c>
      <c r="K609">
        <v>0.111089767692372</v>
      </c>
      <c r="L609">
        <v>1</v>
      </c>
      <c r="M609">
        <v>3601.0149207889999</v>
      </c>
      <c r="N609">
        <v>252630</v>
      </c>
      <c r="O609">
        <v>1.1894907328165301</v>
      </c>
      <c r="P609" s="5">
        <v>3.9098880324860197E-2</v>
      </c>
      <c r="Q609">
        <v>1</v>
      </c>
      <c r="R609">
        <v>28.389947980999999</v>
      </c>
      <c r="S609">
        <v>1</v>
      </c>
      <c r="T609">
        <v>8.1911016116506998E-3</v>
      </c>
      <c r="U609">
        <v>5</v>
      </c>
      <c r="V609" s="5">
        <v>3.90988803249721E-2</v>
      </c>
      <c r="W609">
        <v>1</v>
      </c>
      <c r="X609">
        <v>10.570974223</v>
      </c>
      <c r="Y609">
        <v>1</v>
      </c>
      <c r="Z609">
        <v>8.2296388781657407E-3</v>
      </c>
      <c r="AA609">
        <v>1</v>
      </c>
    </row>
    <row r="610" spans="1:27" x14ac:dyDescent="0.2">
      <c r="A610">
        <v>20</v>
      </c>
      <c r="B610">
        <v>1</v>
      </c>
      <c r="C610">
        <v>0.1</v>
      </c>
      <c r="D610">
        <v>20</v>
      </c>
      <c r="E610">
        <v>0.84588174764765001</v>
      </c>
      <c r="F610">
        <v>1</v>
      </c>
      <c r="G610">
        <v>50.274131165</v>
      </c>
      <c r="H610">
        <v>0.72429333927853001</v>
      </c>
      <c r="I610">
        <v>1</v>
      </c>
      <c r="J610">
        <v>0.60873417299999999</v>
      </c>
      <c r="K610">
        <v>0.88177637984052903</v>
      </c>
      <c r="L610">
        <v>1</v>
      </c>
      <c r="M610">
        <v>3607.733575968</v>
      </c>
      <c r="N610">
        <v>42910</v>
      </c>
      <c r="O610">
        <v>0.46316582754433699</v>
      </c>
      <c r="P610" s="5">
        <v>1.1313736775319001</v>
      </c>
      <c r="Q610">
        <v>1</v>
      </c>
      <c r="R610">
        <v>3678.3900034140001</v>
      </c>
      <c r="S610">
        <v>6714</v>
      </c>
      <c r="T610">
        <v>8.0500462180691495E-3</v>
      </c>
      <c r="U610">
        <v>5966</v>
      </c>
      <c r="V610" s="5">
        <v>0.96416610521027102</v>
      </c>
      <c r="W610">
        <v>1</v>
      </c>
      <c r="X610">
        <v>3374.923464084</v>
      </c>
      <c r="Y610">
        <v>9820</v>
      </c>
      <c r="Z610">
        <v>1.05989266908988E-2</v>
      </c>
      <c r="AA610">
        <v>20</v>
      </c>
    </row>
    <row r="611" spans="1:27" x14ac:dyDescent="0.2">
      <c r="A611">
        <v>20</v>
      </c>
      <c r="B611">
        <v>1</v>
      </c>
      <c r="C611">
        <v>0.2</v>
      </c>
      <c r="D611">
        <v>20</v>
      </c>
      <c r="E611">
        <v>0.561807245608966</v>
      </c>
      <c r="F611">
        <v>1</v>
      </c>
      <c r="G611">
        <v>50.607997453999999</v>
      </c>
      <c r="H611">
        <v>0.49687135614826899</v>
      </c>
      <c r="I611">
        <v>1</v>
      </c>
      <c r="J611">
        <v>0.2617121</v>
      </c>
      <c r="K611">
        <v>0.98607907151507901</v>
      </c>
      <c r="L611">
        <v>1</v>
      </c>
      <c r="M611">
        <v>3610.6052586830001</v>
      </c>
      <c r="N611">
        <v>23760</v>
      </c>
      <c r="O611">
        <v>1.28493935461764</v>
      </c>
      <c r="P611" s="5">
        <v>0.951440337839906</v>
      </c>
      <c r="Q611">
        <v>1</v>
      </c>
      <c r="R611">
        <v>3639.5169589289999</v>
      </c>
      <c r="S611">
        <v>5857</v>
      </c>
      <c r="T611">
        <v>7.7521901066177595E-2</v>
      </c>
      <c r="U611">
        <v>5331</v>
      </c>
      <c r="V611" s="5">
        <v>0.48753614546497398</v>
      </c>
      <c r="W611">
        <v>1</v>
      </c>
      <c r="X611">
        <v>3493.3669332670001</v>
      </c>
      <c r="Y611">
        <v>4344</v>
      </c>
      <c r="Z611">
        <v>7.70088051549883E-2</v>
      </c>
      <c r="AA611">
        <v>20</v>
      </c>
    </row>
    <row r="612" spans="1:27" x14ac:dyDescent="0.2">
      <c r="A612">
        <v>20</v>
      </c>
      <c r="B612">
        <v>1</v>
      </c>
      <c r="C612">
        <v>0.1</v>
      </c>
      <c r="D612">
        <v>20</v>
      </c>
      <c r="E612">
        <v>0.68643023589222196</v>
      </c>
      <c r="F612">
        <v>1</v>
      </c>
      <c r="G612">
        <v>46.807085506</v>
      </c>
      <c r="H612">
        <v>0.69900650251251295</v>
      </c>
      <c r="I612">
        <v>1</v>
      </c>
      <c r="J612">
        <v>0.30371624899999999</v>
      </c>
      <c r="K612">
        <v>0.80779894772965999</v>
      </c>
      <c r="L612">
        <v>1</v>
      </c>
      <c r="M612">
        <v>3606.7012274630001</v>
      </c>
      <c r="N612">
        <v>59745</v>
      </c>
      <c r="O612">
        <v>0.89862696337913295</v>
      </c>
      <c r="P612" s="5">
        <v>0.91798440289901495</v>
      </c>
      <c r="Q612">
        <v>1</v>
      </c>
      <c r="R612">
        <v>3735.4174458419998</v>
      </c>
      <c r="S612">
        <v>6933</v>
      </c>
      <c r="T612">
        <v>4.4846211739988304E-3</v>
      </c>
      <c r="U612">
        <v>5679</v>
      </c>
      <c r="V612" s="5">
        <v>0.69584867791868299</v>
      </c>
      <c r="W612">
        <v>1</v>
      </c>
      <c r="X612">
        <v>3218.9929086090001</v>
      </c>
      <c r="Y612">
        <v>2364</v>
      </c>
      <c r="Z612">
        <v>4.9602226888235098E-3</v>
      </c>
      <c r="AA612">
        <v>20</v>
      </c>
    </row>
    <row r="613" spans="1:27" x14ac:dyDescent="0.2">
      <c r="A613">
        <v>20</v>
      </c>
      <c r="B613">
        <v>1</v>
      </c>
      <c r="C613">
        <v>0.3</v>
      </c>
      <c r="D613">
        <v>20</v>
      </c>
      <c r="E613">
        <v>0.14547163107171099</v>
      </c>
      <c r="F613">
        <v>1</v>
      </c>
      <c r="G613">
        <v>54.447595649</v>
      </c>
      <c r="H613">
        <v>0.12624359060894499</v>
      </c>
      <c r="I613">
        <v>1</v>
      </c>
      <c r="J613">
        <v>0.38846384499999997</v>
      </c>
      <c r="K613">
        <v>0.55474214699231095</v>
      </c>
      <c r="L613">
        <v>1</v>
      </c>
      <c r="M613">
        <v>3609.6827904480001</v>
      </c>
      <c r="N613">
        <v>44397</v>
      </c>
      <c r="O613">
        <v>6.9351381965716001</v>
      </c>
      <c r="P613" s="5">
        <v>9.9033406498859694E-2</v>
      </c>
      <c r="Q613">
        <v>1</v>
      </c>
      <c r="R613">
        <v>3779.7523048349999</v>
      </c>
      <c r="S613">
        <v>6524</v>
      </c>
      <c r="T613">
        <v>4.0525816469688801E-2</v>
      </c>
      <c r="U613">
        <v>5063</v>
      </c>
      <c r="V613" s="5">
        <v>9.9033406498884799E-2</v>
      </c>
      <c r="W613">
        <v>1</v>
      </c>
      <c r="X613">
        <v>3330.5575378100002</v>
      </c>
      <c r="Y613">
        <v>963</v>
      </c>
      <c r="Z613">
        <v>7.5625433872187495E-2</v>
      </c>
      <c r="AA613">
        <v>20</v>
      </c>
    </row>
    <row r="614" spans="1:27" x14ac:dyDescent="0.2">
      <c r="A614">
        <v>20</v>
      </c>
      <c r="B614">
        <v>1</v>
      </c>
      <c r="C614">
        <v>0.2</v>
      </c>
      <c r="D614">
        <v>20</v>
      </c>
      <c r="E614">
        <v>0.36671268771301901</v>
      </c>
      <c r="F614">
        <v>1</v>
      </c>
      <c r="G614">
        <v>47.028705025000001</v>
      </c>
      <c r="H614">
        <v>0.29967039783952398</v>
      </c>
      <c r="I614">
        <v>1</v>
      </c>
      <c r="J614">
        <v>0.26829482300000002</v>
      </c>
      <c r="K614">
        <v>0.90136700775487</v>
      </c>
      <c r="L614">
        <v>1</v>
      </c>
      <c r="M614">
        <v>3606.2406440959999</v>
      </c>
      <c r="N614">
        <v>40000</v>
      </c>
      <c r="O614">
        <v>6.0156159815774597</v>
      </c>
      <c r="P614" s="5">
        <v>0.60540171694177403</v>
      </c>
      <c r="Q614">
        <v>1</v>
      </c>
      <c r="R614">
        <v>3672.5542195889998</v>
      </c>
      <c r="S614">
        <v>5912</v>
      </c>
      <c r="T614">
        <v>3.9393803919607999E-2</v>
      </c>
      <c r="U614">
        <v>5038</v>
      </c>
      <c r="V614" s="5">
        <v>0.284790320426757</v>
      </c>
      <c r="W614">
        <v>1</v>
      </c>
      <c r="X614">
        <v>3505.8468299430001</v>
      </c>
      <c r="Y614">
        <v>2488</v>
      </c>
      <c r="Z614">
        <v>4.9098480387905499E-2</v>
      </c>
      <c r="AA614">
        <v>20</v>
      </c>
    </row>
    <row r="615" spans="1:27" x14ac:dyDescent="0.2">
      <c r="A615">
        <v>20</v>
      </c>
      <c r="B615">
        <v>1</v>
      </c>
      <c r="C615">
        <v>0.4</v>
      </c>
      <c r="D615">
        <v>20</v>
      </c>
      <c r="E615">
        <v>0.28031146815583702</v>
      </c>
      <c r="F615">
        <v>1</v>
      </c>
      <c r="G615">
        <v>57.751245916000002</v>
      </c>
      <c r="H615">
        <v>0.174882541938537</v>
      </c>
      <c r="I615">
        <v>1</v>
      </c>
      <c r="J615">
        <v>0.31791286200000002</v>
      </c>
      <c r="K615">
        <v>0.27194538435281701</v>
      </c>
      <c r="L615">
        <v>1</v>
      </c>
      <c r="M615">
        <v>3603.710230658</v>
      </c>
      <c r="N615">
        <v>88622</v>
      </c>
      <c r="O615">
        <v>1.76299974093888</v>
      </c>
      <c r="P615" s="5">
        <v>0.16303383419973699</v>
      </c>
      <c r="Q615">
        <v>1</v>
      </c>
      <c r="R615">
        <v>3665.2734807249999</v>
      </c>
      <c r="S615">
        <v>5385</v>
      </c>
      <c r="T615">
        <v>8.1294661383583197E-2</v>
      </c>
      <c r="U615">
        <v>5033</v>
      </c>
      <c r="V615" s="5">
        <v>0.16303383419978801</v>
      </c>
      <c r="W615">
        <v>1</v>
      </c>
      <c r="X615">
        <v>3362.6460622139998</v>
      </c>
      <c r="Y615">
        <v>985</v>
      </c>
      <c r="Z615">
        <v>8.5234300066850205E-2</v>
      </c>
      <c r="AA615">
        <v>20</v>
      </c>
    </row>
    <row r="616" spans="1:27" x14ac:dyDescent="0.2">
      <c r="A616">
        <v>20</v>
      </c>
      <c r="B616">
        <v>1</v>
      </c>
      <c r="C616">
        <v>0.3</v>
      </c>
      <c r="D616">
        <v>20</v>
      </c>
      <c r="E616">
        <v>0.17204013975480201</v>
      </c>
      <c r="F616">
        <v>1</v>
      </c>
      <c r="G616">
        <v>57.086735886</v>
      </c>
      <c r="H616">
        <v>0.13752257296760001</v>
      </c>
      <c r="I616">
        <v>1</v>
      </c>
      <c r="J616">
        <v>0.29511378399999999</v>
      </c>
      <c r="K616">
        <v>9.7521753257913499E-2</v>
      </c>
      <c r="L616">
        <v>1</v>
      </c>
      <c r="M616">
        <v>3606.2071859970001</v>
      </c>
      <c r="N616">
        <v>62795</v>
      </c>
      <c r="O616">
        <v>1.8589470869637601</v>
      </c>
      <c r="P616" s="5">
        <v>0.15367079457358701</v>
      </c>
      <c r="Q616">
        <v>1</v>
      </c>
      <c r="R616">
        <v>3794.904160607</v>
      </c>
      <c r="S616">
        <v>7128</v>
      </c>
      <c r="T616">
        <v>4.2294529277643503E-2</v>
      </c>
      <c r="U616">
        <v>5124</v>
      </c>
      <c r="V616" s="5">
        <v>0.12753421993247099</v>
      </c>
      <c r="W616">
        <v>1</v>
      </c>
      <c r="X616">
        <v>3455.7748039749999</v>
      </c>
      <c r="Y616">
        <v>2576</v>
      </c>
      <c r="Z616">
        <v>5.8965834691987601E-2</v>
      </c>
      <c r="AA616">
        <v>20</v>
      </c>
    </row>
    <row r="617" spans="1:27" x14ac:dyDescent="0.2">
      <c r="A617">
        <v>20</v>
      </c>
      <c r="B617">
        <v>1</v>
      </c>
      <c r="C617">
        <v>0.1</v>
      </c>
      <c r="D617">
        <v>20</v>
      </c>
      <c r="E617">
        <v>0.79361693386182797</v>
      </c>
      <c r="F617">
        <v>1</v>
      </c>
      <c r="G617">
        <v>38.834765627000003</v>
      </c>
      <c r="H617">
        <v>0.69630869297964604</v>
      </c>
      <c r="I617">
        <v>1</v>
      </c>
      <c r="J617">
        <v>0.39429145799999998</v>
      </c>
      <c r="K617">
        <v>0.83796563852080996</v>
      </c>
      <c r="L617">
        <v>1</v>
      </c>
      <c r="M617">
        <v>3601.2335695729998</v>
      </c>
      <c r="N617">
        <v>56881</v>
      </c>
      <c r="O617">
        <v>0.53661858486260805</v>
      </c>
      <c r="P617" s="5">
        <v>0.97276836330899796</v>
      </c>
      <c r="Q617">
        <v>1</v>
      </c>
      <c r="R617">
        <v>3683.379060067</v>
      </c>
      <c r="S617">
        <v>8829</v>
      </c>
      <c r="T617">
        <v>7.3786319761212898E-3</v>
      </c>
      <c r="U617">
        <v>8253</v>
      </c>
      <c r="V617" s="5">
        <v>0.83157748271314702</v>
      </c>
      <c r="W617">
        <v>1</v>
      </c>
      <c r="X617">
        <v>3197.443335162</v>
      </c>
      <c r="Y617">
        <v>2549</v>
      </c>
      <c r="Z617">
        <v>1.3275910729181E-2</v>
      </c>
      <c r="AA617">
        <v>20</v>
      </c>
    </row>
    <row r="618" spans="1:27" x14ac:dyDescent="0.2">
      <c r="A618">
        <v>20</v>
      </c>
      <c r="B618">
        <v>1</v>
      </c>
      <c r="C618">
        <v>0.4</v>
      </c>
      <c r="D618">
        <v>20</v>
      </c>
      <c r="E618">
        <v>6.3611672002595404E-2</v>
      </c>
      <c r="F618">
        <v>1</v>
      </c>
      <c r="G618">
        <v>33.101704744999999</v>
      </c>
      <c r="H618">
        <v>8.3682779314822195E-2</v>
      </c>
      <c r="I618">
        <v>1</v>
      </c>
      <c r="J618">
        <v>0.129823612</v>
      </c>
      <c r="K618">
        <v>0.15095389742689599</v>
      </c>
      <c r="L618">
        <v>1</v>
      </c>
      <c r="M618">
        <v>3600.789909093</v>
      </c>
      <c r="N618">
        <v>179386</v>
      </c>
      <c r="O618">
        <v>2.4328542684241201</v>
      </c>
      <c r="P618" s="5">
        <v>5.9564134095869699E-2</v>
      </c>
      <c r="Q618">
        <v>1</v>
      </c>
      <c r="R618">
        <v>28.976427356999999</v>
      </c>
      <c r="S618">
        <v>1</v>
      </c>
      <c r="T618">
        <v>2.7623676956196101E-2</v>
      </c>
      <c r="U618">
        <v>5</v>
      </c>
      <c r="V618" s="5">
        <v>5.9564134095869699E-2</v>
      </c>
      <c r="W618">
        <v>1</v>
      </c>
      <c r="X618">
        <v>274.46520703200002</v>
      </c>
      <c r="Y618">
        <v>7</v>
      </c>
      <c r="Z618">
        <v>1.54784386869679E-2</v>
      </c>
      <c r="AA618">
        <v>20</v>
      </c>
    </row>
    <row r="619" spans="1:27" x14ac:dyDescent="0.2">
      <c r="A619">
        <v>20</v>
      </c>
      <c r="B619">
        <v>1</v>
      </c>
      <c r="C619">
        <v>0.1</v>
      </c>
      <c r="D619">
        <v>20</v>
      </c>
      <c r="E619">
        <v>0.84809131323874198</v>
      </c>
      <c r="F619">
        <v>1</v>
      </c>
      <c r="G619">
        <v>33.979944293999999</v>
      </c>
      <c r="H619">
        <v>0.80432046519293299</v>
      </c>
      <c r="I619">
        <v>1</v>
      </c>
      <c r="J619">
        <v>0.352860487</v>
      </c>
      <c r="K619">
        <v>0.859616336159988</v>
      </c>
      <c r="L619">
        <v>1</v>
      </c>
      <c r="M619">
        <v>3601.2278128309999</v>
      </c>
      <c r="N619">
        <v>238297</v>
      </c>
      <c r="O619">
        <v>0.32357649247380199</v>
      </c>
      <c r="P619" s="5">
        <v>1.0619794420776101</v>
      </c>
      <c r="Q619">
        <v>1</v>
      </c>
      <c r="R619">
        <v>3693.5575638320001</v>
      </c>
      <c r="S619">
        <v>34749</v>
      </c>
      <c r="T619">
        <v>7.7491610617879602E-3</v>
      </c>
      <c r="U619">
        <v>29216</v>
      </c>
      <c r="V619" s="5">
        <v>1.09168207092689</v>
      </c>
      <c r="W619">
        <v>1</v>
      </c>
      <c r="X619">
        <v>3319.0097975879999</v>
      </c>
      <c r="Y619">
        <v>16573</v>
      </c>
      <c r="Z619">
        <v>1.5889821557307001E-2</v>
      </c>
      <c r="AA619">
        <v>20</v>
      </c>
    </row>
    <row r="620" spans="1:27" x14ac:dyDescent="0.2">
      <c r="A620">
        <v>20</v>
      </c>
      <c r="B620">
        <v>1</v>
      </c>
      <c r="C620">
        <v>0.2</v>
      </c>
      <c r="D620">
        <v>20</v>
      </c>
      <c r="E620">
        <v>0.35800020769211</v>
      </c>
      <c r="F620">
        <v>1</v>
      </c>
      <c r="G620">
        <v>38.9479398</v>
      </c>
      <c r="H620">
        <v>0.25287986279515201</v>
      </c>
      <c r="I620">
        <v>1</v>
      </c>
      <c r="J620">
        <v>0.44734048599999998</v>
      </c>
      <c r="K620">
        <v>0.81410116304608304</v>
      </c>
      <c r="L620">
        <v>1</v>
      </c>
      <c r="M620">
        <v>3600.9626802759999</v>
      </c>
      <c r="N620">
        <v>131247</v>
      </c>
      <c r="O620">
        <v>2.4058470389264199</v>
      </c>
      <c r="P620" s="5">
        <v>0.32601781440514399</v>
      </c>
      <c r="Q620">
        <v>1</v>
      </c>
      <c r="R620">
        <v>3675.3651266339998</v>
      </c>
      <c r="S620">
        <v>30310</v>
      </c>
      <c r="T620">
        <v>1.97790085650646E-2</v>
      </c>
      <c r="U620">
        <v>23224</v>
      </c>
      <c r="V620" s="5">
        <v>0.22697500139610699</v>
      </c>
      <c r="W620">
        <v>1</v>
      </c>
      <c r="X620">
        <v>3457.6092427970002</v>
      </c>
      <c r="Y620">
        <v>10297</v>
      </c>
      <c r="Z620">
        <v>4.6198615158184797E-2</v>
      </c>
      <c r="AA620">
        <v>20</v>
      </c>
    </row>
    <row r="621" spans="1:27" x14ac:dyDescent="0.2">
      <c r="A621">
        <v>20</v>
      </c>
      <c r="B621">
        <v>1</v>
      </c>
      <c r="C621">
        <v>0.1</v>
      </c>
      <c r="D621">
        <v>20</v>
      </c>
      <c r="E621">
        <v>0.55961032978146197</v>
      </c>
      <c r="F621">
        <v>1</v>
      </c>
      <c r="G621">
        <v>40.707974225000001</v>
      </c>
      <c r="H621">
        <v>0.57517182968596703</v>
      </c>
      <c r="I621">
        <v>1</v>
      </c>
      <c r="J621">
        <v>0.59412427199999995</v>
      </c>
      <c r="K621">
        <v>1.1081089868306799</v>
      </c>
      <c r="L621">
        <v>1</v>
      </c>
      <c r="M621">
        <v>3606.3700822310002</v>
      </c>
      <c r="N621">
        <v>67756</v>
      </c>
      <c r="O621">
        <v>1.3426177290041801</v>
      </c>
      <c r="P621" s="5">
        <v>0.78274412449628705</v>
      </c>
      <c r="Q621">
        <v>1</v>
      </c>
      <c r="R621">
        <v>3743.2719199399999</v>
      </c>
      <c r="S621">
        <v>22917</v>
      </c>
      <c r="T621">
        <v>1.6401619898433299E-2</v>
      </c>
      <c r="U621">
        <v>18037</v>
      </c>
      <c r="V621" s="5">
        <v>0.77923594551414299</v>
      </c>
      <c r="W621">
        <v>1</v>
      </c>
      <c r="X621">
        <v>3271.186894512</v>
      </c>
      <c r="Y621">
        <v>12149</v>
      </c>
      <c r="Z621">
        <v>3.9405794297748598E-2</v>
      </c>
      <c r="AA621">
        <v>20</v>
      </c>
    </row>
    <row r="622" spans="1:27" x14ac:dyDescent="0.2">
      <c r="A622">
        <v>20</v>
      </c>
      <c r="B622">
        <v>1</v>
      </c>
      <c r="C622">
        <v>0.2</v>
      </c>
      <c r="D622">
        <v>20</v>
      </c>
      <c r="E622">
        <v>0.40198587053643497</v>
      </c>
      <c r="F622">
        <v>1</v>
      </c>
      <c r="G622">
        <v>35.307884966000003</v>
      </c>
      <c r="H622">
        <v>0.27622751586313499</v>
      </c>
      <c r="I622">
        <v>1</v>
      </c>
      <c r="J622">
        <v>0.228614608</v>
      </c>
      <c r="K622">
        <v>0.70860220126411999</v>
      </c>
      <c r="L622">
        <v>1</v>
      </c>
      <c r="M622">
        <v>3604.42027805</v>
      </c>
      <c r="N622">
        <v>62207</v>
      </c>
      <c r="O622">
        <v>1.03392120629567</v>
      </c>
      <c r="P622" s="5">
        <v>0.41864938220882197</v>
      </c>
      <c r="Q622">
        <v>1</v>
      </c>
      <c r="R622">
        <v>3691.0043942540001</v>
      </c>
      <c r="S622">
        <v>10405</v>
      </c>
      <c r="T622">
        <v>1.11975452821307E-2</v>
      </c>
      <c r="U622">
        <v>8370</v>
      </c>
      <c r="V622" s="5">
        <v>0.248653698906842</v>
      </c>
      <c r="W622">
        <v>1</v>
      </c>
      <c r="X622">
        <v>3297.2893019909998</v>
      </c>
      <c r="Y622">
        <v>1847</v>
      </c>
      <c r="Z622">
        <v>1.97426467702113E-2</v>
      </c>
      <c r="AA622">
        <v>20</v>
      </c>
    </row>
    <row r="623" spans="1:27" x14ac:dyDescent="0.2">
      <c r="A623">
        <v>20</v>
      </c>
      <c r="B623">
        <v>1</v>
      </c>
      <c r="C623">
        <v>0.3</v>
      </c>
      <c r="D623">
        <v>20</v>
      </c>
      <c r="E623">
        <v>0.26021288092980399</v>
      </c>
      <c r="F623">
        <v>1</v>
      </c>
      <c r="G623">
        <v>40.423978163999998</v>
      </c>
      <c r="H623">
        <v>0.22024821794393101</v>
      </c>
      <c r="I623">
        <v>1</v>
      </c>
      <c r="J623">
        <v>0.261196386</v>
      </c>
      <c r="K623">
        <v>0.36213295972995202</v>
      </c>
      <c r="L623">
        <v>1</v>
      </c>
      <c r="M623">
        <v>3602.6708105560001</v>
      </c>
      <c r="N623">
        <v>126051</v>
      </c>
      <c r="O623">
        <v>2.3632727869555001</v>
      </c>
      <c r="P623" s="5">
        <v>0.25325872011077699</v>
      </c>
      <c r="Q623">
        <v>1</v>
      </c>
      <c r="R623">
        <v>2653.1825967740001</v>
      </c>
      <c r="S623">
        <v>19978</v>
      </c>
      <c r="T623">
        <v>1.10434495356415E-2</v>
      </c>
      <c r="U623">
        <v>15820</v>
      </c>
      <c r="V623" s="5">
        <v>0.22561312845668699</v>
      </c>
      <c r="W623">
        <v>1</v>
      </c>
      <c r="X623">
        <v>2318.8936652090001</v>
      </c>
      <c r="Y623">
        <v>7500</v>
      </c>
      <c r="Z623">
        <v>1.02470841949355E-2</v>
      </c>
      <c r="AA623">
        <v>20</v>
      </c>
    </row>
    <row r="624" spans="1:27" x14ac:dyDescent="0.2">
      <c r="A624">
        <v>20</v>
      </c>
      <c r="B624">
        <v>1</v>
      </c>
      <c r="C624">
        <v>0.1</v>
      </c>
      <c r="D624">
        <v>20</v>
      </c>
      <c r="E624">
        <v>0.67175871703076795</v>
      </c>
      <c r="F624">
        <v>1</v>
      </c>
      <c r="G624">
        <v>33.067835174000002</v>
      </c>
      <c r="H624">
        <v>0.62681364799196504</v>
      </c>
      <c r="I624">
        <v>1</v>
      </c>
      <c r="J624">
        <v>0.32764789999999999</v>
      </c>
      <c r="K624">
        <v>0.94073872207278197</v>
      </c>
      <c r="L624">
        <v>1</v>
      </c>
      <c r="M624">
        <v>3600.8007238820001</v>
      </c>
      <c r="N624">
        <v>211818</v>
      </c>
      <c r="O624">
        <v>0.46814823292243002</v>
      </c>
      <c r="P624" s="5">
        <v>0.95746493893901397</v>
      </c>
      <c r="Q624">
        <v>1</v>
      </c>
      <c r="R624">
        <v>3673.183293043</v>
      </c>
      <c r="S624">
        <v>34646</v>
      </c>
      <c r="T624">
        <v>7.6370752545398797E-3</v>
      </c>
      <c r="U624">
        <v>31358</v>
      </c>
      <c r="V624" s="5">
        <v>0.71391776102877302</v>
      </c>
      <c r="W624">
        <v>1</v>
      </c>
      <c r="X624">
        <v>2798.8768549810002</v>
      </c>
      <c r="Y624">
        <v>15524</v>
      </c>
      <c r="Z624">
        <v>1.6838855793108801E-2</v>
      </c>
      <c r="AA624">
        <v>20</v>
      </c>
    </row>
    <row r="625" spans="1:27" x14ac:dyDescent="0.2">
      <c r="A625">
        <v>20</v>
      </c>
      <c r="B625">
        <v>1</v>
      </c>
      <c r="C625">
        <v>0.1</v>
      </c>
      <c r="D625">
        <v>20</v>
      </c>
      <c r="E625">
        <v>0.56838265967620205</v>
      </c>
      <c r="F625">
        <v>1</v>
      </c>
      <c r="G625">
        <v>41.513248560000001</v>
      </c>
      <c r="H625">
        <v>0.58722993577518801</v>
      </c>
      <c r="I625">
        <v>1</v>
      </c>
      <c r="J625">
        <v>0.307861306</v>
      </c>
      <c r="K625">
        <v>0.63099357997708105</v>
      </c>
      <c r="L625">
        <v>1</v>
      </c>
      <c r="M625">
        <v>3604.3424339540002</v>
      </c>
      <c r="N625">
        <v>101221</v>
      </c>
      <c r="O625">
        <v>0.81358950055532298</v>
      </c>
      <c r="P625" s="5">
        <v>0.64584908162878696</v>
      </c>
      <c r="Q625">
        <v>1</v>
      </c>
      <c r="R625">
        <v>3774.0865175640001</v>
      </c>
      <c r="S625">
        <v>30659</v>
      </c>
      <c r="T625">
        <v>8.4006770164761699E-3</v>
      </c>
      <c r="U625">
        <v>21964</v>
      </c>
      <c r="V625" s="5">
        <v>0.65639724207890104</v>
      </c>
      <c r="W625">
        <v>1</v>
      </c>
      <c r="X625">
        <v>3342.6365889670001</v>
      </c>
      <c r="Y625">
        <v>12950</v>
      </c>
      <c r="Z625">
        <v>2.5825828211746799E-2</v>
      </c>
      <c r="AA625">
        <v>20</v>
      </c>
    </row>
    <row r="626" spans="1:27" x14ac:dyDescent="0.2">
      <c r="A626">
        <v>20</v>
      </c>
      <c r="B626">
        <v>1</v>
      </c>
      <c r="C626">
        <v>0.3</v>
      </c>
      <c r="D626">
        <v>20</v>
      </c>
      <c r="E626">
        <v>6.5745974852789199E-2</v>
      </c>
      <c r="F626">
        <v>1</v>
      </c>
      <c r="G626">
        <v>32.972958474999999</v>
      </c>
      <c r="H626">
        <v>8.7256357177053698E-2</v>
      </c>
      <c r="I626">
        <v>1</v>
      </c>
      <c r="J626">
        <v>0.16027567400000001</v>
      </c>
      <c r="K626">
        <v>0.42919356390114899</v>
      </c>
      <c r="L626">
        <v>1</v>
      </c>
      <c r="M626">
        <v>3601.1372088409998</v>
      </c>
      <c r="N626">
        <v>122464</v>
      </c>
      <c r="O626">
        <v>1.8096960055031801</v>
      </c>
      <c r="P626" s="5">
        <v>6.3779666231335005E-2</v>
      </c>
      <c r="Q626">
        <v>1</v>
      </c>
      <c r="R626">
        <v>48.899730925</v>
      </c>
      <c r="S626">
        <v>125</v>
      </c>
      <c r="T626">
        <v>8.5191899277693404E-3</v>
      </c>
      <c r="U626">
        <v>82</v>
      </c>
      <c r="V626" s="5">
        <v>6.3779666231329496E-2</v>
      </c>
      <c r="W626">
        <v>1</v>
      </c>
      <c r="X626">
        <v>17.268459855</v>
      </c>
      <c r="Y626">
        <v>96</v>
      </c>
      <c r="Z626">
        <v>8.6076668651030499E-3</v>
      </c>
      <c r="AA626">
        <v>1</v>
      </c>
    </row>
    <row r="627" spans="1:27" x14ac:dyDescent="0.2">
      <c r="A627">
        <v>20</v>
      </c>
      <c r="B627">
        <v>1</v>
      </c>
      <c r="C627">
        <v>0.4</v>
      </c>
      <c r="D627">
        <v>20</v>
      </c>
      <c r="E627">
        <v>5.1246317403590702E-2</v>
      </c>
      <c r="F627">
        <v>1</v>
      </c>
      <c r="G627">
        <v>32.081093027000001</v>
      </c>
      <c r="H627">
        <v>6.2273103983534001E-2</v>
      </c>
      <c r="I627">
        <v>1</v>
      </c>
      <c r="J627">
        <v>0.12914634699999999</v>
      </c>
      <c r="K627">
        <v>0.41460685489049898</v>
      </c>
      <c r="L627">
        <v>1</v>
      </c>
      <c r="M627">
        <v>3601.6020955660001</v>
      </c>
      <c r="N627">
        <v>126959</v>
      </c>
      <c r="O627">
        <v>9.9778091325990896</v>
      </c>
      <c r="P627" s="5">
        <v>4.0989599968832599E-2</v>
      </c>
      <c r="Q627">
        <v>1</v>
      </c>
      <c r="R627">
        <v>28.691033000000001</v>
      </c>
      <c r="S627">
        <v>1</v>
      </c>
      <c r="T627">
        <v>1.5442771755873601E-2</v>
      </c>
      <c r="U627">
        <v>5</v>
      </c>
      <c r="V627" s="5">
        <v>4.0989599969326697E-2</v>
      </c>
      <c r="W627">
        <v>1</v>
      </c>
      <c r="X627">
        <v>179.51499086600001</v>
      </c>
      <c r="Y627">
        <v>33</v>
      </c>
      <c r="Z627">
        <v>9.4622450754382401E-3</v>
      </c>
      <c r="AA627">
        <v>13</v>
      </c>
    </row>
    <row r="628" spans="1:27" x14ac:dyDescent="0.2">
      <c r="A628">
        <v>20</v>
      </c>
      <c r="B628">
        <v>1</v>
      </c>
      <c r="C628">
        <v>0.4</v>
      </c>
      <c r="D628">
        <v>20</v>
      </c>
      <c r="E628">
        <v>5.4401474659230002E-2</v>
      </c>
      <c r="F628">
        <v>1</v>
      </c>
      <c r="G628">
        <v>33.097297523999998</v>
      </c>
      <c r="H628">
        <v>6.2028900270673801E-2</v>
      </c>
      <c r="I628">
        <v>1</v>
      </c>
      <c r="J628">
        <v>0.181383561</v>
      </c>
      <c r="K628">
        <v>0.22368256235359499</v>
      </c>
      <c r="L628">
        <v>1</v>
      </c>
      <c r="M628">
        <v>3601.1327440169998</v>
      </c>
      <c r="N628">
        <v>185043</v>
      </c>
      <c r="O628">
        <v>7.6654491394192599</v>
      </c>
      <c r="P628" s="5">
        <v>3.8399649176969003E-2</v>
      </c>
      <c r="Q628">
        <v>1</v>
      </c>
      <c r="R628">
        <v>27.656909813999999</v>
      </c>
      <c r="S628">
        <v>1</v>
      </c>
      <c r="T628">
        <v>3.8139334388304698E-2</v>
      </c>
      <c r="U628">
        <v>5</v>
      </c>
      <c r="V628" s="5">
        <v>3.8399649177029198E-2</v>
      </c>
      <c r="W628">
        <v>1</v>
      </c>
      <c r="X628">
        <v>265.99975782299998</v>
      </c>
      <c r="Y628">
        <v>7</v>
      </c>
      <c r="Z628">
        <v>2.5733067215642599E-2</v>
      </c>
      <c r="AA628">
        <v>20</v>
      </c>
    </row>
    <row r="629" spans="1:27" x14ac:dyDescent="0.2">
      <c r="A629">
        <v>20</v>
      </c>
      <c r="B629">
        <v>1</v>
      </c>
      <c r="C629">
        <v>0.4</v>
      </c>
      <c r="D629">
        <v>20</v>
      </c>
      <c r="E629">
        <v>5.2825289674072601E-2</v>
      </c>
      <c r="F629">
        <v>1</v>
      </c>
      <c r="G629">
        <v>39.347777821999998</v>
      </c>
      <c r="H629">
        <v>7.2657054914034097E-2</v>
      </c>
      <c r="I629">
        <v>1</v>
      </c>
      <c r="J629">
        <v>0.17584986399999999</v>
      </c>
      <c r="K629">
        <v>0.16451123666034401</v>
      </c>
      <c r="L629">
        <v>1</v>
      </c>
      <c r="M629">
        <v>3602.9622423010001</v>
      </c>
      <c r="N629">
        <v>157373</v>
      </c>
      <c r="O629">
        <v>1.27349978219201</v>
      </c>
      <c r="P629" s="5">
        <v>5.3715205063693303E-2</v>
      </c>
      <c r="Q629">
        <v>1</v>
      </c>
      <c r="R629">
        <v>42.396954436000001</v>
      </c>
      <c r="S629">
        <v>21</v>
      </c>
      <c r="T629">
        <v>1.1590179866927499E-2</v>
      </c>
      <c r="U629">
        <v>20</v>
      </c>
      <c r="V629" s="5">
        <v>5.3715205063683297E-2</v>
      </c>
      <c r="W629">
        <v>1</v>
      </c>
      <c r="X629">
        <v>236.022519657</v>
      </c>
      <c r="Y629">
        <v>59</v>
      </c>
      <c r="Z629">
        <v>8.5161693161432891E-3</v>
      </c>
      <c r="AA629">
        <v>12</v>
      </c>
    </row>
    <row r="630" spans="1:27" x14ac:dyDescent="0.2">
      <c r="A630">
        <v>20</v>
      </c>
      <c r="B630">
        <v>1</v>
      </c>
      <c r="C630">
        <v>0.4</v>
      </c>
      <c r="D630">
        <v>20</v>
      </c>
      <c r="E630">
        <v>5.2010517404564298E-2</v>
      </c>
      <c r="F630">
        <v>1</v>
      </c>
      <c r="G630">
        <v>31.163811871</v>
      </c>
      <c r="H630">
        <v>0.10516018927639301</v>
      </c>
      <c r="I630">
        <v>1</v>
      </c>
      <c r="J630">
        <v>0.12545975000000001</v>
      </c>
      <c r="K630">
        <v>8.39078696881147E-2</v>
      </c>
      <c r="L630">
        <v>1</v>
      </c>
      <c r="M630">
        <v>3602.1146114819999</v>
      </c>
      <c r="N630">
        <v>220625</v>
      </c>
      <c r="O630">
        <v>1.36541876205944</v>
      </c>
      <c r="P630" s="5">
        <v>9.56407401799719E-2</v>
      </c>
      <c r="Q630">
        <v>1</v>
      </c>
      <c r="R630">
        <v>27.615330479000001</v>
      </c>
      <c r="S630">
        <v>1</v>
      </c>
      <c r="T630">
        <v>3.95643918590948E-2</v>
      </c>
      <c r="U630">
        <v>5</v>
      </c>
      <c r="V630" s="5">
        <v>9.5640740180159195E-2</v>
      </c>
      <c r="W630">
        <v>1</v>
      </c>
      <c r="X630">
        <v>265.85079704999998</v>
      </c>
      <c r="Y630">
        <v>15</v>
      </c>
      <c r="Z630">
        <v>2.5953451614675702E-2</v>
      </c>
      <c r="AA630">
        <v>20</v>
      </c>
    </row>
    <row r="631" spans="1:27" x14ac:dyDescent="0.2">
      <c r="A631">
        <v>20</v>
      </c>
      <c r="B631">
        <v>1</v>
      </c>
      <c r="C631">
        <v>0.1</v>
      </c>
      <c r="D631">
        <v>20</v>
      </c>
      <c r="E631">
        <v>0.78163482399339201</v>
      </c>
      <c r="F631">
        <v>1</v>
      </c>
      <c r="G631">
        <v>30.290874294999998</v>
      </c>
      <c r="H631">
        <v>0.69939150142401796</v>
      </c>
      <c r="I631">
        <v>1</v>
      </c>
      <c r="J631">
        <v>0.22153077400000001</v>
      </c>
      <c r="K631">
        <v>0.69687142118238699</v>
      </c>
      <c r="L631">
        <v>1</v>
      </c>
      <c r="M631">
        <v>3601.762499509</v>
      </c>
      <c r="N631">
        <v>180778</v>
      </c>
      <c r="O631">
        <v>0.17667949201422001</v>
      </c>
      <c r="P631" s="5">
        <v>0.71935841274466905</v>
      </c>
      <c r="Q631">
        <v>1</v>
      </c>
      <c r="R631">
        <v>370.24068263200002</v>
      </c>
      <c r="S631">
        <v>4034</v>
      </c>
      <c r="T631">
        <v>7.9986467457468502E-4</v>
      </c>
      <c r="U631">
        <v>4021</v>
      </c>
      <c r="V631" s="5">
        <v>0.84643264951334896</v>
      </c>
      <c r="W631">
        <v>1</v>
      </c>
      <c r="X631">
        <v>74.157781553000007</v>
      </c>
      <c r="Y631">
        <v>5040</v>
      </c>
      <c r="Z631">
        <v>8.1860709620051799E-4</v>
      </c>
      <c r="AA631">
        <v>1</v>
      </c>
    </row>
    <row r="632" spans="1:27" x14ac:dyDescent="0.2">
      <c r="A632">
        <v>20</v>
      </c>
      <c r="B632">
        <v>1</v>
      </c>
      <c r="C632">
        <v>0.4</v>
      </c>
      <c r="D632">
        <v>20</v>
      </c>
      <c r="E632">
        <v>8.9090176157610196E-2</v>
      </c>
      <c r="F632">
        <v>1</v>
      </c>
      <c r="G632">
        <v>30.829244188000001</v>
      </c>
      <c r="H632">
        <v>9.8793542102271398E-2</v>
      </c>
      <c r="I632">
        <v>1</v>
      </c>
      <c r="J632">
        <v>0.123963198</v>
      </c>
      <c r="K632">
        <v>0.18548837305053201</v>
      </c>
      <c r="L632">
        <v>1</v>
      </c>
      <c r="M632">
        <v>3601.3255866310001</v>
      </c>
      <c r="N632">
        <v>147240</v>
      </c>
      <c r="O632">
        <v>1.18543928178349</v>
      </c>
      <c r="P632" s="5">
        <v>7.6144990556823403E-2</v>
      </c>
      <c r="Q632">
        <v>1</v>
      </c>
      <c r="R632">
        <v>264.61619416600001</v>
      </c>
      <c r="S632">
        <v>1765</v>
      </c>
      <c r="T632">
        <v>1.3046792857961601E-2</v>
      </c>
      <c r="U632">
        <v>1113</v>
      </c>
      <c r="V632" s="5">
        <v>7.6144990556792594E-2</v>
      </c>
      <c r="W632">
        <v>1</v>
      </c>
      <c r="X632">
        <v>327.78171007999998</v>
      </c>
      <c r="Y632">
        <v>1074</v>
      </c>
      <c r="Z632">
        <v>8.4880426254842992E-3</v>
      </c>
      <c r="AA632">
        <v>11</v>
      </c>
    </row>
    <row r="633" spans="1:27" x14ac:dyDescent="0.2">
      <c r="A633">
        <v>20</v>
      </c>
      <c r="B633">
        <v>1</v>
      </c>
      <c r="C633">
        <v>0.3</v>
      </c>
      <c r="D633">
        <v>20</v>
      </c>
      <c r="E633">
        <v>8.3326028622707896E-2</v>
      </c>
      <c r="F633">
        <v>1</v>
      </c>
      <c r="G633">
        <v>36.946958097</v>
      </c>
      <c r="H633">
        <v>9.9098670298009797E-2</v>
      </c>
      <c r="I633">
        <v>1</v>
      </c>
      <c r="J633">
        <v>0.27440213099999999</v>
      </c>
      <c r="K633">
        <v>9.9576512829269201E-2</v>
      </c>
      <c r="L633">
        <v>1</v>
      </c>
      <c r="M633">
        <v>3605.1873521520001</v>
      </c>
      <c r="N633">
        <v>183976</v>
      </c>
      <c r="O633">
        <v>1.2831078897121699</v>
      </c>
      <c r="P633" s="5">
        <v>7.0523162382304203E-2</v>
      </c>
      <c r="Q633">
        <v>1</v>
      </c>
      <c r="R633">
        <v>41.865617596</v>
      </c>
      <c r="S633">
        <v>31</v>
      </c>
      <c r="T633">
        <v>3.34013028204194E-2</v>
      </c>
      <c r="U633">
        <v>24</v>
      </c>
      <c r="V633" s="5">
        <v>7.0523162382503696E-2</v>
      </c>
      <c r="W633">
        <v>1</v>
      </c>
      <c r="X633">
        <v>570.099514527</v>
      </c>
      <c r="Y633">
        <v>1458</v>
      </c>
      <c r="Z633">
        <v>1.8969830526656101E-2</v>
      </c>
      <c r="AA633">
        <v>20</v>
      </c>
    </row>
    <row r="634" spans="1:27" x14ac:dyDescent="0.2">
      <c r="A634">
        <v>20</v>
      </c>
      <c r="B634">
        <v>1</v>
      </c>
      <c r="C634">
        <v>0.3</v>
      </c>
      <c r="D634">
        <v>20</v>
      </c>
      <c r="E634">
        <v>0.118332290569014</v>
      </c>
      <c r="F634">
        <v>1</v>
      </c>
      <c r="G634">
        <v>33.68914496</v>
      </c>
      <c r="H634">
        <v>0.13601847619302301</v>
      </c>
      <c r="I634">
        <v>1</v>
      </c>
      <c r="J634">
        <v>0.18356642400000001</v>
      </c>
      <c r="K634">
        <v>0.14192768066984199</v>
      </c>
      <c r="L634">
        <v>1</v>
      </c>
      <c r="M634">
        <v>3601.889938496</v>
      </c>
      <c r="N634">
        <v>212643</v>
      </c>
      <c r="O634">
        <v>1.4544330474496101</v>
      </c>
      <c r="P634" s="5">
        <v>0.101157584283293</v>
      </c>
      <c r="Q634">
        <v>1</v>
      </c>
      <c r="R634">
        <v>34.341691345999998</v>
      </c>
      <c r="S634">
        <v>1</v>
      </c>
      <c r="T634">
        <v>3.0366050073597599E-2</v>
      </c>
      <c r="U634">
        <v>6</v>
      </c>
      <c r="V634" s="5">
        <v>0.101157584282537</v>
      </c>
      <c r="W634">
        <v>1</v>
      </c>
      <c r="X634">
        <v>989.40543897800001</v>
      </c>
      <c r="Y634">
        <v>3845</v>
      </c>
      <c r="Z634">
        <v>1.5793875930639498E-2</v>
      </c>
      <c r="AA634">
        <v>20</v>
      </c>
    </row>
    <row r="635" spans="1:27" x14ac:dyDescent="0.2">
      <c r="A635">
        <v>20</v>
      </c>
      <c r="B635">
        <v>1</v>
      </c>
      <c r="C635">
        <v>0.4</v>
      </c>
      <c r="D635">
        <v>20</v>
      </c>
      <c r="E635">
        <v>9.1653617054307093E-2</v>
      </c>
      <c r="F635">
        <v>1</v>
      </c>
      <c r="G635">
        <v>30.656078610000002</v>
      </c>
      <c r="H635">
        <v>0.10602209708248</v>
      </c>
      <c r="I635">
        <v>1</v>
      </c>
      <c r="J635">
        <v>0.14912183600000001</v>
      </c>
      <c r="K635">
        <v>0.14853011004613401</v>
      </c>
      <c r="L635">
        <v>1</v>
      </c>
      <c r="M635">
        <v>3600.9160568850002</v>
      </c>
      <c r="N635">
        <v>159471</v>
      </c>
      <c r="O635">
        <v>1.10356382740429</v>
      </c>
      <c r="P635" s="5">
        <v>7.7635661092071401E-2</v>
      </c>
      <c r="Q635">
        <v>1</v>
      </c>
      <c r="R635">
        <v>343.68637161300001</v>
      </c>
      <c r="S635">
        <v>3421</v>
      </c>
      <c r="T635">
        <v>1.3786948792470799E-2</v>
      </c>
      <c r="U635">
        <v>2170</v>
      </c>
      <c r="V635" s="5">
        <v>7.7635661092071401E-2</v>
      </c>
      <c r="W635">
        <v>1</v>
      </c>
      <c r="X635">
        <v>931.45505890200002</v>
      </c>
      <c r="Y635">
        <v>3291</v>
      </c>
      <c r="Z635">
        <v>9.3823223105540202E-3</v>
      </c>
      <c r="AA635">
        <v>14</v>
      </c>
    </row>
    <row r="636" spans="1:27" x14ac:dyDescent="0.2">
      <c r="A636">
        <v>20</v>
      </c>
      <c r="B636">
        <v>1</v>
      </c>
      <c r="C636">
        <v>0.3</v>
      </c>
      <c r="D636">
        <v>20</v>
      </c>
      <c r="E636">
        <v>6.3240106157616105E-2</v>
      </c>
      <c r="F636">
        <v>1</v>
      </c>
      <c r="G636">
        <v>39.273166363000001</v>
      </c>
      <c r="H636">
        <v>8.4738795458803695E-2</v>
      </c>
      <c r="I636">
        <v>1</v>
      </c>
      <c r="J636">
        <v>0.40352881200000001</v>
      </c>
      <c r="K636">
        <v>8.7641231973414002E-2</v>
      </c>
      <c r="L636">
        <v>1</v>
      </c>
      <c r="M636">
        <v>3609.693804731</v>
      </c>
      <c r="N636">
        <v>115129</v>
      </c>
      <c r="O636">
        <v>1.39262254568011</v>
      </c>
      <c r="P636" s="5">
        <v>6.6822407747513093E-2</v>
      </c>
      <c r="Q636">
        <v>1</v>
      </c>
      <c r="R636">
        <v>772.92056152600003</v>
      </c>
      <c r="S636">
        <v>5548</v>
      </c>
      <c r="T636">
        <v>2.94836505288298E-2</v>
      </c>
      <c r="U636">
        <v>4088</v>
      </c>
      <c r="V636" s="5">
        <v>6.6353228634946207E-2</v>
      </c>
      <c r="W636">
        <v>1</v>
      </c>
      <c r="X636">
        <v>1879.942864507</v>
      </c>
      <c r="Y636">
        <v>6063</v>
      </c>
      <c r="Z636">
        <v>1.8759667443606302E-2</v>
      </c>
      <c r="AA636">
        <v>20</v>
      </c>
    </row>
    <row r="637" spans="1:27" x14ac:dyDescent="0.2">
      <c r="A637">
        <v>20</v>
      </c>
      <c r="B637">
        <v>1</v>
      </c>
      <c r="C637">
        <v>0.3</v>
      </c>
      <c r="D637">
        <v>20</v>
      </c>
      <c r="E637">
        <v>0.11893566684191199</v>
      </c>
      <c r="F637">
        <v>1</v>
      </c>
      <c r="G637">
        <v>31.869971076999999</v>
      </c>
      <c r="H637">
        <v>0.134211903668772</v>
      </c>
      <c r="I637">
        <v>1</v>
      </c>
      <c r="J637">
        <v>0.14305585100000001</v>
      </c>
      <c r="K637">
        <v>0.14827807877187099</v>
      </c>
      <c r="L637">
        <v>1</v>
      </c>
      <c r="M637">
        <v>3602.3077991800001</v>
      </c>
      <c r="N637">
        <v>151937</v>
      </c>
      <c r="O637">
        <v>1.0075258041347599</v>
      </c>
      <c r="P637" s="5">
        <v>9.7704444178728297E-2</v>
      </c>
      <c r="Q637">
        <v>1</v>
      </c>
      <c r="R637">
        <v>770.005053288</v>
      </c>
      <c r="S637">
        <v>5235</v>
      </c>
      <c r="T637">
        <v>1.74220253187462E-2</v>
      </c>
      <c r="U637">
        <v>3619</v>
      </c>
      <c r="V637" s="5">
        <v>9.7704444178728297E-2</v>
      </c>
      <c r="W637">
        <v>1</v>
      </c>
      <c r="X637">
        <v>2331.1219948610001</v>
      </c>
      <c r="Y637">
        <v>6608</v>
      </c>
      <c r="Z637">
        <v>1.94306063559039E-2</v>
      </c>
      <c r="AA637">
        <v>20</v>
      </c>
    </row>
    <row r="638" spans="1:27" x14ac:dyDescent="0.2">
      <c r="A638">
        <v>20</v>
      </c>
      <c r="B638">
        <v>1</v>
      </c>
      <c r="C638">
        <v>0.1</v>
      </c>
      <c r="D638">
        <v>20</v>
      </c>
      <c r="E638">
        <v>0.75371642770618696</v>
      </c>
      <c r="F638">
        <v>1</v>
      </c>
      <c r="G638">
        <v>33.224190333999999</v>
      </c>
      <c r="H638">
        <v>0.71804791764824505</v>
      </c>
      <c r="I638">
        <v>1</v>
      </c>
      <c r="J638">
        <v>0.40510216799999998</v>
      </c>
      <c r="K638">
        <v>1.0848822424706499</v>
      </c>
      <c r="L638">
        <v>1</v>
      </c>
      <c r="M638">
        <v>3600.9294629279998</v>
      </c>
      <c r="N638">
        <v>253468</v>
      </c>
      <c r="O638">
        <v>0.46549705920959999</v>
      </c>
      <c r="P638" s="5">
        <v>0.64605034678227702</v>
      </c>
      <c r="Q638">
        <v>1</v>
      </c>
      <c r="R638">
        <v>670.59963292899999</v>
      </c>
      <c r="S638">
        <v>5889</v>
      </c>
      <c r="T638">
        <v>3.5378522522667702E-3</v>
      </c>
      <c r="U638">
        <v>5218</v>
      </c>
      <c r="V638" s="5">
        <v>0.64383260924478602</v>
      </c>
      <c r="W638">
        <v>1</v>
      </c>
      <c r="X638">
        <v>2790.4439014760001</v>
      </c>
      <c r="Y638">
        <v>53817</v>
      </c>
      <c r="Z638">
        <v>2.92222245144629E-3</v>
      </c>
      <c r="AA638">
        <v>20</v>
      </c>
    </row>
    <row r="639" spans="1:27" x14ac:dyDescent="0.2">
      <c r="A639">
        <v>20</v>
      </c>
      <c r="B639">
        <v>1</v>
      </c>
      <c r="C639">
        <v>0.2</v>
      </c>
      <c r="D639">
        <v>20</v>
      </c>
      <c r="E639">
        <v>0.19007092259976199</v>
      </c>
      <c r="F639">
        <v>1</v>
      </c>
      <c r="G639">
        <v>29.755506440000001</v>
      </c>
      <c r="H639">
        <v>0.193700071503381</v>
      </c>
      <c r="I639">
        <v>1</v>
      </c>
      <c r="J639">
        <v>8.5880399999999996E-2</v>
      </c>
      <c r="K639">
        <v>0.238361195726701</v>
      </c>
      <c r="L639">
        <v>1</v>
      </c>
      <c r="M639">
        <v>3601.1371159300002</v>
      </c>
      <c r="N639">
        <v>205246</v>
      </c>
      <c r="O639">
        <v>1.35657734478221</v>
      </c>
      <c r="P639" s="5">
        <v>0.17419743112757299</v>
      </c>
      <c r="Q639">
        <v>1</v>
      </c>
      <c r="R639">
        <v>1039.7900263270001</v>
      </c>
      <c r="S639">
        <v>8849</v>
      </c>
      <c r="T639">
        <v>1.5834412093279099E-2</v>
      </c>
      <c r="U639">
        <v>6305</v>
      </c>
      <c r="V639" s="5">
        <v>0.148874969795458</v>
      </c>
      <c r="W639">
        <v>1</v>
      </c>
      <c r="X639">
        <v>2515.1227943379999</v>
      </c>
      <c r="Y639">
        <v>3998</v>
      </c>
      <c r="Z639">
        <v>2.0057422919918098E-2</v>
      </c>
      <c r="AA639">
        <v>20</v>
      </c>
    </row>
    <row r="640" spans="1:27" x14ac:dyDescent="0.2">
      <c r="A640">
        <v>20</v>
      </c>
      <c r="B640">
        <v>1</v>
      </c>
      <c r="C640">
        <v>0.1</v>
      </c>
      <c r="D640">
        <v>20</v>
      </c>
      <c r="E640">
        <v>0.73654382193940204</v>
      </c>
      <c r="F640">
        <v>1</v>
      </c>
      <c r="G640">
        <v>32.910377216999997</v>
      </c>
      <c r="H640">
        <v>0.66677832587720698</v>
      </c>
      <c r="I640">
        <v>1</v>
      </c>
      <c r="J640">
        <v>0.26811607999999998</v>
      </c>
      <c r="K640">
        <v>0.79893996207245699</v>
      </c>
      <c r="L640">
        <v>1</v>
      </c>
      <c r="M640">
        <v>3601.6846629209999</v>
      </c>
      <c r="N640">
        <v>175432</v>
      </c>
      <c r="O640">
        <v>0.36197683178184298</v>
      </c>
      <c r="P640" s="5">
        <v>0.66324692813179098</v>
      </c>
      <c r="Q640">
        <v>1</v>
      </c>
      <c r="R640">
        <v>599.94094139200001</v>
      </c>
      <c r="S640">
        <v>3689</v>
      </c>
      <c r="T640">
        <v>2.6611021861485599E-3</v>
      </c>
      <c r="U640">
        <v>3489</v>
      </c>
      <c r="V640" s="5">
        <v>0.63128360482863799</v>
      </c>
      <c r="W640">
        <v>1</v>
      </c>
      <c r="X640">
        <v>3029.4687126039998</v>
      </c>
      <c r="Y640">
        <v>25167</v>
      </c>
      <c r="Z640">
        <v>1.0869841812371101E-2</v>
      </c>
      <c r="AA640">
        <v>20</v>
      </c>
    </row>
    <row r="641" spans="1:27" x14ac:dyDescent="0.2">
      <c r="A641">
        <v>20</v>
      </c>
      <c r="B641">
        <v>1</v>
      </c>
      <c r="C641">
        <v>0.3</v>
      </c>
      <c r="D641">
        <v>20</v>
      </c>
      <c r="E641">
        <v>0.10912480222170599</v>
      </c>
      <c r="F641">
        <v>1</v>
      </c>
      <c r="G641">
        <v>32.633527796999999</v>
      </c>
      <c r="H641">
        <v>9.8318971346480197E-2</v>
      </c>
      <c r="I641">
        <v>1</v>
      </c>
      <c r="J641">
        <v>0.12938311199999999</v>
      </c>
      <c r="K641">
        <v>9.5416997580006505E-2</v>
      </c>
      <c r="L641">
        <v>1</v>
      </c>
      <c r="M641">
        <v>3601.284660975</v>
      </c>
      <c r="N641">
        <v>235649</v>
      </c>
      <c r="O641">
        <v>1.19714292543548</v>
      </c>
      <c r="P641" s="5">
        <v>8.0555141128382204E-2</v>
      </c>
      <c r="Q641">
        <v>1</v>
      </c>
      <c r="R641">
        <v>48.460482325000001</v>
      </c>
      <c r="S641">
        <v>145</v>
      </c>
      <c r="T641">
        <v>1.8179621632270899E-2</v>
      </c>
      <c r="U641">
        <v>91</v>
      </c>
      <c r="V641" s="5">
        <v>8.0555141128402896E-2</v>
      </c>
      <c r="W641">
        <v>1</v>
      </c>
      <c r="X641">
        <v>23.092460882000001</v>
      </c>
      <c r="Y641">
        <v>554</v>
      </c>
      <c r="Z641">
        <v>9.4757405605399008E-3</v>
      </c>
      <c r="AA641">
        <v>1</v>
      </c>
    </row>
    <row r="642" spans="1:27" x14ac:dyDescent="0.2">
      <c r="A642">
        <v>20</v>
      </c>
      <c r="B642">
        <v>1</v>
      </c>
      <c r="C642">
        <v>0.4</v>
      </c>
      <c r="D642">
        <v>20</v>
      </c>
      <c r="E642">
        <v>5.6226871917275101E-2</v>
      </c>
      <c r="F642">
        <v>1</v>
      </c>
      <c r="G642">
        <v>32.377998994999999</v>
      </c>
      <c r="H642">
        <v>6.5666798617190894E-2</v>
      </c>
      <c r="I642">
        <v>1</v>
      </c>
      <c r="J642">
        <v>0.12974788900000001</v>
      </c>
      <c r="K642">
        <v>6.7691876354853006E-2</v>
      </c>
      <c r="L642">
        <v>1</v>
      </c>
      <c r="M642">
        <v>3601.1189930679998</v>
      </c>
      <c r="N642">
        <v>246680</v>
      </c>
      <c r="O642">
        <v>1.1425342284631701</v>
      </c>
      <c r="P642" s="5">
        <v>4.1629181057270398E-2</v>
      </c>
      <c r="Q642">
        <v>1</v>
      </c>
      <c r="R642">
        <v>27.384404303</v>
      </c>
      <c r="S642">
        <v>1</v>
      </c>
      <c r="T642">
        <v>2.31197255662722E-2</v>
      </c>
      <c r="U642">
        <v>5</v>
      </c>
      <c r="V642" s="5">
        <v>4.1629181057270398E-2</v>
      </c>
      <c r="W642">
        <v>1</v>
      </c>
      <c r="X642">
        <v>230.15990232799999</v>
      </c>
      <c r="Y642">
        <v>7</v>
      </c>
      <c r="Z642">
        <v>1.68975497304115E-2</v>
      </c>
      <c r="AA642">
        <v>20</v>
      </c>
    </row>
    <row r="643" spans="1:27" x14ac:dyDescent="0.2">
      <c r="A643">
        <v>20</v>
      </c>
      <c r="B643">
        <v>1</v>
      </c>
      <c r="C643">
        <v>0.4</v>
      </c>
      <c r="D643">
        <v>20</v>
      </c>
      <c r="E643">
        <v>6.1950915520380803E-2</v>
      </c>
      <c r="F643">
        <v>1</v>
      </c>
      <c r="G643">
        <v>31.144987402999998</v>
      </c>
      <c r="H643">
        <v>8.2733140521031298E-2</v>
      </c>
      <c r="I643">
        <v>1</v>
      </c>
      <c r="J643">
        <v>0.164446486</v>
      </c>
      <c r="K643">
        <v>9.7208720637366602E-2</v>
      </c>
      <c r="L643">
        <v>1</v>
      </c>
      <c r="M643">
        <v>3601.6479697360001</v>
      </c>
      <c r="N643">
        <v>150252</v>
      </c>
      <c r="O643">
        <v>3.0859876812001099</v>
      </c>
      <c r="P643" s="5">
        <v>5.9565614508048599E-2</v>
      </c>
      <c r="Q643">
        <v>1</v>
      </c>
      <c r="R643">
        <v>29.23904113</v>
      </c>
      <c r="S643">
        <v>1</v>
      </c>
      <c r="T643">
        <v>4.4299311151275902E-2</v>
      </c>
      <c r="U643">
        <v>5</v>
      </c>
      <c r="V643" s="5">
        <v>5.9565614508121797E-2</v>
      </c>
      <c r="W643">
        <v>1</v>
      </c>
      <c r="X643">
        <v>299.66439278799999</v>
      </c>
      <c r="Y643">
        <v>51</v>
      </c>
      <c r="Z643">
        <v>2.3343057747113399E-2</v>
      </c>
      <c r="AA643">
        <v>20</v>
      </c>
    </row>
    <row r="644" spans="1:27" x14ac:dyDescent="0.2">
      <c r="A644">
        <v>20</v>
      </c>
      <c r="B644">
        <v>1</v>
      </c>
      <c r="C644">
        <v>0.3</v>
      </c>
      <c r="D644">
        <v>20</v>
      </c>
      <c r="E644">
        <v>0.116972465418403</v>
      </c>
      <c r="F644">
        <v>1</v>
      </c>
      <c r="G644">
        <v>30.6698643</v>
      </c>
      <c r="H644">
        <v>9.6031388494776104E-2</v>
      </c>
      <c r="I644">
        <v>1</v>
      </c>
      <c r="J644">
        <v>0.118640576</v>
      </c>
      <c r="K644">
        <v>0.37433544833701998</v>
      </c>
      <c r="L644">
        <v>1</v>
      </c>
      <c r="M644">
        <v>3601.214621354</v>
      </c>
      <c r="N644">
        <v>209160</v>
      </c>
      <c r="O644">
        <v>10.981599717416399</v>
      </c>
      <c r="P644" s="5">
        <v>7.7004227561743896E-2</v>
      </c>
      <c r="Q644">
        <v>1</v>
      </c>
      <c r="R644">
        <v>30.667213021999999</v>
      </c>
      <c r="S644">
        <v>1</v>
      </c>
      <c r="T644">
        <v>6.0205637064765199E-2</v>
      </c>
      <c r="U644">
        <v>5</v>
      </c>
      <c r="V644" s="5">
        <v>7.7004227561743896E-2</v>
      </c>
      <c r="W644">
        <v>1</v>
      </c>
      <c r="X644">
        <v>559.41873381000005</v>
      </c>
      <c r="Y644">
        <v>747</v>
      </c>
      <c r="Z644">
        <v>3.0368015611270598E-2</v>
      </c>
      <c r="AA644">
        <v>20</v>
      </c>
    </row>
    <row r="645" spans="1:27" x14ac:dyDescent="0.2">
      <c r="A645">
        <v>20</v>
      </c>
      <c r="B645">
        <v>1</v>
      </c>
      <c r="C645">
        <v>0.4</v>
      </c>
      <c r="D645">
        <v>20</v>
      </c>
      <c r="E645">
        <v>7.6101956612438001E-2</v>
      </c>
      <c r="F645">
        <v>1</v>
      </c>
      <c r="G645">
        <v>32.781234179000002</v>
      </c>
      <c r="H645">
        <v>8.8467391071512497E-2</v>
      </c>
      <c r="I645">
        <v>1</v>
      </c>
      <c r="J645">
        <v>0.16476154200000001</v>
      </c>
      <c r="K645">
        <v>0.208943965118917</v>
      </c>
      <c r="L645">
        <v>1</v>
      </c>
      <c r="M645">
        <v>3600.9964552219999</v>
      </c>
      <c r="N645">
        <v>232458</v>
      </c>
      <c r="O645">
        <v>1.6658484021748301</v>
      </c>
      <c r="P645" s="5">
        <v>6.2656583894698095E-2</v>
      </c>
      <c r="Q645">
        <v>1</v>
      </c>
      <c r="R645">
        <v>33.07667009</v>
      </c>
      <c r="S645">
        <v>7</v>
      </c>
      <c r="T645">
        <v>1.5241233116079601E-2</v>
      </c>
      <c r="U645">
        <v>15</v>
      </c>
      <c r="V645" s="5">
        <v>6.26565838947159E-2</v>
      </c>
      <c r="W645">
        <v>1</v>
      </c>
      <c r="X645">
        <v>382.73312492500003</v>
      </c>
      <c r="Y645">
        <v>3143</v>
      </c>
      <c r="Z645">
        <v>8.3023279769636193E-3</v>
      </c>
      <c r="AA645">
        <v>14</v>
      </c>
    </row>
    <row r="646" spans="1:27" x14ac:dyDescent="0.2">
      <c r="A646">
        <v>20</v>
      </c>
      <c r="B646">
        <v>1</v>
      </c>
      <c r="C646">
        <v>0.3</v>
      </c>
      <c r="D646">
        <v>20</v>
      </c>
      <c r="E646">
        <v>0.12261413790634</v>
      </c>
      <c r="F646">
        <v>1</v>
      </c>
      <c r="G646">
        <v>31.037120324</v>
      </c>
      <c r="H646">
        <v>0.13904138360858301</v>
      </c>
      <c r="I646">
        <v>1</v>
      </c>
      <c r="J646">
        <v>0.105523519</v>
      </c>
      <c r="K646">
        <v>0.235561870096725</v>
      </c>
      <c r="L646">
        <v>1</v>
      </c>
      <c r="M646">
        <v>3601.6198525109999</v>
      </c>
      <c r="N646">
        <v>166519</v>
      </c>
      <c r="O646">
        <v>1.7410568258707699</v>
      </c>
      <c r="P646" s="5">
        <v>0.11172457513558599</v>
      </c>
      <c r="Q646">
        <v>1</v>
      </c>
      <c r="R646">
        <v>1654.4892574099999</v>
      </c>
      <c r="S646">
        <v>15105</v>
      </c>
      <c r="T646">
        <v>2.22068199166995E-2</v>
      </c>
      <c r="U646">
        <v>10624</v>
      </c>
      <c r="V646" s="5">
        <v>0.110794777272433</v>
      </c>
      <c r="W646">
        <v>1</v>
      </c>
      <c r="X646">
        <v>3142.6730085160002</v>
      </c>
      <c r="Y646">
        <v>10983</v>
      </c>
      <c r="Z646">
        <v>1.1293720143191899E-2</v>
      </c>
      <c r="AA646">
        <v>20</v>
      </c>
    </row>
    <row r="647" spans="1:27" x14ac:dyDescent="0.2">
      <c r="A647">
        <v>20</v>
      </c>
      <c r="B647">
        <v>1</v>
      </c>
      <c r="C647">
        <v>0.3</v>
      </c>
      <c r="D647">
        <v>20</v>
      </c>
      <c r="E647">
        <v>8.1688396779060701E-2</v>
      </c>
      <c r="F647">
        <v>1</v>
      </c>
      <c r="G647">
        <v>40.563082440000002</v>
      </c>
      <c r="H647">
        <v>9.4310045039082899E-2</v>
      </c>
      <c r="I647">
        <v>1</v>
      </c>
      <c r="J647">
        <v>0.22340212400000001</v>
      </c>
      <c r="K647">
        <v>0.38205515686241598</v>
      </c>
      <c r="L647">
        <v>1</v>
      </c>
      <c r="M647">
        <v>3601.855691492</v>
      </c>
      <c r="N647">
        <v>177175</v>
      </c>
      <c r="O647">
        <v>4.0512828247823398</v>
      </c>
      <c r="P647" s="5">
        <v>6.2458351418875298E-2</v>
      </c>
      <c r="Q647">
        <v>1</v>
      </c>
      <c r="R647">
        <v>323.38873694699998</v>
      </c>
      <c r="S647">
        <v>2689</v>
      </c>
      <c r="T647">
        <v>1.6258643962516701E-2</v>
      </c>
      <c r="U647">
        <v>1651</v>
      </c>
      <c r="V647" s="5">
        <v>6.24583514189136E-2</v>
      </c>
      <c r="W647">
        <v>1</v>
      </c>
      <c r="X647">
        <v>386.56039895100002</v>
      </c>
      <c r="Y647">
        <v>2843</v>
      </c>
      <c r="Z647">
        <v>9.0298479520633992E-3</v>
      </c>
      <c r="AA647">
        <v>12</v>
      </c>
    </row>
    <row r="648" spans="1:27" x14ac:dyDescent="0.2">
      <c r="A648">
        <v>20</v>
      </c>
      <c r="B648">
        <v>1</v>
      </c>
      <c r="C648">
        <v>0.4</v>
      </c>
      <c r="D648">
        <v>20</v>
      </c>
      <c r="E648">
        <v>0.100309084632482</v>
      </c>
      <c r="F648">
        <v>1</v>
      </c>
      <c r="G648">
        <v>32.909657500000002</v>
      </c>
      <c r="H648">
        <v>0.12131330024274301</v>
      </c>
      <c r="I648">
        <v>1</v>
      </c>
      <c r="J648">
        <v>0.200397932</v>
      </c>
      <c r="K648">
        <v>0.14838874041667199</v>
      </c>
      <c r="L648">
        <v>1</v>
      </c>
      <c r="M648">
        <v>3601.0698589230001</v>
      </c>
      <c r="N648">
        <v>207489</v>
      </c>
      <c r="O648">
        <v>5.0962220398681497</v>
      </c>
      <c r="P648" s="5">
        <v>9.1567299595663204E-2</v>
      </c>
      <c r="Q648">
        <v>1</v>
      </c>
      <c r="R648">
        <v>369.62662565800002</v>
      </c>
      <c r="S648">
        <v>2765</v>
      </c>
      <c r="T648">
        <v>6.8976703478554599E-2</v>
      </c>
      <c r="U648">
        <v>1819</v>
      </c>
      <c r="V648" s="5">
        <v>9.1567299595663204E-2</v>
      </c>
      <c r="W648">
        <v>1</v>
      </c>
      <c r="X648">
        <v>1225.4448031490001</v>
      </c>
      <c r="Y648">
        <v>3493</v>
      </c>
      <c r="Z648">
        <v>3.6844616495822699E-2</v>
      </c>
      <c r="AA648">
        <v>20</v>
      </c>
    </row>
    <row r="649" spans="1:27" x14ac:dyDescent="0.2">
      <c r="A649">
        <v>20</v>
      </c>
      <c r="B649">
        <v>1</v>
      </c>
      <c r="C649">
        <v>0.1</v>
      </c>
      <c r="D649">
        <v>20</v>
      </c>
      <c r="E649">
        <v>0.75985353690009005</v>
      </c>
      <c r="F649">
        <v>1</v>
      </c>
      <c r="G649">
        <v>39.228917289000002</v>
      </c>
      <c r="H649">
        <v>0.72269536974495996</v>
      </c>
      <c r="I649">
        <v>1</v>
      </c>
      <c r="J649">
        <v>0.825145562</v>
      </c>
      <c r="K649">
        <v>0.60478031854816205</v>
      </c>
      <c r="L649">
        <v>1</v>
      </c>
      <c r="M649">
        <v>3603.5633012980002</v>
      </c>
      <c r="N649">
        <v>154200</v>
      </c>
      <c r="O649">
        <v>0.27503598831607301</v>
      </c>
      <c r="P649" s="5">
        <v>0.61829588504768396</v>
      </c>
      <c r="Q649">
        <v>1</v>
      </c>
      <c r="R649">
        <v>2537.7928712449998</v>
      </c>
      <c r="S649">
        <v>16342</v>
      </c>
      <c r="T649">
        <v>8.9137593694896202E-4</v>
      </c>
      <c r="U649">
        <v>13928</v>
      </c>
      <c r="V649" s="5">
        <v>0.84301718314360097</v>
      </c>
      <c r="W649">
        <v>1</v>
      </c>
      <c r="X649">
        <v>3196.523717474</v>
      </c>
      <c r="Y649">
        <v>31529</v>
      </c>
      <c r="Z649">
        <v>1.2047251226473699E-2</v>
      </c>
      <c r="AA649">
        <v>20</v>
      </c>
    </row>
    <row r="650" spans="1:27" x14ac:dyDescent="0.2">
      <c r="A650">
        <v>20</v>
      </c>
      <c r="B650">
        <v>1</v>
      </c>
      <c r="C650">
        <v>0.2</v>
      </c>
      <c r="D650">
        <v>20</v>
      </c>
      <c r="E650">
        <v>0.230326608012279</v>
      </c>
      <c r="F650">
        <v>1</v>
      </c>
      <c r="G650">
        <v>38.423889361999997</v>
      </c>
      <c r="H650">
        <v>0.197638250797293</v>
      </c>
      <c r="I650">
        <v>1</v>
      </c>
      <c r="J650">
        <v>0.21449116100000001</v>
      </c>
      <c r="K650">
        <v>0.31156193271098898</v>
      </c>
      <c r="L650">
        <v>1</v>
      </c>
      <c r="M650">
        <v>3604.2480748960002</v>
      </c>
      <c r="N650">
        <v>174033</v>
      </c>
      <c r="O650">
        <v>1.6576528639124899</v>
      </c>
      <c r="P650" s="5">
        <v>0.21181792058864199</v>
      </c>
      <c r="Q650">
        <v>1</v>
      </c>
      <c r="R650">
        <v>2860.487734373</v>
      </c>
      <c r="S650">
        <v>20157</v>
      </c>
      <c r="T650">
        <v>9.7685714532439408E-3</v>
      </c>
      <c r="U650">
        <v>16410</v>
      </c>
      <c r="V650" s="5">
        <v>0.18455892358320899</v>
      </c>
      <c r="W650">
        <v>1</v>
      </c>
      <c r="X650">
        <v>2980.6281520010002</v>
      </c>
      <c r="Y650">
        <v>11746</v>
      </c>
      <c r="Z650">
        <v>9.5793371658836595E-3</v>
      </c>
      <c r="AA650">
        <v>20</v>
      </c>
    </row>
    <row r="651" spans="1:27" x14ac:dyDescent="0.2">
      <c r="A651">
        <v>20</v>
      </c>
      <c r="B651">
        <v>1</v>
      </c>
      <c r="C651">
        <v>0.1</v>
      </c>
      <c r="D651">
        <v>20</v>
      </c>
      <c r="E651">
        <v>0.75546777988548197</v>
      </c>
      <c r="F651">
        <v>1</v>
      </c>
      <c r="G651">
        <v>38.679564007000003</v>
      </c>
      <c r="H651">
        <v>0.66358743882715598</v>
      </c>
      <c r="I651">
        <v>1</v>
      </c>
      <c r="J651">
        <v>0.37915551600000003</v>
      </c>
      <c r="K651">
        <v>0.97954112904064905</v>
      </c>
      <c r="L651">
        <v>1</v>
      </c>
      <c r="M651">
        <v>3604.5990654950001</v>
      </c>
      <c r="N651">
        <v>133243</v>
      </c>
      <c r="O651">
        <v>0.80417041952143498</v>
      </c>
      <c r="P651" s="5">
        <v>0.88693500413163795</v>
      </c>
      <c r="Q651">
        <v>1</v>
      </c>
      <c r="R651">
        <v>3747.1709582909998</v>
      </c>
      <c r="S651">
        <v>22635</v>
      </c>
      <c r="T651">
        <v>3.3888423036389499E-3</v>
      </c>
      <c r="U651">
        <v>19595</v>
      </c>
      <c r="V651" s="5">
        <v>1.0478194297394601</v>
      </c>
      <c r="W651">
        <v>1</v>
      </c>
      <c r="X651">
        <v>2912.3838030920001</v>
      </c>
      <c r="Y651">
        <v>11624</v>
      </c>
      <c r="Z651">
        <v>2.99045204620134E-2</v>
      </c>
      <c r="AA651">
        <v>20</v>
      </c>
    </row>
    <row r="652" spans="1:27" x14ac:dyDescent="0.2">
      <c r="A652">
        <v>20</v>
      </c>
      <c r="B652">
        <v>1</v>
      </c>
      <c r="C652">
        <v>0.2</v>
      </c>
      <c r="D652">
        <v>20</v>
      </c>
      <c r="E652">
        <v>0.36734265807848798</v>
      </c>
      <c r="F652">
        <v>1</v>
      </c>
      <c r="G652">
        <v>32.186029015999999</v>
      </c>
      <c r="H652">
        <v>0.33535002807261999</v>
      </c>
      <c r="I652">
        <v>1</v>
      </c>
      <c r="J652">
        <v>0.10750617699999999</v>
      </c>
      <c r="K652">
        <v>0.33693604650283498</v>
      </c>
      <c r="L652">
        <v>1</v>
      </c>
      <c r="M652">
        <v>3601.2195633360002</v>
      </c>
      <c r="N652">
        <v>387909</v>
      </c>
      <c r="O652">
        <v>0.50943316576650899</v>
      </c>
      <c r="P652" s="5">
        <v>0.498742919854609</v>
      </c>
      <c r="Q652">
        <v>1</v>
      </c>
      <c r="R652">
        <v>3667.1978975279999</v>
      </c>
      <c r="S652">
        <v>31660</v>
      </c>
      <c r="T652">
        <v>1.28538605139008E-2</v>
      </c>
      <c r="U652">
        <v>27399</v>
      </c>
      <c r="V652" s="5">
        <v>0.278713542779992</v>
      </c>
      <c r="W652">
        <v>1</v>
      </c>
      <c r="X652">
        <v>3161.555457721</v>
      </c>
      <c r="Y652">
        <v>8678</v>
      </c>
      <c r="Z652">
        <v>2.4000550672631901E-2</v>
      </c>
      <c r="AA652">
        <v>20</v>
      </c>
    </row>
    <row r="653" spans="1:27" x14ac:dyDescent="0.2">
      <c r="A653">
        <v>20</v>
      </c>
      <c r="B653">
        <v>1</v>
      </c>
      <c r="C653">
        <v>0.3</v>
      </c>
      <c r="D653">
        <v>20</v>
      </c>
      <c r="E653">
        <v>0.25332136875246303</v>
      </c>
      <c r="F653">
        <v>1</v>
      </c>
      <c r="G653">
        <v>30.407233265999999</v>
      </c>
      <c r="H653">
        <v>0.249994486420308</v>
      </c>
      <c r="I653">
        <v>1</v>
      </c>
      <c r="J653">
        <v>0.166277077</v>
      </c>
      <c r="K653">
        <v>0.39737727332716899</v>
      </c>
      <c r="L653">
        <v>1</v>
      </c>
      <c r="M653">
        <v>3601.1167905679999</v>
      </c>
      <c r="N653">
        <v>209510</v>
      </c>
      <c r="O653">
        <v>2.9261000129129</v>
      </c>
      <c r="P653" s="5">
        <v>0.37745926995669399</v>
      </c>
      <c r="Q653">
        <v>1</v>
      </c>
      <c r="R653">
        <v>3627.8758723420001</v>
      </c>
      <c r="S653">
        <v>22166</v>
      </c>
      <c r="T653">
        <v>3.9566903828280799E-2</v>
      </c>
      <c r="U653">
        <v>17330</v>
      </c>
      <c r="V653" s="5">
        <v>0.22638659155703</v>
      </c>
      <c r="W653">
        <v>1</v>
      </c>
      <c r="X653">
        <v>3220.7348959999999</v>
      </c>
      <c r="Y653">
        <v>4164</v>
      </c>
      <c r="Z653">
        <v>0.115554214821889</v>
      </c>
      <c r="AA653">
        <v>20</v>
      </c>
    </row>
    <row r="654" spans="1:27" x14ac:dyDescent="0.2">
      <c r="A654">
        <v>20</v>
      </c>
      <c r="B654">
        <v>1</v>
      </c>
      <c r="C654">
        <v>0.1</v>
      </c>
      <c r="D654">
        <v>20</v>
      </c>
      <c r="E654">
        <v>0.86463400555082504</v>
      </c>
      <c r="F654">
        <v>1</v>
      </c>
      <c r="G654">
        <v>31.919635978999999</v>
      </c>
      <c r="H654">
        <v>0.85913654480318902</v>
      </c>
      <c r="I654">
        <v>1</v>
      </c>
      <c r="J654">
        <v>0.15425788200000001</v>
      </c>
      <c r="K654">
        <v>0.90495459633702102</v>
      </c>
      <c r="L654">
        <v>1</v>
      </c>
      <c r="M654">
        <v>3600.5238290920001</v>
      </c>
      <c r="N654">
        <v>338424</v>
      </c>
      <c r="O654">
        <v>0.27437728156758201</v>
      </c>
      <c r="P654" s="5">
        <v>0.87360794384788598</v>
      </c>
      <c r="Q654">
        <v>1</v>
      </c>
      <c r="R654">
        <v>3700.5284594149998</v>
      </c>
      <c r="S654">
        <v>42813</v>
      </c>
      <c r="T654">
        <v>1.1038028765960599E-3</v>
      </c>
      <c r="U654">
        <v>30371</v>
      </c>
      <c r="V654" s="5">
        <v>0.85783438922939204</v>
      </c>
      <c r="W654">
        <v>1</v>
      </c>
      <c r="X654">
        <v>3351.7864636640002</v>
      </c>
      <c r="Y654">
        <v>23652</v>
      </c>
      <c r="Z654">
        <v>6.3376221254536598E-3</v>
      </c>
      <c r="AA654">
        <v>20</v>
      </c>
    </row>
    <row r="655" spans="1:27" x14ac:dyDescent="0.2">
      <c r="A655">
        <v>20</v>
      </c>
      <c r="B655">
        <v>1</v>
      </c>
      <c r="C655">
        <v>0.1</v>
      </c>
      <c r="D655">
        <v>20</v>
      </c>
      <c r="E655">
        <v>0.76582788350025599</v>
      </c>
      <c r="F655">
        <v>1</v>
      </c>
      <c r="G655">
        <v>29.923015542000002</v>
      </c>
      <c r="H655">
        <v>0.70682508676340405</v>
      </c>
      <c r="I655">
        <v>1</v>
      </c>
      <c r="J655">
        <v>0.34569810099999998</v>
      </c>
      <c r="K655">
        <v>0.75851990985149798</v>
      </c>
      <c r="L655">
        <v>1</v>
      </c>
      <c r="M655">
        <v>3600.9163807959999</v>
      </c>
      <c r="N655">
        <v>232515</v>
      </c>
      <c r="O655">
        <v>0.210820730349915</v>
      </c>
      <c r="P655" s="5">
        <v>0.70509204723594898</v>
      </c>
      <c r="Q655">
        <v>1</v>
      </c>
      <c r="R655">
        <v>3665.5823519229998</v>
      </c>
      <c r="S655">
        <v>30450</v>
      </c>
      <c r="T655">
        <v>1.2081824986884799E-2</v>
      </c>
      <c r="U655">
        <v>30205</v>
      </c>
      <c r="V655" s="5">
        <v>0.70509204723594898</v>
      </c>
      <c r="W655">
        <v>1</v>
      </c>
      <c r="X655">
        <v>3394.9630166860002</v>
      </c>
      <c r="Y655">
        <v>31141</v>
      </c>
      <c r="Z655">
        <v>2.5621673088733398E-3</v>
      </c>
      <c r="AA655">
        <v>20</v>
      </c>
    </row>
    <row r="656" spans="1:27" x14ac:dyDescent="0.2">
      <c r="A656">
        <v>20</v>
      </c>
      <c r="B656">
        <v>1</v>
      </c>
      <c r="C656">
        <v>0.2</v>
      </c>
      <c r="D656">
        <v>20</v>
      </c>
      <c r="E656">
        <v>0.62331889888975101</v>
      </c>
      <c r="F656">
        <v>1</v>
      </c>
      <c r="G656">
        <v>33.506534813999998</v>
      </c>
      <c r="H656">
        <v>0.60576497920822803</v>
      </c>
      <c r="I656">
        <v>1</v>
      </c>
      <c r="J656">
        <v>0.28601839899999998</v>
      </c>
      <c r="K656">
        <v>0.62421434452284597</v>
      </c>
      <c r="L656">
        <v>1</v>
      </c>
      <c r="M656">
        <v>3600.692954311</v>
      </c>
      <c r="N656">
        <v>184468</v>
      </c>
      <c r="O656">
        <v>1.92770325640678</v>
      </c>
      <c r="P656" s="5">
        <v>0.57440805512744797</v>
      </c>
      <c r="Q656">
        <v>1</v>
      </c>
      <c r="R656">
        <v>3701.0478672740001</v>
      </c>
      <c r="S656">
        <v>28712</v>
      </c>
      <c r="T656">
        <v>2.3551837685348902E-2</v>
      </c>
      <c r="U656">
        <v>20487</v>
      </c>
      <c r="V656" s="5">
        <v>0.600249705421528</v>
      </c>
      <c r="W656">
        <v>1</v>
      </c>
      <c r="X656">
        <v>3368.800728531</v>
      </c>
      <c r="Y656">
        <v>13981</v>
      </c>
      <c r="Z656">
        <v>3.3260119286727001E-2</v>
      </c>
      <c r="AA656">
        <v>20</v>
      </c>
    </row>
    <row r="657" spans="1:27" x14ac:dyDescent="0.2">
      <c r="A657">
        <v>20</v>
      </c>
      <c r="B657">
        <v>1</v>
      </c>
      <c r="C657">
        <v>0.2</v>
      </c>
      <c r="D657">
        <v>20</v>
      </c>
      <c r="E657">
        <v>0.40878425158777199</v>
      </c>
      <c r="F657">
        <v>1</v>
      </c>
      <c r="G657">
        <v>33.491288447999999</v>
      </c>
      <c r="H657">
        <v>0.36292573424385799</v>
      </c>
      <c r="I657">
        <v>1</v>
      </c>
      <c r="J657">
        <v>0.22356557899999999</v>
      </c>
      <c r="K657">
        <v>0.39741752491055399</v>
      </c>
      <c r="L657">
        <v>1</v>
      </c>
      <c r="M657">
        <v>3600.755310685</v>
      </c>
      <c r="N657">
        <v>182464</v>
      </c>
      <c r="O657">
        <v>0.65665252700304599</v>
      </c>
      <c r="P657" s="5">
        <v>0.77825205126919905</v>
      </c>
      <c r="Q657">
        <v>1</v>
      </c>
      <c r="R657">
        <v>3635.284402929</v>
      </c>
      <c r="S657">
        <v>28472</v>
      </c>
      <c r="T657">
        <v>8.9004025875983796E-3</v>
      </c>
      <c r="U657">
        <v>20681</v>
      </c>
      <c r="V657" s="5">
        <v>0.34998246187978899</v>
      </c>
      <c r="W657">
        <v>1</v>
      </c>
      <c r="X657">
        <v>3437.2952053909999</v>
      </c>
      <c r="Y657">
        <v>11643</v>
      </c>
      <c r="Z657">
        <v>1.21382847645925E-2</v>
      </c>
      <c r="AA657">
        <v>20</v>
      </c>
    </row>
    <row r="658" spans="1:27" ht="17" customHeight="1" x14ac:dyDescent="0.2">
      <c r="A658">
        <v>20</v>
      </c>
      <c r="B658">
        <v>1</v>
      </c>
      <c r="C658">
        <v>0.2</v>
      </c>
      <c r="D658">
        <v>20</v>
      </c>
      <c r="E658">
        <v>0.28846878727202102</v>
      </c>
      <c r="F658">
        <v>1</v>
      </c>
      <c r="G658">
        <v>36.726292663999999</v>
      </c>
      <c r="H658">
        <v>0.22746985205620801</v>
      </c>
      <c r="I658">
        <v>1</v>
      </c>
      <c r="J658">
        <v>0.73520185699999996</v>
      </c>
      <c r="K658">
        <v>0.36645227781752598</v>
      </c>
      <c r="L658">
        <v>1</v>
      </c>
      <c r="M658">
        <v>3605.347911886</v>
      </c>
      <c r="N658">
        <v>102540</v>
      </c>
      <c r="O658">
        <v>2.0279515447279399</v>
      </c>
      <c r="P658" s="5">
        <v>0.32987978241397797</v>
      </c>
      <c r="Q658">
        <v>1</v>
      </c>
      <c r="R658">
        <v>3693.6379932039999</v>
      </c>
      <c r="S658">
        <v>27741</v>
      </c>
      <c r="T658">
        <v>3.4061050839027301E-2</v>
      </c>
      <c r="U658">
        <v>19877</v>
      </c>
      <c r="V658" s="5">
        <v>0.18260823416925501</v>
      </c>
      <c r="W658">
        <v>1</v>
      </c>
      <c r="X658">
        <v>3286.3685599659998</v>
      </c>
      <c r="Y658">
        <v>5256</v>
      </c>
      <c r="Z658">
        <v>7.1329557871811999E-2</v>
      </c>
      <c r="AA658">
        <v>20</v>
      </c>
    </row>
    <row r="659" spans="1:27" x14ac:dyDescent="0.2">
      <c r="A659">
        <v>20</v>
      </c>
      <c r="B659">
        <v>1</v>
      </c>
      <c r="C659">
        <v>0.2</v>
      </c>
      <c r="D659">
        <v>20</v>
      </c>
      <c r="E659">
        <v>0.30313327086092001</v>
      </c>
      <c r="F659">
        <v>1</v>
      </c>
      <c r="G659">
        <v>41.824171192999998</v>
      </c>
      <c r="H659">
        <v>0.30257808807598902</v>
      </c>
      <c r="I659">
        <v>1</v>
      </c>
      <c r="J659">
        <v>0.25307154900000001</v>
      </c>
      <c r="K659">
        <v>0.924718222339035</v>
      </c>
      <c r="L659">
        <v>1</v>
      </c>
      <c r="M659">
        <v>3606.4042383390001</v>
      </c>
      <c r="N659">
        <v>145074</v>
      </c>
      <c r="O659">
        <v>2.0208390258629998</v>
      </c>
      <c r="P659" s="5">
        <v>0.38537306200662402</v>
      </c>
      <c r="Q659">
        <v>1</v>
      </c>
      <c r="R659">
        <v>3647.0851863869998</v>
      </c>
      <c r="S659">
        <v>24482</v>
      </c>
      <c r="T659">
        <v>1.2403456321641E-2</v>
      </c>
      <c r="U659">
        <v>18714</v>
      </c>
      <c r="V659" s="5">
        <v>0.264415043157814</v>
      </c>
      <c r="W659">
        <v>1</v>
      </c>
      <c r="X659">
        <v>3348.1614115130001</v>
      </c>
      <c r="Y659">
        <v>6373</v>
      </c>
      <c r="Z659">
        <v>1.6329240819571201E-2</v>
      </c>
      <c r="AA659">
        <v>20</v>
      </c>
    </row>
    <row r="660" spans="1:27" ht="15" customHeight="1" x14ac:dyDescent="0.2">
      <c r="A660">
        <v>20</v>
      </c>
      <c r="B660">
        <v>1</v>
      </c>
      <c r="C660">
        <v>0.2</v>
      </c>
      <c r="D660">
        <v>20</v>
      </c>
      <c r="E660">
        <v>0.46122402208323798</v>
      </c>
      <c r="F660">
        <v>1</v>
      </c>
      <c r="G660">
        <v>31.625151775999999</v>
      </c>
      <c r="H660">
        <v>0.35149635543483498</v>
      </c>
      <c r="I660">
        <v>1</v>
      </c>
      <c r="J660">
        <v>0.18237071799999999</v>
      </c>
      <c r="K660">
        <v>0.35239594424554199</v>
      </c>
      <c r="L660">
        <v>1</v>
      </c>
      <c r="M660">
        <v>3601.7143920369999</v>
      </c>
      <c r="N660">
        <v>248029</v>
      </c>
      <c r="O660">
        <v>0.73205699371078403</v>
      </c>
      <c r="P660" s="5">
        <v>0.41652471574562799</v>
      </c>
      <c r="Q660">
        <v>1</v>
      </c>
      <c r="R660">
        <v>1602.4594229869999</v>
      </c>
      <c r="S660">
        <v>9777</v>
      </c>
      <c r="T660">
        <v>1.92228087397543E-2</v>
      </c>
      <c r="U660">
        <v>8993</v>
      </c>
      <c r="V660" s="5">
        <v>0.29710843897975497</v>
      </c>
      <c r="W660">
        <v>1</v>
      </c>
      <c r="X660">
        <v>3024.9400905809998</v>
      </c>
      <c r="Y660">
        <v>12551</v>
      </c>
      <c r="Z660">
        <v>3.92595980040297E-2</v>
      </c>
      <c r="AA660">
        <v>20</v>
      </c>
    </row>
    <row r="661" spans="1:27" x14ac:dyDescent="0.2">
      <c r="A661">
        <v>20</v>
      </c>
      <c r="B661">
        <v>1</v>
      </c>
      <c r="C661">
        <v>0.2</v>
      </c>
      <c r="D661">
        <v>20</v>
      </c>
      <c r="E661">
        <v>0.108282787110039</v>
      </c>
      <c r="F661">
        <v>1</v>
      </c>
      <c r="G661">
        <v>30.856156224999999</v>
      </c>
      <c r="H661">
        <v>0.110832825362164</v>
      </c>
      <c r="I661">
        <v>1</v>
      </c>
      <c r="J661">
        <v>0.24389348</v>
      </c>
      <c r="K661">
        <v>0.12292933164016499</v>
      </c>
      <c r="L661">
        <v>1</v>
      </c>
      <c r="M661">
        <v>3602.235684067</v>
      </c>
      <c r="N661">
        <v>262744</v>
      </c>
      <c r="O661">
        <v>1.1788562568048599</v>
      </c>
      <c r="P661" s="5">
        <v>8.7024877170577303E-2</v>
      </c>
      <c r="Q661">
        <v>1</v>
      </c>
      <c r="R661">
        <v>1699.8205425860001</v>
      </c>
      <c r="S661">
        <v>17595</v>
      </c>
      <c r="T661">
        <v>2.1126611231159598E-2</v>
      </c>
      <c r="U661">
        <v>13979</v>
      </c>
      <c r="V661" s="5">
        <v>8.7766459622862697E-2</v>
      </c>
      <c r="W661">
        <v>1</v>
      </c>
      <c r="X661">
        <v>3190.0903527989999</v>
      </c>
      <c r="Y661">
        <v>18142</v>
      </c>
      <c r="Z661">
        <v>1.5544229962876899E-2</v>
      </c>
      <c r="AA661">
        <v>20</v>
      </c>
    </row>
    <row r="662" spans="1:27" x14ac:dyDescent="0.2">
      <c r="A662">
        <v>20</v>
      </c>
      <c r="B662">
        <v>1</v>
      </c>
      <c r="C662">
        <v>0.1</v>
      </c>
      <c r="D662">
        <v>20</v>
      </c>
      <c r="E662">
        <v>0.72522900691590897</v>
      </c>
      <c r="F662">
        <v>1</v>
      </c>
      <c r="G662">
        <v>32.928965136000002</v>
      </c>
      <c r="H662">
        <v>0.71245710814780405</v>
      </c>
      <c r="I662">
        <v>1</v>
      </c>
      <c r="J662">
        <v>0.31454164400000001</v>
      </c>
      <c r="K662">
        <v>0.82683595689538403</v>
      </c>
      <c r="L662">
        <v>1</v>
      </c>
      <c r="M662">
        <v>3601.0422024200002</v>
      </c>
      <c r="N662">
        <v>195732</v>
      </c>
      <c r="O662">
        <v>0.79332509129157203</v>
      </c>
      <c r="P662" s="5">
        <v>1.0855540349611099</v>
      </c>
      <c r="Q662">
        <v>1</v>
      </c>
      <c r="R662">
        <v>1742.2590600599999</v>
      </c>
      <c r="S662">
        <v>13728</v>
      </c>
      <c r="T662">
        <v>2.5993295286982901E-3</v>
      </c>
      <c r="U662">
        <v>13159</v>
      </c>
      <c r="V662" s="5">
        <v>1.0921772280833999</v>
      </c>
      <c r="W662">
        <v>1</v>
      </c>
      <c r="X662">
        <v>3162.076557978</v>
      </c>
      <c r="Y662">
        <v>24857</v>
      </c>
      <c r="Z662">
        <v>4.0700488656265597E-3</v>
      </c>
      <c r="AA662">
        <v>20</v>
      </c>
    </row>
    <row r="663" spans="1:27" x14ac:dyDescent="0.2">
      <c r="A663">
        <v>20</v>
      </c>
      <c r="B663">
        <v>1</v>
      </c>
      <c r="C663">
        <v>0.1</v>
      </c>
      <c r="D663">
        <v>20</v>
      </c>
      <c r="E663">
        <v>0.564829176573025</v>
      </c>
      <c r="F663">
        <v>1</v>
      </c>
      <c r="G663">
        <v>35.903552750000003</v>
      </c>
      <c r="H663">
        <v>0.50416729843890296</v>
      </c>
      <c r="I663">
        <v>1</v>
      </c>
      <c r="J663">
        <v>0.42866441500000002</v>
      </c>
      <c r="K663">
        <v>1.2401785592457499</v>
      </c>
      <c r="L663">
        <v>1</v>
      </c>
      <c r="M663">
        <v>3601.4595176769999</v>
      </c>
      <c r="N663">
        <v>257656</v>
      </c>
      <c r="O663">
        <v>0.33236306316724001</v>
      </c>
      <c r="P663" s="5">
        <v>0.53447453648842203</v>
      </c>
      <c r="Q663">
        <v>1</v>
      </c>
      <c r="R663">
        <v>1894.2328209340001</v>
      </c>
      <c r="S663">
        <v>17166</v>
      </c>
      <c r="T663">
        <v>1.8068697991783201E-3</v>
      </c>
      <c r="U663">
        <v>13473</v>
      </c>
      <c r="V663" s="5">
        <v>0.86759256300600796</v>
      </c>
      <c r="W663">
        <v>1</v>
      </c>
      <c r="X663">
        <v>3360.8731022349998</v>
      </c>
      <c r="Y663">
        <v>36231</v>
      </c>
      <c r="Z663">
        <v>1.89526155513683E-3</v>
      </c>
      <c r="AA663">
        <v>20</v>
      </c>
    </row>
    <row r="664" spans="1:27" x14ac:dyDescent="0.2">
      <c r="A664">
        <v>20</v>
      </c>
      <c r="B664">
        <v>1</v>
      </c>
      <c r="C664">
        <v>0.3</v>
      </c>
      <c r="D664">
        <v>20</v>
      </c>
      <c r="E664">
        <v>0.29153334347194099</v>
      </c>
      <c r="F664">
        <v>1</v>
      </c>
      <c r="G664">
        <v>31.365688105</v>
      </c>
      <c r="H664">
        <v>0.183960850358242</v>
      </c>
      <c r="I664">
        <v>1</v>
      </c>
      <c r="J664">
        <v>0.19698966400000001</v>
      </c>
      <c r="K664">
        <v>0.23028267257707699</v>
      </c>
      <c r="L664">
        <v>1</v>
      </c>
      <c r="M664">
        <v>3600.9867772170001</v>
      </c>
      <c r="N664">
        <v>166646</v>
      </c>
      <c r="O664">
        <v>1.3243883648202499</v>
      </c>
      <c r="P664" s="5">
        <v>0.29742526657938301</v>
      </c>
      <c r="Q664">
        <v>1</v>
      </c>
      <c r="R664">
        <v>3155.9680908680002</v>
      </c>
      <c r="S664">
        <v>21568</v>
      </c>
      <c r="T664">
        <v>1.9249638495548699E-2</v>
      </c>
      <c r="U664">
        <v>17602</v>
      </c>
      <c r="V664" s="5">
        <v>0.16736016356796601</v>
      </c>
      <c r="W664">
        <v>1</v>
      </c>
      <c r="X664">
        <v>3020.3236260499998</v>
      </c>
      <c r="Y664">
        <v>6132</v>
      </c>
      <c r="Z664">
        <v>2.8800213038979901E-2</v>
      </c>
      <c r="AA664">
        <v>20</v>
      </c>
    </row>
    <row r="665" spans="1:27" x14ac:dyDescent="0.2">
      <c r="A665">
        <v>20</v>
      </c>
      <c r="B665">
        <v>1</v>
      </c>
      <c r="C665">
        <v>0.2</v>
      </c>
      <c r="D665">
        <v>20</v>
      </c>
      <c r="E665">
        <v>0.301649209136852</v>
      </c>
      <c r="F665">
        <v>1</v>
      </c>
      <c r="G665">
        <v>30.214256821999999</v>
      </c>
      <c r="H665">
        <v>0.35120562670910499</v>
      </c>
      <c r="I665">
        <v>1</v>
      </c>
      <c r="J665">
        <v>0.192117289</v>
      </c>
      <c r="K665">
        <v>0.47583899566216997</v>
      </c>
      <c r="L665">
        <v>1</v>
      </c>
      <c r="M665">
        <v>3600.979403973</v>
      </c>
      <c r="N665">
        <v>209123</v>
      </c>
      <c r="O665">
        <v>1.2748885087669699</v>
      </c>
      <c r="P665" s="5">
        <v>0.41509879981493703</v>
      </c>
      <c r="Q665">
        <v>1</v>
      </c>
      <c r="R665">
        <v>3060.6833039990001</v>
      </c>
      <c r="S665">
        <v>30859</v>
      </c>
      <c r="T665">
        <v>1.5145531822719599E-2</v>
      </c>
      <c r="U665">
        <v>23597</v>
      </c>
      <c r="V665" s="5">
        <v>0.33600110714613501</v>
      </c>
      <c r="W665">
        <v>1</v>
      </c>
      <c r="X665">
        <v>3313.705496263</v>
      </c>
      <c r="Y665">
        <v>17032</v>
      </c>
      <c r="Z665">
        <v>1.52883949105657E-2</v>
      </c>
      <c r="AA665">
        <v>20</v>
      </c>
    </row>
    <row r="666" spans="1:27" x14ac:dyDescent="0.2">
      <c r="A666">
        <v>20</v>
      </c>
      <c r="B666">
        <v>1</v>
      </c>
      <c r="C666">
        <v>0.1</v>
      </c>
      <c r="D666">
        <v>20</v>
      </c>
      <c r="E666">
        <v>0.507260426129166</v>
      </c>
      <c r="F666">
        <v>1</v>
      </c>
      <c r="G666">
        <v>36.195300418000002</v>
      </c>
      <c r="H666">
        <v>0.45537264695081298</v>
      </c>
      <c r="I666">
        <v>1</v>
      </c>
      <c r="J666">
        <v>0.46334145199999999</v>
      </c>
      <c r="K666">
        <v>0.52901181013056497</v>
      </c>
      <c r="L666">
        <v>1</v>
      </c>
      <c r="M666">
        <v>3602.2009480090001</v>
      </c>
      <c r="N666">
        <v>130128</v>
      </c>
      <c r="O666">
        <v>0.88500817666425602</v>
      </c>
      <c r="P666" s="5">
        <v>0.63137102738821205</v>
      </c>
      <c r="Q666">
        <v>1</v>
      </c>
      <c r="R666">
        <v>3655.3386871319999</v>
      </c>
      <c r="S666">
        <v>32662</v>
      </c>
      <c r="T666">
        <v>7.4549222383447598E-3</v>
      </c>
      <c r="U666">
        <v>25293</v>
      </c>
      <c r="V666" s="5">
        <v>0.49909565842607301</v>
      </c>
      <c r="W666">
        <v>1</v>
      </c>
      <c r="X666">
        <v>3041.8457370169999</v>
      </c>
      <c r="Y666">
        <v>25888</v>
      </c>
      <c r="Z666">
        <v>1.0454037042500501E-2</v>
      </c>
      <c r="AA666">
        <v>20</v>
      </c>
    </row>
    <row r="667" spans="1:27" x14ac:dyDescent="0.2">
      <c r="A667">
        <v>20</v>
      </c>
      <c r="B667">
        <v>1</v>
      </c>
      <c r="C667">
        <v>0.1</v>
      </c>
      <c r="D667">
        <v>20</v>
      </c>
      <c r="E667">
        <v>0.52554158458042399</v>
      </c>
      <c r="F667">
        <v>1</v>
      </c>
      <c r="G667">
        <v>30.758364577999998</v>
      </c>
      <c r="H667">
        <v>0.52092330608227599</v>
      </c>
      <c r="I667">
        <v>1</v>
      </c>
      <c r="J667">
        <v>0.274384248</v>
      </c>
      <c r="K667">
        <v>0.76550619418699895</v>
      </c>
      <c r="L667">
        <v>1</v>
      </c>
      <c r="M667">
        <v>3601.1569572799999</v>
      </c>
      <c r="N667">
        <v>246355</v>
      </c>
      <c r="O667">
        <v>1.30453733953462</v>
      </c>
      <c r="P667" s="5">
        <v>0.95139134825036398</v>
      </c>
      <c r="Q667">
        <v>1</v>
      </c>
      <c r="R667">
        <v>3764.5479583820002</v>
      </c>
      <c r="S667">
        <v>28926</v>
      </c>
      <c r="T667">
        <v>6.04787570926184E-2</v>
      </c>
      <c r="U667">
        <v>25313</v>
      </c>
      <c r="V667" s="5">
        <v>0.78404699256460997</v>
      </c>
      <c r="W667">
        <v>1</v>
      </c>
      <c r="X667">
        <v>3330.5031705669999</v>
      </c>
      <c r="Y667">
        <v>8734</v>
      </c>
      <c r="Z667">
        <v>4.0791767899659603E-2</v>
      </c>
      <c r="AA667">
        <v>20</v>
      </c>
    </row>
    <row r="668" spans="1:27" x14ac:dyDescent="0.2">
      <c r="A668">
        <v>20</v>
      </c>
      <c r="B668">
        <v>1</v>
      </c>
      <c r="C668">
        <v>0.2</v>
      </c>
      <c r="D668">
        <v>20</v>
      </c>
      <c r="E668">
        <v>0.44500627528860798</v>
      </c>
      <c r="F668">
        <v>1</v>
      </c>
      <c r="G668">
        <v>29.983468770000002</v>
      </c>
      <c r="H668">
        <v>0.26420468567300398</v>
      </c>
      <c r="I668">
        <v>1</v>
      </c>
      <c r="J668">
        <v>0.16197599300000001</v>
      </c>
      <c r="K668">
        <v>0.30979949433131398</v>
      </c>
      <c r="L668">
        <v>1</v>
      </c>
      <c r="M668">
        <v>3601.5678079499999</v>
      </c>
      <c r="N668">
        <v>258411</v>
      </c>
      <c r="O668">
        <v>1.1838117261252801</v>
      </c>
      <c r="P668" s="5">
        <v>0.39919226305775302</v>
      </c>
      <c r="Q668">
        <v>1</v>
      </c>
      <c r="R668">
        <v>3693.7556767390001</v>
      </c>
      <c r="S668">
        <v>27977</v>
      </c>
      <c r="T668">
        <v>2.0779473311298199E-2</v>
      </c>
      <c r="U668">
        <v>21654</v>
      </c>
      <c r="V668" s="5">
        <v>0.23422434120777699</v>
      </c>
      <c r="W668">
        <v>1</v>
      </c>
      <c r="X668">
        <v>3373.542282465</v>
      </c>
      <c r="Y668">
        <v>13939</v>
      </c>
      <c r="Z668">
        <v>3.19259236552547E-2</v>
      </c>
      <c r="AA668">
        <v>20</v>
      </c>
    </row>
    <row r="669" spans="1:27" x14ac:dyDescent="0.2">
      <c r="A669">
        <v>20</v>
      </c>
      <c r="B669">
        <v>1</v>
      </c>
      <c r="C669">
        <v>0.4</v>
      </c>
      <c r="D669">
        <v>100</v>
      </c>
      <c r="E669">
        <v>1.5929211087237001E-2</v>
      </c>
      <c r="F669">
        <v>1</v>
      </c>
      <c r="G669">
        <v>32.228903840000001</v>
      </c>
      <c r="H669">
        <v>2.33313572978519E-2</v>
      </c>
      <c r="I669">
        <v>1</v>
      </c>
      <c r="J669">
        <v>0.147899375</v>
      </c>
      <c r="K669">
        <v>2.32782542365697E-2</v>
      </c>
      <c r="L669">
        <v>1</v>
      </c>
      <c r="M669">
        <v>3602.0932069179999</v>
      </c>
      <c r="N669">
        <v>275009</v>
      </c>
      <c r="O669">
        <v>0.12942732465465601</v>
      </c>
      <c r="P669" s="5">
        <v>1.9578601617915099E-2</v>
      </c>
      <c r="Q669">
        <v>1</v>
      </c>
      <c r="R669">
        <v>443.73548256399999</v>
      </c>
      <c r="S669">
        <v>3353</v>
      </c>
      <c r="T669">
        <v>8.2658967898652201E-3</v>
      </c>
      <c r="U669">
        <v>2154</v>
      </c>
      <c r="V669" s="5">
        <v>1.9578601617693502E-2</v>
      </c>
      <c r="W669">
        <v>1</v>
      </c>
      <c r="X669">
        <v>79.737673237999999</v>
      </c>
      <c r="Y669">
        <v>571</v>
      </c>
      <c r="Z669">
        <v>8.4786358256683202E-3</v>
      </c>
      <c r="AA669">
        <v>1</v>
      </c>
    </row>
    <row r="670" spans="1:27" x14ac:dyDescent="0.2">
      <c r="A670">
        <v>20</v>
      </c>
      <c r="B670">
        <v>1</v>
      </c>
      <c r="C670">
        <v>0.3</v>
      </c>
      <c r="D670">
        <v>100</v>
      </c>
      <c r="E670">
        <v>1.6295616681951501E-2</v>
      </c>
      <c r="F670">
        <v>1</v>
      </c>
      <c r="G670">
        <v>32.638428791999999</v>
      </c>
      <c r="H670">
        <v>2.1574720530248899E-2</v>
      </c>
      <c r="I670">
        <v>1</v>
      </c>
      <c r="J670">
        <v>0.11468183999999999</v>
      </c>
      <c r="K670">
        <v>0.13298813628846201</v>
      </c>
      <c r="L670">
        <v>1</v>
      </c>
      <c r="M670">
        <v>3601.6898453250001</v>
      </c>
      <c r="N670">
        <v>196002</v>
      </c>
      <c r="O670">
        <v>0.78137829623266697</v>
      </c>
      <c r="P670" s="5">
        <v>4.3249574403881497E-2</v>
      </c>
      <c r="Q670">
        <v>1</v>
      </c>
      <c r="R670">
        <v>654.77880690300003</v>
      </c>
      <c r="S670">
        <v>5410</v>
      </c>
      <c r="T670">
        <v>4.4610219961090901E-3</v>
      </c>
      <c r="U670">
        <v>3901</v>
      </c>
      <c r="V670" s="5">
        <v>1.47353425210076E-2</v>
      </c>
      <c r="W670">
        <v>1</v>
      </c>
      <c r="X670">
        <v>42.257801677000003</v>
      </c>
      <c r="Y670">
        <v>282</v>
      </c>
      <c r="Z670">
        <v>4.8442752083537304E-3</v>
      </c>
      <c r="AA670">
        <v>1</v>
      </c>
    </row>
    <row r="671" spans="1:27" x14ac:dyDescent="0.2">
      <c r="A671">
        <v>20</v>
      </c>
      <c r="B671">
        <v>1</v>
      </c>
      <c r="C671">
        <v>0.4</v>
      </c>
      <c r="D671">
        <v>100</v>
      </c>
      <c r="E671">
        <v>1.9234506156646101E-2</v>
      </c>
      <c r="F671">
        <v>1</v>
      </c>
      <c r="G671">
        <v>30.710285728999999</v>
      </c>
      <c r="H671">
        <v>2.28037087749796E-2</v>
      </c>
      <c r="I671">
        <v>1</v>
      </c>
      <c r="J671">
        <v>0.106113508</v>
      </c>
      <c r="K671">
        <v>2.2051914036031999E-2</v>
      </c>
      <c r="L671">
        <v>1</v>
      </c>
      <c r="M671">
        <v>3601.0571527719999</v>
      </c>
      <c r="N671">
        <v>287245</v>
      </c>
      <c r="O671">
        <v>0.16577063439047601</v>
      </c>
      <c r="P671" s="5">
        <v>4.9395308250755901E-2</v>
      </c>
      <c r="Q671">
        <v>1</v>
      </c>
      <c r="R671">
        <v>404.01609485699998</v>
      </c>
      <c r="S671">
        <v>3844</v>
      </c>
      <c r="T671">
        <v>3.1235490288178901E-3</v>
      </c>
      <c r="U671">
        <v>2756</v>
      </c>
      <c r="V671" s="5">
        <v>1.4429099571795299E-2</v>
      </c>
      <c r="W671">
        <v>1</v>
      </c>
      <c r="X671">
        <v>43.001205827</v>
      </c>
      <c r="Y671">
        <v>686</v>
      </c>
      <c r="Z671">
        <v>3.0699743468517401E-3</v>
      </c>
      <c r="AA671">
        <v>1</v>
      </c>
    </row>
    <row r="672" spans="1:27" x14ac:dyDescent="0.2">
      <c r="A672">
        <v>20</v>
      </c>
      <c r="B672">
        <v>1</v>
      </c>
      <c r="C672">
        <v>0.4</v>
      </c>
      <c r="D672">
        <v>100</v>
      </c>
      <c r="E672">
        <v>1.1761578573919599E-2</v>
      </c>
      <c r="F672">
        <v>1</v>
      </c>
      <c r="G672">
        <v>33.664163961</v>
      </c>
      <c r="H672">
        <v>1.348912538026E-2</v>
      </c>
      <c r="I672">
        <v>1</v>
      </c>
      <c r="J672">
        <v>6.6442238000000001E-2</v>
      </c>
      <c r="K672">
        <v>0.31813491393937499</v>
      </c>
      <c r="L672">
        <v>1</v>
      </c>
      <c r="M672">
        <v>3602.005354811</v>
      </c>
      <c r="N672">
        <v>145178</v>
      </c>
      <c r="O672">
        <v>6.2973524247678601</v>
      </c>
      <c r="P672" s="5">
        <v>8.2282212927542696E-3</v>
      </c>
      <c r="Q672">
        <v>1</v>
      </c>
      <c r="R672">
        <v>36.705386783000002</v>
      </c>
      <c r="S672">
        <v>1</v>
      </c>
      <c r="T672">
        <v>7.0909364435536304E-3</v>
      </c>
      <c r="U672">
        <v>4</v>
      </c>
      <c r="V672" s="5">
        <v>8.2282212928230999E-3</v>
      </c>
      <c r="W672">
        <v>1</v>
      </c>
      <c r="X672">
        <v>23.105899114</v>
      </c>
      <c r="Y672">
        <v>1</v>
      </c>
      <c r="Z672">
        <v>4.1247821389129797E-3</v>
      </c>
      <c r="AA672">
        <v>1</v>
      </c>
    </row>
    <row r="673" spans="1:27" x14ac:dyDescent="0.2">
      <c r="A673">
        <v>20</v>
      </c>
      <c r="B673">
        <v>1</v>
      </c>
      <c r="C673">
        <v>0.3</v>
      </c>
      <c r="D673">
        <v>100</v>
      </c>
      <c r="E673">
        <v>3.7609418512587298E-2</v>
      </c>
      <c r="F673">
        <v>1</v>
      </c>
      <c r="G673">
        <v>31.444218009</v>
      </c>
      <c r="H673">
        <v>2.7584608867616201E-2</v>
      </c>
      <c r="I673">
        <v>1</v>
      </c>
      <c r="J673">
        <v>0.13444140500000001</v>
      </c>
      <c r="K673">
        <v>2.4624761346418798E-2</v>
      </c>
      <c r="L673">
        <v>1</v>
      </c>
      <c r="M673">
        <v>3601.0974168389998</v>
      </c>
      <c r="N673">
        <v>471065</v>
      </c>
      <c r="O673">
        <v>8.0811482474530294E-2</v>
      </c>
      <c r="P673" s="5">
        <v>5.6081839169937003E-2</v>
      </c>
      <c r="Q673">
        <v>1</v>
      </c>
      <c r="R673">
        <v>560.87383482099995</v>
      </c>
      <c r="S673">
        <v>4671</v>
      </c>
      <c r="T673">
        <v>1.03096661980375E-2</v>
      </c>
      <c r="U673">
        <v>3440</v>
      </c>
      <c r="V673" s="5">
        <v>2.4773520099156801E-2</v>
      </c>
      <c r="W673">
        <v>1</v>
      </c>
      <c r="X673">
        <v>469.28889329999998</v>
      </c>
      <c r="Y673">
        <v>1212</v>
      </c>
      <c r="Z673">
        <v>9.9825003415228101E-3</v>
      </c>
      <c r="AA673">
        <v>10</v>
      </c>
    </row>
    <row r="674" spans="1:27" x14ac:dyDescent="0.2">
      <c r="A674">
        <v>20</v>
      </c>
      <c r="B674">
        <v>1</v>
      </c>
      <c r="C674">
        <v>0.4</v>
      </c>
      <c r="D674">
        <v>100</v>
      </c>
      <c r="E674">
        <v>9.8347384764103096E-2</v>
      </c>
      <c r="F674">
        <v>1</v>
      </c>
      <c r="G674">
        <v>31.574289921999998</v>
      </c>
      <c r="H674">
        <v>3.24645430713476E-2</v>
      </c>
      <c r="I674">
        <v>1</v>
      </c>
      <c r="J674">
        <v>0.121935556</v>
      </c>
      <c r="K674">
        <v>0.166228627977135</v>
      </c>
      <c r="L674">
        <v>1</v>
      </c>
      <c r="M674">
        <v>3600.9851667419998</v>
      </c>
      <c r="N674">
        <v>177027</v>
      </c>
      <c r="O674">
        <v>2.09870814934657</v>
      </c>
      <c r="P674" s="5">
        <v>9.57568172530531E-2</v>
      </c>
      <c r="Q674">
        <v>1</v>
      </c>
      <c r="R674">
        <v>690.84645697600001</v>
      </c>
      <c r="S674">
        <v>6117</v>
      </c>
      <c r="T674">
        <v>9.8094667871214593E-3</v>
      </c>
      <c r="U674">
        <v>4515</v>
      </c>
      <c r="V674" s="5">
        <v>2.89861667342232E-2</v>
      </c>
      <c r="W674">
        <v>1</v>
      </c>
      <c r="X674">
        <v>1072.9203970999999</v>
      </c>
      <c r="Y674">
        <v>5366</v>
      </c>
      <c r="Z674">
        <v>6.8510886321285699E-3</v>
      </c>
      <c r="AA674">
        <v>13</v>
      </c>
    </row>
    <row r="675" spans="1:27" x14ac:dyDescent="0.2">
      <c r="A675">
        <v>20</v>
      </c>
      <c r="B675">
        <v>1</v>
      </c>
      <c r="C675">
        <v>0.2</v>
      </c>
      <c r="D675">
        <v>100</v>
      </c>
      <c r="E675">
        <v>9.4155028517154807E-2</v>
      </c>
      <c r="F675">
        <v>1</v>
      </c>
      <c r="G675">
        <v>30.873218379000001</v>
      </c>
      <c r="H675">
        <v>9.6290118195663799E-2</v>
      </c>
      <c r="I675">
        <v>1</v>
      </c>
      <c r="J675">
        <v>5.1678759999999997E-2</v>
      </c>
      <c r="K675">
        <v>9.4920935612836196E-2</v>
      </c>
      <c r="L675">
        <v>1</v>
      </c>
      <c r="M675">
        <v>3601.7515240349999</v>
      </c>
      <c r="N675">
        <v>323099</v>
      </c>
      <c r="O675">
        <v>0.117147986255218</v>
      </c>
      <c r="P675" s="5">
        <v>0.104460443944666</v>
      </c>
      <c r="Q675">
        <v>1</v>
      </c>
      <c r="R675">
        <v>3689.8329524139999</v>
      </c>
      <c r="S675">
        <v>32889</v>
      </c>
      <c r="T675">
        <v>7.3422432513054999E-3</v>
      </c>
      <c r="U675">
        <v>28383</v>
      </c>
      <c r="V675" s="5">
        <v>8.1263682803564399E-2</v>
      </c>
      <c r="W675">
        <v>1</v>
      </c>
      <c r="X675">
        <v>254.651337383</v>
      </c>
      <c r="Y675">
        <v>1</v>
      </c>
      <c r="Z675">
        <v>1.0284970058275399E-2</v>
      </c>
      <c r="AA675">
        <v>5</v>
      </c>
    </row>
    <row r="676" spans="1:27" x14ac:dyDescent="0.2">
      <c r="A676">
        <v>20</v>
      </c>
      <c r="B676">
        <v>1</v>
      </c>
      <c r="C676">
        <v>0.3</v>
      </c>
      <c r="D676">
        <v>100</v>
      </c>
      <c r="E676">
        <v>9.5052807508498004E-3</v>
      </c>
      <c r="F676">
        <v>1</v>
      </c>
      <c r="G676">
        <v>31.770791468999999</v>
      </c>
      <c r="H676">
        <v>1.3258669721551101E-2</v>
      </c>
      <c r="I676">
        <v>1</v>
      </c>
      <c r="J676">
        <v>8.0100453000000002E-2</v>
      </c>
      <c r="K676">
        <v>0.21363935123824199</v>
      </c>
      <c r="L676">
        <v>1</v>
      </c>
      <c r="M676">
        <v>3601.1087485839998</v>
      </c>
      <c r="N676">
        <v>226429</v>
      </c>
      <c r="O676">
        <v>1.36543080544684</v>
      </c>
      <c r="P676" s="5">
        <v>9.8884539433927096E-3</v>
      </c>
      <c r="Q676">
        <v>1</v>
      </c>
      <c r="R676">
        <v>52.592234986000001</v>
      </c>
      <c r="S676">
        <v>163</v>
      </c>
      <c r="T676">
        <v>6.01076211100881E-3</v>
      </c>
      <c r="U676">
        <v>114</v>
      </c>
      <c r="V676" s="5">
        <v>9.8884539434947894E-3</v>
      </c>
      <c r="W676">
        <v>1</v>
      </c>
      <c r="X676">
        <v>32.677051560999999</v>
      </c>
      <c r="Y676">
        <v>105</v>
      </c>
      <c r="Z676">
        <v>5.50336191033007E-3</v>
      </c>
      <c r="AA676">
        <v>1</v>
      </c>
    </row>
    <row r="677" spans="1:27" x14ac:dyDescent="0.2">
      <c r="A677">
        <v>20</v>
      </c>
      <c r="B677">
        <v>1</v>
      </c>
      <c r="C677">
        <v>0.4</v>
      </c>
      <c r="D677">
        <v>100</v>
      </c>
      <c r="E677">
        <v>3.9225846587384303E-2</v>
      </c>
      <c r="F677">
        <v>1</v>
      </c>
      <c r="G677">
        <v>34.898300392000003</v>
      </c>
      <c r="H677">
        <v>2.29173458737735E-2</v>
      </c>
      <c r="I677">
        <v>1</v>
      </c>
      <c r="J677">
        <v>0.24824196000000001</v>
      </c>
      <c r="K677">
        <v>9.7141563385691104E-2</v>
      </c>
      <c r="L677">
        <v>1</v>
      </c>
      <c r="M677">
        <v>3601.0889692860001</v>
      </c>
      <c r="N677">
        <v>213330</v>
      </c>
      <c r="O677">
        <v>1.1689165016327101</v>
      </c>
      <c r="P677" s="5">
        <v>1.9448930655595002E-2</v>
      </c>
      <c r="Q677">
        <v>1</v>
      </c>
      <c r="R677">
        <v>43.972905885999999</v>
      </c>
      <c r="S677">
        <v>1</v>
      </c>
      <c r="T677">
        <v>1.4480590111843401E-2</v>
      </c>
      <c r="U677">
        <v>5</v>
      </c>
      <c r="V677" s="5">
        <v>1.9448930655903199E-2</v>
      </c>
      <c r="W677">
        <v>1</v>
      </c>
      <c r="X677">
        <v>556.73136151400001</v>
      </c>
      <c r="Y677">
        <v>102</v>
      </c>
      <c r="Z677">
        <v>9.0091601310884305E-3</v>
      </c>
      <c r="AA677">
        <v>16</v>
      </c>
    </row>
    <row r="678" spans="1:27" x14ac:dyDescent="0.2">
      <c r="A678">
        <v>20</v>
      </c>
      <c r="B678">
        <v>1</v>
      </c>
      <c r="C678">
        <v>0.4</v>
      </c>
      <c r="D678">
        <v>100</v>
      </c>
      <c r="E678">
        <v>6.5619996440772002E-2</v>
      </c>
      <c r="F678">
        <v>1</v>
      </c>
      <c r="G678">
        <v>32.629354923999998</v>
      </c>
      <c r="H678">
        <v>3.0445691427668699E-2</v>
      </c>
      <c r="I678">
        <v>1</v>
      </c>
      <c r="J678">
        <v>0.11495366</v>
      </c>
      <c r="K678">
        <v>1.1468111826449701</v>
      </c>
      <c r="L678">
        <v>1</v>
      </c>
      <c r="M678">
        <v>3601.5036212109999</v>
      </c>
      <c r="N678">
        <v>210858</v>
      </c>
      <c r="O678">
        <v>1.63600425887651</v>
      </c>
      <c r="P678" s="5">
        <v>8.0210700182827305E-2</v>
      </c>
      <c r="Q678">
        <v>1</v>
      </c>
      <c r="R678">
        <v>1117.6619704750001</v>
      </c>
      <c r="S678">
        <v>11849</v>
      </c>
      <c r="T678">
        <v>4.0286268549649101E-3</v>
      </c>
      <c r="U678">
        <v>8479</v>
      </c>
      <c r="V678" s="5">
        <v>2.2772195295001699E-2</v>
      </c>
      <c r="W678">
        <v>1</v>
      </c>
      <c r="X678">
        <v>37.892286956</v>
      </c>
      <c r="Y678">
        <v>129</v>
      </c>
      <c r="Z678">
        <v>4.0200196128066801E-3</v>
      </c>
      <c r="AA678">
        <v>1</v>
      </c>
    </row>
    <row r="679" spans="1:27" x14ac:dyDescent="0.2">
      <c r="A679">
        <v>20</v>
      </c>
      <c r="B679">
        <v>1</v>
      </c>
      <c r="C679">
        <v>0.3</v>
      </c>
      <c r="D679">
        <v>100</v>
      </c>
      <c r="E679">
        <v>9.1378044192755595E-2</v>
      </c>
      <c r="F679">
        <v>1</v>
      </c>
      <c r="G679">
        <v>34.251462676999999</v>
      </c>
      <c r="H679">
        <v>6.64552459023319E-2</v>
      </c>
      <c r="I679">
        <v>1</v>
      </c>
      <c r="J679">
        <v>0.21599326599999999</v>
      </c>
      <c r="K679">
        <v>0.247753674195441</v>
      </c>
      <c r="L679">
        <v>1</v>
      </c>
      <c r="M679">
        <v>3600.7981455479999</v>
      </c>
      <c r="N679">
        <v>164898</v>
      </c>
      <c r="O679">
        <v>0.87397351412443203</v>
      </c>
      <c r="P679" s="5">
        <v>0.15691204672301201</v>
      </c>
      <c r="Q679">
        <v>1</v>
      </c>
      <c r="R679">
        <v>3659.2998321650002</v>
      </c>
      <c r="S679">
        <v>33539</v>
      </c>
      <c r="T679">
        <v>1.00140523570031E-2</v>
      </c>
      <c r="U679">
        <v>24161</v>
      </c>
      <c r="V679" s="5">
        <v>4.2778841729943298E-2</v>
      </c>
      <c r="W679">
        <v>1</v>
      </c>
      <c r="X679">
        <v>384.20596134700003</v>
      </c>
      <c r="Y679">
        <v>0</v>
      </c>
      <c r="Z679" s="1"/>
      <c r="AA679">
        <v>3</v>
      </c>
    </row>
    <row r="680" spans="1:27" x14ac:dyDescent="0.2">
      <c r="A680">
        <v>20</v>
      </c>
      <c r="B680">
        <v>1</v>
      </c>
      <c r="C680">
        <v>0.1</v>
      </c>
      <c r="D680">
        <v>100</v>
      </c>
      <c r="E680">
        <v>0.67110714308244701</v>
      </c>
      <c r="F680">
        <v>1</v>
      </c>
      <c r="G680">
        <v>32.446153369999998</v>
      </c>
      <c r="H680">
        <v>0.66006787133912803</v>
      </c>
      <c r="I680">
        <v>1</v>
      </c>
      <c r="J680">
        <v>0.27363147999999998</v>
      </c>
      <c r="K680">
        <v>0.85722315696023199</v>
      </c>
      <c r="L680">
        <v>1</v>
      </c>
      <c r="M680">
        <v>3600.843400833</v>
      </c>
      <c r="N680">
        <v>235653</v>
      </c>
      <c r="O680">
        <v>6.4687479967469402E-2</v>
      </c>
      <c r="P680" s="5">
        <v>0.92415242398515596</v>
      </c>
      <c r="Q680">
        <v>1</v>
      </c>
      <c r="R680">
        <v>3629.9703397369999</v>
      </c>
      <c r="S680">
        <v>31790</v>
      </c>
      <c r="T680">
        <v>1.23142733990455E-3</v>
      </c>
      <c r="U680">
        <v>26866</v>
      </c>
      <c r="V680" s="5">
        <v>0.90020838852728502</v>
      </c>
      <c r="W680">
        <v>1</v>
      </c>
      <c r="X680">
        <v>1370.2805942939999</v>
      </c>
      <c r="Y680">
        <v>10352</v>
      </c>
      <c r="Z680">
        <v>5.2691800735307705E-4</v>
      </c>
      <c r="AA680">
        <v>14</v>
      </c>
    </row>
    <row r="681" spans="1:27" x14ac:dyDescent="0.2">
      <c r="A681">
        <v>20</v>
      </c>
      <c r="B681">
        <v>1</v>
      </c>
      <c r="C681">
        <v>0.4</v>
      </c>
      <c r="D681">
        <v>100</v>
      </c>
      <c r="E681">
        <v>1.0752485105305701E-2</v>
      </c>
      <c r="F681">
        <v>1</v>
      </c>
      <c r="G681">
        <v>34.693107572000002</v>
      </c>
      <c r="H681">
        <v>1.5464068393272801E-2</v>
      </c>
      <c r="I681">
        <v>1</v>
      </c>
      <c r="J681">
        <v>0.144447989</v>
      </c>
      <c r="K681">
        <v>4.5324945295874601E-2</v>
      </c>
      <c r="L681">
        <v>1</v>
      </c>
      <c r="M681">
        <v>3601.2596809810002</v>
      </c>
      <c r="N681">
        <v>176410</v>
      </c>
      <c r="O681">
        <v>0.27646391125118702</v>
      </c>
      <c r="P681" s="5">
        <v>1.20044543714525E-2</v>
      </c>
      <c r="Q681">
        <v>1</v>
      </c>
      <c r="R681">
        <v>36.056388691999999</v>
      </c>
      <c r="S681">
        <v>1</v>
      </c>
      <c r="T681">
        <v>2.3998454594149599E-3</v>
      </c>
      <c r="U681">
        <v>4</v>
      </c>
      <c r="V681" s="5">
        <v>1.20044543714525E-2</v>
      </c>
      <c r="W681">
        <v>1</v>
      </c>
      <c r="X681">
        <v>26.825941050000001</v>
      </c>
      <c r="Y681">
        <v>1</v>
      </c>
      <c r="Z681">
        <v>2.2531838107558398E-3</v>
      </c>
      <c r="AA681">
        <v>1</v>
      </c>
    </row>
    <row r="682" spans="1:27" x14ac:dyDescent="0.2">
      <c r="A682">
        <v>20</v>
      </c>
      <c r="B682">
        <v>1</v>
      </c>
      <c r="C682">
        <v>0.3</v>
      </c>
      <c r="D682">
        <v>100</v>
      </c>
      <c r="E682">
        <v>0.17633388900771699</v>
      </c>
      <c r="F682">
        <v>1</v>
      </c>
      <c r="G682">
        <v>31.788561553000001</v>
      </c>
      <c r="H682">
        <v>3.9477762347699299E-2</v>
      </c>
      <c r="I682">
        <v>1</v>
      </c>
      <c r="J682">
        <v>0.22002475699999999</v>
      </c>
      <c r="K682">
        <v>4.8107920805108097E-2</v>
      </c>
      <c r="L682">
        <v>1</v>
      </c>
      <c r="M682">
        <v>3600.8141371669999</v>
      </c>
      <c r="N682">
        <v>197244</v>
      </c>
      <c r="O682">
        <v>0.40814458188265901</v>
      </c>
      <c r="P682" s="5">
        <v>0.17659274158219901</v>
      </c>
      <c r="Q682">
        <v>1</v>
      </c>
      <c r="R682">
        <v>3101.3141193790002</v>
      </c>
      <c r="S682">
        <v>25184</v>
      </c>
      <c r="T682">
        <v>5.1745530821896103E-3</v>
      </c>
      <c r="U682">
        <v>19319</v>
      </c>
      <c r="V682" s="5">
        <v>3.5892788448207202E-2</v>
      </c>
      <c r="W682">
        <v>1</v>
      </c>
      <c r="X682">
        <v>3148.6298477680002</v>
      </c>
      <c r="Y682">
        <v>5422</v>
      </c>
      <c r="Z682">
        <v>1.0896561497889401E-2</v>
      </c>
      <c r="AA682">
        <v>20</v>
      </c>
    </row>
    <row r="683" spans="1:27" x14ac:dyDescent="0.2">
      <c r="A683">
        <v>20</v>
      </c>
      <c r="B683">
        <v>1</v>
      </c>
      <c r="C683">
        <v>0.3</v>
      </c>
      <c r="D683">
        <v>100</v>
      </c>
      <c r="E683">
        <v>9.1523502015239296E-3</v>
      </c>
      <c r="F683">
        <v>1</v>
      </c>
      <c r="G683">
        <v>34.220982171999999</v>
      </c>
      <c r="H683">
        <v>1.46294682082839E-2</v>
      </c>
      <c r="I683">
        <v>1</v>
      </c>
      <c r="J683">
        <v>0.109884905</v>
      </c>
      <c r="K683">
        <v>1.4915002618462399E-2</v>
      </c>
      <c r="L683">
        <v>1</v>
      </c>
      <c r="M683">
        <v>3601.337012859</v>
      </c>
      <c r="N683">
        <v>389451</v>
      </c>
      <c r="O683">
        <v>3.9894611972250901E-2</v>
      </c>
      <c r="P683" s="5">
        <v>1.16168539715274E-2</v>
      </c>
      <c r="Q683">
        <v>1</v>
      </c>
      <c r="R683">
        <v>32.748061966000002</v>
      </c>
      <c r="S683">
        <v>1</v>
      </c>
      <c r="T683">
        <v>1.5282939427432301E-3</v>
      </c>
      <c r="U683">
        <v>5</v>
      </c>
      <c r="V683" s="5">
        <v>1.16168539711502E-2</v>
      </c>
      <c r="W683">
        <v>1</v>
      </c>
      <c r="X683">
        <v>24.365692132</v>
      </c>
      <c r="Y683">
        <v>1</v>
      </c>
      <c r="Z683">
        <v>1.4587625851784601E-3</v>
      </c>
      <c r="AA683">
        <v>1</v>
      </c>
    </row>
    <row r="684" spans="1:27" x14ac:dyDescent="0.2">
      <c r="A684">
        <v>20</v>
      </c>
      <c r="B684">
        <v>1</v>
      </c>
      <c r="C684">
        <v>0.4</v>
      </c>
      <c r="D684">
        <v>100</v>
      </c>
      <c r="E684">
        <v>5.7903592366954797E-2</v>
      </c>
      <c r="F684">
        <v>1</v>
      </c>
      <c r="G684">
        <v>33.823566278999998</v>
      </c>
      <c r="H684">
        <v>2.6553098537448399E-2</v>
      </c>
      <c r="I684">
        <v>1</v>
      </c>
      <c r="J684">
        <v>0.173728142</v>
      </c>
      <c r="K684">
        <v>8.0565352619226593E-2</v>
      </c>
      <c r="L684">
        <v>1</v>
      </c>
      <c r="M684">
        <v>3600.887250491</v>
      </c>
      <c r="N684">
        <v>193809</v>
      </c>
      <c r="O684">
        <v>0.51809093812138896</v>
      </c>
      <c r="P684" s="5">
        <v>8.58294455166346E-2</v>
      </c>
      <c r="Q684">
        <v>1</v>
      </c>
      <c r="R684">
        <v>982.23934553499998</v>
      </c>
      <c r="S684">
        <v>7761</v>
      </c>
      <c r="T684">
        <v>5.0708984692221497E-3</v>
      </c>
      <c r="U684">
        <v>5818</v>
      </c>
      <c r="V684" s="5">
        <v>2.2274780228591199E-2</v>
      </c>
      <c r="W684">
        <v>1</v>
      </c>
      <c r="X684">
        <v>95.039422958000003</v>
      </c>
      <c r="Y684">
        <v>1390</v>
      </c>
      <c r="Z684">
        <v>4.7287470765872098E-3</v>
      </c>
      <c r="AA684">
        <v>1</v>
      </c>
    </row>
    <row r="685" spans="1:27" x14ac:dyDescent="0.2">
      <c r="A685">
        <v>20</v>
      </c>
      <c r="B685">
        <v>1</v>
      </c>
      <c r="C685">
        <v>0.1</v>
      </c>
      <c r="D685">
        <v>100</v>
      </c>
      <c r="E685">
        <v>0.49982189241597103</v>
      </c>
      <c r="F685">
        <v>1</v>
      </c>
      <c r="G685">
        <v>32.868712174999999</v>
      </c>
      <c r="H685">
        <v>0.47264212859750998</v>
      </c>
      <c r="I685">
        <v>1</v>
      </c>
      <c r="J685">
        <v>0.92845164000000002</v>
      </c>
      <c r="K685">
        <v>0.54586771715166404</v>
      </c>
      <c r="L685">
        <v>1</v>
      </c>
      <c r="M685">
        <v>3601.0972131489998</v>
      </c>
      <c r="N685">
        <v>197660</v>
      </c>
      <c r="O685">
        <v>0.37507283375966299</v>
      </c>
      <c r="P685" s="5">
        <v>0.552105562719446</v>
      </c>
      <c r="Q685">
        <v>1</v>
      </c>
      <c r="R685">
        <v>3654.6079560409999</v>
      </c>
      <c r="S685">
        <v>38238</v>
      </c>
      <c r="T685">
        <v>1.23097087538896E-3</v>
      </c>
      <c r="U685">
        <v>30500</v>
      </c>
      <c r="V685" s="5">
        <v>0.66245317142173399</v>
      </c>
      <c r="W685">
        <v>1</v>
      </c>
      <c r="X685">
        <v>3238.094488833</v>
      </c>
      <c r="Y685">
        <v>19707</v>
      </c>
      <c r="Z685">
        <v>6.7837063067751804E-3</v>
      </c>
      <c r="AA685">
        <v>20</v>
      </c>
    </row>
    <row r="686" spans="1:27" x14ac:dyDescent="0.2">
      <c r="A686">
        <v>20</v>
      </c>
      <c r="B686">
        <v>1</v>
      </c>
      <c r="C686">
        <v>0.4</v>
      </c>
      <c r="D686">
        <v>100</v>
      </c>
      <c r="E686">
        <v>1.44410963059277E-2</v>
      </c>
      <c r="F686">
        <v>1</v>
      </c>
      <c r="G686">
        <v>32.723410014000002</v>
      </c>
      <c r="H686">
        <v>2.24404190024994E-2</v>
      </c>
      <c r="I686">
        <v>1</v>
      </c>
      <c r="J686">
        <v>0.13358969400000001</v>
      </c>
      <c r="K686">
        <v>0.37028766866165203</v>
      </c>
      <c r="L686">
        <v>1</v>
      </c>
      <c r="M686">
        <v>3600.751968988</v>
      </c>
      <c r="N686">
        <v>195462</v>
      </c>
      <c r="O686">
        <v>11.6660210515806</v>
      </c>
      <c r="P686" s="5">
        <v>1.6913738720881501E-2</v>
      </c>
      <c r="Q686">
        <v>1</v>
      </c>
      <c r="R686">
        <v>60.972560092000002</v>
      </c>
      <c r="S686">
        <v>120</v>
      </c>
      <c r="T686">
        <v>1.01383682780165E-2</v>
      </c>
      <c r="U686">
        <v>78</v>
      </c>
      <c r="V686" s="5">
        <v>1.69137387211655E-2</v>
      </c>
      <c r="W686">
        <v>1</v>
      </c>
      <c r="X686">
        <v>336.60304301299999</v>
      </c>
      <c r="Y686">
        <v>173</v>
      </c>
      <c r="Z686">
        <v>9.9167827048558498E-3</v>
      </c>
      <c r="AA686">
        <v>10</v>
      </c>
    </row>
    <row r="687" spans="1:27" x14ac:dyDescent="0.2">
      <c r="A687">
        <v>20</v>
      </c>
      <c r="B687">
        <v>1</v>
      </c>
      <c r="C687">
        <v>0.2</v>
      </c>
      <c r="D687">
        <v>100</v>
      </c>
      <c r="E687">
        <v>8.9238847679470698E-2</v>
      </c>
      <c r="F687">
        <v>1</v>
      </c>
      <c r="G687">
        <v>31.676117946000002</v>
      </c>
      <c r="H687">
        <v>8.2470071495821196E-2</v>
      </c>
      <c r="I687">
        <v>1</v>
      </c>
      <c r="J687">
        <v>0.16585112799999999</v>
      </c>
      <c r="K687">
        <v>8.9524208303900593E-2</v>
      </c>
      <c r="L687">
        <v>1</v>
      </c>
      <c r="M687">
        <v>3601.9335782070002</v>
      </c>
      <c r="N687">
        <v>176422</v>
      </c>
      <c r="O687">
        <v>0.26596978019634998</v>
      </c>
      <c r="P687" s="5">
        <v>0.19224230790015301</v>
      </c>
      <c r="Q687">
        <v>1</v>
      </c>
      <c r="R687">
        <v>3696.3025295980001</v>
      </c>
      <c r="S687">
        <v>28689</v>
      </c>
      <c r="T687">
        <v>5.8339828610091604E-3</v>
      </c>
      <c r="U687">
        <v>20767</v>
      </c>
      <c r="V687" s="5">
        <v>6.5356771861035903E-2</v>
      </c>
      <c r="W687">
        <v>1</v>
      </c>
      <c r="X687">
        <v>3385.0750269999999</v>
      </c>
      <c r="Y687">
        <v>3034</v>
      </c>
      <c r="Z687">
        <v>2.7269135755421701E-2</v>
      </c>
      <c r="AA687">
        <v>20</v>
      </c>
    </row>
    <row r="688" spans="1:27" x14ac:dyDescent="0.2">
      <c r="A688">
        <v>20</v>
      </c>
      <c r="B688">
        <v>1</v>
      </c>
      <c r="C688">
        <v>0.1</v>
      </c>
      <c r="D688">
        <v>100</v>
      </c>
      <c r="E688">
        <v>0.76718835466069901</v>
      </c>
      <c r="F688">
        <v>1</v>
      </c>
      <c r="G688">
        <v>33.981913194999997</v>
      </c>
      <c r="H688">
        <v>0.66315517873793195</v>
      </c>
      <c r="I688">
        <v>1</v>
      </c>
      <c r="J688">
        <v>0.61048420800000003</v>
      </c>
      <c r="K688">
        <v>1.16013522970642</v>
      </c>
      <c r="L688">
        <v>1</v>
      </c>
      <c r="M688">
        <v>3600.7808496170001</v>
      </c>
      <c r="N688">
        <v>378415</v>
      </c>
      <c r="O688">
        <v>0.43191775426690798</v>
      </c>
      <c r="P688" s="5">
        <v>0.666692675943654</v>
      </c>
      <c r="Q688">
        <v>1</v>
      </c>
      <c r="R688">
        <v>3708.0956045789999</v>
      </c>
      <c r="S688">
        <v>32478</v>
      </c>
      <c r="T688">
        <v>2.2956858107973498E-3</v>
      </c>
      <c r="U688">
        <v>29608</v>
      </c>
      <c r="V688" s="5">
        <v>0.50177517742752797</v>
      </c>
      <c r="W688">
        <v>1</v>
      </c>
      <c r="X688">
        <v>3373.785090198</v>
      </c>
      <c r="Y688">
        <v>22078</v>
      </c>
      <c r="Z688">
        <v>2.8922439525830802E-3</v>
      </c>
      <c r="AA688">
        <v>20</v>
      </c>
    </row>
    <row r="689" spans="1:27" x14ac:dyDescent="0.2">
      <c r="A689">
        <v>20</v>
      </c>
      <c r="B689">
        <v>1</v>
      </c>
      <c r="C689">
        <v>0.1</v>
      </c>
      <c r="D689">
        <v>100</v>
      </c>
      <c r="E689">
        <v>0.70839162617892204</v>
      </c>
      <c r="F689">
        <v>1</v>
      </c>
      <c r="G689">
        <v>28.973183263999999</v>
      </c>
      <c r="H689">
        <v>0.61023868225326106</v>
      </c>
      <c r="I689">
        <v>1</v>
      </c>
      <c r="J689">
        <v>0.578809613</v>
      </c>
      <c r="K689">
        <v>1.2461917201756501</v>
      </c>
      <c r="L689">
        <v>1</v>
      </c>
      <c r="M689">
        <v>3600.9545832130002</v>
      </c>
      <c r="N689">
        <v>197032</v>
      </c>
      <c r="O689">
        <v>0.242142058821574</v>
      </c>
      <c r="P689" s="5">
        <v>0.91677949792520896</v>
      </c>
      <c r="Q689">
        <v>1</v>
      </c>
      <c r="R689">
        <v>3650.9644051499999</v>
      </c>
      <c r="S689">
        <v>38125</v>
      </c>
      <c r="T689">
        <v>2.34593606891272E-3</v>
      </c>
      <c r="U689">
        <v>32125</v>
      </c>
      <c r="V689" s="5">
        <v>0.67973363335900805</v>
      </c>
      <c r="W689">
        <v>1</v>
      </c>
      <c r="X689">
        <v>3343.4120085139998</v>
      </c>
      <c r="Y689">
        <v>18025</v>
      </c>
      <c r="Z689">
        <v>2.22439152105398E-3</v>
      </c>
      <c r="AA689">
        <v>20</v>
      </c>
    </row>
    <row r="690" spans="1:27" x14ac:dyDescent="0.2">
      <c r="A690">
        <v>20</v>
      </c>
      <c r="B690">
        <v>1</v>
      </c>
      <c r="C690">
        <v>0.4</v>
      </c>
      <c r="D690">
        <v>100</v>
      </c>
      <c r="E690">
        <v>1.5748762503557799E-2</v>
      </c>
      <c r="F690">
        <v>1</v>
      </c>
      <c r="G690">
        <v>32.945757589999999</v>
      </c>
      <c r="H690">
        <v>1.8416860791203801E-2</v>
      </c>
      <c r="I690">
        <v>1</v>
      </c>
      <c r="J690">
        <v>0.12013433</v>
      </c>
      <c r="K690">
        <v>1.82316336720518E-2</v>
      </c>
      <c r="L690">
        <v>1</v>
      </c>
      <c r="M690">
        <v>3600.97872607</v>
      </c>
      <c r="N690">
        <v>349668</v>
      </c>
      <c r="O690">
        <v>9.9706068735599701E-2</v>
      </c>
      <c r="P690" s="5">
        <v>1.12294975665662E-2</v>
      </c>
      <c r="Q690">
        <v>1</v>
      </c>
      <c r="R690">
        <v>35.624011805999999</v>
      </c>
      <c r="S690">
        <v>1</v>
      </c>
      <c r="T690">
        <v>5.4064523907886297E-3</v>
      </c>
      <c r="U690">
        <v>5</v>
      </c>
      <c r="V690" s="5">
        <v>1.12294975665662E-2</v>
      </c>
      <c r="W690">
        <v>1</v>
      </c>
      <c r="X690">
        <v>27.5489429</v>
      </c>
      <c r="Y690">
        <v>1</v>
      </c>
      <c r="Z690">
        <v>4.8417086025676001E-3</v>
      </c>
      <c r="AA690">
        <v>1</v>
      </c>
    </row>
    <row r="691" spans="1:27" x14ac:dyDescent="0.2">
      <c r="A691">
        <v>20</v>
      </c>
      <c r="B691">
        <v>1</v>
      </c>
      <c r="C691">
        <v>0.2</v>
      </c>
      <c r="D691">
        <v>100</v>
      </c>
      <c r="E691">
        <v>0.37252369069629498</v>
      </c>
      <c r="F691">
        <v>1</v>
      </c>
      <c r="G691">
        <v>33.989559810000003</v>
      </c>
      <c r="H691">
        <v>0.17170088121028801</v>
      </c>
      <c r="I691">
        <v>1</v>
      </c>
      <c r="J691">
        <v>0.42075690599999999</v>
      </c>
      <c r="K691">
        <v>0.18885295315724299</v>
      </c>
      <c r="L691">
        <v>1</v>
      </c>
      <c r="M691">
        <v>3601.6649249400002</v>
      </c>
      <c r="N691">
        <v>207802</v>
      </c>
      <c r="O691">
        <v>0.42228840709562798</v>
      </c>
      <c r="P691" s="5">
        <v>0.28606529837344902</v>
      </c>
      <c r="Q691">
        <v>1</v>
      </c>
      <c r="R691">
        <v>3683.2227636930002</v>
      </c>
      <c r="S691">
        <v>30433</v>
      </c>
      <c r="T691">
        <v>6.5232071729099898E-3</v>
      </c>
      <c r="U691">
        <v>22758</v>
      </c>
      <c r="V691" s="5">
        <v>0.16830128809751599</v>
      </c>
      <c r="W691">
        <v>1</v>
      </c>
      <c r="X691">
        <v>3256.5089220270002</v>
      </c>
      <c r="Y691">
        <v>5763</v>
      </c>
      <c r="Z691">
        <v>1.3410668342346801E-2</v>
      </c>
      <c r="AA691">
        <v>20</v>
      </c>
    </row>
    <row r="692" spans="1:27" x14ac:dyDescent="0.2">
      <c r="A692">
        <v>20</v>
      </c>
      <c r="B692">
        <v>1</v>
      </c>
      <c r="C692">
        <v>0.3</v>
      </c>
      <c r="D692">
        <v>100</v>
      </c>
      <c r="E692">
        <v>3.7312976370119502E-2</v>
      </c>
      <c r="F692">
        <v>1</v>
      </c>
      <c r="G692">
        <v>32.585735411000002</v>
      </c>
      <c r="H692">
        <v>2.9966062399554998E-2</v>
      </c>
      <c r="I692">
        <v>1</v>
      </c>
      <c r="J692">
        <v>0.111314842</v>
      </c>
      <c r="K692">
        <v>3.8239255241716799E-2</v>
      </c>
      <c r="L692">
        <v>1</v>
      </c>
      <c r="M692">
        <v>3601.085843413</v>
      </c>
      <c r="N692">
        <v>229932</v>
      </c>
      <c r="O692">
        <v>0.31502154673632998</v>
      </c>
      <c r="P692" s="5">
        <v>8.3251637361523703E-2</v>
      </c>
      <c r="Q692">
        <v>1</v>
      </c>
      <c r="R692">
        <v>1548.97896547</v>
      </c>
      <c r="S692">
        <v>13543</v>
      </c>
      <c r="T692">
        <v>4.58769737534048E-3</v>
      </c>
      <c r="U692">
        <v>10200</v>
      </c>
      <c r="V692" s="5">
        <v>2.05279102565494E-2</v>
      </c>
      <c r="W692">
        <v>1</v>
      </c>
      <c r="X692">
        <v>322.12942595099997</v>
      </c>
      <c r="Y692">
        <v>0</v>
      </c>
      <c r="Z692" s="1"/>
      <c r="AA692">
        <v>2</v>
      </c>
    </row>
    <row r="693" spans="1:27" x14ac:dyDescent="0.2">
      <c r="A693">
        <v>20</v>
      </c>
      <c r="B693">
        <v>1</v>
      </c>
      <c r="C693">
        <v>0.3</v>
      </c>
      <c r="D693">
        <v>100</v>
      </c>
      <c r="E693">
        <v>1.48796486719894E-2</v>
      </c>
      <c r="F693">
        <v>1</v>
      </c>
      <c r="G693">
        <v>33.851182735000002</v>
      </c>
      <c r="H693">
        <v>1.78602796842793E-2</v>
      </c>
      <c r="I693">
        <v>1</v>
      </c>
      <c r="J693">
        <v>5.8853454999999999E-2</v>
      </c>
      <c r="K693">
        <v>0.16855074160872199</v>
      </c>
      <c r="L693">
        <v>1</v>
      </c>
      <c r="M693">
        <v>3600.7428175069999</v>
      </c>
      <c r="N693">
        <v>200675</v>
      </c>
      <c r="O693">
        <v>0.26883308960209801</v>
      </c>
      <c r="P693" s="5">
        <v>1.3177219824542299E-2</v>
      </c>
      <c r="Q693">
        <v>1</v>
      </c>
      <c r="R693">
        <v>112.29383559599999</v>
      </c>
      <c r="S693">
        <v>732</v>
      </c>
      <c r="T693">
        <v>1.9222228796908999E-3</v>
      </c>
      <c r="U693">
        <v>534</v>
      </c>
      <c r="V693" s="5">
        <v>1.3177219824542299E-2</v>
      </c>
      <c r="W693">
        <v>1</v>
      </c>
      <c r="X693">
        <v>20.368919771000002</v>
      </c>
      <c r="Y693">
        <v>1</v>
      </c>
      <c r="Z693">
        <v>1.3669476018097701E-3</v>
      </c>
      <c r="AA693">
        <v>1</v>
      </c>
    </row>
    <row r="694" spans="1:27" x14ac:dyDescent="0.2">
      <c r="A694">
        <v>20</v>
      </c>
      <c r="B694">
        <v>1</v>
      </c>
      <c r="C694">
        <v>0.3</v>
      </c>
      <c r="D694">
        <v>100</v>
      </c>
      <c r="E694">
        <v>0.127730791991292</v>
      </c>
      <c r="F694">
        <v>1</v>
      </c>
      <c r="G694">
        <v>30.335545206999999</v>
      </c>
      <c r="H694">
        <v>3.2675717184921398E-2</v>
      </c>
      <c r="I694">
        <v>1</v>
      </c>
      <c r="J694">
        <v>0.191160578</v>
      </c>
      <c r="K694">
        <v>0.73752640923483104</v>
      </c>
      <c r="L694">
        <v>1</v>
      </c>
      <c r="M694">
        <v>3600.5837211190001</v>
      </c>
      <c r="N694">
        <v>197736</v>
      </c>
      <c r="O694">
        <v>9.4744912025086006</v>
      </c>
      <c r="P694" s="5">
        <v>0.142332501330688</v>
      </c>
      <c r="Q694">
        <v>1</v>
      </c>
      <c r="R694">
        <v>3648.0715298539999</v>
      </c>
      <c r="S694">
        <v>34070</v>
      </c>
      <c r="T694">
        <v>5.5648786154901498E-3</v>
      </c>
      <c r="U694">
        <v>22983</v>
      </c>
      <c r="V694" s="5">
        <v>2.9333389703565999E-2</v>
      </c>
      <c r="W694">
        <v>1</v>
      </c>
      <c r="X694">
        <v>287.13115065900001</v>
      </c>
      <c r="Y694">
        <v>0</v>
      </c>
      <c r="Z694" s="1"/>
      <c r="AA694">
        <v>2</v>
      </c>
    </row>
    <row r="695" spans="1:27" x14ac:dyDescent="0.2">
      <c r="A695">
        <v>20</v>
      </c>
      <c r="B695">
        <v>1</v>
      </c>
      <c r="C695">
        <v>0.2</v>
      </c>
      <c r="D695">
        <v>100</v>
      </c>
      <c r="E695">
        <v>0.45273746691231098</v>
      </c>
      <c r="F695">
        <v>1</v>
      </c>
      <c r="G695">
        <v>33.576944028</v>
      </c>
      <c r="H695">
        <v>0.19423436478953901</v>
      </c>
      <c r="I695">
        <v>1</v>
      </c>
      <c r="J695">
        <v>0.37123736499999999</v>
      </c>
      <c r="K695">
        <v>0.73642023580281801</v>
      </c>
      <c r="L695">
        <v>1</v>
      </c>
      <c r="M695">
        <v>3600.903897312</v>
      </c>
      <c r="N695">
        <v>134281</v>
      </c>
      <c r="O695">
        <v>2.1579155682645901</v>
      </c>
      <c r="P695" s="5">
        <v>0.97161858891868003</v>
      </c>
      <c r="Q695">
        <v>1</v>
      </c>
      <c r="R695">
        <v>3717.7510193110002</v>
      </c>
      <c r="S695">
        <v>24645</v>
      </c>
      <c r="T695">
        <v>5.63719449501782E-2</v>
      </c>
      <c r="U695">
        <v>22094</v>
      </c>
      <c r="V695" s="5">
        <v>0.31827045109985302</v>
      </c>
      <c r="W695">
        <v>1</v>
      </c>
      <c r="X695">
        <v>3221.838555282</v>
      </c>
      <c r="Y695">
        <v>3026</v>
      </c>
      <c r="Z695">
        <v>4.1057149486655502E-2</v>
      </c>
      <c r="AA695">
        <v>20</v>
      </c>
    </row>
    <row r="696" spans="1:27" x14ac:dyDescent="0.2">
      <c r="A696">
        <v>20</v>
      </c>
      <c r="B696">
        <v>1</v>
      </c>
      <c r="C696">
        <v>0.1</v>
      </c>
      <c r="D696">
        <v>100</v>
      </c>
      <c r="E696">
        <v>0.66479303599462902</v>
      </c>
      <c r="F696">
        <v>1</v>
      </c>
      <c r="G696">
        <v>37.141376557999997</v>
      </c>
      <c r="H696">
        <v>0.59394186555232098</v>
      </c>
      <c r="I696">
        <v>1</v>
      </c>
      <c r="J696">
        <v>0.80260474800000003</v>
      </c>
      <c r="K696">
        <v>0.71503784273973203</v>
      </c>
      <c r="L696">
        <v>1</v>
      </c>
      <c r="M696">
        <v>3601.3710677600002</v>
      </c>
      <c r="N696">
        <v>135335</v>
      </c>
      <c r="O696">
        <v>0.24714062732596501</v>
      </c>
      <c r="P696" s="5">
        <v>0.59285136037661801</v>
      </c>
      <c r="Q696">
        <v>1</v>
      </c>
      <c r="R696">
        <v>749.79633820699996</v>
      </c>
      <c r="S696">
        <v>5537</v>
      </c>
      <c r="T696">
        <v>6.9494392776128702E-4</v>
      </c>
      <c r="U696">
        <v>5289</v>
      </c>
      <c r="V696" s="5">
        <v>0.63506947596378305</v>
      </c>
      <c r="W696">
        <v>1</v>
      </c>
      <c r="X696">
        <v>3190.4711132769999</v>
      </c>
      <c r="Y696">
        <v>21102</v>
      </c>
      <c r="Z696">
        <v>1.36055676609479E-3</v>
      </c>
      <c r="AA696">
        <v>20</v>
      </c>
    </row>
    <row r="697" spans="1:27" x14ac:dyDescent="0.2">
      <c r="A697">
        <v>20</v>
      </c>
      <c r="B697">
        <v>1</v>
      </c>
      <c r="C697">
        <v>0.4</v>
      </c>
      <c r="D697">
        <v>100</v>
      </c>
      <c r="E697">
        <v>2.0488011268085901E-2</v>
      </c>
      <c r="F697">
        <v>1</v>
      </c>
      <c r="G697">
        <v>35.120285963999997</v>
      </c>
      <c r="H697">
        <v>2.2122258690413101E-2</v>
      </c>
      <c r="I697">
        <v>1</v>
      </c>
      <c r="J697">
        <v>0.17007434499999999</v>
      </c>
      <c r="K697">
        <v>0.15776527571789301</v>
      </c>
      <c r="L697">
        <v>1</v>
      </c>
      <c r="M697">
        <v>3601.5827557379998</v>
      </c>
      <c r="N697">
        <v>161347</v>
      </c>
      <c r="O697">
        <v>0.54397479808508997</v>
      </c>
      <c r="P697" s="5">
        <v>1.47245241465448E-2</v>
      </c>
      <c r="Q697">
        <v>1</v>
      </c>
      <c r="R697">
        <v>834.59515782899996</v>
      </c>
      <c r="S697">
        <v>6722</v>
      </c>
      <c r="T697">
        <v>4.2281676430371198E-3</v>
      </c>
      <c r="U697">
        <v>5044</v>
      </c>
      <c r="V697" s="5">
        <v>1.47245241464429E-2</v>
      </c>
      <c r="W697">
        <v>1</v>
      </c>
      <c r="X697">
        <v>32.518151050999997</v>
      </c>
      <c r="Y697">
        <v>1</v>
      </c>
      <c r="Z697">
        <v>3.6281514652825499E-3</v>
      </c>
      <c r="AA697">
        <v>1</v>
      </c>
    </row>
    <row r="698" spans="1:27" x14ac:dyDescent="0.2">
      <c r="A698">
        <v>20</v>
      </c>
      <c r="B698">
        <v>1</v>
      </c>
      <c r="C698">
        <v>0.1</v>
      </c>
      <c r="D698">
        <v>100</v>
      </c>
      <c r="E698">
        <v>0.69053434871197705</v>
      </c>
      <c r="F698">
        <v>1</v>
      </c>
      <c r="G698">
        <v>32.006819886999999</v>
      </c>
      <c r="H698">
        <v>0.60330250954255105</v>
      </c>
      <c r="I698">
        <v>1</v>
      </c>
      <c r="J698">
        <v>0.324272071</v>
      </c>
      <c r="K698">
        <v>1.00052181446741</v>
      </c>
      <c r="L698">
        <v>1</v>
      </c>
      <c r="M698">
        <v>3600.8917716800001</v>
      </c>
      <c r="N698">
        <v>210630</v>
      </c>
      <c r="O698">
        <v>0.38456635418148599</v>
      </c>
      <c r="P698" s="5">
        <v>1.1451613153556599</v>
      </c>
      <c r="Q698">
        <v>1</v>
      </c>
      <c r="R698">
        <v>3689.8790569930002</v>
      </c>
      <c r="S698">
        <v>37803</v>
      </c>
      <c r="T698">
        <v>3.8068498013026698E-3</v>
      </c>
      <c r="U698">
        <v>30003</v>
      </c>
      <c r="V698" s="5">
        <v>0.69125163378898602</v>
      </c>
      <c r="W698">
        <v>1</v>
      </c>
      <c r="X698">
        <v>3364.62682301</v>
      </c>
      <c r="Y698">
        <v>14763</v>
      </c>
      <c r="Z698">
        <v>3.77246693922972E-3</v>
      </c>
      <c r="AA698">
        <v>20</v>
      </c>
    </row>
    <row r="699" spans="1:27" x14ac:dyDescent="0.2">
      <c r="A699">
        <v>20</v>
      </c>
      <c r="B699">
        <v>1</v>
      </c>
      <c r="C699">
        <v>0.2</v>
      </c>
      <c r="D699">
        <v>100</v>
      </c>
      <c r="E699">
        <v>0.49738178451463599</v>
      </c>
      <c r="F699">
        <v>1</v>
      </c>
      <c r="G699">
        <v>34.518161794999997</v>
      </c>
      <c r="H699">
        <v>0.17179288181990399</v>
      </c>
      <c r="I699">
        <v>1</v>
      </c>
      <c r="J699">
        <v>0.57049520099999995</v>
      </c>
      <c r="K699">
        <v>0.92861972560435402</v>
      </c>
      <c r="L699">
        <v>1</v>
      </c>
      <c r="M699">
        <v>3600.8337233530001</v>
      </c>
      <c r="N699">
        <v>179295</v>
      </c>
      <c r="O699">
        <v>0.38165034677413301</v>
      </c>
      <c r="P699" s="5">
        <v>0.28422710085917102</v>
      </c>
      <c r="Q699">
        <v>1</v>
      </c>
      <c r="R699">
        <v>3671.7215638739999</v>
      </c>
      <c r="S699">
        <v>32722</v>
      </c>
      <c r="T699">
        <v>4.7433853592854201E-3</v>
      </c>
      <c r="U699">
        <v>26196</v>
      </c>
      <c r="V699" s="5">
        <v>0.30321151138805602</v>
      </c>
      <c r="W699">
        <v>1</v>
      </c>
      <c r="X699">
        <v>3459.8544420909998</v>
      </c>
      <c r="Y699">
        <v>13831</v>
      </c>
      <c r="Z699">
        <v>3.6475468560886099E-3</v>
      </c>
      <c r="AA699">
        <v>20</v>
      </c>
    </row>
    <row r="700" spans="1:27" x14ac:dyDescent="0.2">
      <c r="A700">
        <v>20</v>
      </c>
      <c r="B700">
        <v>1</v>
      </c>
      <c r="C700">
        <v>0.4</v>
      </c>
      <c r="D700">
        <v>100</v>
      </c>
      <c r="E700">
        <v>1.3489371033356399E-2</v>
      </c>
      <c r="F700">
        <v>1</v>
      </c>
      <c r="G700">
        <v>41.498398397999999</v>
      </c>
      <c r="H700">
        <v>1.69117075198356E-2</v>
      </c>
      <c r="I700">
        <v>1</v>
      </c>
      <c r="J700">
        <v>0.23511681700000001</v>
      </c>
      <c r="K700">
        <v>0.258998148437728</v>
      </c>
      <c r="L700">
        <v>1</v>
      </c>
      <c r="M700">
        <v>3602.1483271840002</v>
      </c>
      <c r="N700">
        <v>144728</v>
      </c>
      <c r="O700">
        <v>2.5715439197747698</v>
      </c>
      <c r="P700" s="5">
        <v>1.1167138333902499E-2</v>
      </c>
      <c r="Q700">
        <v>1</v>
      </c>
      <c r="R700">
        <v>40.266424868000001</v>
      </c>
      <c r="S700">
        <v>1</v>
      </c>
      <c r="T700">
        <v>5.7728909216745398E-3</v>
      </c>
      <c r="U700">
        <v>4</v>
      </c>
      <c r="V700" s="5">
        <v>1.1167138333902499E-2</v>
      </c>
      <c r="W700">
        <v>1</v>
      </c>
      <c r="X700">
        <v>35.483592827999999</v>
      </c>
      <c r="Y700">
        <v>1</v>
      </c>
      <c r="Z700">
        <v>4.3193760494949496E-3</v>
      </c>
      <c r="AA700">
        <v>1</v>
      </c>
    </row>
    <row r="701" spans="1:27" x14ac:dyDescent="0.2">
      <c r="A701">
        <v>20</v>
      </c>
      <c r="B701">
        <v>1</v>
      </c>
      <c r="C701">
        <v>0.4</v>
      </c>
      <c r="D701">
        <v>100</v>
      </c>
      <c r="E701">
        <v>6.2345607585983003E-2</v>
      </c>
      <c r="F701">
        <v>1</v>
      </c>
      <c r="G701">
        <v>33.913043219000002</v>
      </c>
      <c r="H701">
        <v>3.55425040070722E-2</v>
      </c>
      <c r="I701">
        <v>1</v>
      </c>
      <c r="J701">
        <v>0.21449658399999999</v>
      </c>
      <c r="K701">
        <v>3.5852615452486601E-2</v>
      </c>
      <c r="L701">
        <v>1</v>
      </c>
      <c r="M701">
        <v>3601.0682214950002</v>
      </c>
      <c r="N701">
        <v>267102</v>
      </c>
      <c r="O701">
        <v>0.17155206722753699</v>
      </c>
      <c r="P701" s="5">
        <v>8.2024090565544105E-2</v>
      </c>
      <c r="Q701">
        <v>1</v>
      </c>
      <c r="R701">
        <v>1022.3981201289999</v>
      </c>
      <c r="S701">
        <v>9242</v>
      </c>
      <c r="T701">
        <v>1.42603835139536E-2</v>
      </c>
      <c r="U701">
        <v>6308</v>
      </c>
      <c r="V701" s="5">
        <v>2.7123985471160499E-2</v>
      </c>
      <c r="W701">
        <v>1</v>
      </c>
      <c r="X701">
        <v>1889.849494217</v>
      </c>
      <c r="Y701">
        <v>6570</v>
      </c>
      <c r="Z701">
        <v>8.8901078445082701E-3</v>
      </c>
      <c r="AA701">
        <v>15</v>
      </c>
    </row>
    <row r="702" spans="1:27" x14ac:dyDescent="0.2">
      <c r="A702">
        <v>20</v>
      </c>
      <c r="B702">
        <v>1</v>
      </c>
      <c r="C702">
        <v>0.1</v>
      </c>
      <c r="D702">
        <v>100</v>
      </c>
      <c r="E702">
        <v>0.55053860639821794</v>
      </c>
      <c r="F702">
        <v>1</v>
      </c>
      <c r="G702">
        <v>39.528935419</v>
      </c>
      <c r="H702">
        <v>0.50594246596227299</v>
      </c>
      <c r="I702">
        <v>1</v>
      </c>
      <c r="J702">
        <v>0.79040728000000005</v>
      </c>
      <c r="K702">
        <v>0.38071923595857898</v>
      </c>
      <c r="L702">
        <v>1</v>
      </c>
      <c r="M702">
        <v>3602.7221979790002</v>
      </c>
      <c r="N702">
        <v>120970</v>
      </c>
      <c r="O702">
        <v>0.27063470118846999</v>
      </c>
      <c r="P702" s="5">
        <v>0.41425879547380001</v>
      </c>
      <c r="Q702">
        <v>1</v>
      </c>
      <c r="R702">
        <v>3699.0980767830001</v>
      </c>
      <c r="S702">
        <v>30918</v>
      </c>
      <c r="T702">
        <v>5.22456264832993E-3</v>
      </c>
      <c r="U702">
        <v>24129</v>
      </c>
      <c r="V702" s="5">
        <v>0.75058506516262402</v>
      </c>
      <c r="W702">
        <v>1</v>
      </c>
      <c r="X702">
        <v>3202.2910401250001</v>
      </c>
      <c r="Y702">
        <v>34897</v>
      </c>
      <c r="Z702">
        <v>1.96768079479064E-2</v>
      </c>
      <c r="AA702">
        <v>20</v>
      </c>
    </row>
    <row r="703" spans="1:27" x14ac:dyDescent="0.2">
      <c r="A703">
        <v>20</v>
      </c>
      <c r="B703">
        <v>1</v>
      </c>
      <c r="C703">
        <v>0.2</v>
      </c>
      <c r="D703">
        <v>100</v>
      </c>
      <c r="E703">
        <v>0.37482984281553</v>
      </c>
      <c r="F703">
        <v>1</v>
      </c>
      <c r="G703">
        <v>33.571062726000001</v>
      </c>
      <c r="H703">
        <v>0.252369268071785</v>
      </c>
      <c r="I703">
        <v>1</v>
      </c>
      <c r="J703">
        <v>0.29485167200000001</v>
      </c>
      <c r="K703">
        <v>0.36803696707008199</v>
      </c>
      <c r="L703">
        <v>1</v>
      </c>
      <c r="M703">
        <v>3600.6289140929998</v>
      </c>
      <c r="N703">
        <v>306548</v>
      </c>
      <c r="O703">
        <v>0.37907206959221801</v>
      </c>
      <c r="P703" s="5">
        <v>0.41246618127001999</v>
      </c>
      <c r="Q703">
        <v>1</v>
      </c>
      <c r="R703">
        <v>3651.7417931619998</v>
      </c>
      <c r="S703">
        <v>34906</v>
      </c>
      <c r="T703">
        <v>6.8848142485930797E-3</v>
      </c>
      <c r="U703">
        <v>25683</v>
      </c>
      <c r="V703" s="5">
        <v>0.24797618660697901</v>
      </c>
      <c r="W703">
        <v>1</v>
      </c>
      <c r="X703">
        <v>3390.3831152020002</v>
      </c>
      <c r="Y703">
        <v>5974</v>
      </c>
      <c r="Z703">
        <v>2.2255961086713499E-2</v>
      </c>
      <c r="AA703">
        <v>20</v>
      </c>
    </row>
    <row r="704" spans="1:27" x14ac:dyDescent="0.2">
      <c r="A704">
        <v>20</v>
      </c>
      <c r="B704">
        <v>1</v>
      </c>
      <c r="C704">
        <v>0.3</v>
      </c>
      <c r="D704">
        <v>100</v>
      </c>
      <c r="E704">
        <v>0.30674952338843497</v>
      </c>
      <c r="F704">
        <v>1</v>
      </c>
      <c r="G704">
        <v>33.465255730000003</v>
      </c>
      <c r="H704">
        <v>7.4416791587407896E-2</v>
      </c>
      <c r="I704">
        <v>1</v>
      </c>
      <c r="J704">
        <v>0.66880426199999998</v>
      </c>
      <c r="K704">
        <v>0.26933941921996202</v>
      </c>
      <c r="L704">
        <v>1</v>
      </c>
      <c r="M704">
        <v>3601.1038588060001</v>
      </c>
      <c r="N704">
        <v>251518</v>
      </c>
      <c r="O704">
        <v>1.52074382687078</v>
      </c>
      <c r="P704" s="5">
        <v>0.36312267303418599</v>
      </c>
      <c r="Q704">
        <v>1</v>
      </c>
      <c r="R704">
        <v>3644.4447095320002</v>
      </c>
      <c r="S704">
        <v>20563</v>
      </c>
      <c r="T704">
        <v>4.2583329149626301E-3</v>
      </c>
      <c r="U704">
        <v>15180</v>
      </c>
      <c r="V704" s="5">
        <v>7.1502812441050806E-2</v>
      </c>
      <c r="W704">
        <v>1</v>
      </c>
      <c r="X704">
        <v>3322.8288714680002</v>
      </c>
      <c r="Y704">
        <v>1825</v>
      </c>
      <c r="Z704">
        <v>3.3118552791987603E-2</v>
      </c>
      <c r="AA704">
        <v>20</v>
      </c>
    </row>
    <row r="705" spans="1:27" x14ac:dyDescent="0.2">
      <c r="A705">
        <v>20</v>
      </c>
      <c r="B705">
        <v>1</v>
      </c>
      <c r="C705">
        <v>0.2</v>
      </c>
      <c r="D705">
        <v>100</v>
      </c>
      <c r="E705">
        <v>0.187124997927753</v>
      </c>
      <c r="F705">
        <v>1</v>
      </c>
      <c r="G705">
        <v>35.591793602000003</v>
      </c>
      <c r="H705">
        <v>0.15241811401614799</v>
      </c>
      <c r="I705">
        <v>1</v>
      </c>
      <c r="J705">
        <v>0.53144160900000004</v>
      </c>
      <c r="K705">
        <v>0.38999588266172303</v>
      </c>
      <c r="L705">
        <v>1</v>
      </c>
      <c r="M705">
        <v>3600.873115118</v>
      </c>
      <c r="N705">
        <v>132087</v>
      </c>
      <c r="O705">
        <v>0.11592216619069701</v>
      </c>
      <c r="P705" s="5">
        <v>0.123113292302968</v>
      </c>
      <c r="Q705">
        <v>1</v>
      </c>
      <c r="R705">
        <v>3672.0139549830001</v>
      </c>
      <c r="S705">
        <v>26942</v>
      </c>
      <c r="T705">
        <v>7.6891288783851302E-3</v>
      </c>
      <c r="U705">
        <v>25587</v>
      </c>
      <c r="V705" s="5">
        <v>0.12311329230297501</v>
      </c>
      <c r="W705">
        <v>1</v>
      </c>
      <c r="X705">
        <v>338.656003602</v>
      </c>
      <c r="Y705">
        <v>6648</v>
      </c>
      <c r="Z705">
        <v>6.8101079487003198E-3</v>
      </c>
      <c r="AA705">
        <v>1</v>
      </c>
    </row>
    <row r="706" spans="1:27" x14ac:dyDescent="0.2">
      <c r="A706">
        <v>20</v>
      </c>
      <c r="B706">
        <v>1</v>
      </c>
      <c r="C706">
        <v>0.2</v>
      </c>
      <c r="D706">
        <v>100</v>
      </c>
      <c r="E706">
        <v>0.22337854156037801</v>
      </c>
      <c r="F706">
        <v>1</v>
      </c>
      <c r="G706">
        <v>33.789394725999998</v>
      </c>
      <c r="H706">
        <v>7.3331372502386999E-2</v>
      </c>
      <c r="I706">
        <v>1</v>
      </c>
      <c r="J706">
        <v>0.20970464</v>
      </c>
      <c r="K706">
        <v>8.7420322812243503E-2</v>
      </c>
      <c r="L706">
        <v>1</v>
      </c>
      <c r="M706">
        <v>3600.7653706760002</v>
      </c>
      <c r="N706">
        <v>291488</v>
      </c>
      <c r="O706">
        <v>0.18630937522642901</v>
      </c>
      <c r="P706" s="5">
        <v>0.47435288158188199</v>
      </c>
      <c r="Q706">
        <v>1</v>
      </c>
      <c r="R706">
        <v>2972.3998045110002</v>
      </c>
      <c r="S706">
        <v>29575</v>
      </c>
      <c r="T706">
        <v>4.0708516697449603E-3</v>
      </c>
      <c r="U706">
        <v>22347</v>
      </c>
      <c r="V706" s="5">
        <v>6.9175655668530706E-2</v>
      </c>
      <c r="W706">
        <v>1</v>
      </c>
      <c r="X706">
        <v>3023.9229245249999</v>
      </c>
      <c r="Y706">
        <v>10449</v>
      </c>
      <c r="Z706">
        <v>5.26044501568073E-3</v>
      </c>
      <c r="AA706">
        <v>20</v>
      </c>
    </row>
    <row r="707" spans="1:27" x14ac:dyDescent="0.2">
      <c r="A707">
        <v>20</v>
      </c>
      <c r="B707">
        <v>1</v>
      </c>
      <c r="C707">
        <v>0.3</v>
      </c>
      <c r="D707">
        <v>100</v>
      </c>
      <c r="E707">
        <v>1.22570864663273E-2</v>
      </c>
      <c r="F707">
        <v>1</v>
      </c>
      <c r="G707">
        <v>33.422862121000001</v>
      </c>
      <c r="H707">
        <v>1.49610165444213E-2</v>
      </c>
      <c r="I707">
        <v>1</v>
      </c>
      <c r="J707">
        <v>5.8248121999999999E-2</v>
      </c>
      <c r="K707">
        <v>1.6295755086329002E-2</v>
      </c>
      <c r="L707">
        <v>1</v>
      </c>
      <c r="M707">
        <v>3600.9303005359998</v>
      </c>
      <c r="N707">
        <v>217497</v>
      </c>
      <c r="O707">
        <v>0.18416895119263099</v>
      </c>
      <c r="P707" s="5">
        <v>7.0923892580323195E-2</v>
      </c>
      <c r="Q707">
        <v>1</v>
      </c>
      <c r="R707">
        <v>574.98038032199997</v>
      </c>
      <c r="S707">
        <v>5380</v>
      </c>
      <c r="T707">
        <v>1.6191605239362901E-3</v>
      </c>
      <c r="U707">
        <v>4410</v>
      </c>
      <c r="V707" s="5">
        <v>1.15166576918816E-2</v>
      </c>
      <c r="W707">
        <v>1</v>
      </c>
      <c r="X707">
        <v>21.137989810000001</v>
      </c>
      <c r="Y707">
        <v>1</v>
      </c>
      <c r="Z707">
        <v>2.8936536010045698E-3</v>
      </c>
      <c r="AA707">
        <v>1</v>
      </c>
    </row>
    <row r="708" spans="1:27" x14ac:dyDescent="0.2">
      <c r="A708">
        <v>20</v>
      </c>
      <c r="B708">
        <v>1</v>
      </c>
      <c r="C708">
        <v>0.4</v>
      </c>
      <c r="D708">
        <v>100</v>
      </c>
      <c r="E708">
        <v>1.2230495681117899E-2</v>
      </c>
      <c r="F708">
        <v>1</v>
      </c>
      <c r="G708">
        <v>30.719401788999999</v>
      </c>
      <c r="H708">
        <v>1.61857444628789E-2</v>
      </c>
      <c r="I708">
        <v>1</v>
      </c>
      <c r="J708">
        <v>0.106600784</v>
      </c>
      <c r="K708">
        <v>5.6572225577260403E-2</v>
      </c>
      <c r="L708">
        <v>1</v>
      </c>
      <c r="M708">
        <v>3601.264978999</v>
      </c>
      <c r="N708">
        <v>213923</v>
      </c>
      <c r="O708">
        <v>0.29013083160229503</v>
      </c>
      <c r="P708" s="5">
        <v>1.0973074813611899E-2</v>
      </c>
      <c r="Q708">
        <v>1</v>
      </c>
      <c r="R708">
        <v>35.591485986999999</v>
      </c>
      <c r="S708">
        <v>33</v>
      </c>
      <c r="T708">
        <v>4.2106421095917598E-3</v>
      </c>
      <c r="U708">
        <v>27</v>
      </c>
      <c r="V708" s="5">
        <v>1.09730748135159E-2</v>
      </c>
      <c r="W708">
        <v>1</v>
      </c>
      <c r="X708">
        <v>32.051993836000001</v>
      </c>
      <c r="Y708">
        <v>95</v>
      </c>
      <c r="Z708">
        <v>4.1851528945014904E-3</v>
      </c>
      <c r="AA708">
        <v>1</v>
      </c>
    </row>
    <row r="709" spans="1:27" x14ac:dyDescent="0.2">
      <c r="A709">
        <v>20</v>
      </c>
      <c r="B709">
        <v>1</v>
      </c>
      <c r="C709">
        <v>0.1</v>
      </c>
      <c r="D709">
        <v>100</v>
      </c>
      <c r="E709">
        <v>0.60526931220945501</v>
      </c>
      <c r="F709">
        <v>1</v>
      </c>
      <c r="G709">
        <v>34.961785745999997</v>
      </c>
      <c r="H709">
        <v>0.59485037391060502</v>
      </c>
      <c r="I709">
        <v>1</v>
      </c>
      <c r="J709">
        <v>0.39177488399999999</v>
      </c>
      <c r="K709">
        <v>0.76085332610684198</v>
      </c>
      <c r="L709">
        <v>1</v>
      </c>
      <c r="M709">
        <v>3600.9438483419999</v>
      </c>
      <c r="N709">
        <v>198036</v>
      </c>
      <c r="O709">
        <v>0.49480401243579603</v>
      </c>
      <c r="P709" s="5">
        <v>0.70250341927544102</v>
      </c>
      <c r="Q709">
        <v>1</v>
      </c>
      <c r="R709">
        <v>3690.4519777119999</v>
      </c>
      <c r="S709">
        <v>33691</v>
      </c>
      <c r="T709">
        <v>4.9473799283747998E-3</v>
      </c>
      <c r="U709">
        <v>28060</v>
      </c>
      <c r="V709" s="5">
        <v>0.67588528229131795</v>
      </c>
      <c r="W709">
        <v>1</v>
      </c>
      <c r="X709">
        <v>3179.3403531089998</v>
      </c>
      <c r="Y709">
        <v>8119</v>
      </c>
      <c r="Z709">
        <v>1.0155884696651799E-2</v>
      </c>
      <c r="AA709">
        <v>20</v>
      </c>
    </row>
    <row r="710" spans="1:27" x14ac:dyDescent="0.2">
      <c r="A710">
        <v>20</v>
      </c>
      <c r="B710">
        <v>1</v>
      </c>
      <c r="C710">
        <v>0.3</v>
      </c>
      <c r="D710">
        <v>100</v>
      </c>
      <c r="E710">
        <v>2.0749929036256502E-2</v>
      </c>
      <c r="F710">
        <v>1</v>
      </c>
      <c r="G710">
        <v>33.945720919999999</v>
      </c>
      <c r="H710">
        <v>2.81456365317755E-2</v>
      </c>
      <c r="I710">
        <v>1</v>
      </c>
      <c r="J710">
        <v>6.5914385000000006E-2</v>
      </c>
      <c r="K710">
        <v>0.62535701884867501</v>
      </c>
      <c r="L710">
        <v>1</v>
      </c>
      <c r="M710">
        <v>3600.5806452860002</v>
      </c>
      <c r="N710">
        <v>189239</v>
      </c>
      <c r="O710">
        <v>1.3515222709774799</v>
      </c>
      <c r="P710" s="5">
        <v>5.3117431149972402E-2</v>
      </c>
      <c r="Q710">
        <v>1</v>
      </c>
      <c r="R710">
        <v>3645.9417924069999</v>
      </c>
      <c r="S710">
        <v>44063</v>
      </c>
      <c r="T710">
        <v>2.5242003792535399E-3</v>
      </c>
      <c r="U710">
        <v>27328</v>
      </c>
      <c r="V710" s="5">
        <v>3.8019209269568699E-2</v>
      </c>
      <c r="W710">
        <v>1</v>
      </c>
      <c r="X710">
        <v>147.10539571300001</v>
      </c>
      <c r="Y710">
        <v>5846</v>
      </c>
      <c r="Z710">
        <v>1.3584577042180801E-3</v>
      </c>
      <c r="AA710">
        <v>1</v>
      </c>
    </row>
    <row r="711" spans="1:27" x14ac:dyDescent="0.2">
      <c r="A711">
        <v>20</v>
      </c>
      <c r="B711">
        <v>1</v>
      </c>
      <c r="C711">
        <v>0.2</v>
      </c>
      <c r="D711">
        <v>100</v>
      </c>
      <c r="E711">
        <v>0.21077085654727501</v>
      </c>
      <c r="F711">
        <v>1</v>
      </c>
      <c r="G711">
        <v>33.779046043000001</v>
      </c>
      <c r="H711">
        <v>0.178227079131037</v>
      </c>
      <c r="I711">
        <v>1</v>
      </c>
      <c r="J711">
        <v>0.134151929</v>
      </c>
      <c r="K711">
        <v>0.19162497151847899</v>
      </c>
      <c r="L711">
        <v>1</v>
      </c>
      <c r="M711">
        <v>3601.1549778079998</v>
      </c>
      <c r="N711">
        <v>225739</v>
      </c>
      <c r="O711">
        <v>0.15120231838494599</v>
      </c>
      <c r="P711" s="5">
        <v>0.324277545360321</v>
      </c>
      <c r="Q711">
        <v>1</v>
      </c>
      <c r="R711">
        <v>3651.9486016380001</v>
      </c>
      <c r="S711">
        <v>33695</v>
      </c>
      <c r="T711">
        <v>2.93751936326641E-3</v>
      </c>
      <c r="U711">
        <v>27007</v>
      </c>
      <c r="V711" s="5">
        <v>0.21613640908290799</v>
      </c>
      <c r="W711">
        <v>1</v>
      </c>
      <c r="X711">
        <v>3273.6919991549998</v>
      </c>
      <c r="Y711">
        <v>10735</v>
      </c>
      <c r="Z711">
        <v>3.5471566409127899E-3</v>
      </c>
      <c r="AA711">
        <v>20</v>
      </c>
    </row>
    <row r="712" spans="1:27" x14ac:dyDescent="0.2">
      <c r="A712">
        <v>20</v>
      </c>
      <c r="B712">
        <v>1</v>
      </c>
      <c r="C712">
        <v>0.4</v>
      </c>
      <c r="D712">
        <v>100</v>
      </c>
      <c r="E712">
        <v>0.117654831985255</v>
      </c>
      <c r="F712">
        <v>1</v>
      </c>
      <c r="G712">
        <v>34.719378814999999</v>
      </c>
      <c r="H712">
        <v>3.3415288392248901E-2</v>
      </c>
      <c r="I712">
        <v>1</v>
      </c>
      <c r="J712">
        <v>0.18547261100000001</v>
      </c>
      <c r="K712">
        <v>0.12303631641057899</v>
      </c>
      <c r="L712">
        <v>1</v>
      </c>
      <c r="M712">
        <v>3602.0787655140002</v>
      </c>
      <c r="N712">
        <v>201488</v>
      </c>
      <c r="O712">
        <v>0.96364584917617901</v>
      </c>
      <c r="P712" s="5">
        <v>0.12492977527980401</v>
      </c>
      <c r="Q712">
        <v>1</v>
      </c>
      <c r="R712">
        <v>1291.2625475039999</v>
      </c>
      <c r="S712">
        <v>6986</v>
      </c>
      <c r="T712">
        <v>5.1281676927312702E-3</v>
      </c>
      <c r="U712">
        <v>5826</v>
      </c>
      <c r="V712" s="5">
        <v>2.97128829937701E-2</v>
      </c>
      <c r="W712">
        <v>1</v>
      </c>
      <c r="X712">
        <v>305.60346777900003</v>
      </c>
      <c r="Y712">
        <v>0</v>
      </c>
      <c r="Z712" s="1"/>
      <c r="AA712">
        <v>3</v>
      </c>
    </row>
    <row r="713" spans="1:27" x14ac:dyDescent="0.2">
      <c r="A713">
        <v>20</v>
      </c>
      <c r="B713">
        <v>1</v>
      </c>
      <c r="C713">
        <v>0.1</v>
      </c>
      <c r="D713">
        <v>100</v>
      </c>
      <c r="E713">
        <v>0.61205830100065195</v>
      </c>
      <c r="F713">
        <v>1</v>
      </c>
      <c r="G713">
        <v>38.361709537000003</v>
      </c>
      <c r="H713">
        <v>0.57400889875225003</v>
      </c>
      <c r="I713">
        <v>1</v>
      </c>
      <c r="J713">
        <v>0.48294399599999999</v>
      </c>
      <c r="K713">
        <v>0.65363911613738601</v>
      </c>
      <c r="L713">
        <v>1</v>
      </c>
      <c r="M713">
        <v>3602.368172858</v>
      </c>
      <c r="N713">
        <v>141508</v>
      </c>
      <c r="O713">
        <v>7.3861431685217693E-2</v>
      </c>
      <c r="P713" s="5">
        <v>0.57066589213619401</v>
      </c>
      <c r="Q713">
        <v>1</v>
      </c>
      <c r="R713">
        <v>3670.3772001369998</v>
      </c>
      <c r="S713">
        <v>33505</v>
      </c>
      <c r="T713">
        <v>3.0767530986276E-4</v>
      </c>
      <c r="U713">
        <v>27386</v>
      </c>
      <c r="V713" s="5">
        <v>0.58356142091442798</v>
      </c>
      <c r="W713">
        <v>1</v>
      </c>
      <c r="X713">
        <v>3355.7983106709999</v>
      </c>
      <c r="Y713">
        <v>40812</v>
      </c>
      <c r="Z713">
        <v>6.3686351441651697E-4</v>
      </c>
      <c r="AA713">
        <v>20</v>
      </c>
    </row>
    <row r="714" spans="1:27" x14ac:dyDescent="0.2">
      <c r="A714">
        <v>20</v>
      </c>
      <c r="B714">
        <v>1</v>
      </c>
      <c r="C714">
        <v>0.4</v>
      </c>
      <c r="D714">
        <v>100</v>
      </c>
      <c r="E714">
        <v>1.5184376337884799E-2</v>
      </c>
      <c r="F714">
        <v>1</v>
      </c>
      <c r="G714">
        <v>32.608199601999999</v>
      </c>
      <c r="H714">
        <v>2.3728800932306299E-2</v>
      </c>
      <c r="I714">
        <v>1</v>
      </c>
      <c r="J714">
        <v>0.17694172999999999</v>
      </c>
      <c r="K714">
        <v>0.65745062852773795</v>
      </c>
      <c r="L714">
        <v>1</v>
      </c>
      <c r="M714">
        <v>3600.9740966009999</v>
      </c>
      <c r="N714">
        <v>197162</v>
      </c>
      <c r="O714">
        <v>4.28028535768944</v>
      </c>
      <c r="P714" s="5">
        <v>3.9693946352077097E-2</v>
      </c>
      <c r="Q714">
        <v>1</v>
      </c>
      <c r="R714">
        <v>886.86017080199997</v>
      </c>
      <c r="S714">
        <v>6910</v>
      </c>
      <c r="T714">
        <v>6.6126586578300001E-3</v>
      </c>
      <c r="U714">
        <v>4882</v>
      </c>
      <c r="V714" s="5">
        <v>1.8675497439508498E-2</v>
      </c>
      <c r="W714">
        <v>1</v>
      </c>
      <c r="X714">
        <v>73.967732494000003</v>
      </c>
      <c r="Y714">
        <v>950</v>
      </c>
      <c r="Z714">
        <v>6.9015880250514697E-3</v>
      </c>
      <c r="AA714">
        <v>1</v>
      </c>
    </row>
    <row r="715" spans="1:27" x14ac:dyDescent="0.2">
      <c r="A715">
        <v>20</v>
      </c>
      <c r="B715">
        <v>1</v>
      </c>
      <c r="C715">
        <v>0.4</v>
      </c>
      <c r="D715">
        <v>100</v>
      </c>
      <c r="E715">
        <v>0.31635992928885898</v>
      </c>
      <c r="F715">
        <v>1</v>
      </c>
      <c r="G715">
        <v>33.657053926000003</v>
      </c>
      <c r="H715">
        <v>6.1835549311237199E-2</v>
      </c>
      <c r="I715">
        <v>1</v>
      </c>
      <c r="J715">
        <v>0.27250964500000002</v>
      </c>
      <c r="K715">
        <v>0.20969986797797499</v>
      </c>
      <c r="L715">
        <v>1</v>
      </c>
      <c r="M715">
        <v>3601.0133295609999</v>
      </c>
      <c r="N715">
        <v>210678</v>
      </c>
      <c r="O715">
        <v>1.7606071299325601</v>
      </c>
      <c r="P715" s="5">
        <v>0.23173526270838801</v>
      </c>
      <c r="Q715">
        <v>1</v>
      </c>
      <c r="R715">
        <v>3716.746397204</v>
      </c>
      <c r="S715">
        <v>28715</v>
      </c>
      <c r="T715">
        <v>1.0293226537010499E-2</v>
      </c>
      <c r="U715">
        <v>21358</v>
      </c>
      <c r="V715" s="5">
        <v>5.4772859770274497E-2</v>
      </c>
      <c r="W715">
        <v>1</v>
      </c>
      <c r="X715">
        <v>3385.5067387559998</v>
      </c>
      <c r="Y715">
        <v>2339</v>
      </c>
      <c r="Z715">
        <v>7.8410516647679507E-2</v>
      </c>
      <c r="AA715">
        <v>20</v>
      </c>
    </row>
    <row r="716" spans="1:27" x14ac:dyDescent="0.2">
      <c r="A716">
        <v>20</v>
      </c>
      <c r="B716">
        <v>1</v>
      </c>
      <c r="C716">
        <v>0.3</v>
      </c>
      <c r="D716">
        <v>100</v>
      </c>
      <c r="E716">
        <v>8.02899664043671E-2</v>
      </c>
      <c r="F716">
        <v>1</v>
      </c>
      <c r="G716">
        <v>31.229888859999999</v>
      </c>
      <c r="H716">
        <v>4.7204111764038499E-2</v>
      </c>
      <c r="I716">
        <v>1</v>
      </c>
      <c r="J716">
        <v>0.110889707</v>
      </c>
      <c r="K716">
        <v>4.8757279080823397E-2</v>
      </c>
      <c r="L716">
        <v>1</v>
      </c>
      <c r="M716">
        <v>3600.9749862210001</v>
      </c>
      <c r="N716">
        <v>281310</v>
      </c>
      <c r="O716">
        <v>0.109020927580672</v>
      </c>
      <c r="P716" s="5">
        <v>9.6122046790376406E-2</v>
      </c>
      <c r="Q716">
        <v>1</v>
      </c>
      <c r="R716">
        <v>828.53344752099997</v>
      </c>
      <c r="S716">
        <v>4870</v>
      </c>
      <c r="T716">
        <v>7.4043517671762401E-3</v>
      </c>
      <c r="U716">
        <v>3946</v>
      </c>
      <c r="V716" s="5">
        <v>3.5017299675488098E-2</v>
      </c>
      <c r="W716">
        <v>1</v>
      </c>
      <c r="X716">
        <v>32.715759071999997</v>
      </c>
      <c r="Y716">
        <v>1</v>
      </c>
      <c r="Z716">
        <v>7.3881398735419204E-3</v>
      </c>
      <c r="AA716">
        <v>1</v>
      </c>
    </row>
    <row r="717" spans="1:27" x14ac:dyDescent="0.2">
      <c r="A717">
        <v>20</v>
      </c>
      <c r="B717">
        <v>1</v>
      </c>
      <c r="C717">
        <v>0.2</v>
      </c>
      <c r="D717">
        <v>100</v>
      </c>
      <c r="E717">
        <v>0.337773536386197</v>
      </c>
      <c r="F717">
        <v>1</v>
      </c>
      <c r="G717">
        <v>32.184928421000002</v>
      </c>
      <c r="H717">
        <v>0.13301738079359601</v>
      </c>
      <c r="I717">
        <v>1</v>
      </c>
      <c r="J717">
        <v>0.57934620599999997</v>
      </c>
      <c r="K717">
        <v>0.31798812494835998</v>
      </c>
      <c r="L717">
        <v>1</v>
      </c>
      <c r="M717">
        <v>3600.6457816709999</v>
      </c>
      <c r="N717">
        <v>317989</v>
      </c>
      <c r="O717">
        <v>0.57980474791568803</v>
      </c>
      <c r="P717" s="5">
        <v>0.43998763993074202</v>
      </c>
      <c r="Q717">
        <v>1</v>
      </c>
      <c r="R717">
        <v>3638.5889780020002</v>
      </c>
      <c r="S717">
        <v>33904</v>
      </c>
      <c r="T717">
        <v>5.3692759893693102E-3</v>
      </c>
      <c r="U717">
        <v>25412</v>
      </c>
      <c r="V717" s="5">
        <v>0.30913483054359298</v>
      </c>
      <c r="W717">
        <v>1</v>
      </c>
      <c r="X717">
        <v>3370.22579976</v>
      </c>
      <c r="Y717">
        <v>7427</v>
      </c>
      <c r="Z717">
        <v>2.35658800930659E-2</v>
      </c>
      <c r="AA717">
        <v>20</v>
      </c>
    </row>
    <row r="718" spans="1:27" x14ac:dyDescent="0.2">
      <c r="A718">
        <v>20</v>
      </c>
      <c r="B718">
        <v>1</v>
      </c>
      <c r="C718">
        <v>0.3</v>
      </c>
      <c r="D718">
        <v>100</v>
      </c>
      <c r="E718">
        <v>7.0728340055516703E-2</v>
      </c>
      <c r="F718">
        <v>1</v>
      </c>
      <c r="G718">
        <v>32.82196785</v>
      </c>
      <c r="H718">
        <v>2.8600418864651499E-2</v>
      </c>
      <c r="I718">
        <v>1</v>
      </c>
      <c r="J718">
        <v>0.16678407200000001</v>
      </c>
      <c r="K718">
        <v>0.154848014723173</v>
      </c>
      <c r="L718">
        <v>1</v>
      </c>
      <c r="M718">
        <v>3600.5993749160002</v>
      </c>
      <c r="N718">
        <v>301838</v>
      </c>
      <c r="O718">
        <v>0.477081936421824</v>
      </c>
      <c r="P718" s="5">
        <v>7.1616225379115703E-2</v>
      </c>
      <c r="Q718">
        <v>1</v>
      </c>
      <c r="R718">
        <v>3656.6332853560002</v>
      </c>
      <c r="S718">
        <v>27914</v>
      </c>
      <c r="T718">
        <v>4.9390209268011503E-3</v>
      </c>
      <c r="U718">
        <v>19793</v>
      </c>
      <c r="V718" s="5">
        <v>2.47708114073701E-2</v>
      </c>
      <c r="W718">
        <v>1</v>
      </c>
      <c r="X718">
        <v>139.68615590499999</v>
      </c>
      <c r="Y718">
        <v>2034</v>
      </c>
      <c r="Z718">
        <v>2.4689955569249201E-3</v>
      </c>
      <c r="AA718">
        <v>1</v>
      </c>
    </row>
    <row r="719" spans="1:27" x14ac:dyDescent="0.2">
      <c r="A719">
        <v>20</v>
      </c>
      <c r="B719">
        <v>1</v>
      </c>
      <c r="C719">
        <v>0.3</v>
      </c>
      <c r="D719">
        <v>100</v>
      </c>
      <c r="E719">
        <v>0.21116931936907199</v>
      </c>
      <c r="F719">
        <v>1</v>
      </c>
      <c r="G719">
        <v>39.998912222999998</v>
      </c>
      <c r="H719">
        <v>6.0198029805147102E-2</v>
      </c>
      <c r="I719">
        <v>1</v>
      </c>
      <c r="J719">
        <v>0.33370981199999999</v>
      </c>
      <c r="K719">
        <v>0.123699762626405</v>
      </c>
      <c r="L719">
        <v>1</v>
      </c>
      <c r="M719">
        <v>3603.2100218400001</v>
      </c>
      <c r="N719">
        <v>97219</v>
      </c>
      <c r="O719">
        <v>0.584848084759231</v>
      </c>
      <c r="P719" s="5">
        <v>0.20499630946015299</v>
      </c>
      <c r="Q719">
        <v>1</v>
      </c>
      <c r="R719">
        <v>3762.6282021299999</v>
      </c>
      <c r="S719">
        <v>28009</v>
      </c>
      <c r="T719">
        <v>1.5857292010007601E-2</v>
      </c>
      <c r="U719">
        <v>22294</v>
      </c>
      <c r="V719" s="5">
        <v>5.48046519845036E-2</v>
      </c>
      <c r="W719">
        <v>1</v>
      </c>
      <c r="X719">
        <v>3325.2219610870002</v>
      </c>
      <c r="Y719">
        <v>7645</v>
      </c>
      <c r="Z719">
        <v>1.07171917293326E-2</v>
      </c>
      <c r="AA719">
        <v>20</v>
      </c>
    </row>
    <row r="720" spans="1:27" x14ac:dyDescent="0.2">
      <c r="A720">
        <v>20</v>
      </c>
      <c r="B720">
        <v>1</v>
      </c>
      <c r="C720">
        <v>0.1</v>
      </c>
      <c r="D720">
        <v>100</v>
      </c>
      <c r="E720">
        <v>0.90511615463013495</v>
      </c>
      <c r="F720">
        <v>1</v>
      </c>
      <c r="G720">
        <v>33.366527898000001</v>
      </c>
      <c r="H720">
        <v>0.86964962820996405</v>
      </c>
      <c r="I720">
        <v>1</v>
      </c>
      <c r="J720">
        <v>0.39023608799999998</v>
      </c>
      <c r="K720">
        <v>0.90963248014362497</v>
      </c>
      <c r="L720">
        <v>1</v>
      </c>
      <c r="M720">
        <v>3601.3168815690001</v>
      </c>
      <c r="N720">
        <v>220430</v>
      </c>
      <c r="O720">
        <v>2.2723989161647602E-2</v>
      </c>
      <c r="P720" s="5">
        <v>0.86965850950339296</v>
      </c>
      <c r="Q720">
        <v>1</v>
      </c>
      <c r="R720">
        <v>3701.5258105170001</v>
      </c>
      <c r="S720">
        <v>34095</v>
      </c>
      <c r="T720">
        <v>1.52519138726111E-2</v>
      </c>
      <c r="U720">
        <v>34086</v>
      </c>
      <c r="V720" s="5">
        <v>0.94796591924098506</v>
      </c>
      <c r="W720">
        <v>1</v>
      </c>
      <c r="X720">
        <v>423.54680069199998</v>
      </c>
      <c r="Y720">
        <v>1</v>
      </c>
      <c r="Z720">
        <v>3.9464117427293998E-4</v>
      </c>
      <c r="AA720">
        <v>7</v>
      </c>
    </row>
    <row r="721" spans="1:27" x14ac:dyDescent="0.2">
      <c r="A721">
        <v>20</v>
      </c>
      <c r="B721">
        <v>1</v>
      </c>
      <c r="C721">
        <v>0.1</v>
      </c>
      <c r="D721">
        <v>100</v>
      </c>
      <c r="E721">
        <v>0.61034355518767003</v>
      </c>
      <c r="F721">
        <v>1</v>
      </c>
      <c r="G721">
        <v>35.065698273000002</v>
      </c>
      <c r="H721">
        <v>0.56509338094067896</v>
      </c>
      <c r="I721">
        <v>1</v>
      </c>
      <c r="J721">
        <v>0.44024791299999999</v>
      </c>
      <c r="K721">
        <v>0.70921026711415702</v>
      </c>
      <c r="L721">
        <v>1</v>
      </c>
      <c r="M721">
        <v>3600.5220581530002</v>
      </c>
      <c r="N721">
        <v>237563</v>
      </c>
      <c r="O721">
        <v>5.7661174341182203E-2</v>
      </c>
      <c r="P721" s="5">
        <v>0.62594013308912999</v>
      </c>
      <c r="Q721">
        <v>1</v>
      </c>
      <c r="R721">
        <v>3634.1072791279998</v>
      </c>
      <c r="S721">
        <v>43170</v>
      </c>
      <c r="T721">
        <v>8.9177871719352199E-4</v>
      </c>
      <c r="U721">
        <v>32821</v>
      </c>
      <c r="V721" s="5">
        <v>0.64774050759232704</v>
      </c>
      <c r="W721">
        <v>1</v>
      </c>
      <c r="X721">
        <v>3292.9186656669999</v>
      </c>
      <c r="Y721">
        <v>20613</v>
      </c>
      <c r="Z721">
        <v>1.4044150824620201E-3</v>
      </c>
      <c r="AA721">
        <v>20</v>
      </c>
    </row>
    <row r="722" spans="1:27" x14ac:dyDescent="0.2">
      <c r="A722">
        <v>20</v>
      </c>
      <c r="B722">
        <v>1</v>
      </c>
      <c r="C722">
        <v>0.2</v>
      </c>
      <c r="D722">
        <v>100</v>
      </c>
      <c r="E722">
        <v>0.14163793000130101</v>
      </c>
      <c r="F722">
        <v>1</v>
      </c>
      <c r="G722">
        <v>32.395195289999997</v>
      </c>
      <c r="H722">
        <v>0.103780932123733</v>
      </c>
      <c r="I722">
        <v>1</v>
      </c>
      <c r="J722">
        <v>0.301051448</v>
      </c>
      <c r="K722">
        <v>9.3507339383535004E-2</v>
      </c>
      <c r="L722">
        <v>1</v>
      </c>
      <c r="M722">
        <v>3600.9055029669998</v>
      </c>
      <c r="N722">
        <v>197633</v>
      </c>
      <c r="O722">
        <v>0.36987150650328698</v>
      </c>
      <c r="P722" s="5">
        <v>0.14083494894033999</v>
      </c>
      <c r="Q722">
        <v>1</v>
      </c>
      <c r="R722">
        <v>3644.7932722179999</v>
      </c>
      <c r="S722">
        <v>39697</v>
      </c>
      <c r="T722">
        <v>8.1670342639842408E-3</v>
      </c>
      <c r="U722">
        <v>27807</v>
      </c>
      <c r="V722" s="5">
        <v>7.4565356557849405E-2</v>
      </c>
      <c r="W722">
        <v>1</v>
      </c>
      <c r="X722">
        <v>3300.9286150570001</v>
      </c>
      <c r="Y722">
        <v>7574</v>
      </c>
      <c r="Z722">
        <v>9.2085319243138102E-3</v>
      </c>
      <c r="AA722">
        <v>20</v>
      </c>
    </row>
    <row r="723" spans="1:27" x14ac:dyDescent="0.2">
      <c r="A723">
        <v>20</v>
      </c>
      <c r="B723">
        <v>1</v>
      </c>
      <c r="C723">
        <v>0.1</v>
      </c>
      <c r="D723">
        <v>100</v>
      </c>
      <c r="E723">
        <v>0.80995703964285803</v>
      </c>
      <c r="F723">
        <v>1</v>
      </c>
      <c r="G723">
        <v>33.725057569000001</v>
      </c>
      <c r="H723">
        <v>0.54226105296219096</v>
      </c>
      <c r="I723">
        <v>1</v>
      </c>
      <c r="J723">
        <v>0.73007323000000002</v>
      </c>
      <c r="K723">
        <v>0.922121892358719</v>
      </c>
      <c r="L723">
        <v>1</v>
      </c>
      <c r="M723">
        <v>3600.9594169870002</v>
      </c>
      <c r="N723">
        <v>106881</v>
      </c>
      <c r="O723">
        <v>9.8449981855274801E-2</v>
      </c>
      <c r="P723" s="5">
        <v>1.06538974288342</v>
      </c>
      <c r="Q723">
        <v>1</v>
      </c>
      <c r="R723">
        <v>3670.7247112619998</v>
      </c>
      <c r="S723">
        <v>37921</v>
      </c>
      <c r="T723">
        <v>1.83593594427634E-3</v>
      </c>
      <c r="U723">
        <v>30353</v>
      </c>
      <c r="V723" s="5">
        <v>0.59972979414554095</v>
      </c>
      <c r="W723">
        <v>1</v>
      </c>
      <c r="X723">
        <v>3221.2147497440001</v>
      </c>
      <c r="Y723">
        <v>22986</v>
      </c>
      <c r="Z723">
        <v>5.4992038694563301E-3</v>
      </c>
      <c r="AA723">
        <v>20</v>
      </c>
    </row>
    <row r="724" spans="1:27" x14ac:dyDescent="0.2">
      <c r="A724">
        <v>20</v>
      </c>
      <c r="B724">
        <v>1</v>
      </c>
      <c r="C724">
        <v>0.3</v>
      </c>
      <c r="D724">
        <v>100</v>
      </c>
      <c r="E724">
        <v>0.18371287852158</v>
      </c>
      <c r="F724">
        <v>1</v>
      </c>
      <c r="G724">
        <v>33.108648430000002</v>
      </c>
      <c r="H724">
        <v>7.9505356461038207E-2</v>
      </c>
      <c r="I724">
        <v>1</v>
      </c>
      <c r="J724">
        <v>0.27919733600000002</v>
      </c>
      <c r="K724">
        <v>8.0820003324305195E-2</v>
      </c>
      <c r="L724">
        <v>1</v>
      </c>
      <c r="M724">
        <v>3601.143696781</v>
      </c>
      <c r="N724">
        <v>296424</v>
      </c>
      <c r="O724">
        <v>0.308106586822887</v>
      </c>
      <c r="P724" s="5">
        <v>0.242979869425126</v>
      </c>
      <c r="Q724">
        <v>1</v>
      </c>
      <c r="R724">
        <v>3657.2151501220001</v>
      </c>
      <c r="S724">
        <v>37609</v>
      </c>
      <c r="T724">
        <v>1.1183766661602101E-2</v>
      </c>
      <c r="U724">
        <v>25392</v>
      </c>
      <c r="V724" s="5">
        <v>7.4748975403487405E-2</v>
      </c>
      <c r="W724">
        <v>1</v>
      </c>
      <c r="X724">
        <v>3365.2136279219999</v>
      </c>
      <c r="Y724">
        <v>4108</v>
      </c>
      <c r="Z724">
        <v>6.8121628579238896E-2</v>
      </c>
      <c r="AA724">
        <v>20</v>
      </c>
    </row>
    <row r="725" spans="1:27" x14ac:dyDescent="0.2">
      <c r="A725">
        <v>20</v>
      </c>
      <c r="B725">
        <v>1</v>
      </c>
      <c r="C725">
        <v>0.3</v>
      </c>
      <c r="D725">
        <v>100</v>
      </c>
      <c r="E725">
        <v>0.12685733093764501</v>
      </c>
      <c r="F725">
        <v>1</v>
      </c>
      <c r="G725">
        <v>34.034568899</v>
      </c>
      <c r="H725">
        <v>0.138641112829266</v>
      </c>
      <c r="I725">
        <v>1</v>
      </c>
      <c r="J725">
        <v>0.15941596099999999</v>
      </c>
      <c r="K725">
        <v>0.178088669831476</v>
      </c>
      <c r="L725">
        <v>1</v>
      </c>
      <c r="M725">
        <v>3600.8147124349998</v>
      </c>
      <c r="N725">
        <v>192868</v>
      </c>
      <c r="O725">
        <v>0.98093536329940201</v>
      </c>
      <c r="P725" s="5">
        <v>0.105263823953942</v>
      </c>
      <c r="Q725">
        <v>1</v>
      </c>
      <c r="R725">
        <v>1257.0309531790001</v>
      </c>
      <c r="S725">
        <v>10517</v>
      </c>
      <c r="T725">
        <v>4.7281625019329702E-3</v>
      </c>
      <c r="U725">
        <v>9073</v>
      </c>
      <c r="V725" s="5">
        <v>0.106759154817756</v>
      </c>
      <c r="W725">
        <v>1</v>
      </c>
      <c r="X725">
        <v>3059.922157344</v>
      </c>
      <c r="Y725">
        <v>4313</v>
      </c>
      <c r="Z725">
        <v>1.27244197792034E-2</v>
      </c>
      <c r="AA725">
        <v>20</v>
      </c>
    </row>
    <row r="726" spans="1:27" x14ac:dyDescent="0.2">
      <c r="A726">
        <v>20</v>
      </c>
      <c r="B726">
        <v>1</v>
      </c>
      <c r="C726">
        <v>0.1</v>
      </c>
      <c r="D726">
        <v>100</v>
      </c>
      <c r="E726">
        <v>0.68642088331906403</v>
      </c>
      <c r="F726">
        <v>1</v>
      </c>
      <c r="G726">
        <v>31.085749543999999</v>
      </c>
      <c r="H726">
        <v>0.53975668381136799</v>
      </c>
      <c r="I726">
        <v>1</v>
      </c>
      <c r="J726">
        <v>0.87454081500000003</v>
      </c>
      <c r="K726">
        <v>1.2015873840243001</v>
      </c>
      <c r="L726">
        <v>1</v>
      </c>
      <c r="M726">
        <v>3600.7656456959999</v>
      </c>
      <c r="N726">
        <v>212492</v>
      </c>
      <c r="O726">
        <v>0.285443019069201</v>
      </c>
      <c r="P726" s="5">
        <v>1.0503981304635199</v>
      </c>
      <c r="Q726">
        <v>1</v>
      </c>
      <c r="R726">
        <v>3643.9304190180001</v>
      </c>
      <c r="S726">
        <v>33937</v>
      </c>
      <c r="T726">
        <v>2.4659855302044602E-3</v>
      </c>
      <c r="U726">
        <v>28447</v>
      </c>
      <c r="V726" s="5">
        <v>0.472350767288999</v>
      </c>
      <c r="W726">
        <v>1</v>
      </c>
      <c r="X726">
        <v>3359.6728698339998</v>
      </c>
      <c r="Y726">
        <v>15364</v>
      </c>
      <c r="Z726">
        <v>3.2114557633776599E-3</v>
      </c>
      <c r="AA726">
        <v>20</v>
      </c>
    </row>
    <row r="727" spans="1:27" x14ac:dyDescent="0.2">
      <c r="A727">
        <v>20</v>
      </c>
      <c r="B727">
        <v>1</v>
      </c>
      <c r="C727">
        <v>0.2</v>
      </c>
      <c r="D727">
        <v>100</v>
      </c>
      <c r="E727">
        <v>0.36257604456957399</v>
      </c>
      <c r="F727">
        <v>1</v>
      </c>
      <c r="G727">
        <v>40.558826170000003</v>
      </c>
      <c r="H727">
        <v>0.159120189600859</v>
      </c>
      <c r="I727">
        <v>1</v>
      </c>
      <c r="J727">
        <v>0.52970974400000004</v>
      </c>
      <c r="K727">
        <v>1.1996554330240401</v>
      </c>
      <c r="L727">
        <v>1</v>
      </c>
      <c r="M727">
        <v>3602.7108531819999</v>
      </c>
      <c r="N727">
        <v>84988</v>
      </c>
      <c r="O727">
        <v>1.4844088831512301</v>
      </c>
      <c r="P727" s="5">
        <v>0.30663534003730902</v>
      </c>
      <c r="Q727">
        <v>1</v>
      </c>
      <c r="R727">
        <v>3649.0743554790001</v>
      </c>
      <c r="S727">
        <v>35567</v>
      </c>
      <c r="T727">
        <v>8.3531335301916202E-3</v>
      </c>
      <c r="U727">
        <v>22755</v>
      </c>
      <c r="V727" s="5">
        <v>0.152359296414284</v>
      </c>
      <c r="W727">
        <v>1</v>
      </c>
      <c r="X727">
        <v>3384.6794571380001</v>
      </c>
      <c r="Y727">
        <v>4265</v>
      </c>
      <c r="Z727">
        <v>2.7462046311086799E-2</v>
      </c>
      <c r="AA727">
        <v>20</v>
      </c>
    </row>
    <row r="728" spans="1:27" x14ac:dyDescent="0.2">
      <c r="A728">
        <v>20</v>
      </c>
      <c r="B728">
        <v>1</v>
      </c>
      <c r="C728">
        <v>0.2</v>
      </c>
      <c r="D728">
        <v>100</v>
      </c>
      <c r="E728">
        <v>0.48052030671254797</v>
      </c>
      <c r="F728">
        <v>1</v>
      </c>
      <c r="G728">
        <v>31.962522223000001</v>
      </c>
      <c r="H728">
        <v>0.407717312501782</v>
      </c>
      <c r="I728">
        <v>1</v>
      </c>
      <c r="J728">
        <v>0.208994235</v>
      </c>
      <c r="K728">
        <v>0.66528451326729499</v>
      </c>
      <c r="L728">
        <v>1</v>
      </c>
      <c r="M728">
        <v>3601.1311235640001</v>
      </c>
      <c r="N728">
        <v>207922</v>
      </c>
      <c r="O728">
        <v>0.65548734266453701</v>
      </c>
      <c r="P728" s="5">
        <v>0.79709317549144598</v>
      </c>
      <c r="Q728">
        <v>1</v>
      </c>
      <c r="R728">
        <v>3665.8432632680001</v>
      </c>
      <c r="S728">
        <v>32377</v>
      </c>
      <c r="T728">
        <v>1.3340987135303E-2</v>
      </c>
      <c r="U728">
        <v>27696</v>
      </c>
      <c r="V728" s="5">
        <v>0.40313175991346301</v>
      </c>
      <c r="W728">
        <v>1</v>
      </c>
      <c r="X728">
        <v>3258.7869392900002</v>
      </c>
      <c r="Y728">
        <v>6720</v>
      </c>
      <c r="Z728">
        <v>7.4777384519342498E-3</v>
      </c>
      <c r="AA728">
        <v>20</v>
      </c>
    </row>
    <row r="729" spans="1:27" x14ac:dyDescent="0.2">
      <c r="A729">
        <v>20</v>
      </c>
      <c r="B729">
        <v>1</v>
      </c>
      <c r="C729">
        <v>0.1</v>
      </c>
      <c r="D729">
        <v>100</v>
      </c>
      <c r="E729">
        <v>0.783391595912316</v>
      </c>
      <c r="F729">
        <v>1</v>
      </c>
      <c r="G729">
        <v>32.068791846000003</v>
      </c>
      <c r="H729">
        <v>0.63440443097106403</v>
      </c>
      <c r="I729">
        <v>1</v>
      </c>
      <c r="J729">
        <v>0.40564675700000002</v>
      </c>
      <c r="K729">
        <v>0.80439299560683197</v>
      </c>
      <c r="L729">
        <v>1</v>
      </c>
      <c r="M729">
        <v>3600.6160301</v>
      </c>
      <c r="N729">
        <v>182063</v>
      </c>
      <c r="O729">
        <v>0.159152453824875</v>
      </c>
      <c r="P729" s="5">
        <v>1.22189816715773</v>
      </c>
      <c r="Q729">
        <v>1</v>
      </c>
      <c r="R729">
        <v>3640.6317383159999</v>
      </c>
      <c r="S729">
        <v>33246</v>
      </c>
      <c r="T729">
        <v>3.7730947583644501E-3</v>
      </c>
      <c r="U729">
        <v>26454</v>
      </c>
      <c r="V729" s="5">
        <v>0.74897877183083506</v>
      </c>
      <c r="W729">
        <v>1</v>
      </c>
      <c r="X729">
        <v>3357.1606559659999</v>
      </c>
      <c r="Y729">
        <v>37423</v>
      </c>
      <c r="Z729">
        <v>4.62835114048845E-3</v>
      </c>
      <c r="AA729">
        <v>20</v>
      </c>
    </row>
    <row r="730" spans="1:27" x14ac:dyDescent="0.2">
      <c r="A730">
        <v>20</v>
      </c>
      <c r="B730">
        <v>1</v>
      </c>
      <c r="C730">
        <v>0.2</v>
      </c>
      <c r="D730">
        <v>100</v>
      </c>
      <c r="E730">
        <v>0.297538515568878</v>
      </c>
      <c r="F730">
        <v>1</v>
      </c>
      <c r="G730">
        <v>34.339346988000003</v>
      </c>
      <c r="H730">
        <v>0.15382829960733899</v>
      </c>
      <c r="I730">
        <v>1</v>
      </c>
      <c r="J730">
        <v>0.32194130100000001</v>
      </c>
      <c r="K730">
        <v>0.164848386513505</v>
      </c>
      <c r="L730">
        <v>1</v>
      </c>
      <c r="M730">
        <v>3601.2469807729999</v>
      </c>
      <c r="N730">
        <v>273931</v>
      </c>
      <c r="O730">
        <v>0.10016953194306299</v>
      </c>
      <c r="P730" s="5">
        <v>0.240492311163746</v>
      </c>
      <c r="Q730">
        <v>1</v>
      </c>
      <c r="R730">
        <v>3654.1891236289998</v>
      </c>
      <c r="S730">
        <v>37094</v>
      </c>
      <c r="T730">
        <v>1.87602043380469E-3</v>
      </c>
      <c r="U730">
        <v>26232</v>
      </c>
      <c r="V730" s="5">
        <v>0.13313968815463101</v>
      </c>
      <c r="W730">
        <v>1</v>
      </c>
      <c r="X730">
        <v>250.291591993</v>
      </c>
      <c r="Y730">
        <v>1</v>
      </c>
      <c r="Z730">
        <v>1.0686470459134701E-2</v>
      </c>
      <c r="AA730">
        <v>2</v>
      </c>
    </row>
    <row r="731" spans="1:27" x14ac:dyDescent="0.2">
      <c r="A731">
        <v>20</v>
      </c>
      <c r="B731">
        <v>1</v>
      </c>
      <c r="C731">
        <v>0.3</v>
      </c>
      <c r="D731">
        <v>100</v>
      </c>
      <c r="E731">
        <v>7.7563194298554405E-2</v>
      </c>
      <c r="F731">
        <v>1</v>
      </c>
      <c r="G731">
        <v>34.736946748999998</v>
      </c>
      <c r="H731">
        <v>6.07646798445017E-2</v>
      </c>
      <c r="I731">
        <v>1</v>
      </c>
      <c r="J731">
        <v>0.18565245799999999</v>
      </c>
      <c r="K731">
        <v>0.12812002557829699</v>
      </c>
      <c r="L731">
        <v>1</v>
      </c>
      <c r="M731">
        <v>3600.8049061709999</v>
      </c>
      <c r="N731">
        <v>191725</v>
      </c>
      <c r="O731">
        <v>0.696332594680794</v>
      </c>
      <c r="P731" s="5">
        <v>0.21240549982330201</v>
      </c>
      <c r="Q731">
        <v>1</v>
      </c>
      <c r="R731">
        <v>3645.4649040160002</v>
      </c>
      <c r="S731">
        <v>31536</v>
      </c>
      <c r="T731">
        <v>6.1142490863774698E-3</v>
      </c>
      <c r="U731">
        <v>23371</v>
      </c>
      <c r="V731" s="5">
        <v>4.72890772522499E-2</v>
      </c>
      <c r="W731">
        <v>1</v>
      </c>
      <c r="X731">
        <v>3383.9620328199999</v>
      </c>
      <c r="Y731">
        <v>3558</v>
      </c>
      <c r="Z731">
        <v>1.76040240990353E-2</v>
      </c>
      <c r="AA731">
        <v>20</v>
      </c>
    </row>
    <row r="732" spans="1:27" x14ac:dyDescent="0.2">
      <c r="A732">
        <v>20</v>
      </c>
      <c r="B732">
        <v>1</v>
      </c>
      <c r="C732">
        <v>0.4</v>
      </c>
      <c r="D732">
        <v>100</v>
      </c>
      <c r="E732">
        <v>0.19983473489887499</v>
      </c>
      <c r="F732">
        <v>1</v>
      </c>
      <c r="G732">
        <v>32.612716046000003</v>
      </c>
      <c r="H732">
        <v>6.7745744494552895E-2</v>
      </c>
      <c r="I732">
        <v>1</v>
      </c>
      <c r="J732">
        <v>0.200675875</v>
      </c>
      <c r="K732">
        <v>7.1025222197157803E-2</v>
      </c>
      <c r="L732">
        <v>1</v>
      </c>
      <c r="M732">
        <v>3601.0429663770001</v>
      </c>
      <c r="N732">
        <v>276470</v>
      </c>
      <c r="O732">
        <v>0.151669092154264</v>
      </c>
      <c r="P732" s="5">
        <v>0.18189678962414599</v>
      </c>
      <c r="Q732">
        <v>1</v>
      </c>
      <c r="R732">
        <v>3669.7995148119999</v>
      </c>
      <c r="S732">
        <v>31825</v>
      </c>
      <c r="T732">
        <v>1.27334016294239E-2</v>
      </c>
      <c r="U732">
        <v>22621</v>
      </c>
      <c r="V732" s="5">
        <v>5.0493697831347099E-2</v>
      </c>
      <c r="W732">
        <v>1</v>
      </c>
      <c r="X732">
        <v>3386.1935475360001</v>
      </c>
      <c r="Y732">
        <v>2692</v>
      </c>
      <c r="Z732">
        <v>2.1302829606921599E-2</v>
      </c>
      <c r="AA732">
        <v>20</v>
      </c>
    </row>
    <row r="733" spans="1:27" x14ac:dyDescent="0.2">
      <c r="A733">
        <v>20</v>
      </c>
      <c r="B733">
        <v>1</v>
      </c>
      <c r="C733">
        <v>0.1</v>
      </c>
      <c r="D733">
        <v>100</v>
      </c>
      <c r="E733">
        <v>0.61275706136179497</v>
      </c>
      <c r="F733">
        <v>1</v>
      </c>
      <c r="G733">
        <v>36.166766789</v>
      </c>
      <c r="H733">
        <v>0.53704662603192199</v>
      </c>
      <c r="I733">
        <v>1</v>
      </c>
      <c r="J733">
        <v>0.52895928699999994</v>
      </c>
      <c r="K733">
        <v>0.97265970729578</v>
      </c>
      <c r="L733">
        <v>1</v>
      </c>
      <c r="M733">
        <v>3600.5997313490002</v>
      </c>
      <c r="N733">
        <v>282164</v>
      </c>
      <c r="O733">
        <v>0.31958032411884302</v>
      </c>
      <c r="P733" s="5">
        <v>1.01261658268641</v>
      </c>
      <c r="Q733">
        <v>1</v>
      </c>
      <c r="R733">
        <v>3695.9969620749998</v>
      </c>
      <c r="S733">
        <v>39622</v>
      </c>
      <c r="T733">
        <v>2.65163493071578E-3</v>
      </c>
      <c r="U733">
        <v>30784</v>
      </c>
      <c r="V733" s="5">
        <v>0.82505380211219903</v>
      </c>
      <c r="W733">
        <v>1</v>
      </c>
      <c r="X733">
        <v>3375.060845939</v>
      </c>
      <c r="Y733">
        <v>52874</v>
      </c>
      <c r="Z733">
        <v>5.0268135306108797E-3</v>
      </c>
      <c r="AA733">
        <v>20</v>
      </c>
    </row>
    <row r="734" spans="1:27" x14ac:dyDescent="0.2">
      <c r="A734">
        <v>20</v>
      </c>
      <c r="B734">
        <v>1</v>
      </c>
      <c r="C734">
        <v>0.2</v>
      </c>
      <c r="D734">
        <v>100</v>
      </c>
      <c r="E734">
        <v>0.36935097725784699</v>
      </c>
      <c r="F734">
        <v>1</v>
      </c>
      <c r="G734">
        <v>35.380700715000003</v>
      </c>
      <c r="H734">
        <v>0.22704701080016501</v>
      </c>
      <c r="I734">
        <v>1</v>
      </c>
      <c r="J734">
        <v>0.44392947999999999</v>
      </c>
      <c r="K734">
        <v>0.42562526227234498</v>
      </c>
      <c r="L734">
        <v>1</v>
      </c>
      <c r="M734">
        <v>3600.920485011</v>
      </c>
      <c r="N734">
        <v>178607</v>
      </c>
      <c r="O734">
        <v>1.71310770788683</v>
      </c>
      <c r="P734" s="5">
        <v>0.48897373961496998</v>
      </c>
      <c r="Q734">
        <v>1</v>
      </c>
      <c r="R734">
        <v>3730.3079971010002</v>
      </c>
      <c r="S734">
        <v>30587</v>
      </c>
      <c r="T734">
        <v>4.26143798294202E-2</v>
      </c>
      <c r="U734">
        <v>27472</v>
      </c>
      <c r="V734" s="5">
        <v>0.225058403422981</v>
      </c>
      <c r="W734">
        <v>1</v>
      </c>
      <c r="X734">
        <v>3390.5051646359998</v>
      </c>
      <c r="Y734">
        <v>5893</v>
      </c>
      <c r="Z734">
        <v>4.7165133939725302E-2</v>
      </c>
      <c r="AA734">
        <v>20</v>
      </c>
    </row>
    <row r="735" spans="1:27" x14ac:dyDescent="0.2">
      <c r="A735">
        <v>20</v>
      </c>
      <c r="B735">
        <v>1</v>
      </c>
      <c r="C735">
        <v>0.2</v>
      </c>
      <c r="D735">
        <v>100</v>
      </c>
      <c r="E735">
        <v>0.55965401721526697</v>
      </c>
      <c r="F735">
        <v>1</v>
      </c>
      <c r="G735">
        <v>33.973686239999999</v>
      </c>
      <c r="H735">
        <v>0.20422226657067999</v>
      </c>
      <c r="I735">
        <v>1</v>
      </c>
      <c r="J735">
        <v>0.64257028400000005</v>
      </c>
      <c r="K735">
        <v>0.31257667356804703</v>
      </c>
      <c r="L735">
        <v>1</v>
      </c>
      <c r="M735">
        <v>3601.4745360110001</v>
      </c>
      <c r="N735">
        <v>179756</v>
      </c>
      <c r="O735">
        <v>0.24951237925907599</v>
      </c>
      <c r="P735" s="5">
        <v>0.44321986076546199</v>
      </c>
      <c r="Q735">
        <v>1</v>
      </c>
      <c r="R735">
        <v>3664.0123515589999</v>
      </c>
      <c r="S735">
        <v>20166</v>
      </c>
      <c r="T735">
        <v>1.30584088181292E-2</v>
      </c>
      <c r="U735">
        <v>18450</v>
      </c>
      <c r="V735" s="5">
        <v>0.51028946419040799</v>
      </c>
      <c r="W735">
        <v>1</v>
      </c>
      <c r="X735">
        <v>3183.343058378</v>
      </c>
      <c r="Y735">
        <v>3968</v>
      </c>
      <c r="Z735">
        <v>1.27486145527024E-2</v>
      </c>
      <c r="AA735">
        <v>20</v>
      </c>
    </row>
    <row r="736" spans="1:27" x14ac:dyDescent="0.2">
      <c r="A736">
        <v>20</v>
      </c>
      <c r="B736">
        <v>1</v>
      </c>
      <c r="C736">
        <v>0.1</v>
      </c>
      <c r="D736">
        <v>100</v>
      </c>
      <c r="E736">
        <v>0.85172135595351095</v>
      </c>
      <c r="F736">
        <v>1</v>
      </c>
      <c r="G736">
        <v>35.057308528999997</v>
      </c>
      <c r="H736">
        <v>0.733461390824106</v>
      </c>
      <c r="I736">
        <v>1</v>
      </c>
      <c r="J736">
        <v>0.93086862199999998</v>
      </c>
      <c r="K736">
        <v>0.98246859544015597</v>
      </c>
      <c r="L736">
        <v>1</v>
      </c>
      <c r="M736">
        <v>3600.7486152229999</v>
      </c>
      <c r="N736">
        <v>202826</v>
      </c>
      <c r="O736">
        <v>0.100654961487244</v>
      </c>
      <c r="P736" s="5">
        <v>1.17258411010949</v>
      </c>
      <c r="Q736">
        <v>1</v>
      </c>
      <c r="R736">
        <v>3732.8301390749998</v>
      </c>
      <c r="S736">
        <v>36092</v>
      </c>
      <c r="T736">
        <v>6.67406861771358E-4</v>
      </c>
      <c r="U736">
        <v>29015</v>
      </c>
      <c r="V736" s="5">
        <v>0.69298376159004205</v>
      </c>
      <c r="W736">
        <v>1</v>
      </c>
      <c r="X736">
        <v>2842.1256671709998</v>
      </c>
      <c r="Y736">
        <v>14800</v>
      </c>
      <c r="Z736">
        <v>4.2033846304874401E-4</v>
      </c>
      <c r="AA736">
        <v>20</v>
      </c>
    </row>
    <row r="737" spans="1:27" x14ac:dyDescent="0.2">
      <c r="A737">
        <v>20</v>
      </c>
      <c r="B737">
        <v>1</v>
      </c>
      <c r="C737">
        <v>0.2</v>
      </c>
      <c r="D737">
        <v>100</v>
      </c>
      <c r="E737">
        <v>0.16557748910430301</v>
      </c>
      <c r="F737">
        <v>1</v>
      </c>
      <c r="G737">
        <v>33.069789509000003</v>
      </c>
      <c r="H737">
        <v>4.1235421932730498E-2</v>
      </c>
      <c r="I737">
        <v>1</v>
      </c>
      <c r="J737">
        <v>0.470590866</v>
      </c>
      <c r="K737">
        <v>5.6550163441797099E-2</v>
      </c>
      <c r="L737">
        <v>1</v>
      </c>
      <c r="M737">
        <v>3601.0399421010002</v>
      </c>
      <c r="N737">
        <v>228029</v>
      </c>
      <c r="O737">
        <v>0.44134515042942701</v>
      </c>
      <c r="P737" s="5">
        <v>0.19613090867307301</v>
      </c>
      <c r="Q737">
        <v>1</v>
      </c>
      <c r="R737">
        <v>3720.4374013890001</v>
      </c>
      <c r="S737">
        <v>37781</v>
      </c>
      <c r="T737">
        <v>1.28340814593863E-2</v>
      </c>
      <c r="U737">
        <v>26254</v>
      </c>
      <c r="V737" s="5">
        <v>3.6880158707074402E-2</v>
      </c>
      <c r="W737">
        <v>1</v>
      </c>
      <c r="X737">
        <v>3384.4302011069999</v>
      </c>
      <c r="Y737">
        <v>6924</v>
      </c>
      <c r="Z737">
        <v>2.2251835415573899E-2</v>
      </c>
      <c r="AA737">
        <v>20</v>
      </c>
    </row>
    <row r="738" spans="1:27" x14ac:dyDescent="0.2">
      <c r="A738">
        <v>20</v>
      </c>
      <c r="B738">
        <v>1</v>
      </c>
      <c r="C738">
        <v>0.4</v>
      </c>
      <c r="D738">
        <v>100</v>
      </c>
      <c r="E738">
        <v>0.14559491264128999</v>
      </c>
      <c r="F738">
        <v>1</v>
      </c>
      <c r="G738">
        <v>34.352938518000002</v>
      </c>
      <c r="H738">
        <v>4.24348106407543E-2</v>
      </c>
      <c r="I738">
        <v>1</v>
      </c>
      <c r="J738">
        <v>0.24424569099999999</v>
      </c>
      <c r="K738">
        <v>0.175453809371442</v>
      </c>
      <c r="L738">
        <v>1</v>
      </c>
      <c r="M738">
        <v>3600.9126179119999</v>
      </c>
      <c r="N738">
        <v>200882</v>
      </c>
      <c r="O738">
        <v>0.58488957869752001</v>
      </c>
      <c r="P738" s="5">
        <v>0.21020612059520599</v>
      </c>
      <c r="Q738">
        <v>1</v>
      </c>
      <c r="R738">
        <v>3645.8018946789998</v>
      </c>
      <c r="S738">
        <v>33391</v>
      </c>
      <c r="T738">
        <v>7.1739981387798904E-3</v>
      </c>
      <c r="U738">
        <v>25385</v>
      </c>
      <c r="V738" s="5">
        <v>3.6144589396705298E-2</v>
      </c>
      <c r="W738">
        <v>1</v>
      </c>
      <c r="X738">
        <v>3273.8642861080002</v>
      </c>
      <c r="Y738">
        <v>3553</v>
      </c>
      <c r="Z738">
        <v>1.14538552418281E-2</v>
      </c>
      <c r="AA738">
        <v>20</v>
      </c>
    </row>
    <row r="739" spans="1:27" x14ac:dyDescent="0.2">
      <c r="A739">
        <v>20</v>
      </c>
      <c r="B739">
        <v>1</v>
      </c>
      <c r="C739">
        <v>0.4</v>
      </c>
      <c r="D739">
        <v>100</v>
      </c>
      <c r="E739">
        <v>7.8352833823161494E-2</v>
      </c>
      <c r="F739">
        <v>1</v>
      </c>
      <c r="G739">
        <v>37.451540332999997</v>
      </c>
      <c r="H739">
        <v>4.47047007175842E-2</v>
      </c>
      <c r="I739">
        <v>1</v>
      </c>
      <c r="J739">
        <v>0.28792994199999999</v>
      </c>
      <c r="K739">
        <v>6.5504767312034307E-2</v>
      </c>
      <c r="L739">
        <v>1</v>
      </c>
      <c r="M739">
        <v>3601.3445334869998</v>
      </c>
      <c r="N739">
        <v>182160</v>
      </c>
      <c r="O739">
        <v>0.62356018523078605</v>
      </c>
      <c r="P739" s="5">
        <v>5.6955020068696197E-2</v>
      </c>
      <c r="Q739">
        <v>1</v>
      </c>
      <c r="R739">
        <v>3682.5571000499999</v>
      </c>
      <c r="S739">
        <v>26442</v>
      </c>
      <c r="T739">
        <v>1.11870789673231E-2</v>
      </c>
      <c r="U739">
        <v>22505</v>
      </c>
      <c r="V739" s="5">
        <v>3.4254283564308902E-2</v>
      </c>
      <c r="W739">
        <v>1</v>
      </c>
      <c r="X739">
        <v>3207.5419587749998</v>
      </c>
      <c r="Y739">
        <v>1419</v>
      </c>
      <c r="Z739">
        <v>1.3698473139087701E-2</v>
      </c>
      <c r="AA739">
        <v>20</v>
      </c>
    </row>
    <row r="740" spans="1:27" x14ac:dyDescent="0.2">
      <c r="A740">
        <v>20</v>
      </c>
      <c r="B740">
        <v>1</v>
      </c>
      <c r="C740">
        <v>0.2</v>
      </c>
      <c r="D740">
        <v>100</v>
      </c>
      <c r="E740">
        <v>0.20836817267340399</v>
      </c>
      <c r="F740">
        <v>1</v>
      </c>
      <c r="G740">
        <v>33.747052869000001</v>
      </c>
      <c r="H740">
        <v>7.5866142172993797E-2</v>
      </c>
      <c r="I740">
        <v>1</v>
      </c>
      <c r="J740">
        <v>0.41497768899999998</v>
      </c>
      <c r="K740">
        <v>0.28138686561057902</v>
      </c>
      <c r="L740">
        <v>1</v>
      </c>
      <c r="M740">
        <v>3600.644072477</v>
      </c>
      <c r="N740">
        <v>133188</v>
      </c>
      <c r="O740">
        <v>0.57955750290496799</v>
      </c>
      <c r="P740" s="5">
        <v>0.26950043291398001</v>
      </c>
      <c r="Q740">
        <v>1</v>
      </c>
      <c r="R740">
        <v>3642.8679537889998</v>
      </c>
      <c r="S740">
        <v>33329</v>
      </c>
      <c r="T740">
        <v>3.9066978773035698E-3</v>
      </c>
      <c r="U740">
        <v>24862</v>
      </c>
      <c r="V740" s="5">
        <v>6.9725558263451504E-2</v>
      </c>
      <c r="W740">
        <v>1</v>
      </c>
      <c r="X740">
        <v>3387.1301558579999</v>
      </c>
      <c r="Y740">
        <v>5647</v>
      </c>
      <c r="Z740">
        <v>2.2871299451839099E-2</v>
      </c>
      <c r="AA740">
        <v>20</v>
      </c>
    </row>
    <row r="741" spans="1:27" x14ac:dyDescent="0.2">
      <c r="A741">
        <v>20</v>
      </c>
      <c r="B741">
        <v>1</v>
      </c>
      <c r="C741">
        <v>0.3</v>
      </c>
      <c r="D741">
        <v>100</v>
      </c>
      <c r="E741">
        <v>9.1889707646300403E-2</v>
      </c>
      <c r="F741">
        <v>1</v>
      </c>
      <c r="G741">
        <v>33.668431519999999</v>
      </c>
      <c r="H741">
        <v>3.5647663537863299E-2</v>
      </c>
      <c r="I741">
        <v>1</v>
      </c>
      <c r="J741">
        <v>0.226134274</v>
      </c>
      <c r="K741">
        <v>0.12846523729964099</v>
      </c>
      <c r="L741">
        <v>1</v>
      </c>
      <c r="M741">
        <v>3600.6956226490001</v>
      </c>
      <c r="N741">
        <v>260986</v>
      </c>
      <c r="O741">
        <v>0.96704612324609696</v>
      </c>
      <c r="P741" s="5">
        <v>6.7412822707718797E-2</v>
      </c>
      <c r="Q741">
        <v>1</v>
      </c>
      <c r="R741">
        <v>3643.3490241310001</v>
      </c>
      <c r="S741">
        <v>39570</v>
      </c>
      <c r="T741">
        <v>1.6062585790785601E-2</v>
      </c>
      <c r="U741">
        <v>25234</v>
      </c>
      <c r="V741" s="5">
        <v>2.7019195597948902E-2</v>
      </c>
      <c r="W741">
        <v>1</v>
      </c>
      <c r="X741">
        <v>3389.9486642070001</v>
      </c>
      <c r="Y741">
        <v>3657</v>
      </c>
      <c r="Z741">
        <v>1.746261960642E-2</v>
      </c>
      <c r="AA741">
        <v>20</v>
      </c>
    </row>
    <row r="742" spans="1:27" x14ac:dyDescent="0.2">
      <c r="A742">
        <v>20</v>
      </c>
      <c r="B742">
        <v>1</v>
      </c>
      <c r="C742">
        <v>0.1</v>
      </c>
      <c r="D742">
        <v>100</v>
      </c>
      <c r="E742">
        <v>0.830472950166535</v>
      </c>
      <c r="F742">
        <v>1</v>
      </c>
      <c r="G742">
        <v>33.564496441999999</v>
      </c>
      <c r="H742">
        <v>0.599030366143251</v>
      </c>
      <c r="I742">
        <v>1</v>
      </c>
      <c r="J742">
        <v>0.89496682299999997</v>
      </c>
      <c r="K742">
        <v>1.09452257618879</v>
      </c>
      <c r="L742">
        <v>1</v>
      </c>
      <c r="M742">
        <v>3601.015493419</v>
      </c>
      <c r="N742">
        <v>256298</v>
      </c>
      <c r="O742">
        <v>0.26008762663009999</v>
      </c>
      <c r="P742" s="5">
        <v>1.14917005474713</v>
      </c>
      <c r="Q742">
        <v>1</v>
      </c>
      <c r="R742">
        <v>3691.4953719119999</v>
      </c>
      <c r="S742">
        <v>36887</v>
      </c>
      <c r="T742">
        <v>4.0332932286985101E-3</v>
      </c>
      <c r="U742">
        <v>30588</v>
      </c>
      <c r="V742" s="5">
        <v>0.82334689330384603</v>
      </c>
      <c r="W742">
        <v>1</v>
      </c>
      <c r="X742">
        <v>3407.5824302360002</v>
      </c>
      <c r="Y742">
        <v>34520</v>
      </c>
      <c r="Z742">
        <v>7.9726959517937394E-3</v>
      </c>
      <c r="AA742">
        <v>20</v>
      </c>
    </row>
    <row r="743" spans="1:27" x14ac:dyDescent="0.2">
      <c r="A743">
        <v>20</v>
      </c>
      <c r="B743">
        <v>1</v>
      </c>
      <c r="C743">
        <v>0.2</v>
      </c>
      <c r="D743">
        <v>100</v>
      </c>
      <c r="E743">
        <v>0.239517883764052</v>
      </c>
      <c r="F743">
        <v>1</v>
      </c>
      <c r="G743">
        <v>35.528646788000003</v>
      </c>
      <c r="H743">
        <v>0.18257771768521</v>
      </c>
      <c r="I743">
        <v>1</v>
      </c>
      <c r="J743">
        <v>0.57472510200000004</v>
      </c>
      <c r="K743">
        <v>0.23480119194240601</v>
      </c>
      <c r="L743">
        <v>1</v>
      </c>
      <c r="M743">
        <v>3600.8578302440001</v>
      </c>
      <c r="N743">
        <v>195937</v>
      </c>
      <c r="O743">
        <v>0.37857336983816398</v>
      </c>
      <c r="P743" s="5">
        <v>0.34055448128883697</v>
      </c>
      <c r="Q743">
        <v>1</v>
      </c>
      <c r="R743">
        <v>3690.5570894060002</v>
      </c>
      <c r="S743">
        <v>34227</v>
      </c>
      <c r="T743">
        <v>4.3729253766144303E-3</v>
      </c>
      <c r="U743">
        <v>27311</v>
      </c>
      <c r="V743" s="5">
        <v>0.18155499328056901</v>
      </c>
      <c r="W743">
        <v>1</v>
      </c>
      <c r="X743">
        <v>3431.0943339629998</v>
      </c>
      <c r="Y743">
        <v>14956</v>
      </c>
      <c r="Z743">
        <v>5.4748555369292197E-3</v>
      </c>
      <c r="AA743">
        <v>20</v>
      </c>
    </row>
    <row r="744" spans="1:27" x14ac:dyDescent="0.2">
      <c r="A744">
        <v>20</v>
      </c>
      <c r="B744">
        <v>1</v>
      </c>
      <c r="C744">
        <v>0.1</v>
      </c>
      <c r="D744">
        <v>100</v>
      </c>
      <c r="E744">
        <v>0.63957905166403795</v>
      </c>
      <c r="F744">
        <v>1</v>
      </c>
      <c r="G744">
        <v>33.902368221000003</v>
      </c>
      <c r="H744">
        <v>0.61477075208913701</v>
      </c>
      <c r="I744">
        <v>1</v>
      </c>
      <c r="J744">
        <v>0.64715022499999997</v>
      </c>
      <c r="K744">
        <v>0.88788189063730305</v>
      </c>
      <c r="L744">
        <v>1</v>
      </c>
      <c r="M744">
        <v>3601.0641205309998</v>
      </c>
      <c r="N744">
        <v>178530</v>
      </c>
      <c r="O744">
        <v>0.18204890368229701</v>
      </c>
      <c r="P744" s="5">
        <v>0.77316700899572199</v>
      </c>
      <c r="Q744">
        <v>1</v>
      </c>
      <c r="R744">
        <v>3680.5009008940001</v>
      </c>
      <c r="S744">
        <v>36829</v>
      </c>
      <c r="T744">
        <v>7.70721180212172E-3</v>
      </c>
      <c r="U744">
        <v>28294</v>
      </c>
      <c r="V744" s="5">
        <v>0.61055270878407697</v>
      </c>
      <c r="W744">
        <v>1</v>
      </c>
      <c r="X744">
        <v>3378.3617074849999</v>
      </c>
      <c r="Y744">
        <v>9066</v>
      </c>
      <c r="Z744">
        <v>1.1202436466603899E-2</v>
      </c>
      <c r="AA744">
        <v>20</v>
      </c>
    </row>
    <row r="745" spans="1:27" x14ac:dyDescent="0.2">
      <c r="A745">
        <v>20</v>
      </c>
      <c r="B745">
        <v>1</v>
      </c>
      <c r="C745">
        <v>0.2</v>
      </c>
      <c r="D745">
        <v>100</v>
      </c>
      <c r="E745">
        <v>0.22126856537355999</v>
      </c>
      <c r="F745">
        <v>1</v>
      </c>
      <c r="G745">
        <v>35.668309581000003</v>
      </c>
      <c r="H745">
        <v>0.103856061509727</v>
      </c>
      <c r="I745">
        <v>1</v>
      </c>
      <c r="J745">
        <v>0.327804812</v>
      </c>
      <c r="K745">
        <v>0.195335276787857</v>
      </c>
      <c r="L745">
        <v>1</v>
      </c>
      <c r="M745">
        <v>3600.6438286600001</v>
      </c>
      <c r="N745">
        <v>212392</v>
      </c>
      <c r="O745">
        <v>0.215413085295248</v>
      </c>
      <c r="P745" s="5">
        <v>0.239310346556073</v>
      </c>
      <c r="Q745">
        <v>1</v>
      </c>
      <c r="R745">
        <v>3711.7948736039998</v>
      </c>
      <c r="S745">
        <v>23074</v>
      </c>
      <c r="T745">
        <v>1.2509650606958699E-2</v>
      </c>
      <c r="U745">
        <v>18823</v>
      </c>
      <c r="V745" s="5">
        <v>8.4223690170113205E-2</v>
      </c>
      <c r="W745">
        <v>1</v>
      </c>
      <c r="X745">
        <v>3377.5773431580001</v>
      </c>
      <c r="Y745">
        <v>2150</v>
      </c>
      <c r="Z745">
        <v>1.6540172555538898E-2</v>
      </c>
      <c r="AA745">
        <v>20</v>
      </c>
    </row>
    <row r="746" spans="1:27" x14ac:dyDescent="0.2">
      <c r="A746">
        <v>20</v>
      </c>
      <c r="B746">
        <v>1</v>
      </c>
      <c r="C746">
        <v>0.3</v>
      </c>
      <c r="D746">
        <v>100</v>
      </c>
      <c r="E746">
        <v>6.6823229546490906E-2</v>
      </c>
      <c r="F746">
        <v>1</v>
      </c>
      <c r="G746">
        <v>35.650239315999997</v>
      </c>
      <c r="H746">
        <v>4.5544255395517201E-2</v>
      </c>
      <c r="I746">
        <v>1</v>
      </c>
      <c r="J746">
        <v>0.22797588799999999</v>
      </c>
      <c r="K746">
        <v>5.3352697766252198E-2</v>
      </c>
      <c r="L746">
        <v>1</v>
      </c>
      <c r="M746">
        <v>3601.3869370850002</v>
      </c>
      <c r="N746">
        <v>149449</v>
      </c>
      <c r="O746">
        <v>0.31874744121422699</v>
      </c>
      <c r="P746" s="5">
        <v>9.5748640262861104E-2</v>
      </c>
      <c r="Q746">
        <v>1</v>
      </c>
      <c r="R746">
        <v>3665.3556358450001</v>
      </c>
      <c r="S746">
        <v>35602</v>
      </c>
      <c r="T746">
        <v>8.5660656412560598E-3</v>
      </c>
      <c r="U746">
        <v>22755</v>
      </c>
      <c r="V746" s="5">
        <v>2.99458653073972E-2</v>
      </c>
      <c r="W746">
        <v>1</v>
      </c>
      <c r="X746">
        <v>3377.0832302869999</v>
      </c>
      <c r="Y746">
        <v>2295</v>
      </c>
      <c r="Z746">
        <v>1.46982501343524E-2</v>
      </c>
      <c r="AA746">
        <v>20</v>
      </c>
    </row>
    <row r="747" spans="1:27" x14ac:dyDescent="0.2">
      <c r="A747">
        <v>20</v>
      </c>
      <c r="B747">
        <v>1</v>
      </c>
      <c r="C747">
        <v>0.1</v>
      </c>
      <c r="D747">
        <v>100</v>
      </c>
      <c r="E747">
        <v>0.65677089480599105</v>
      </c>
      <c r="F747">
        <v>1</v>
      </c>
      <c r="G747">
        <v>34.024511332000003</v>
      </c>
      <c r="H747">
        <v>0.55336909708120796</v>
      </c>
      <c r="I747">
        <v>1</v>
      </c>
      <c r="J747">
        <v>0.47007142000000002</v>
      </c>
      <c r="K747">
        <v>0.74997865145800302</v>
      </c>
      <c r="L747">
        <v>1</v>
      </c>
      <c r="M747">
        <v>3600.56512204</v>
      </c>
      <c r="N747">
        <v>238147</v>
      </c>
      <c r="O747">
        <v>0.20684237710542699</v>
      </c>
      <c r="P747" s="5">
        <v>0.62044440213769003</v>
      </c>
      <c r="Q747">
        <v>1</v>
      </c>
      <c r="R747">
        <v>3637.8031034669998</v>
      </c>
      <c r="S747">
        <v>37392</v>
      </c>
      <c r="T747">
        <v>2.83980498096014E-3</v>
      </c>
      <c r="U747">
        <v>31419</v>
      </c>
      <c r="V747" s="5">
        <v>0.60798880232979502</v>
      </c>
      <c r="W747">
        <v>1</v>
      </c>
      <c r="X747">
        <v>3407.2484646349999</v>
      </c>
      <c r="Y747">
        <v>32340</v>
      </c>
      <c r="Z747">
        <v>9.4563919256488299E-3</v>
      </c>
      <c r="AA747">
        <v>20</v>
      </c>
    </row>
    <row r="748" spans="1:27" x14ac:dyDescent="0.2">
      <c r="A748">
        <v>20</v>
      </c>
      <c r="B748">
        <v>1</v>
      </c>
      <c r="C748">
        <v>0.2</v>
      </c>
      <c r="D748">
        <v>100</v>
      </c>
      <c r="E748">
        <v>0.67383403991549495</v>
      </c>
      <c r="F748">
        <v>1</v>
      </c>
      <c r="G748">
        <v>30.522351367999999</v>
      </c>
      <c r="H748">
        <v>0.34113017189120798</v>
      </c>
      <c r="I748">
        <v>1</v>
      </c>
      <c r="J748">
        <v>0.32196146599999997</v>
      </c>
      <c r="K748">
        <v>0.34144467077310398</v>
      </c>
      <c r="L748">
        <v>1</v>
      </c>
      <c r="M748">
        <v>3600.544623583</v>
      </c>
      <c r="N748">
        <v>200892</v>
      </c>
      <c r="O748">
        <v>7.0971773921433695E-2</v>
      </c>
      <c r="P748" s="5">
        <v>1.80227054032346</v>
      </c>
      <c r="Q748">
        <v>1</v>
      </c>
      <c r="R748">
        <v>3700.4254025780001</v>
      </c>
      <c r="S748">
        <v>28099</v>
      </c>
      <c r="T748">
        <v>7.7897160502149098E-3</v>
      </c>
      <c r="U748">
        <v>25899</v>
      </c>
      <c r="V748" s="5">
        <v>0.52797952842343598</v>
      </c>
      <c r="W748">
        <v>1</v>
      </c>
      <c r="X748">
        <v>3337.813862859</v>
      </c>
      <c r="Y748">
        <v>19229</v>
      </c>
      <c r="Z748">
        <v>7.8983909505498991E-3</v>
      </c>
      <c r="AA748">
        <v>20</v>
      </c>
    </row>
    <row r="749" spans="1:27" x14ac:dyDescent="0.2">
      <c r="A749">
        <v>20</v>
      </c>
      <c r="B749">
        <v>1</v>
      </c>
      <c r="C749">
        <v>0.1</v>
      </c>
      <c r="D749">
        <v>100</v>
      </c>
      <c r="E749">
        <v>0.69548943838807797</v>
      </c>
      <c r="F749">
        <v>1</v>
      </c>
      <c r="G749">
        <v>33.970350334999999</v>
      </c>
      <c r="H749">
        <v>0.39116089605879401</v>
      </c>
      <c r="I749">
        <v>1</v>
      </c>
      <c r="J749">
        <v>0.96462440900000002</v>
      </c>
      <c r="K749">
        <v>0.73916440719210197</v>
      </c>
      <c r="L749">
        <v>1</v>
      </c>
      <c r="M749">
        <v>3600.5319998629998</v>
      </c>
      <c r="N749">
        <v>201698</v>
      </c>
      <c r="O749">
        <v>0.43110871163008802</v>
      </c>
      <c r="P749" s="5">
        <v>0.66474565368883698</v>
      </c>
      <c r="Q749">
        <v>1</v>
      </c>
      <c r="R749">
        <v>3753.2024967060001</v>
      </c>
      <c r="S749">
        <v>37504</v>
      </c>
      <c r="T749">
        <v>1.13476845214364E-2</v>
      </c>
      <c r="U749">
        <v>29825</v>
      </c>
      <c r="V749" s="5">
        <v>0.65760272323909197</v>
      </c>
      <c r="W749">
        <v>1</v>
      </c>
      <c r="X749">
        <v>3456.5986558509999</v>
      </c>
      <c r="Y749">
        <v>37568</v>
      </c>
      <c r="Z749">
        <v>6.7894651507779902E-2</v>
      </c>
      <c r="AA749">
        <v>20</v>
      </c>
    </row>
    <row r="750" spans="1:27" x14ac:dyDescent="0.2">
      <c r="A750">
        <v>20</v>
      </c>
      <c r="B750">
        <v>1</v>
      </c>
      <c r="C750">
        <v>0.3</v>
      </c>
      <c r="D750">
        <v>100</v>
      </c>
      <c r="E750">
        <v>0.29199199041799101</v>
      </c>
      <c r="F750">
        <v>1</v>
      </c>
      <c r="G750">
        <v>34.156250380000003</v>
      </c>
      <c r="H750">
        <v>0.281577901546681</v>
      </c>
      <c r="I750">
        <v>1</v>
      </c>
      <c r="J750">
        <v>0.249239763</v>
      </c>
      <c r="K750">
        <v>0.40328815245239402</v>
      </c>
      <c r="L750">
        <v>1</v>
      </c>
      <c r="M750">
        <v>3600.6084687419998</v>
      </c>
      <c r="N750">
        <v>195006</v>
      </c>
      <c r="O750">
        <v>3.2853332285611101</v>
      </c>
      <c r="P750" s="5">
        <v>0.29647689817795297</v>
      </c>
      <c r="Q750">
        <v>1</v>
      </c>
      <c r="R750">
        <v>3726.7722281619999</v>
      </c>
      <c r="S750">
        <v>32875</v>
      </c>
      <c r="T750">
        <v>7.7667867131574397E-3</v>
      </c>
      <c r="U750">
        <v>23419</v>
      </c>
      <c r="V750" s="5">
        <v>0.28098992848721499</v>
      </c>
      <c r="W750">
        <v>1</v>
      </c>
      <c r="X750">
        <v>3463.1493962519999</v>
      </c>
      <c r="Y750">
        <v>11057</v>
      </c>
      <c r="Z750">
        <v>1.17602287921876E-2</v>
      </c>
      <c r="AA750">
        <v>20</v>
      </c>
    </row>
    <row r="751" spans="1:27" x14ac:dyDescent="0.2">
      <c r="A751">
        <v>20</v>
      </c>
      <c r="B751">
        <v>1</v>
      </c>
      <c r="C751">
        <v>0.2</v>
      </c>
      <c r="D751">
        <v>100</v>
      </c>
      <c r="E751">
        <v>0.25095355269286002</v>
      </c>
      <c r="F751">
        <v>1</v>
      </c>
      <c r="G751">
        <v>34.760985335999997</v>
      </c>
      <c r="H751">
        <v>0.201378033034636</v>
      </c>
      <c r="I751">
        <v>1</v>
      </c>
      <c r="J751">
        <v>0.29823771799999998</v>
      </c>
      <c r="K751">
        <v>0.35629346391717498</v>
      </c>
      <c r="L751">
        <v>1</v>
      </c>
      <c r="M751">
        <v>3600.8196517430001</v>
      </c>
      <c r="N751">
        <v>158090</v>
      </c>
      <c r="O751">
        <v>2.0026819415070598</v>
      </c>
      <c r="P751" s="5">
        <v>0.17585854916586499</v>
      </c>
      <c r="Q751">
        <v>1</v>
      </c>
      <c r="R751">
        <v>3675.3629635249999</v>
      </c>
      <c r="S751">
        <v>27067</v>
      </c>
      <c r="T751">
        <v>6.3736472779080303E-2</v>
      </c>
      <c r="U751">
        <v>26466</v>
      </c>
      <c r="V751" s="5">
        <v>0.175858549165954</v>
      </c>
      <c r="W751">
        <v>1</v>
      </c>
      <c r="X751">
        <v>3380.1046057909998</v>
      </c>
      <c r="Y751">
        <v>19787</v>
      </c>
      <c r="Z751">
        <v>3.63679932096364E-2</v>
      </c>
      <c r="AA751">
        <v>20</v>
      </c>
    </row>
    <row r="752" spans="1:27" x14ac:dyDescent="0.2">
      <c r="A752">
        <v>20</v>
      </c>
      <c r="B752">
        <v>1</v>
      </c>
      <c r="C752">
        <v>0.1</v>
      </c>
      <c r="D752">
        <v>100</v>
      </c>
      <c r="E752">
        <v>0.88144620392777295</v>
      </c>
      <c r="F752">
        <v>1</v>
      </c>
      <c r="G752">
        <v>34.128745477999999</v>
      </c>
      <c r="H752">
        <v>1.0197086820421699</v>
      </c>
      <c r="I752">
        <v>1</v>
      </c>
      <c r="J752">
        <v>0.69467660099999995</v>
      </c>
      <c r="K752">
        <v>0.72038580686626497</v>
      </c>
      <c r="L752">
        <v>1</v>
      </c>
      <c r="M752">
        <v>3600.6084419700001</v>
      </c>
      <c r="N752">
        <v>213825</v>
      </c>
      <c r="O752">
        <v>0.107165360568009</v>
      </c>
      <c r="P752" s="5">
        <v>1.10290839158604</v>
      </c>
      <c r="Q752">
        <v>1</v>
      </c>
      <c r="R752">
        <v>3710.4083821680001</v>
      </c>
      <c r="S752">
        <v>32069</v>
      </c>
      <c r="T752">
        <v>2.237997754958E-3</v>
      </c>
      <c r="U752">
        <v>26826</v>
      </c>
      <c r="V752" s="5">
        <v>1.06569411176589</v>
      </c>
      <c r="W752">
        <v>1</v>
      </c>
      <c r="X752">
        <v>3387.4168268120002</v>
      </c>
      <c r="Y752">
        <v>30107</v>
      </c>
      <c r="Z752">
        <v>8.8021436815216292E-3</v>
      </c>
      <c r="AA752">
        <v>20</v>
      </c>
    </row>
    <row r="753" spans="1:27" x14ac:dyDescent="0.2">
      <c r="A753">
        <v>30</v>
      </c>
      <c r="B753">
        <v>1</v>
      </c>
      <c r="C753">
        <v>0.4</v>
      </c>
      <c r="D753">
        <v>20</v>
      </c>
      <c r="E753">
        <v>4.3745628902934403E-2</v>
      </c>
      <c r="F753">
        <v>1</v>
      </c>
      <c r="G753">
        <v>28.287500184999999</v>
      </c>
      <c r="H753">
        <v>5.7290950315452699E-2</v>
      </c>
      <c r="I753">
        <v>1</v>
      </c>
      <c r="J753">
        <v>0.120062196</v>
      </c>
      <c r="V753" s="5">
        <v>4.0768614862824203E-2</v>
      </c>
      <c r="W753">
        <v>1</v>
      </c>
      <c r="X753">
        <v>73.015516990999998</v>
      </c>
      <c r="Y753">
        <v>137</v>
      </c>
      <c r="Z753">
        <v>7.4988831585098802E-3</v>
      </c>
      <c r="AA753">
        <v>49</v>
      </c>
    </row>
    <row r="754" spans="1:27" x14ac:dyDescent="0.2">
      <c r="A754">
        <v>30</v>
      </c>
      <c r="B754">
        <v>1</v>
      </c>
      <c r="C754">
        <v>0.4</v>
      </c>
      <c r="D754">
        <v>20</v>
      </c>
      <c r="E754">
        <v>5.27780707455167E-2</v>
      </c>
      <c r="F754">
        <v>1</v>
      </c>
      <c r="G754">
        <v>25.425747303000001</v>
      </c>
      <c r="H754">
        <v>5.7601434758257498E-2</v>
      </c>
      <c r="I754">
        <v>1</v>
      </c>
      <c r="J754">
        <v>0.178298504</v>
      </c>
      <c r="V754" s="5">
        <v>3.3793550540404602E-2</v>
      </c>
      <c r="W754">
        <v>1</v>
      </c>
      <c r="X754">
        <v>61.137303672000002</v>
      </c>
      <c r="Y754">
        <v>151</v>
      </c>
      <c r="Z754">
        <v>4.7638138364724999E-4</v>
      </c>
      <c r="AA754">
        <v>6</v>
      </c>
    </row>
    <row r="755" spans="1:27" x14ac:dyDescent="0.2">
      <c r="A755">
        <v>30</v>
      </c>
      <c r="B755">
        <v>1</v>
      </c>
      <c r="C755">
        <v>0.1</v>
      </c>
      <c r="D755">
        <v>20</v>
      </c>
      <c r="E755">
        <v>0.47769628088065202</v>
      </c>
      <c r="F755">
        <v>1</v>
      </c>
      <c r="G755">
        <v>30.268362371999999</v>
      </c>
      <c r="H755">
        <v>0.48199518386735601</v>
      </c>
      <c r="I755">
        <v>1</v>
      </c>
      <c r="J755">
        <v>0.37254148399999998</v>
      </c>
      <c r="V755" s="5">
        <v>0.44740163145485601</v>
      </c>
      <c r="W755">
        <v>1</v>
      </c>
      <c r="X755">
        <v>30095.309254971999</v>
      </c>
      <c r="Y755">
        <v>110898</v>
      </c>
      <c r="Z755">
        <v>1.48535655412098E-2</v>
      </c>
      <c r="AA755">
        <v>50</v>
      </c>
    </row>
    <row r="756" spans="1:27" x14ac:dyDescent="0.2">
      <c r="A756">
        <v>30</v>
      </c>
      <c r="B756">
        <v>1</v>
      </c>
      <c r="C756">
        <v>0.3</v>
      </c>
      <c r="D756">
        <v>20</v>
      </c>
      <c r="E756">
        <v>8.8459222081154004E-2</v>
      </c>
      <c r="F756">
        <v>1</v>
      </c>
      <c r="G756">
        <v>27.268617769999999</v>
      </c>
      <c r="H756">
        <v>0.110842513036366</v>
      </c>
      <c r="I756">
        <v>1</v>
      </c>
      <c r="J756">
        <v>0.189339174</v>
      </c>
      <c r="V756" s="5">
        <v>8.6214113763557601E-2</v>
      </c>
      <c r="W756">
        <v>1</v>
      </c>
      <c r="X756">
        <v>30015.535434802001</v>
      </c>
      <c r="Y756">
        <v>100405</v>
      </c>
      <c r="Z756">
        <v>7.5863426081139204E-2</v>
      </c>
      <c r="AA756">
        <v>50</v>
      </c>
    </row>
    <row r="757" spans="1:27" x14ac:dyDescent="0.2">
      <c r="A757">
        <v>30</v>
      </c>
      <c r="B757">
        <v>1</v>
      </c>
      <c r="C757">
        <v>0.1</v>
      </c>
      <c r="D757">
        <v>20</v>
      </c>
      <c r="E757">
        <v>0.42569721964025298</v>
      </c>
      <c r="F757">
        <v>1</v>
      </c>
      <c r="G757">
        <v>27.031732287000001</v>
      </c>
      <c r="H757">
        <v>0.37943273982575199</v>
      </c>
      <c r="I757">
        <v>1</v>
      </c>
      <c r="J757">
        <v>0.37852617100000002</v>
      </c>
      <c r="V757" s="5">
        <v>0.36339520365531303</v>
      </c>
      <c r="W757">
        <v>1</v>
      </c>
      <c r="X757">
        <v>29728.836169124999</v>
      </c>
      <c r="Y757">
        <v>130702</v>
      </c>
      <c r="Z757">
        <v>8.9350604678891596E-3</v>
      </c>
      <c r="AA757">
        <v>50</v>
      </c>
    </row>
    <row r="758" spans="1:27" x14ac:dyDescent="0.2">
      <c r="A758">
        <v>30</v>
      </c>
      <c r="B758">
        <v>1</v>
      </c>
      <c r="C758">
        <v>0.4</v>
      </c>
      <c r="D758">
        <v>20</v>
      </c>
      <c r="E758">
        <v>6.0021809185027399E-2</v>
      </c>
      <c r="F758">
        <v>1</v>
      </c>
      <c r="G758">
        <v>28.551810810999999</v>
      </c>
      <c r="H758">
        <v>7.1090337764419503E-2</v>
      </c>
      <c r="I758">
        <v>1</v>
      </c>
      <c r="J758">
        <v>0.219485757</v>
      </c>
      <c r="V758" s="5">
        <v>4.5710807763382502E-2</v>
      </c>
      <c r="W758">
        <v>1</v>
      </c>
      <c r="X758">
        <v>76.447586262000002</v>
      </c>
      <c r="Y758">
        <v>110</v>
      </c>
      <c r="Z758">
        <v>2.92405649676474E-3</v>
      </c>
      <c r="AA758">
        <v>6</v>
      </c>
    </row>
    <row r="759" spans="1:27" x14ac:dyDescent="0.2">
      <c r="A759">
        <v>30</v>
      </c>
      <c r="B759">
        <v>1</v>
      </c>
      <c r="C759">
        <v>0.2</v>
      </c>
      <c r="D759">
        <v>20</v>
      </c>
      <c r="E759">
        <v>0.31706174457411701</v>
      </c>
      <c r="F759">
        <v>1</v>
      </c>
      <c r="G759">
        <v>27.343249816</v>
      </c>
      <c r="H759">
        <v>0.30516903138058699</v>
      </c>
      <c r="I759">
        <v>1</v>
      </c>
      <c r="J759">
        <v>0.170677785</v>
      </c>
      <c r="V759" s="5">
        <v>0.278599068557074</v>
      </c>
      <c r="W759">
        <v>1</v>
      </c>
      <c r="X759">
        <v>31026.522074564</v>
      </c>
      <c r="Y759">
        <v>1204</v>
      </c>
      <c r="Z759">
        <v>9.4761195735677498E-2</v>
      </c>
      <c r="AA759">
        <v>50</v>
      </c>
    </row>
    <row r="760" spans="1:27" x14ac:dyDescent="0.2">
      <c r="A760">
        <v>30</v>
      </c>
      <c r="B760">
        <v>1</v>
      </c>
      <c r="C760">
        <v>0.4</v>
      </c>
      <c r="D760">
        <v>20</v>
      </c>
      <c r="E760">
        <v>4.7014149415756198E-2</v>
      </c>
      <c r="F760">
        <v>1</v>
      </c>
      <c r="G760">
        <v>28.770952282</v>
      </c>
      <c r="H760">
        <v>6.9736074822872807E-2</v>
      </c>
      <c r="I760">
        <v>1</v>
      </c>
      <c r="J760">
        <v>0.18043235599999999</v>
      </c>
      <c r="V760" s="5">
        <v>5.3795060246959299E-2</v>
      </c>
      <c r="W760">
        <v>1</v>
      </c>
      <c r="X760">
        <v>81.550398673999993</v>
      </c>
      <c r="Y760">
        <v>28</v>
      </c>
      <c r="Z760">
        <v>2.2365646230872099E-2</v>
      </c>
      <c r="AA760">
        <v>50</v>
      </c>
    </row>
    <row r="761" spans="1:27" x14ac:dyDescent="0.2">
      <c r="A761">
        <v>30</v>
      </c>
      <c r="B761">
        <v>1</v>
      </c>
      <c r="C761">
        <v>0.3</v>
      </c>
      <c r="D761">
        <v>20</v>
      </c>
      <c r="E761">
        <v>0.102941963764142</v>
      </c>
      <c r="F761">
        <v>1</v>
      </c>
      <c r="G761">
        <v>29.015656934999999</v>
      </c>
      <c r="H761">
        <v>0.12485329721963501</v>
      </c>
      <c r="I761">
        <v>1</v>
      </c>
      <c r="J761">
        <v>0.24949063299999999</v>
      </c>
      <c r="V761" s="5">
        <v>9.2502487714921297E-2</v>
      </c>
      <c r="W761">
        <v>1</v>
      </c>
      <c r="X761">
        <v>30973.896934613</v>
      </c>
      <c r="Y761">
        <v>103022</v>
      </c>
      <c r="Z761">
        <v>8.20614057787558E-2</v>
      </c>
      <c r="AA761">
        <v>50</v>
      </c>
    </row>
    <row r="762" spans="1:27" x14ac:dyDescent="0.2">
      <c r="A762">
        <v>30</v>
      </c>
      <c r="B762">
        <v>1</v>
      </c>
      <c r="C762">
        <v>0.3</v>
      </c>
      <c r="D762">
        <v>20</v>
      </c>
      <c r="E762">
        <v>5.9890705016329801E-2</v>
      </c>
      <c r="F762">
        <v>1</v>
      </c>
      <c r="G762">
        <v>28.410797393999999</v>
      </c>
      <c r="H762">
        <v>6.7214617473581803E-2</v>
      </c>
      <c r="I762">
        <v>1</v>
      </c>
      <c r="J762">
        <v>0.16645938900000001</v>
      </c>
      <c r="V762" s="5">
        <v>4.1353926562380502E-2</v>
      </c>
      <c r="W762">
        <v>1</v>
      </c>
      <c r="X762">
        <v>58.068825883000002</v>
      </c>
      <c r="Y762">
        <v>256</v>
      </c>
      <c r="Z762">
        <v>6.1496321168981096E-3</v>
      </c>
      <c r="AA762">
        <v>1</v>
      </c>
    </row>
    <row r="763" spans="1:27" x14ac:dyDescent="0.2">
      <c r="A763">
        <v>30</v>
      </c>
      <c r="B763">
        <v>1</v>
      </c>
      <c r="C763">
        <v>0.4</v>
      </c>
      <c r="D763">
        <v>20</v>
      </c>
      <c r="E763">
        <v>5.3079669461126397E-2</v>
      </c>
      <c r="F763">
        <v>1</v>
      </c>
      <c r="G763">
        <v>27.774331345</v>
      </c>
      <c r="H763">
        <v>8.6253511888741197E-2</v>
      </c>
      <c r="I763">
        <v>1</v>
      </c>
      <c r="J763">
        <v>0.20030162700000001</v>
      </c>
      <c r="V763" s="5">
        <v>6.99716242407043E-2</v>
      </c>
      <c r="W763">
        <v>1</v>
      </c>
      <c r="X763">
        <v>777.59967337900002</v>
      </c>
      <c r="Y763">
        <v>3873</v>
      </c>
      <c r="Z763">
        <v>2.5540345765135E-2</v>
      </c>
      <c r="AA763">
        <v>50</v>
      </c>
    </row>
    <row r="764" spans="1:27" x14ac:dyDescent="0.2">
      <c r="A764">
        <v>30</v>
      </c>
      <c r="B764">
        <v>1</v>
      </c>
      <c r="C764">
        <v>0.3</v>
      </c>
      <c r="D764">
        <v>20</v>
      </c>
      <c r="E764">
        <v>0.12849337623670501</v>
      </c>
      <c r="F764">
        <v>1</v>
      </c>
      <c r="G764">
        <v>26.680282891000001</v>
      </c>
      <c r="H764">
        <v>9.0509055981031497E-2</v>
      </c>
      <c r="I764">
        <v>1</v>
      </c>
      <c r="J764">
        <v>0.30622390500000002</v>
      </c>
      <c r="V764" s="5">
        <v>6.49578462098028E-2</v>
      </c>
      <c r="W764">
        <v>1</v>
      </c>
      <c r="X764">
        <v>25200.402956779999</v>
      </c>
      <c r="Y764">
        <v>199986</v>
      </c>
      <c r="Z764">
        <v>2.8943373201783099E-2</v>
      </c>
      <c r="AA764">
        <v>50</v>
      </c>
    </row>
    <row r="765" spans="1:27" x14ac:dyDescent="0.2">
      <c r="A765">
        <v>30</v>
      </c>
      <c r="B765">
        <v>1</v>
      </c>
      <c r="C765">
        <v>0.1</v>
      </c>
      <c r="D765">
        <v>20</v>
      </c>
      <c r="E765">
        <v>0.36556228466362101</v>
      </c>
      <c r="F765">
        <v>1</v>
      </c>
      <c r="G765">
        <v>25.127953156</v>
      </c>
      <c r="H765">
        <v>0.39467537984789203</v>
      </c>
      <c r="I765">
        <v>1</v>
      </c>
      <c r="J765">
        <v>0.27644161099999998</v>
      </c>
      <c r="V765" s="5">
        <v>0.37953205547684699</v>
      </c>
      <c r="W765">
        <v>1</v>
      </c>
      <c r="X765">
        <v>30098.923244473001</v>
      </c>
      <c r="Y765">
        <v>93326</v>
      </c>
      <c r="Z765">
        <v>2.5136217139699601E-2</v>
      </c>
      <c r="AA765">
        <v>50</v>
      </c>
    </row>
    <row r="766" spans="1:27" x14ac:dyDescent="0.2">
      <c r="A766">
        <v>30</v>
      </c>
      <c r="B766">
        <v>1</v>
      </c>
      <c r="C766">
        <v>0.2</v>
      </c>
      <c r="D766">
        <v>20</v>
      </c>
      <c r="E766">
        <v>8.1786658929068404E-2</v>
      </c>
      <c r="F766">
        <v>1</v>
      </c>
      <c r="G766">
        <v>28.485321007</v>
      </c>
      <c r="H766">
        <v>0.107367847477258</v>
      </c>
      <c r="I766">
        <v>1</v>
      </c>
      <c r="J766">
        <v>0.19737363199999999</v>
      </c>
      <c r="V766" s="5">
        <v>8.1980995313273394E-2</v>
      </c>
      <c r="W766">
        <v>1</v>
      </c>
      <c r="X766">
        <v>30003.996378197</v>
      </c>
      <c r="Y766">
        <v>167053</v>
      </c>
      <c r="Z766">
        <v>2.41135657989546E-2</v>
      </c>
      <c r="AA766">
        <v>50</v>
      </c>
    </row>
    <row r="767" spans="1:27" x14ac:dyDescent="0.2">
      <c r="A767">
        <v>30</v>
      </c>
      <c r="B767">
        <v>1</v>
      </c>
      <c r="C767">
        <v>0.3</v>
      </c>
      <c r="D767">
        <v>20</v>
      </c>
      <c r="E767">
        <v>8.4901643920291703E-2</v>
      </c>
      <c r="F767">
        <v>1</v>
      </c>
      <c r="G767">
        <v>27.025075877999999</v>
      </c>
      <c r="H767">
        <v>0.124733319715185</v>
      </c>
      <c r="I767">
        <v>1</v>
      </c>
      <c r="J767">
        <v>0.20975312700000001</v>
      </c>
      <c r="V767" s="5">
        <v>0.114489748058102</v>
      </c>
      <c r="W767">
        <v>1</v>
      </c>
      <c r="X767">
        <v>9897.8984283900008</v>
      </c>
      <c r="Y767">
        <v>42169</v>
      </c>
      <c r="Z767">
        <v>1.51300428869767E-2</v>
      </c>
      <c r="AA767">
        <v>50</v>
      </c>
    </row>
    <row r="768" spans="1:27" x14ac:dyDescent="0.2">
      <c r="A768">
        <v>30</v>
      </c>
      <c r="B768">
        <v>1</v>
      </c>
      <c r="C768">
        <v>0.4</v>
      </c>
      <c r="D768">
        <v>20</v>
      </c>
      <c r="E768">
        <v>5.6760398915177E-2</v>
      </c>
      <c r="F768">
        <v>1</v>
      </c>
      <c r="G768">
        <v>29.391814850999999</v>
      </c>
      <c r="H768">
        <v>7.5011950393422205E-2</v>
      </c>
      <c r="I768">
        <v>1</v>
      </c>
      <c r="J768">
        <v>0.21146229499999999</v>
      </c>
      <c r="V768" s="5">
        <v>5.3085390947884302E-2</v>
      </c>
      <c r="W768">
        <v>1</v>
      </c>
      <c r="X768">
        <v>83.593748785000002</v>
      </c>
      <c r="Y768">
        <v>119</v>
      </c>
      <c r="Z768">
        <v>1.01810235314871E-2</v>
      </c>
      <c r="AA768">
        <v>50</v>
      </c>
    </row>
    <row r="769" spans="1:27" x14ac:dyDescent="0.2">
      <c r="A769">
        <v>30</v>
      </c>
      <c r="B769">
        <v>1</v>
      </c>
      <c r="C769">
        <v>0.1</v>
      </c>
      <c r="D769">
        <v>20</v>
      </c>
      <c r="E769">
        <v>0.53697113582120104</v>
      </c>
      <c r="F769">
        <v>1</v>
      </c>
      <c r="G769">
        <v>26.366410884</v>
      </c>
      <c r="H769">
        <v>0.48481621158404797</v>
      </c>
      <c r="I769">
        <v>1</v>
      </c>
      <c r="J769">
        <v>0.235481516</v>
      </c>
      <c r="V769" s="5">
        <v>1.1813949429377799</v>
      </c>
      <c r="W769">
        <v>1</v>
      </c>
      <c r="X769">
        <v>30428.610453722002</v>
      </c>
      <c r="Y769">
        <v>116374</v>
      </c>
      <c r="Z769">
        <v>3.8795738693746903E-2</v>
      </c>
      <c r="AA769">
        <v>50</v>
      </c>
    </row>
    <row r="770" spans="1:27" x14ac:dyDescent="0.2">
      <c r="A770">
        <v>30</v>
      </c>
      <c r="B770">
        <v>1</v>
      </c>
      <c r="C770">
        <v>0.2</v>
      </c>
      <c r="D770">
        <v>20</v>
      </c>
      <c r="E770">
        <v>0.104662681388481</v>
      </c>
      <c r="F770">
        <v>1</v>
      </c>
      <c r="G770">
        <v>22.510304313999999</v>
      </c>
      <c r="H770">
        <v>0.106393922660109</v>
      </c>
      <c r="I770">
        <v>1</v>
      </c>
      <c r="J770">
        <v>0.18133368799999999</v>
      </c>
      <c r="V770" s="5">
        <v>8.2155006699628594E-2</v>
      </c>
      <c r="W770">
        <v>1</v>
      </c>
      <c r="X770">
        <v>31109.474564549</v>
      </c>
      <c r="Y770">
        <v>70979</v>
      </c>
      <c r="Z770">
        <v>4.7292515032608201E-2</v>
      </c>
      <c r="AA770">
        <v>50</v>
      </c>
    </row>
    <row r="771" spans="1:27" x14ac:dyDescent="0.2">
      <c r="A771">
        <v>30</v>
      </c>
      <c r="B771">
        <v>1</v>
      </c>
      <c r="C771">
        <v>0.1</v>
      </c>
      <c r="D771">
        <v>20</v>
      </c>
      <c r="E771">
        <v>0.51709846114565705</v>
      </c>
      <c r="F771">
        <v>1</v>
      </c>
      <c r="G771">
        <v>28.770955422</v>
      </c>
      <c r="H771">
        <v>0.4517635548874</v>
      </c>
      <c r="I771">
        <v>1</v>
      </c>
      <c r="J771">
        <v>0.39642062099999997</v>
      </c>
      <c r="V771" s="5">
        <v>0.431225126980121</v>
      </c>
      <c r="W771">
        <v>1</v>
      </c>
      <c r="X771">
        <v>30098.033602472002</v>
      </c>
      <c r="Y771">
        <v>118290</v>
      </c>
      <c r="Z771">
        <v>1.43023609352871E-2</v>
      </c>
      <c r="AA771">
        <v>50</v>
      </c>
    </row>
    <row r="772" spans="1:27" x14ac:dyDescent="0.2">
      <c r="A772">
        <v>30</v>
      </c>
      <c r="B772">
        <v>1</v>
      </c>
      <c r="C772">
        <v>0.2</v>
      </c>
      <c r="D772">
        <v>20</v>
      </c>
      <c r="E772">
        <v>0.20102241268040899</v>
      </c>
      <c r="F772">
        <v>1</v>
      </c>
      <c r="G772">
        <v>29.504683014000001</v>
      </c>
      <c r="H772">
        <v>0.18163705636205199</v>
      </c>
      <c r="I772">
        <v>1</v>
      </c>
      <c r="J772">
        <v>0.33787998000000002</v>
      </c>
      <c r="V772" s="5">
        <v>0.25239626515808999</v>
      </c>
      <c r="W772">
        <v>1</v>
      </c>
      <c r="X772">
        <v>30391.825235452001</v>
      </c>
      <c r="Y772">
        <v>62498</v>
      </c>
      <c r="Z772">
        <v>0.12003480889715</v>
      </c>
      <c r="AA772">
        <v>50</v>
      </c>
    </row>
    <row r="773" spans="1:27" x14ac:dyDescent="0.2">
      <c r="A773" s="4">
        <v>30</v>
      </c>
      <c r="B773" s="4">
        <v>1</v>
      </c>
      <c r="C773" s="4">
        <v>0.1</v>
      </c>
      <c r="D773" s="4">
        <v>20</v>
      </c>
      <c r="E773" s="4">
        <v>0.52484542000000001</v>
      </c>
      <c r="F773" s="4">
        <v>1</v>
      </c>
      <c r="G773" s="4">
        <v>28.85228</v>
      </c>
      <c r="H773" s="4">
        <v>0.50356171999999999</v>
      </c>
      <c r="I773" s="4">
        <v>1</v>
      </c>
      <c r="J773" s="4">
        <v>0.22547174</v>
      </c>
      <c r="K773" s="4"/>
      <c r="L773" s="4"/>
      <c r="M773" s="4"/>
      <c r="N773" s="4"/>
      <c r="O773" s="4"/>
      <c r="P773" s="6"/>
      <c r="Q773" s="4"/>
      <c r="R773" s="4"/>
      <c r="S773" s="4"/>
      <c r="T773" s="4"/>
      <c r="U773" s="4"/>
      <c r="V773" s="6">
        <v>0.49472174000000002</v>
      </c>
      <c r="W773" s="4">
        <v>1</v>
      </c>
      <c r="X773" s="4">
        <v>29965.796999999999</v>
      </c>
      <c r="Y773" s="4">
        <v>132509</v>
      </c>
      <c r="Z773" s="4">
        <v>1.3384170000000001E-2</v>
      </c>
      <c r="AA773" s="4">
        <v>50</v>
      </c>
    </row>
    <row r="774" spans="1:27" x14ac:dyDescent="0.2">
      <c r="A774" s="4">
        <v>30</v>
      </c>
      <c r="B774" s="4">
        <v>1</v>
      </c>
      <c r="C774" s="4">
        <v>0.1</v>
      </c>
      <c r="D774" s="4">
        <v>20</v>
      </c>
      <c r="E774" s="4">
        <v>0.61042487999999995</v>
      </c>
      <c r="F774" s="4">
        <v>1</v>
      </c>
      <c r="G774" s="4">
        <v>23.174029000000001</v>
      </c>
      <c r="H774" s="4">
        <v>0.605796</v>
      </c>
      <c r="I774" s="4">
        <v>1</v>
      </c>
      <c r="J774" s="4">
        <v>0.27708864999999999</v>
      </c>
      <c r="K774" s="4"/>
      <c r="L774" s="4"/>
      <c r="M774" s="4"/>
      <c r="N774" s="4"/>
      <c r="O774" s="4"/>
      <c r="P774" s="6"/>
      <c r="Q774" s="4"/>
      <c r="R774" s="4"/>
      <c r="S774" s="4"/>
      <c r="T774" s="4"/>
      <c r="U774" s="4"/>
      <c r="V774" s="6">
        <v>0.59706703000000005</v>
      </c>
      <c r="W774" s="4">
        <v>1</v>
      </c>
      <c r="X774" s="4">
        <v>30048.2202</v>
      </c>
      <c r="Y774" s="4">
        <v>133398</v>
      </c>
      <c r="Z774" s="4">
        <v>2.7367909999999999E-2</v>
      </c>
      <c r="AA774" s="4">
        <v>50</v>
      </c>
    </row>
    <row r="775" spans="1:27" x14ac:dyDescent="0.2">
      <c r="A775" s="4">
        <v>30</v>
      </c>
      <c r="B775" s="4">
        <v>1</v>
      </c>
      <c r="C775" s="4">
        <v>0.4</v>
      </c>
      <c r="D775" s="4">
        <v>20</v>
      </c>
      <c r="E775" s="4">
        <v>8.7736170000000002E-2</v>
      </c>
      <c r="F775" s="4">
        <v>1</v>
      </c>
      <c r="G775" s="4">
        <v>22.7427159</v>
      </c>
      <c r="H775" s="4">
        <v>0.10498011</v>
      </c>
      <c r="I775" s="4">
        <v>1</v>
      </c>
      <c r="J775" s="4">
        <v>0.17075657999999999</v>
      </c>
      <c r="K775" s="4"/>
      <c r="L775" s="4"/>
      <c r="M775" s="4"/>
      <c r="N775" s="4"/>
      <c r="O775" s="4"/>
      <c r="P775" s="6"/>
      <c r="Q775" s="4"/>
      <c r="R775" s="4"/>
      <c r="S775" s="4"/>
      <c r="T775" s="4"/>
      <c r="U775" s="4"/>
      <c r="V775" s="6">
        <v>8.6548529999999999E-2</v>
      </c>
      <c r="W775" s="4">
        <v>1</v>
      </c>
      <c r="X775" s="4">
        <v>30979.223699999999</v>
      </c>
      <c r="Y775" s="4">
        <v>110038</v>
      </c>
      <c r="Z775" s="4">
        <v>0.11214984</v>
      </c>
      <c r="AA775" s="4">
        <v>50</v>
      </c>
    </row>
    <row r="776" spans="1:27" x14ac:dyDescent="0.2">
      <c r="A776" s="4">
        <v>30</v>
      </c>
      <c r="B776" s="4">
        <v>1</v>
      </c>
      <c r="C776" s="4">
        <v>0.4</v>
      </c>
      <c r="D776" s="4">
        <v>20</v>
      </c>
      <c r="E776" s="4">
        <v>8.2619789999999999E-2</v>
      </c>
      <c r="F776" s="4">
        <v>1</v>
      </c>
      <c r="G776" s="4">
        <v>27.425864300000001</v>
      </c>
      <c r="H776" s="4">
        <v>0.10265019</v>
      </c>
      <c r="I776" s="4">
        <v>1</v>
      </c>
      <c r="J776" s="4">
        <v>0.16721195999999999</v>
      </c>
      <c r="K776" s="4"/>
      <c r="L776" s="4"/>
      <c r="M776" s="4"/>
      <c r="N776" s="4"/>
      <c r="O776" s="4"/>
      <c r="P776" s="6"/>
      <c r="Q776" s="4"/>
      <c r="R776" s="4"/>
      <c r="S776" s="4"/>
      <c r="T776" s="4"/>
      <c r="U776" s="4"/>
      <c r="V776" s="6">
        <v>7.1344270000000001E-2</v>
      </c>
      <c r="W776" s="4">
        <v>1</v>
      </c>
      <c r="X776" s="4">
        <v>30392.067500000001</v>
      </c>
      <c r="Y776" s="4">
        <v>61146</v>
      </c>
      <c r="Z776" s="4">
        <v>0.12475287</v>
      </c>
      <c r="AA776" s="4">
        <v>50</v>
      </c>
    </row>
    <row r="777" spans="1:27" x14ac:dyDescent="0.2">
      <c r="A777" s="4">
        <v>30</v>
      </c>
      <c r="B777" s="4">
        <v>1</v>
      </c>
      <c r="C777" s="4">
        <v>0.2</v>
      </c>
      <c r="D777" s="4">
        <v>20</v>
      </c>
      <c r="E777" s="4">
        <v>0.34701968999999999</v>
      </c>
      <c r="F777" s="4">
        <v>1</v>
      </c>
      <c r="G777" s="4">
        <v>28.096532199999999</v>
      </c>
      <c r="H777" s="4">
        <v>0.35747378000000002</v>
      </c>
      <c r="I777" s="4">
        <v>1</v>
      </c>
      <c r="J777" s="4">
        <v>0.20317279999999999</v>
      </c>
      <c r="K777" s="4"/>
      <c r="L777" s="4"/>
      <c r="M777" s="4"/>
      <c r="N777" s="4"/>
      <c r="O777" s="4"/>
      <c r="P777" s="6"/>
      <c r="Q777" s="4"/>
      <c r="R777" s="4"/>
      <c r="S777" s="4"/>
      <c r="T777" s="4"/>
      <c r="U777" s="4"/>
      <c r="V777" s="6">
        <v>0.30182512</v>
      </c>
      <c r="W777" s="4">
        <v>1</v>
      </c>
      <c r="X777" s="4">
        <v>31402.374500000002</v>
      </c>
      <c r="Y777" s="4">
        <v>59504</v>
      </c>
      <c r="Z777" s="4">
        <v>9.4074260000000007E-2</v>
      </c>
      <c r="AA777" s="4">
        <v>50</v>
      </c>
    </row>
    <row r="778" spans="1:27" x14ac:dyDescent="0.2">
      <c r="A778" s="4">
        <v>30</v>
      </c>
      <c r="B778" s="4">
        <v>1</v>
      </c>
      <c r="C778" s="4">
        <v>0.3</v>
      </c>
      <c r="D778" s="4">
        <v>20</v>
      </c>
      <c r="E778" s="4">
        <v>0.15207714</v>
      </c>
      <c r="F778" s="4">
        <v>1</v>
      </c>
      <c r="G778" s="4">
        <v>28.8150148</v>
      </c>
      <c r="H778" s="4">
        <v>0.13148252999999999</v>
      </c>
      <c r="I778" s="4">
        <v>1</v>
      </c>
      <c r="J778" s="4">
        <v>0.28960110999999999</v>
      </c>
      <c r="K778" s="4"/>
      <c r="L778" s="4"/>
      <c r="M778" s="4"/>
      <c r="N778" s="4"/>
      <c r="O778" s="4"/>
      <c r="P778" s="6"/>
      <c r="Q778" s="4"/>
      <c r="R778" s="4"/>
      <c r="S778" s="4"/>
      <c r="T778" s="4"/>
      <c r="U778" s="4"/>
      <c r="V778" s="6">
        <v>0.11199549</v>
      </c>
      <c r="W778" s="4">
        <v>1</v>
      </c>
      <c r="X778" s="4">
        <v>30588.292600000001</v>
      </c>
      <c r="Y778" s="4">
        <v>63026</v>
      </c>
      <c r="Z778" s="4">
        <v>5.6286429999999998E-2</v>
      </c>
      <c r="AA778" s="4">
        <v>50</v>
      </c>
    </row>
    <row r="779" spans="1:27" x14ac:dyDescent="0.2">
      <c r="A779" s="4">
        <v>30</v>
      </c>
      <c r="B779" s="4">
        <v>1</v>
      </c>
      <c r="C779" s="4">
        <v>0.2</v>
      </c>
      <c r="D779" s="4">
        <v>20</v>
      </c>
      <c r="E779" s="4">
        <v>0.1218359</v>
      </c>
      <c r="F779" s="4">
        <v>1</v>
      </c>
      <c r="G779" s="4">
        <v>27.6482007</v>
      </c>
      <c r="H779" s="4">
        <v>0.14034784</v>
      </c>
      <c r="I779" s="4">
        <v>1</v>
      </c>
      <c r="J779" s="4">
        <v>0.20251604000000001</v>
      </c>
      <c r="K779" s="4"/>
      <c r="L779" s="4"/>
      <c r="M779" s="4"/>
      <c r="N779" s="4"/>
      <c r="O779" s="4"/>
      <c r="P779" s="6"/>
      <c r="Q779" s="4"/>
      <c r="R779" s="4"/>
      <c r="S779" s="4"/>
      <c r="T779" s="4"/>
      <c r="U779" s="4"/>
      <c r="V779" s="6">
        <v>9.9696439999999997E-2</v>
      </c>
      <c r="W779" s="4">
        <v>1</v>
      </c>
      <c r="X779" s="4">
        <v>31174.888900000002</v>
      </c>
      <c r="Y779" s="4">
        <v>65108</v>
      </c>
      <c r="Z779" s="4">
        <v>5.4806670000000002E-2</v>
      </c>
      <c r="AA779" s="4">
        <v>50</v>
      </c>
    </row>
    <row r="780" spans="1:27" x14ac:dyDescent="0.2">
      <c r="A780" s="4">
        <v>30</v>
      </c>
      <c r="B780" s="4">
        <v>1</v>
      </c>
      <c r="C780" s="4">
        <v>0.2</v>
      </c>
      <c r="D780" s="4">
        <v>20</v>
      </c>
      <c r="E780" s="4">
        <v>0.12960519000000001</v>
      </c>
      <c r="F780" s="4">
        <v>1</v>
      </c>
      <c r="G780" s="4">
        <v>26.899714599999999</v>
      </c>
      <c r="H780" s="4">
        <v>0.13436008999999999</v>
      </c>
      <c r="I780" s="4">
        <v>1</v>
      </c>
      <c r="J780" s="4">
        <v>0.17382526000000001</v>
      </c>
      <c r="K780" s="4"/>
      <c r="L780" s="4"/>
      <c r="M780" s="4"/>
      <c r="N780" s="4"/>
      <c r="O780" s="4"/>
      <c r="P780" s="6"/>
      <c r="Q780" s="4"/>
      <c r="R780" s="4"/>
      <c r="S780" s="4"/>
      <c r="T780" s="4"/>
      <c r="U780" s="4"/>
      <c r="V780" s="6">
        <v>0.11441332</v>
      </c>
      <c r="W780" s="4">
        <v>1</v>
      </c>
      <c r="X780" s="4">
        <v>30679.369299999998</v>
      </c>
      <c r="Y780" s="4">
        <v>101045</v>
      </c>
      <c r="Z780" s="4">
        <v>3.0565209999999999E-2</v>
      </c>
      <c r="AA780" s="4">
        <v>50</v>
      </c>
    </row>
    <row r="781" spans="1:27" x14ac:dyDescent="0.2">
      <c r="A781">
        <v>30</v>
      </c>
      <c r="B781">
        <v>1</v>
      </c>
      <c r="C781">
        <v>0.3</v>
      </c>
      <c r="D781">
        <v>100</v>
      </c>
      <c r="E781">
        <v>9.2890959589162006E-3</v>
      </c>
      <c r="F781">
        <v>1</v>
      </c>
      <c r="G781">
        <v>25.827953439000002</v>
      </c>
      <c r="H781">
        <v>1.1173799550947499E-2</v>
      </c>
      <c r="I781">
        <v>1</v>
      </c>
      <c r="J781">
        <v>9.2251041000000006E-2</v>
      </c>
      <c r="V781" s="5">
        <v>7.2481470436640402E-3</v>
      </c>
      <c r="W781">
        <v>1</v>
      </c>
      <c r="X781">
        <v>81.661763120000003</v>
      </c>
      <c r="Y781">
        <v>33</v>
      </c>
      <c r="Z781">
        <v>3.6345936585704302E-3</v>
      </c>
      <c r="AA781">
        <v>1</v>
      </c>
    </row>
    <row r="782" spans="1:27" x14ac:dyDescent="0.2">
      <c r="A782">
        <v>30</v>
      </c>
      <c r="B782">
        <v>1</v>
      </c>
      <c r="C782">
        <v>0.4</v>
      </c>
      <c r="D782">
        <v>100</v>
      </c>
      <c r="E782">
        <v>1.14196234339444E-2</v>
      </c>
      <c r="F782">
        <v>1</v>
      </c>
      <c r="G782">
        <v>26.835647627</v>
      </c>
      <c r="H782">
        <v>1.41064609553395E-2</v>
      </c>
      <c r="I782">
        <v>1</v>
      </c>
      <c r="J782">
        <v>0.111894798</v>
      </c>
      <c r="V782" s="5">
        <v>9.0519781132169692E-3</v>
      </c>
      <c r="W782">
        <v>1</v>
      </c>
      <c r="X782">
        <v>82.121286613999999</v>
      </c>
      <c r="Y782">
        <v>23</v>
      </c>
      <c r="Z782">
        <v>4.4906015556542798E-3</v>
      </c>
      <c r="AA782">
        <v>1</v>
      </c>
    </row>
    <row r="783" spans="1:27" x14ac:dyDescent="0.2">
      <c r="A783">
        <v>30</v>
      </c>
      <c r="B783">
        <v>1</v>
      </c>
      <c r="C783">
        <v>0.4</v>
      </c>
      <c r="D783">
        <v>100</v>
      </c>
      <c r="E783">
        <v>1.14930897631925E-2</v>
      </c>
      <c r="F783">
        <v>1</v>
      </c>
      <c r="G783">
        <v>26.606019442000001</v>
      </c>
      <c r="H783">
        <v>1.49228248638549E-2</v>
      </c>
      <c r="I783">
        <v>1</v>
      </c>
      <c r="J783">
        <v>0.14080843400000001</v>
      </c>
      <c r="V783" s="5">
        <v>1.0065439440383401E-2</v>
      </c>
      <c r="W783">
        <v>1</v>
      </c>
      <c r="X783">
        <v>71.183366383000006</v>
      </c>
      <c r="Y783">
        <v>13</v>
      </c>
      <c r="Z783">
        <v>6.3961151809594999E-3</v>
      </c>
      <c r="AA783">
        <v>1</v>
      </c>
    </row>
    <row r="784" spans="1:27" x14ac:dyDescent="0.2">
      <c r="A784">
        <v>30</v>
      </c>
      <c r="B784">
        <v>1</v>
      </c>
      <c r="C784">
        <v>0.3</v>
      </c>
      <c r="D784">
        <v>100</v>
      </c>
      <c r="E784">
        <v>8.8498286160151096E-2</v>
      </c>
      <c r="F784">
        <v>1</v>
      </c>
      <c r="G784">
        <v>25.871079248000001</v>
      </c>
      <c r="H784">
        <v>3.2280783353908798E-2</v>
      </c>
      <c r="I784">
        <v>1</v>
      </c>
      <c r="J784">
        <v>0.109677761</v>
      </c>
      <c r="V784" s="5">
        <v>3.0016346690611598E-2</v>
      </c>
      <c r="W784">
        <v>1</v>
      </c>
      <c r="X784">
        <v>79.555085230000003</v>
      </c>
      <c r="Y784">
        <v>19</v>
      </c>
      <c r="Z784">
        <v>6.4679167578282001E-3</v>
      </c>
      <c r="AA784">
        <v>1</v>
      </c>
    </row>
    <row r="785" spans="1:27" x14ac:dyDescent="0.2">
      <c r="A785">
        <v>30</v>
      </c>
      <c r="B785">
        <v>1</v>
      </c>
      <c r="C785">
        <v>0.4</v>
      </c>
      <c r="D785">
        <v>100</v>
      </c>
      <c r="E785">
        <v>1.26847247726507E-2</v>
      </c>
      <c r="F785">
        <v>1</v>
      </c>
      <c r="G785">
        <v>27.092797529999999</v>
      </c>
      <c r="H785">
        <v>1.5652357844067301E-2</v>
      </c>
      <c r="I785">
        <v>1</v>
      </c>
      <c r="J785">
        <v>0.13911641999999999</v>
      </c>
      <c r="V785" s="5">
        <v>1.01622815968572E-2</v>
      </c>
      <c r="W785">
        <v>1</v>
      </c>
      <c r="X785">
        <v>82.524387039000004</v>
      </c>
      <c r="Y785">
        <v>37</v>
      </c>
      <c r="Z785">
        <v>8.8786249183265796E-3</v>
      </c>
      <c r="AA785">
        <v>1</v>
      </c>
    </row>
    <row r="786" spans="1:27" x14ac:dyDescent="0.2">
      <c r="A786">
        <v>30</v>
      </c>
      <c r="B786">
        <v>1</v>
      </c>
      <c r="C786">
        <v>0.4</v>
      </c>
      <c r="D786">
        <v>100</v>
      </c>
      <c r="E786">
        <v>9.9197815804457704E-3</v>
      </c>
      <c r="F786">
        <v>1</v>
      </c>
      <c r="G786">
        <v>29.310368859</v>
      </c>
      <c r="H786">
        <v>1.12771705748514E-2</v>
      </c>
      <c r="I786">
        <v>1</v>
      </c>
      <c r="J786">
        <v>0.109310883</v>
      </c>
      <c r="V786" s="5">
        <v>6.7145972201709597E-3</v>
      </c>
      <c r="W786">
        <v>1</v>
      </c>
      <c r="X786">
        <v>81.545927301999996</v>
      </c>
      <c r="Y786">
        <v>35</v>
      </c>
      <c r="Z786">
        <v>3.6297965270561902E-3</v>
      </c>
      <c r="AA786">
        <v>1</v>
      </c>
    </row>
    <row r="787" spans="1:27" x14ac:dyDescent="0.2">
      <c r="A787">
        <v>30</v>
      </c>
      <c r="B787">
        <v>1</v>
      </c>
      <c r="C787">
        <v>0.3</v>
      </c>
      <c r="D787">
        <v>100</v>
      </c>
      <c r="E787">
        <v>1.2166560615502999E-2</v>
      </c>
      <c r="F787">
        <v>1</v>
      </c>
      <c r="G787">
        <v>30.207849465999999</v>
      </c>
      <c r="H787">
        <v>1.5734184583098901E-2</v>
      </c>
      <c r="I787">
        <v>1</v>
      </c>
      <c r="J787">
        <v>0.133454299</v>
      </c>
      <c r="V787" s="5">
        <v>1.09334705333347E-2</v>
      </c>
      <c r="W787">
        <v>1</v>
      </c>
      <c r="X787">
        <v>522.08755340200003</v>
      </c>
      <c r="Y787">
        <v>126</v>
      </c>
      <c r="Z787">
        <v>8.9242652750864907E-3</v>
      </c>
      <c r="AA787">
        <v>13</v>
      </c>
    </row>
    <row r="788" spans="1:27" x14ac:dyDescent="0.2">
      <c r="A788">
        <v>30</v>
      </c>
      <c r="B788">
        <v>1</v>
      </c>
      <c r="C788">
        <v>0.4</v>
      </c>
      <c r="D788">
        <v>100</v>
      </c>
      <c r="E788">
        <v>1.0653927491703401E-2</v>
      </c>
      <c r="F788">
        <v>1</v>
      </c>
      <c r="G788">
        <v>31.426060439</v>
      </c>
      <c r="H788">
        <v>1.1752854435537601E-2</v>
      </c>
      <c r="I788">
        <v>1</v>
      </c>
      <c r="J788">
        <v>0.114369497</v>
      </c>
      <c r="V788" s="5">
        <v>6.8473621935770399E-3</v>
      </c>
      <c r="W788">
        <v>1</v>
      </c>
      <c r="X788">
        <v>81.232584439999997</v>
      </c>
      <c r="Y788">
        <v>19</v>
      </c>
      <c r="Z788">
        <v>3.9591014513846697E-3</v>
      </c>
      <c r="AA788">
        <v>1</v>
      </c>
    </row>
    <row r="789" spans="1:27" x14ac:dyDescent="0.2">
      <c r="A789">
        <v>30</v>
      </c>
      <c r="B789">
        <v>1</v>
      </c>
      <c r="C789">
        <v>0.2</v>
      </c>
      <c r="D789">
        <v>100</v>
      </c>
      <c r="E789">
        <v>3.4586897621056802E-2</v>
      </c>
      <c r="F789">
        <v>1</v>
      </c>
      <c r="G789">
        <v>30.441957768000002</v>
      </c>
      <c r="H789">
        <v>3.6971559443523101E-2</v>
      </c>
      <c r="I789">
        <v>1</v>
      </c>
      <c r="J789">
        <v>0.23577189800000001</v>
      </c>
      <c r="V789" s="5">
        <v>3.5084187927568102E-2</v>
      </c>
      <c r="W789">
        <v>1</v>
      </c>
      <c r="X789">
        <v>1306.4989419169999</v>
      </c>
      <c r="Y789">
        <v>2886</v>
      </c>
      <c r="Z789">
        <v>9.6414545398267795E-3</v>
      </c>
      <c r="AA789">
        <v>1</v>
      </c>
    </row>
    <row r="790" spans="1:27" x14ac:dyDescent="0.2">
      <c r="A790">
        <v>30</v>
      </c>
      <c r="B790">
        <v>1</v>
      </c>
      <c r="C790">
        <v>0.3</v>
      </c>
      <c r="D790">
        <v>100</v>
      </c>
      <c r="E790">
        <v>1.15537082663285E-2</v>
      </c>
      <c r="F790">
        <v>1</v>
      </c>
      <c r="G790">
        <v>26.814011521000001</v>
      </c>
      <c r="H790">
        <v>2.16290672020794E-2</v>
      </c>
      <c r="I790">
        <v>1</v>
      </c>
      <c r="J790">
        <v>0.15459413799999999</v>
      </c>
      <c r="V790" s="5">
        <v>1.7392111528159001E-2</v>
      </c>
      <c r="W790">
        <v>1</v>
      </c>
      <c r="X790">
        <v>4328.5180826830001</v>
      </c>
      <c r="Y790">
        <v>5956</v>
      </c>
      <c r="Z790">
        <v>8.9274122377984693E-3</v>
      </c>
      <c r="AA790">
        <v>16</v>
      </c>
    </row>
    <row r="791" spans="1:27" x14ac:dyDescent="0.2">
      <c r="A791">
        <v>30</v>
      </c>
      <c r="B791">
        <v>1</v>
      </c>
      <c r="C791">
        <v>0.4</v>
      </c>
      <c r="D791">
        <v>100</v>
      </c>
      <c r="E791">
        <v>1.3104365745219001E-2</v>
      </c>
      <c r="F791">
        <v>1</v>
      </c>
      <c r="G791">
        <v>29.201866215999999</v>
      </c>
      <c r="H791">
        <v>2.2706040843394101E-2</v>
      </c>
      <c r="I791">
        <v>1</v>
      </c>
      <c r="J791">
        <v>0.131319766</v>
      </c>
      <c r="V791" s="5">
        <v>1.85200306402756E-2</v>
      </c>
      <c r="W791">
        <v>1</v>
      </c>
      <c r="X791">
        <v>113.717864335</v>
      </c>
      <c r="Y791">
        <v>57</v>
      </c>
      <c r="Z791">
        <v>7.7903170218034303E-3</v>
      </c>
      <c r="AA791">
        <v>1</v>
      </c>
    </row>
    <row r="792" spans="1:27" x14ac:dyDescent="0.2">
      <c r="A792">
        <v>30</v>
      </c>
      <c r="B792">
        <v>1</v>
      </c>
      <c r="C792">
        <v>0.4</v>
      </c>
      <c r="D792">
        <v>100</v>
      </c>
      <c r="E792">
        <v>1.201390915706E-2</v>
      </c>
      <c r="F792">
        <v>1</v>
      </c>
      <c r="G792">
        <v>30.120478859999999</v>
      </c>
      <c r="H792">
        <v>1.54770946373001E-2</v>
      </c>
      <c r="I792">
        <v>1</v>
      </c>
      <c r="J792">
        <v>0.18319682500000001</v>
      </c>
      <c r="V792" s="5">
        <v>1.0270550001105201E-2</v>
      </c>
      <c r="W792">
        <v>1</v>
      </c>
      <c r="X792">
        <v>193.63594638000001</v>
      </c>
      <c r="Y792">
        <v>478</v>
      </c>
      <c r="Z792">
        <v>8.3943451238090994E-3</v>
      </c>
      <c r="AA792">
        <v>1</v>
      </c>
    </row>
    <row r="793" spans="1:27" x14ac:dyDescent="0.2">
      <c r="A793">
        <v>30</v>
      </c>
      <c r="B793">
        <v>1</v>
      </c>
      <c r="C793">
        <v>0.3</v>
      </c>
      <c r="D793">
        <v>100</v>
      </c>
      <c r="E793">
        <v>1.2011218584798099E-2</v>
      </c>
      <c r="F793">
        <v>1</v>
      </c>
      <c r="G793">
        <v>29.910292103</v>
      </c>
      <c r="H793">
        <v>1.55222776053754E-2</v>
      </c>
      <c r="I793">
        <v>1</v>
      </c>
      <c r="J793">
        <v>7.4116341000000002E-2</v>
      </c>
      <c r="V793" s="5">
        <v>1.07591067751993E-2</v>
      </c>
      <c r="W793">
        <v>1</v>
      </c>
      <c r="X793">
        <v>126.865634695</v>
      </c>
      <c r="Y793">
        <v>79</v>
      </c>
      <c r="Z793">
        <v>9.8776938503040094E-3</v>
      </c>
      <c r="AA793">
        <v>1</v>
      </c>
    </row>
    <row r="794" spans="1:27" x14ac:dyDescent="0.2">
      <c r="A794">
        <v>30</v>
      </c>
      <c r="B794">
        <v>1</v>
      </c>
      <c r="C794">
        <v>0.4</v>
      </c>
      <c r="D794">
        <v>100</v>
      </c>
      <c r="E794">
        <v>3.9774861274315197E-2</v>
      </c>
      <c r="F794">
        <v>1</v>
      </c>
      <c r="G794">
        <v>33.975212224000003</v>
      </c>
      <c r="H794">
        <v>2.3423023878916399E-2</v>
      </c>
      <c r="I794">
        <v>1</v>
      </c>
      <c r="J794">
        <v>0.17711146699999999</v>
      </c>
      <c r="V794" s="5">
        <v>1.9272067014067099E-2</v>
      </c>
      <c r="W794">
        <v>1</v>
      </c>
      <c r="X794">
        <v>219.267733986</v>
      </c>
      <c r="Y794">
        <v>755</v>
      </c>
      <c r="Z794">
        <v>6.1417934531735599E-3</v>
      </c>
      <c r="AA794">
        <v>1</v>
      </c>
    </row>
    <row r="795" spans="1:27" x14ac:dyDescent="0.2">
      <c r="A795">
        <v>30</v>
      </c>
      <c r="B795">
        <v>1</v>
      </c>
      <c r="C795">
        <v>0.3</v>
      </c>
      <c r="D795">
        <v>100</v>
      </c>
      <c r="E795">
        <v>4.6465890508671198E-2</v>
      </c>
      <c r="F795">
        <v>1</v>
      </c>
      <c r="G795">
        <v>31.700746924000001</v>
      </c>
      <c r="H795">
        <v>1.9963223685901501E-2</v>
      </c>
      <c r="I795">
        <v>1</v>
      </c>
      <c r="J795">
        <v>0.26134264899999998</v>
      </c>
      <c r="V795" s="5">
        <v>1.611039685853E-2</v>
      </c>
      <c r="W795">
        <v>1</v>
      </c>
      <c r="X795">
        <v>390.10347922300002</v>
      </c>
      <c r="Y795">
        <v>434</v>
      </c>
      <c r="Z795">
        <v>9.5797140337212597E-3</v>
      </c>
      <c r="AA795">
        <v>13</v>
      </c>
    </row>
    <row r="796" spans="1:27" x14ac:dyDescent="0.2">
      <c r="A796">
        <v>30</v>
      </c>
      <c r="B796">
        <v>1</v>
      </c>
      <c r="C796">
        <v>0.4</v>
      </c>
      <c r="D796">
        <v>100</v>
      </c>
      <c r="E796">
        <v>5.6942141363613398E-2</v>
      </c>
      <c r="F796">
        <v>1</v>
      </c>
      <c r="G796">
        <v>31.678766970000002</v>
      </c>
      <c r="H796">
        <v>2.5656882198768501E-2</v>
      </c>
      <c r="I796">
        <v>1</v>
      </c>
      <c r="J796">
        <v>0.24527660800000001</v>
      </c>
      <c r="V796" s="5">
        <v>2.0169511028560499E-2</v>
      </c>
      <c r="W796">
        <v>1</v>
      </c>
      <c r="X796">
        <v>1934.8738438779999</v>
      </c>
      <c r="Y796">
        <v>4278</v>
      </c>
      <c r="Z796">
        <v>9.2600343570239298E-3</v>
      </c>
      <c r="AA796">
        <v>14</v>
      </c>
    </row>
    <row r="797" spans="1:27" x14ac:dyDescent="0.2">
      <c r="A797">
        <v>30</v>
      </c>
      <c r="B797">
        <v>1</v>
      </c>
      <c r="C797">
        <v>0.3</v>
      </c>
      <c r="D797">
        <v>100</v>
      </c>
      <c r="E797">
        <v>4.2722100422397803E-2</v>
      </c>
      <c r="F797">
        <v>1</v>
      </c>
      <c r="G797">
        <v>30.331468855000001</v>
      </c>
      <c r="H797">
        <v>2.11684951831267E-2</v>
      </c>
      <c r="I797">
        <v>1</v>
      </c>
      <c r="J797">
        <v>0.188716829</v>
      </c>
      <c r="V797" s="5">
        <v>1.7001505032357901E-2</v>
      </c>
      <c r="W797">
        <v>1</v>
      </c>
      <c r="X797">
        <v>3184.1715628420002</v>
      </c>
      <c r="Y797">
        <v>9816</v>
      </c>
      <c r="Z797">
        <v>9.4086793589611695E-3</v>
      </c>
      <c r="AA797">
        <v>20</v>
      </c>
    </row>
    <row r="798" spans="1:27" x14ac:dyDescent="0.2">
      <c r="A798">
        <v>30</v>
      </c>
      <c r="B798">
        <v>1</v>
      </c>
      <c r="C798">
        <v>0.4</v>
      </c>
      <c r="D798">
        <v>100</v>
      </c>
      <c r="E798">
        <v>1.11963897557189E-2</v>
      </c>
      <c r="F798">
        <v>1</v>
      </c>
      <c r="G798">
        <v>30.605056048000002</v>
      </c>
      <c r="H798">
        <v>1.4120130662027599E-2</v>
      </c>
      <c r="I798">
        <v>1</v>
      </c>
      <c r="J798">
        <v>0.20750602200000001</v>
      </c>
      <c r="V798" s="5">
        <v>9.2658379307873594E-3</v>
      </c>
      <c r="W798">
        <v>1</v>
      </c>
      <c r="X798">
        <v>112.26790461100001</v>
      </c>
      <c r="Y798">
        <v>47</v>
      </c>
      <c r="Z798">
        <v>7.0577323851332904E-3</v>
      </c>
      <c r="AA798">
        <v>1</v>
      </c>
    </row>
    <row r="799" spans="1:27" x14ac:dyDescent="0.2">
      <c r="A799">
        <v>30</v>
      </c>
      <c r="B799">
        <v>1</v>
      </c>
      <c r="C799">
        <v>0.4</v>
      </c>
      <c r="D799">
        <v>100</v>
      </c>
      <c r="E799">
        <v>1.45738115798048E-2</v>
      </c>
      <c r="F799">
        <v>1</v>
      </c>
      <c r="G799">
        <v>29.542591946999998</v>
      </c>
      <c r="H799">
        <v>1.6051142129977498E-2</v>
      </c>
      <c r="I799">
        <v>1</v>
      </c>
      <c r="J799">
        <v>0.13052403200000001</v>
      </c>
      <c r="V799" s="5">
        <v>9.4392123053096307E-3</v>
      </c>
      <c r="W799">
        <v>1</v>
      </c>
      <c r="X799">
        <v>148.31169440799999</v>
      </c>
      <c r="Y799">
        <v>209</v>
      </c>
      <c r="Z799">
        <v>1.76722433137266E-4</v>
      </c>
      <c r="AA799">
        <v>1</v>
      </c>
    </row>
    <row r="800" spans="1:27" x14ac:dyDescent="0.2">
      <c r="A800">
        <v>30</v>
      </c>
      <c r="B800">
        <v>1</v>
      </c>
      <c r="C800">
        <v>0.4</v>
      </c>
      <c r="D800">
        <v>100</v>
      </c>
      <c r="E800">
        <v>3.0212298410868799E-2</v>
      </c>
      <c r="F800">
        <v>1</v>
      </c>
      <c r="G800">
        <v>30.835259410999999</v>
      </c>
      <c r="H800">
        <v>3.1967906017948799E-2</v>
      </c>
      <c r="I800">
        <v>1</v>
      </c>
      <c r="J800">
        <v>8.0285698000000003E-2</v>
      </c>
      <c r="V800" s="5">
        <v>2.0607306203072401E-2</v>
      </c>
      <c r="W800">
        <v>1</v>
      </c>
      <c r="X800">
        <v>3159.0511790149999</v>
      </c>
      <c r="Y800">
        <v>12336</v>
      </c>
      <c r="Z800">
        <v>6.6120363218811198E-3</v>
      </c>
      <c r="AA800">
        <v>31</v>
      </c>
    </row>
    <row r="801" spans="1:27" x14ac:dyDescent="0.2">
      <c r="A801">
        <v>30</v>
      </c>
      <c r="B801">
        <v>1</v>
      </c>
      <c r="C801">
        <v>0.4</v>
      </c>
      <c r="D801">
        <v>100</v>
      </c>
      <c r="E801">
        <v>1.2613322974817801E-2</v>
      </c>
      <c r="F801">
        <v>1</v>
      </c>
      <c r="G801">
        <v>29.793855314999998</v>
      </c>
      <c r="H801">
        <v>1.49880735683147E-2</v>
      </c>
      <c r="I801">
        <v>1</v>
      </c>
      <c r="J801">
        <v>0.20748851200000001</v>
      </c>
      <c r="V801" s="5">
        <v>9.2736608711524206E-3</v>
      </c>
      <c r="W801">
        <v>1</v>
      </c>
      <c r="X801">
        <v>166.68138514899999</v>
      </c>
      <c r="Y801">
        <v>63</v>
      </c>
      <c r="Z801">
        <v>6.1569139625961E-3</v>
      </c>
      <c r="AA801">
        <v>25</v>
      </c>
    </row>
    <row r="802" spans="1:27" x14ac:dyDescent="0.2">
      <c r="A802">
        <v>30</v>
      </c>
      <c r="B802">
        <v>1</v>
      </c>
      <c r="C802">
        <v>0.4</v>
      </c>
      <c r="D802">
        <v>100</v>
      </c>
      <c r="E802">
        <v>1.11476796535561E-2</v>
      </c>
      <c r="F802">
        <v>1</v>
      </c>
      <c r="G802">
        <v>26.185070112999998</v>
      </c>
      <c r="H802">
        <v>1.8258068270911799E-2</v>
      </c>
      <c r="I802">
        <v>1</v>
      </c>
      <c r="J802">
        <v>0.21981609599999999</v>
      </c>
      <c r="V802" s="5">
        <v>1.39571161695665E-2</v>
      </c>
      <c r="W802">
        <v>1</v>
      </c>
      <c r="X802">
        <v>11687.951366933999</v>
      </c>
      <c r="Y802">
        <v>49963</v>
      </c>
      <c r="Z802">
        <v>9.7357133304123399E-3</v>
      </c>
      <c r="AA802">
        <v>31</v>
      </c>
    </row>
    <row r="803" spans="1:27" x14ac:dyDescent="0.2">
      <c r="A803">
        <v>30</v>
      </c>
      <c r="B803">
        <v>1</v>
      </c>
      <c r="C803">
        <v>0.3</v>
      </c>
      <c r="D803">
        <v>100</v>
      </c>
      <c r="E803">
        <v>1.0256429986619501E-2</v>
      </c>
      <c r="F803">
        <v>1</v>
      </c>
      <c r="G803">
        <v>28.534907637</v>
      </c>
      <c r="H803">
        <v>1.20189021169179E-2</v>
      </c>
      <c r="I803">
        <v>1</v>
      </c>
      <c r="J803">
        <v>0.15778541900000001</v>
      </c>
      <c r="V803" s="5">
        <v>7.5400392980176801E-3</v>
      </c>
      <c r="W803">
        <v>1</v>
      </c>
      <c r="X803">
        <v>123.909610775</v>
      </c>
      <c r="Y803">
        <v>47</v>
      </c>
      <c r="Z803">
        <v>5.2739267823795899E-3</v>
      </c>
      <c r="AA803">
        <v>1</v>
      </c>
    </row>
    <row r="804" spans="1:27" x14ac:dyDescent="0.2">
      <c r="A804">
        <v>30</v>
      </c>
      <c r="B804">
        <v>1</v>
      </c>
      <c r="C804">
        <v>0.4</v>
      </c>
      <c r="D804">
        <v>100</v>
      </c>
      <c r="E804">
        <v>1.15221363823091E-2</v>
      </c>
      <c r="F804">
        <v>1</v>
      </c>
      <c r="G804">
        <v>28.399685044999998</v>
      </c>
      <c r="H804">
        <v>1.34438110196294E-2</v>
      </c>
      <c r="I804">
        <v>1</v>
      </c>
      <c r="J804">
        <v>0.21460802000000001</v>
      </c>
      <c r="V804" s="5">
        <v>8.29039040729233E-3</v>
      </c>
      <c r="W804">
        <v>1</v>
      </c>
      <c r="X804">
        <v>119.073620711</v>
      </c>
      <c r="Y804">
        <v>157</v>
      </c>
      <c r="Z804">
        <v>9.7262146020460295E-4</v>
      </c>
      <c r="AA804">
        <v>1</v>
      </c>
    </row>
    <row r="805" spans="1:27" x14ac:dyDescent="0.2">
      <c r="A805">
        <v>30</v>
      </c>
      <c r="B805">
        <v>1</v>
      </c>
      <c r="C805">
        <v>0.3</v>
      </c>
      <c r="D805">
        <v>100</v>
      </c>
      <c r="E805">
        <v>1.34230084725834E-2</v>
      </c>
      <c r="F805">
        <v>1</v>
      </c>
      <c r="G805">
        <v>30.611362264</v>
      </c>
      <c r="H805">
        <v>1.8273427806581199E-2</v>
      </c>
      <c r="I805">
        <v>1</v>
      </c>
      <c r="J805">
        <v>0.16417183499999999</v>
      </c>
      <c r="V805" s="5">
        <v>1.28474265489522E-2</v>
      </c>
      <c r="W805">
        <v>1</v>
      </c>
      <c r="X805">
        <v>12492.292647192</v>
      </c>
      <c r="Y805">
        <v>29234</v>
      </c>
      <c r="Z805">
        <v>9.7426805750149195E-3</v>
      </c>
      <c r="AA805">
        <v>32</v>
      </c>
    </row>
    <row r="806" spans="1:27" x14ac:dyDescent="0.2">
      <c r="A806">
        <v>30</v>
      </c>
      <c r="B806">
        <v>1</v>
      </c>
      <c r="C806">
        <v>0.2</v>
      </c>
      <c r="D806">
        <v>100</v>
      </c>
      <c r="E806">
        <v>0.120684940067563</v>
      </c>
      <c r="F806">
        <v>1</v>
      </c>
      <c r="G806">
        <v>30.712324381999998</v>
      </c>
      <c r="H806">
        <v>3.9149984892555799E-2</v>
      </c>
      <c r="I806">
        <v>1</v>
      </c>
      <c r="J806">
        <v>0.47374239899999998</v>
      </c>
      <c r="V806" s="5">
        <v>3.5783934470178698E-2</v>
      </c>
      <c r="W806">
        <v>1</v>
      </c>
      <c r="X806">
        <v>15976.528193804999</v>
      </c>
      <c r="Y806">
        <v>27678</v>
      </c>
      <c r="Z806">
        <v>6.8971771939079704E-3</v>
      </c>
      <c r="AA806">
        <v>34</v>
      </c>
    </row>
    <row r="807" spans="1:27" x14ac:dyDescent="0.2">
      <c r="A807">
        <v>30</v>
      </c>
      <c r="B807">
        <v>1</v>
      </c>
      <c r="C807">
        <v>0.4</v>
      </c>
      <c r="D807">
        <v>100</v>
      </c>
      <c r="E807">
        <v>1.07117246207776E-2</v>
      </c>
      <c r="F807">
        <v>1</v>
      </c>
      <c r="G807">
        <v>35.945517164000002</v>
      </c>
      <c r="H807">
        <v>1.50513128462803E-2</v>
      </c>
      <c r="I807">
        <v>1</v>
      </c>
      <c r="J807">
        <v>0.15891170499999999</v>
      </c>
      <c r="V807" s="5">
        <v>1.11020706659771E-2</v>
      </c>
      <c r="W807">
        <v>1</v>
      </c>
      <c r="X807">
        <v>148.92450190700001</v>
      </c>
      <c r="Y807">
        <v>22</v>
      </c>
      <c r="Z807">
        <v>9.0087626123791491E-3</v>
      </c>
      <c r="AA807">
        <v>12</v>
      </c>
    </row>
    <row r="808" spans="1:27" x14ac:dyDescent="0.2">
      <c r="A808">
        <v>30</v>
      </c>
      <c r="B808">
        <v>1</v>
      </c>
      <c r="C808">
        <v>0.3</v>
      </c>
      <c r="D808">
        <v>100</v>
      </c>
      <c r="E808">
        <v>1.7251332584317301E-2</v>
      </c>
      <c r="F808">
        <v>1</v>
      </c>
      <c r="G808">
        <v>26.062185159999999</v>
      </c>
      <c r="H808">
        <v>2.42331017817492E-2</v>
      </c>
      <c r="I808">
        <v>1</v>
      </c>
      <c r="J808">
        <v>0.132825896</v>
      </c>
      <c r="V808" s="5">
        <v>1.74095727167673E-2</v>
      </c>
      <c r="W808">
        <v>1</v>
      </c>
      <c r="X808">
        <v>9454.2134506340008</v>
      </c>
      <c r="Y808">
        <v>13754</v>
      </c>
      <c r="Z808">
        <v>9.4455129483652592E-3</v>
      </c>
      <c r="AA808">
        <v>25</v>
      </c>
    </row>
    <row r="809" spans="1:27" x14ac:dyDescent="0.2">
      <c r="A809">
        <v>30</v>
      </c>
      <c r="B809">
        <v>1</v>
      </c>
      <c r="C809">
        <v>0.4</v>
      </c>
      <c r="D809">
        <v>100</v>
      </c>
      <c r="E809">
        <v>1.0693572891011501E-2</v>
      </c>
      <c r="F809">
        <v>1</v>
      </c>
      <c r="G809">
        <v>26.177512667999999</v>
      </c>
      <c r="H809">
        <v>1.56046132019969E-2</v>
      </c>
      <c r="I809">
        <v>1</v>
      </c>
      <c r="J809">
        <v>0.151150227</v>
      </c>
      <c r="V809" s="5">
        <v>1.1390919404359901E-2</v>
      </c>
      <c r="W809">
        <v>1</v>
      </c>
      <c r="X809">
        <v>366.26431413</v>
      </c>
      <c r="Y809">
        <v>882</v>
      </c>
      <c r="Z809">
        <v>9.7559464303982307E-3</v>
      </c>
      <c r="AA809">
        <v>21</v>
      </c>
    </row>
    <row r="810" spans="1:27" x14ac:dyDescent="0.2">
      <c r="A810">
        <v>30</v>
      </c>
      <c r="B810">
        <v>1</v>
      </c>
      <c r="C810">
        <v>0.3</v>
      </c>
      <c r="D810">
        <v>100</v>
      </c>
      <c r="E810">
        <v>2.95531559280563E-2</v>
      </c>
      <c r="F810">
        <v>1</v>
      </c>
      <c r="G810">
        <v>31.050678789999999</v>
      </c>
      <c r="H810">
        <v>2.9921143790938499E-2</v>
      </c>
      <c r="I810">
        <v>1</v>
      </c>
      <c r="J810">
        <v>0.14416696000000001</v>
      </c>
      <c r="V810" s="5">
        <v>2.1573159093334199E-2</v>
      </c>
      <c r="W810">
        <v>1</v>
      </c>
      <c r="X810">
        <v>23511.090783393</v>
      </c>
      <c r="Y810">
        <v>62870</v>
      </c>
      <c r="Z810">
        <v>6.9533771569235603E-3</v>
      </c>
      <c r="AA810">
        <v>42</v>
      </c>
    </row>
    <row r="811" spans="1:27" x14ac:dyDescent="0.2">
      <c r="A811">
        <v>30</v>
      </c>
      <c r="B811">
        <v>1</v>
      </c>
      <c r="C811">
        <v>0.3</v>
      </c>
      <c r="D811">
        <v>100</v>
      </c>
      <c r="E811">
        <v>1.9955878820050101E-2</v>
      </c>
      <c r="F811">
        <v>1</v>
      </c>
      <c r="G811">
        <v>29.918419759999999</v>
      </c>
      <c r="H811">
        <v>2.5055702990740399E-2</v>
      </c>
      <c r="I811">
        <v>1</v>
      </c>
      <c r="J811">
        <v>0.155668379</v>
      </c>
      <c r="V811" s="5">
        <v>1.7851953548115002E-2</v>
      </c>
      <c r="W811">
        <v>1</v>
      </c>
      <c r="X811">
        <v>12107.039492066</v>
      </c>
      <c r="Y811">
        <v>25208</v>
      </c>
      <c r="Z811">
        <v>9.0073413448670207E-3</v>
      </c>
      <c r="AA811">
        <v>28</v>
      </c>
    </row>
    <row r="812" spans="1:27" x14ac:dyDescent="0.2">
      <c r="A812">
        <v>30</v>
      </c>
      <c r="B812">
        <v>1</v>
      </c>
      <c r="C812">
        <v>0.4</v>
      </c>
      <c r="D812">
        <v>100</v>
      </c>
      <c r="E812">
        <v>1.2495000880525299E-2</v>
      </c>
      <c r="F812">
        <v>1</v>
      </c>
      <c r="G812">
        <v>33.227709318999999</v>
      </c>
      <c r="H812">
        <v>1.4003029346754001E-2</v>
      </c>
      <c r="I812">
        <v>1</v>
      </c>
      <c r="J812">
        <v>0.14443782099999999</v>
      </c>
      <c r="V812" s="5">
        <v>8.2287366089393507E-3</v>
      </c>
      <c r="W812">
        <v>1</v>
      </c>
      <c r="X812">
        <v>103.407880054</v>
      </c>
      <c r="Y812">
        <v>43</v>
      </c>
      <c r="Z812">
        <v>4.9570590304350796E-3</v>
      </c>
      <c r="AA812">
        <v>1</v>
      </c>
    </row>
    <row r="813" spans="1:27" x14ac:dyDescent="0.2">
      <c r="A813">
        <v>30</v>
      </c>
      <c r="B813">
        <v>1</v>
      </c>
      <c r="C813">
        <v>0.4</v>
      </c>
      <c r="D813">
        <v>100</v>
      </c>
      <c r="E813">
        <v>3.3311294931877601E-2</v>
      </c>
      <c r="F813">
        <v>1</v>
      </c>
      <c r="G813">
        <v>41.408616965</v>
      </c>
      <c r="H813">
        <v>2.46220999112634E-2</v>
      </c>
      <c r="I813">
        <v>1</v>
      </c>
      <c r="J813">
        <v>0.32973389199999997</v>
      </c>
      <c r="V813" s="5">
        <v>1.7942570116630498E-2</v>
      </c>
      <c r="W813">
        <v>1</v>
      </c>
      <c r="X813">
        <v>263.24977858699998</v>
      </c>
      <c r="Y813">
        <v>778</v>
      </c>
      <c r="Z813">
        <v>7.3887473611764501E-3</v>
      </c>
      <c r="AA813">
        <v>1</v>
      </c>
    </row>
    <row r="814" spans="1:27" x14ac:dyDescent="0.2">
      <c r="A814">
        <v>30</v>
      </c>
      <c r="B814">
        <v>1</v>
      </c>
      <c r="C814">
        <v>0.4</v>
      </c>
      <c r="D814">
        <v>100</v>
      </c>
      <c r="E814">
        <v>1.56241579938345E-2</v>
      </c>
      <c r="F814">
        <v>1</v>
      </c>
      <c r="G814">
        <v>30.010966981999999</v>
      </c>
      <c r="H814">
        <v>1.94040320634703E-2</v>
      </c>
      <c r="I814">
        <v>1</v>
      </c>
      <c r="J814">
        <v>0.149726778</v>
      </c>
      <c r="V814" s="5">
        <v>1.43196774341288E-2</v>
      </c>
      <c r="W814">
        <v>1</v>
      </c>
      <c r="X814">
        <v>742.79496612900004</v>
      </c>
      <c r="Y814">
        <v>794</v>
      </c>
      <c r="Z814">
        <v>8.8901551208862006E-3</v>
      </c>
      <c r="AA814">
        <v>7</v>
      </c>
    </row>
    <row r="815" spans="1:27" x14ac:dyDescent="0.2">
      <c r="A815">
        <v>40</v>
      </c>
      <c r="B815">
        <v>1</v>
      </c>
      <c r="C815">
        <v>0.4</v>
      </c>
      <c r="D815">
        <v>20</v>
      </c>
      <c r="E815">
        <v>4.8528204214650698E-2</v>
      </c>
      <c r="F815">
        <v>1</v>
      </c>
      <c r="G815">
        <v>30.032283398000001</v>
      </c>
      <c r="H815">
        <v>5.8190917966829799E-2</v>
      </c>
      <c r="I815">
        <v>1</v>
      </c>
      <c r="J815">
        <v>0.32025473799999998</v>
      </c>
      <c r="V815" s="5">
        <v>3.7886859526864103E-2</v>
      </c>
      <c r="W815">
        <v>1</v>
      </c>
      <c r="X815">
        <v>156.76601352599999</v>
      </c>
      <c r="Y815">
        <v>73</v>
      </c>
      <c r="Z815">
        <v>1.49943583751976E-2</v>
      </c>
      <c r="AA815">
        <v>50</v>
      </c>
    </row>
    <row r="816" spans="1:27" x14ac:dyDescent="0.2">
      <c r="A816">
        <v>40</v>
      </c>
      <c r="B816">
        <v>1</v>
      </c>
      <c r="C816">
        <v>0.3</v>
      </c>
      <c r="D816">
        <v>20</v>
      </c>
      <c r="E816">
        <v>5.2264443193605903E-2</v>
      </c>
      <c r="F816">
        <v>1</v>
      </c>
      <c r="G816">
        <v>31.741838857000001</v>
      </c>
      <c r="H816">
        <v>6.5656442411595198E-2</v>
      </c>
      <c r="I816">
        <v>1</v>
      </c>
      <c r="J816">
        <v>0.42376428799999999</v>
      </c>
      <c r="V816" s="5">
        <v>4.45171279004902E-2</v>
      </c>
      <c r="W816">
        <v>1</v>
      </c>
      <c r="X816">
        <v>560.52550423100001</v>
      </c>
      <c r="Y816">
        <v>240</v>
      </c>
      <c r="Z816">
        <v>3.2509296083741597E-2</v>
      </c>
      <c r="AA816">
        <v>50</v>
      </c>
    </row>
    <row r="817" spans="1:27" x14ac:dyDescent="0.2">
      <c r="A817">
        <v>40</v>
      </c>
      <c r="B817">
        <v>1</v>
      </c>
      <c r="C817">
        <v>0.4</v>
      </c>
      <c r="D817">
        <v>20</v>
      </c>
      <c r="E817">
        <v>4.8104273088977398E-2</v>
      </c>
      <c r="F817">
        <v>1</v>
      </c>
      <c r="G817">
        <v>35.352504160000002</v>
      </c>
      <c r="H817">
        <v>5.4022999260028702E-2</v>
      </c>
      <c r="I817">
        <v>1</v>
      </c>
      <c r="J817">
        <v>0.39651119600000001</v>
      </c>
      <c r="V817" s="5">
        <v>3.2660634210806498E-2</v>
      </c>
      <c r="W817">
        <v>1</v>
      </c>
      <c r="X817">
        <v>138.092488226</v>
      </c>
      <c r="Y817">
        <v>203</v>
      </c>
      <c r="Z817">
        <v>6.3379036021444703E-3</v>
      </c>
      <c r="AA817">
        <v>1</v>
      </c>
    </row>
    <row r="818" spans="1:27" x14ac:dyDescent="0.2">
      <c r="A818">
        <v>40</v>
      </c>
      <c r="B818">
        <v>1</v>
      </c>
      <c r="C818">
        <v>0.3</v>
      </c>
      <c r="D818">
        <v>20</v>
      </c>
      <c r="E818">
        <v>5.6765744018978798E-2</v>
      </c>
      <c r="F818">
        <v>1</v>
      </c>
      <c r="G818">
        <v>34.629640330000001</v>
      </c>
      <c r="H818">
        <v>6.9623413724561503E-2</v>
      </c>
      <c r="I818">
        <v>1</v>
      </c>
      <c r="J818">
        <v>0.42679502400000002</v>
      </c>
      <c r="V818" s="5">
        <v>4.6456012307500502E-2</v>
      </c>
      <c r="W818">
        <v>1</v>
      </c>
      <c r="X818">
        <v>385.462363504</v>
      </c>
      <c r="Y818">
        <v>1377</v>
      </c>
      <c r="Z818">
        <v>4.2963610555357603E-3</v>
      </c>
      <c r="AA818">
        <v>1</v>
      </c>
    </row>
    <row r="819" spans="1:27" x14ac:dyDescent="0.2">
      <c r="A819">
        <v>40</v>
      </c>
      <c r="B819">
        <v>1</v>
      </c>
      <c r="C819">
        <v>0.4</v>
      </c>
      <c r="D819">
        <v>20</v>
      </c>
      <c r="E819">
        <v>5.6241283092301898E-2</v>
      </c>
      <c r="F819">
        <v>1</v>
      </c>
      <c r="G819">
        <v>31.595268115</v>
      </c>
      <c r="H819">
        <v>6.5822779277214999E-2</v>
      </c>
      <c r="I819">
        <v>1</v>
      </c>
      <c r="J819">
        <v>0.30289520199999997</v>
      </c>
      <c r="V819" s="5">
        <v>4.2163184549995701E-2</v>
      </c>
      <c r="W819">
        <v>1</v>
      </c>
      <c r="X819">
        <v>108.356236048</v>
      </c>
      <c r="Y819">
        <v>175</v>
      </c>
      <c r="Z819">
        <v>3.2706136509137399E-3</v>
      </c>
      <c r="AA819">
        <v>1</v>
      </c>
    </row>
    <row r="820" spans="1:27" x14ac:dyDescent="0.2">
      <c r="A820">
        <v>40</v>
      </c>
      <c r="B820">
        <v>1</v>
      </c>
      <c r="C820">
        <v>0.4</v>
      </c>
      <c r="D820">
        <v>20</v>
      </c>
      <c r="E820">
        <v>7.0676481876019201E-2</v>
      </c>
      <c r="F820">
        <v>1</v>
      </c>
      <c r="G820">
        <v>34.105809651000001</v>
      </c>
      <c r="H820">
        <v>8.9401418228758606E-2</v>
      </c>
      <c r="I820">
        <v>1</v>
      </c>
      <c r="J820">
        <v>0.60165192599999995</v>
      </c>
      <c r="V820" s="5">
        <v>6.3667364297213203E-2</v>
      </c>
      <c r="W820">
        <v>1</v>
      </c>
      <c r="X820">
        <v>684.33136430000002</v>
      </c>
      <c r="Y820">
        <v>908</v>
      </c>
      <c r="Z820">
        <v>2.2056380086381101E-2</v>
      </c>
      <c r="AA820">
        <v>50</v>
      </c>
    </row>
    <row r="821" spans="1:27" x14ac:dyDescent="0.2">
      <c r="A821">
        <v>40</v>
      </c>
      <c r="B821">
        <v>1</v>
      </c>
      <c r="C821">
        <v>0.4</v>
      </c>
      <c r="D821">
        <v>20</v>
      </c>
      <c r="E821">
        <v>5.8398928759958099E-2</v>
      </c>
      <c r="F821">
        <v>1</v>
      </c>
      <c r="G821">
        <v>47.182997200000003</v>
      </c>
      <c r="H821">
        <v>6.3491852764935505E-2</v>
      </c>
      <c r="I821">
        <v>1</v>
      </c>
      <c r="J821">
        <v>0.33419188500000002</v>
      </c>
      <c r="V821" s="5">
        <v>3.7542505512114001E-2</v>
      </c>
      <c r="W821">
        <v>1</v>
      </c>
      <c r="X821">
        <v>132.25707375100001</v>
      </c>
      <c r="Y821">
        <v>181</v>
      </c>
      <c r="Z821">
        <v>7.9191552458564001E-3</v>
      </c>
      <c r="AA821">
        <v>1</v>
      </c>
    </row>
    <row r="822" spans="1:27" x14ac:dyDescent="0.2">
      <c r="A822">
        <v>40</v>
      </c>
      <c r="B822">
        <v>1</v>
      </c>
      <c r="C822">
        <v>0.3</v>
      </c>
      <c r="D822">
        <v>20</v>
      </c>
      <c r="E822">
        <v>5.9232001314279699E-2</v>
      </c>
      <c r="F822">
        <v>1</v>
      </c>
      <c r="G822">
        <v>36.880383647999999</v>
      </c>
      <c r="H822">
        <v>8.4687885993515594E-2</v>
      </c>
      <c r="I822">
        <v>1</v>
      </c>
      <c r="J822">
        <v>0.29830224599999999</v>
      </c>
      <c r="V822" s="5">
        <v>6.4458571996726804E-2</v>
      </c>
      <c r="W822">
        <v>1</v>
      </c>
      <c r="X822">
        <v>743.31245200800004</v>
      </c>
      <c r="Y822">
        <v>876</v>
      </c>
      <c r="Z822">
        <v>1.6566908245955799E-2</v>
      </c>
      <c r="AA822">
        <v>50</v>
      </c>
    </row>
    <row r="823" spans="1:27" x14ac:dyDescent="0.2">
      <c r="A823">
        <v>40</v>
      </c>
      <c r="B823">
        <v>1</v>
      </c>
      <c r="C823">
        <v>0.3</v>
      </c>
      <c r="D823">
        <v>20</v>
      </c>
      <c r="E823">
        <v>6.24673652637266E-2</v>
      </c>
      <c r="F823">
        <v>1</v>
      </c>
      <c r="G823">
        <v>33.677302746999999</v>
      </c>
      <c r="H823">
        <v>8.0109448521238705E-2</v>
      </c>
      <c r="I823">
        <v>1</v>
      </c>
      <c r="J823">
        <v>0.41077182800000001</v>
      </c>
      <c r="V823" s="5">
        <v>5.6651225027471101E-2</v>
      </c>
      <c r="W823">
        <v>1</v>
      </c>
      <c r="X823">
        <v>1402.835689084</v>
      </c>
      <c r="Y823">
        <v>183</v>
      </c>
      <c r="Z823">
        <v>2.2982204294059701E-3</v>
      </c>
      <c r="AA823">
        <v>25</v>
      </c>
    </row>
    <row r="824" spans="1:27" x14ac:dyDescent="0.2">
      <c r="A824">
        <v>40</v>
      </c>
      <c r="B824">
        <v>1</v>
      </c>
      <c r="C824">
        <v>0.3</v>
      </c>
      <c r="D824">
        <v>20</v>
      </c>
      <c r="E824">
        <v>5.87514963845856E-2</v>
      </c>
      <c r="F824">
        <v>1</v>
      </c>
      <c r="G824">
        <v>32.142244085000002</v>
      </c>
      <c r="H824">
        <v>6.7004667184637101E-2</v>
      </c>
      <c r="I824">
        <v>1</v>
      </c>
      <c r="J824">
        <v>0.33394414700000002</v>
      </c>
      <c r="V824" s="5">
        <v>4.2407061283370802E-2</v>
      </c>
      <c r="W824">
        <v>1</v>
      </c>
      <c r="X824">
        <v>149.66965426600001</v>
      </c>
      <c r="Y824">
        <v>503</v>
      </c>
      <c r="Z824">
        <v>2.3369257704501899E-3</v>
      </c>
      <c r="AA824">
        <v>1</v>
      </c>
    </row>
    <row r="825" spans="1:27" x14ac:dyDescent="0.2">
      <c r="A825">
        <v>40</v>
      </c>
      <c r="B825">
        <v>1</v>
      </c>
      <c r="C825">
        <v>0.4</v>
      </c>
      <c r="D825">
        <v>20</v>
      </c>
      <c r="E825">
        <v>5.3022493653270997E-2</v>
      </c>
      <c r="F825">
        <v>1</v>
      </c>
      <c r="G825">
        <v>31.161743894000001</v>
      </c>
      <c r="H825">
        <v>6.3602692375371903E-2</v>
      </c>
      <c r="I825">
        <v>1</v>
      </c>
      <c r="J825">
        <v>0.40085522899999998</v>
      </c>
      <c r="V825" s="5">
        <v>4.1455295200643602E-2</v>
      </c>
      <c r="W825">
        <v>1</v>
      </c>
      <c r="X825">
        <v>218.34567465999999</v>
      </c>
      <c r="Y825">
        <v>1953</v>
      </c>
      <c r="Z825">
        <v>0</v>
      </c>
      <c r="AA825">
        <v>1</v>
      </c>
    </row>
    <row r="826" spans="1:27" x14ac:dyDescent="0.2">
      <c r="A826">
        <v>40</v>
      </c>
      <c r="B826">
        <v>1</v>
      </c>
      <c r="C826">
        <v>0.4</v>
      </c>
      <c r="D826">
        <v>20</v>
      </c>
      <c r="E826">
        <v>5.5024384570619402E-2</v>
      </c>
      <c r="F826">
        <v>1</v>
      </c>
      <c r="G826">
        <v>30.798740784</v>
      </c>
      <c r="H826">
        <v>7.2357843087496002E-2</v>
      </c>
      <c r="I826">
        <v>1</v>
      </c>
      <c r="J826">
        <v>0.38585822400000003</v>
      </c>
      <c r="V826" s="5">
        <v>5.11565743364105E-2</v>
      </c>
      <c r="W826">
        <v>1</v>
      </c>
      <c r="X826">
        <v>265.141713358</v>
      </c>
      <c r="Y826">
        <v>277</v>
      </c>
      <c r="Z826">
        <v>4.89075405529249E-3</v>
      </c>
      <c r="AA826">
        <v>13</v>
      </c>
    </row>
    <row r="827" spans="1:27" x14ac:dyDescent="0.2">
      <c r="A827">
        <v>40</v>
      </c>
      <c r="B827">
        <v>1</v>
      </c>
      <c r="C827">
        <v>0.3</v>
      </c>
      <c r="D827">
        <v>20</v>
      </c>
      <c r="E827">
        <v>6.5585937661122695E-2</v>
      </c>
      <c r="F827">
        <v>1</v>
      </c>
      <c r="G827">
        <v>38.894076664000004</v>
      </c>
      <c r="H827">
        <v>8.2303561788680396E-2</v>
      </c>
      <c r="I827">
        <v>1</v>
      </c>
      <c r="J827">
        <v>0.42389552800000002</v>
      </c>
      <c r="V827" s="5">
        <v>5.7099797658675899E-2</v>
      </c>
      <c r="W827">
        <v>1</v>
      </c>
      <c r="X827">
        <v>847.57834215699995</v>
      </c>
      <c r="Y827">
        <v>2226</v>
      </c>
      <c r="Z827">
        <v>1.40469831804246E-2</v>
      </c>
      <c r="AA827">
        <v>50</v>
      </c>
    </row>
    <row r="828" spans="1:27" x14ac:dyDescent="0.2">
      <c r="A828">
        <v>40</v>
      </c>
      <c r="B828">
        <v>1</v>
      </c>
      <c r="C828">
        <v>0.3</v>
      </c>
      <c r="D828">
        <v>20</v>
      </c>
      <c r="E828">
        <v>5.8874196134637097E-2</v>
      </c>
      <c r="F828">
        <v>1</v>
      </c>
      <c r="G828">
        <v>39.294196405000001</v>
      </c>
      <c r="H828">
        <v>6.7944313153673094E-2</v>
      </c>
      <c r="I828">
        <v>1</v>
      </c>
      <c r="J828">
        <v>0.37177697399999998</v>
      </c>
      <c r="V828" s="5">
        <v>4.3309514880133397E-2</v>
      </c>
      <c r="W828">
        <v>1</v>
      </c>
      <c r="X828">
        <v>215.63250302500001</v>
      </c>
      <c r="Y828">
        <v>267</v>
      </c>
      <c r="Z828">
        <v>1.0686488662797001E-2</v>
      </c>
      <c r="AA828">
        <v>50</v>
      </c>
    </row>
    <row r="829" spans="1:27" x14ac:dyDescent="0.2">
      <c r="A829">
        <v>40</v>
      </c>
      <c r="B829">
        <v>1</v>
      </c>
      <c r="C829">
        <v>0.4</v>
      </c>
      <c r="D829">
        <v>20</v>
      </c>
      <c r="E829">
        <v>7.0865113729333795E-2</v>
      </c>
      <c r="F829">
        <v>1</v>
      </c>
      <c r="G829">
        <v>32.365492848999999</v>
      </c>
      <c r="H829">
        <v>8.8925621425390899E-2</v>
      </c>
      <c r="I829">
        <v>1</v>
      </c>
      <c r="J829">
        <v>0.376435136</v>
      </c>
      <c r="V829" s="5">
        <v>6.06847576853577E-2</v>
      </c>
      <c r="W829">
        <v>1</v>
      </c>
      <c r="X829">
        <v>580.08783834500002</v>
      </c>
      <c r="Y829">
        <v>324</v>
      </c>
      <c r="Z829">
        <v>1.2820700477725201E-2</v>
      </c>
      <c r="AA829">
        <v>50</v>
      </c>
    </row>
    <row r="830" spans="1:27" x14ac:dyDescent="0.2">
      <c r="A830">
        <v>40</v>
      </c>
      <c r="B830">
        <v>1</v>
      </c>
      <c r="C830">
        <v>0.4</v>
      </c>
      <c r="D830">
        <v>20</v>
      </c>
      <c r="E830">
        <v>4.9638471798310303E-2</v>
      </c>
      <c r="F830">
        <v>1</v>
      </c>
      <c r="G830">
        <v>32.917356877000003</v>
      </c>
      <c r="H830">
        <v>6.0645107357213401E-2</v>
      </c>
      <c r="I830">
        <v>1</v>
      </c>
      <c r="J830">
        <v>0.24665748100000001</v>
      </c>
      <c r="V830" s="5">
        <v>4.04530188287247E-2</v>
      </c>
      <c r="W830">
        <v>1</v>
      </c>
      <c r="X830">
        <v>185.69610830600001</v>
      </c>
      <c r="Y830">
        <v>135</v>
      </c>
      <c r="Z830">
        <v>1.1715333629229699E-2</v>
      </c>
      <c r="AA830">
        <v>50</v>
      </c>
    </row>
    <row r="831" spans="1:27" x14ac:dyDescent="0.2">
      <c r="A831">
        <v>40</v>
      </c>
      <c r="B831">
        <v>1</v>
      </c>
      <c r="C831">
        <v>0.3</v>
      </c>
      <c r="D831">
        <v>20</v>
      </c>
      <c r="E831">
        <v>4.8554414557750697E-2</v>
      </c>
      <c r="F831">
        <v>1</v>
      </c>
      <c r="G831">
        <v>33.044390372999999</v>
      </c>
      <c r="H831">
        <v>6.5861893914661601E-2</v>
      </c>
      <c r="I831">
        <v>1</v>
      </c>
      <c r="J831">
        <v>0.421392504</v>
      </c>
      <c r="V831" s="5">
        <v>4.7725494556111102E-2</v>
      </c>
      <c r="W831">
        <v>1</v>
      </c>
      <c r="X831">
        <v>359.785465241</v>
      </c>
      <c r="Y831">
        <v>205</v>
      </c>
      <c r="Z831">
        <v>3.3952490354895497E-2</v>
      </c>
      <c r="AA831">
        <v>50</v>
      </c>
    </row>
    <row r="832" spans="1:27" x14ac:dyDescent="0.2">
      <c r="A832">
        <v>40</v>
      </c>
      <c r="B832">
        <v>1</v>
      </c>
      <c r="C832">
        <v>0.4</v>
      </c>
      <c r="D832">
        <v>20</v>
      </c>
      <c r="E832">
        <v>5.4744465112083897E-2</v>
      </c>
      <c r="F832">
        <v>1</v>
      </c>
      <c r="G832">
        <v>35.647453124999998</v>
      </c>
      <c r="H832">
        <v>7.0264384327549695E-2</v>
      </c>
      <c r="I832">
        <v>1</v>
      </c>
      <c r="J832">
        <v>0.37133234399999998</v>
      </c>
      <c r="V832" s="5">
        <v>4.93558500568353E-2</v>
      </c>
      <c r="W832">
        <v>1</v>
      </c>
      <c r="X832">
        <v>826.045523398</v>
      </c>
      <c r="Y832">
        <v>109</v>
      </c>
      <c r="Z832">
        <v>1.2911957209166E-2</v>
      </c>
      <c r="AA832">
        <v>50</v>
      </c>
    </row>
    <row r="833" spans="1:27" x14ac:dyDescent="0.2">
      <c r="A833">
        <v>40</v>
      </c>
      <c r="B833">
        <v>1</v>
      </c>
      <c r="C833">
        <v>0.4</v>
      </c>
      <c r="D833">
        <v>20</v>
      </c>
      <c r="E833">
        <v>5.3502265611621198E-2</v>
      </c>
      <c r="F833">
        <v>1</v>
      </c>
      <c r="G833">
        <v>36.663099252000002</v>
      </c>
      <c r="H833">
        <v>6.8874705647217802E-2</v>
      </c>
      <c r="I833">
        <v>1</v>
      </c>
      <c r="J833">
        <v>0.485320486</v>
      </c>
      <c r="V833" s="5">
        <v>4.7887173863027398E-2</v>
      </c>
      <c r="W833">
        <v>1</v>
      </c>
      <c r="X833">
        <v>248.131165001</v>
      </c>
      <c r="Y833">
        <v>167</v>
      </c>
      <c r="Z833">
        <v>3.4269574626346602E-3</v>
      </c>
      <c r="AA833">
        <v>49</v>
      </c>
    </row>
    <row r="834" spans="1:27" x14ac:dyDescent="0.2">
      <c r="A834">
        <v>40</v>
      </c>
      <c r="B834">
        <v>1</v>
      </c>
      <c r="C834">
        <v>0.3</v>
      </c>
      <c r="D834">
        <v>20</v>
      </c>
      <c r="E834">
        <v>5.6113930686116101E-2</v>
      </c>
      <c r="F834">
        <v>1</v>
      </c>
      <c r="G834">
        <v>36.465864728</v>
      </c>
      <c r="H834">
        <v>7.4432356871693695E-2</v>
      </c>
      <c r="I834">
        <v>1</v>
      </c>
      <c r="J834">
        <v>0.585405705</v>
      </c>
      <c r="V834" s="5">
        <v>5.2620566150705803E-2</v>
      </c>
      <c r="W834">
        <v>1</v>
      </c>
      <c r="X834">
        <v>1211.673447503</v>
      </c>
      <c r="Y834">
        <v>1534</v>
      </c>
      <c r="Z834">
        <v>1.5546544086342699E-2</v>
      </c>
      <c r="AA834">
        <v>50</v>
      </c>
    </row>
    <row r="835" spans="1:27" x14ac:dyDescent="0.2">
      <c r="A835">
        <v>40</v>
      </c>
      <c r="B835">
        <v>1</v>
      </c>
      <c r="C835">
        <v>0.4</v>
      </c>
      <c r="D835">
        <v>20</v>
      </c>
      <c r="E835">
        <v>7.6551332205589906E-2</v>
      </c>
      <c r="F835">
        <v>1</v>
      </c>
      <c r="G835">
        <v>33.616707851999998</v>
      </c>
      <c r="H835">
        <v>8.5307273683239301E-2</v>
      </c>
      <c r="I835">
        <v>1</v>
      </c>
      <c r="J835">
        <v>0.357626365</v>
      </c>
      <c r="V835" s="5">
        <v>5.3116121798836E-2</v>
      </c>
      <c r="W835">
        <v>1</v>
      </c>
      <c r="X835">
        <v>148.97391269600001</v>
      </c>
      <c r="Y835">
        <v>241</v>
      </c>
      <c r="Z835">
        <v>5.8942908486869696E-3</v>
      </c>
      <c r="AA835">
        <v>1</v>
      </c>
    </row>
    <row r="836" spans="1:27" x14ac:dyDescent="0.2">
      <c r="A836">
        <v>40</v>
      </c>
      <c r="B836">
        <v>1</v>
      </c>
      <c r="C836">
        <v>0.3</v>
      </c>
      <c r="D836">
        <v>20</v>
      </c>
      <c r="E836">
        <v>4.98657705919026E-2</v>
      </c>
      <c r="F836">
        <v>1</v>
      </c>
      <c r="G836">
        <v>32.785110111999998</v>
      </c>
      <c r="H836">
        <v>6.5559810115733294E-2</v>
      </c>
      <c r="I836">
        <v>1</v>
      </c>
      <c r="J836">
        <v>0.412188891</v>
      </c>
      <c r="V836" s="5">
        <v>4.6499058334242803E-2</v>
      </c>
      <c r="W836">
        <v>1</v>
      </c>
      <c r="X836">
        <v>391.352043052</v>
      </c>
      <c r="Y836">
        <v>2442</v>
      </c>
      <c r="Z836">
        <v>3.7083362240881699E-3</v>
      </c>
      <c r="AA836">
        <v>1</v>
      </c>
    </row>
    <row r="837" spans="1:27" x14ac:dyDescent="0.2">
      <c r="A837">
        <v>40</v>
      </c>
      <c r="B837">
        <v>1</v>
      </c>
      <c r="C837">
        <v>0.4</v>
      </c>
      <c r="D837">
        <v>20</v>
      </c>
      <c r="E837">
        <v>5.1279286006494701E-2</v>
      </c>
      <c r="F837">
        <v>1</v>
      </c>
      <c r="G837">
        <v>32.877607832999999</v>
      </c>
      <c r="H837">
        <v>5.9629473212889798E-2</v>
      </c>
      <c r="I837">
        <v>1</v>
      </c>
      <c r="J837">
        <v>0.26521325299999998</v>
      </c>
      <c r="V837" s="5">
        <v>3.7752737494756501E-2</v>
      </c>
      <c r="W837">
        <v>1</v>
      </c>
      <c r="X837">
        <v>182.58009950799999</v>
      </c>
      <c r="Y837">
        <v>183</v>
      </c>
      <c r="Z837">
        <v>3.89069433279054E-3</v>
      </c>
      <c r="AA837">
        <v>37</v>
      </c>
    </row>
    <row r="838" spans="1:27" x14ac:dyDescent="0.2">
      <c r="A838">
        <v>40</v>
      </c>
      <c r="B838">
        <v>1</v>
      </c>
      <c r="C838">
        <v>0.4</v>
      </c>
      <c r="D838">
        <v>20</v>
      </c>
      <c r="E838">
        <v>5.2925287760099603E-2</v>
      </c>
      <c r="F838">
        <v>1</v>
      </c>
      <c r="G838">
        <v>32.569656305999999</v>
      </c>
      <c r="H838">
        <v>5.9398172348597497E-2</v>
      </c>
      <c r="I838">
        <v>1</v>
      </c>
      <c r="J838">
        <v>0.36042742900000002</v>
      </c>
      <c r="V838" s="5">
        <v>3.6040151165991199E-2</v>
      </c>
      <c r="W838">
        <v>1</v>
      </c>
      <c r="X838">
        <v>102.872100088</v>
      </c>
      <c r="Y838">
        <v>192</v>
      </c>
      <c r="Z838">
        <v>2.6749746067302699E-3</v>
      </c>
      <c r="AA838">
        <v>1</v>
      </c>
    </row>
    <row r="839" spans="1:27" x14ac:dyDescent="0.2">
      <c r="A839">
        <v>40</v>
      </c>
      <c r="B839">
        <v>1</v>
      </c>
      <c r="C839">
        <v>0.4</v>
      </c>
      <c r="D839">
        <v>20</v>
      </c>
      <c r="E839">
        <v>6.4033686679096993E-2</v>
      </c>
      <c r="F839">
        <v>1</v>
      </c>
      <c r="G839">
        <v>38.979094115999999</v>
      </c>
      <c r="H839">
        <v>7.4728266377327296E-2</v>
      </c>
      <c r="I839">
        <v>1</v>
      </c>
      <c r="J839">
        <v>0.50118642700000005</v>
      </c>
      <c r="V839" s="5">
        <v>4.7923891852912903E-2</v>
      </c>
      <c r="W839">
        <v>1</v>
      </c>
      <c r="X839">
        <v>157.54646698900001</v>
      </c>
      <c r="Y839">
        <v>166</v>
      </c>
      <c r="Z839">
        <v>2.8076983795415301E-3</v>
      </c>
      <c r="AA839">
        <v>3</v>
      </c>
    </row>
    <row r="840" spans="1:27" x14ac:dyDescent="0.2">
      <c r="A840">
        <v>40</v>
      </c>
      <c r="B840">
        <v>1</v>
      </c>
      <c r="C840">
        <v>0.3</v>
      </c>
      <c r="D840">
        <v>20</v>
      </c>
      <c r="E840">
        <v>6.2789743854430896E-2</v>
      </c>
      <c r="F840">
        <v>1</v>
      </c>
      <c r="G840">
        <v>40.390167859999998</v>
      </c>
      <c r="H840">
        <v>7.7417995244498494E-2</v>
      </c>
      <c r="I840">
        <v>1</v>
      </c>
      <c r="J840">
        <v>0.49749389300000002</v>
      </c>
      <c r="V840" s="5">
        <v>5.2366622330712799E-2</v>
      </c>
      <c r="W840">
        <v>1</v>
      </c>
      <c r="X840">
        <v>2106.8625444069999</v>
      </c>
      <c r="Y840">
        <v>342</v>
      </c>
      <c r="Z840">
        <v>8.4528857679266808E-3</v>
      </c>
      <c r="AA840">
        <v>12</v>
      </c>
    </row>
    <row r="841" spans="1:27" x14ac:dyDescent="0.2">
      <c r="A841">
        <v>40</v>
      </c>
      <c r="B841">
        <v>1</v>
      </c>
      <c r="C841">
        <v>0.4</v>
      </c>
      <c r="D841">
        <v>20</v>
      </c>
      <c r="E841">
        <v>5.1317936124814098E-2</v>
      </c>
      <c r="F841">
        <v>1</v>
      </c>
      <c r="G841">
        <v>31.402347782</v>
      </c>
      <c r="H841">
        <v>7.8080610972763295E-2</v>
      </c>
      <c r="I841">
        <v>1</v>
      </c>
      <c r="J841">
        <v>0.34148938400000001</v>
      </c>
      <c r="V841" s="5">
        <v>6.1040251930962297E-2</v>
      </c>
      <c r="W841">
        <v>1</v>
      </c>
      <c r="X841">
        <v>355.81625389700002</v>
      </c>
      <c r="Y841">
        <v>200</v>
      </c>
      <c r="Z841">
        <v>3.0770028822999498E-3</v>
      </c>
      <c r="AA841">
        <v>5</v>
      </c>
    </row>
    <row r="842" spans="1:27" x14ac:dyDescent="0.2">
      <c r="A842">
        <v>40</v>
      </c>
      <c r="B842">
        <v>1</v>
      </c>
      <c r="C842">
        <v>0.4</v>
      </c>
      <c r="D842">
        <v>20</v>
      </c>
      <c r="E842">
        <v>5.70616434248329E-2</v>
      </c>
      <c r="F842">
        <v>1</v>
      </c>
      <c r="G842">
        <v>39.863073690999997</v>
      </c>
      <c r="H842">
        <v>6.5896634855409697E-2</v>
      </c>
      <c r="I842">
        <v>1</v>
      </c>
      <c r="J842">
        <v>0.507978343</v>
      </c>
      <c r="V842" s="5">
        <v>4.12693072948511E-2</v>
      </c>
      <c r="W842">
        <v>1</v>
      </c>
      <c r="X842">
        <v>1822.72569299</v>
      </c>
      <c r="Y842">
        <v>179</v>
      </c>
      <c r="Z842">
        <v>3.2993311579374997E-2</v>
      </c>
      <c r="AA842">
        <v>50</v>
      </c>
    </row>
    <row r="843" spans="1:27" x14ac:dyDescent="0.2">
      <c r="A843">
        <v>40</v>
      </c>
      <c r="B843">
        <v>1</v>
      </c>
      <c r="C843">
        <v>0.3</v>
      </c>
      <c r="D843">
        <v>20</v>
      </c>
      <c r="E843">
        <v>7.2376666177403098E-2</v>
      </c>
      <c r="F843">
        <v>1</v>
      </c>
      <c r="G843">
        <v>32.584837569999998</v>
      </c>
      <c r="H843">
        <v>8.0096275346884904E-2</v>
      </c>
      <c r="I843">
        <v>1</v>
      </c>
      <c r="J843">
        <v>0.38649643299999997</v>
      </c>
      <c r="V843" s="5">
        <v>4.9968308957083499E-2</v>
      </c>
      <c r="W843">
        <v>1</v>
      </c>
      <c r="X843">
        <v>110.258383224</v>
      </c>
      <c r="Y843">
        <v>209</v>
      </c>
      <c r="Z843">
        <v>1.6280625023039599E-3</v>
      </c>
      <c r="AA843">
        <v>1</v>
      </c>
    </row>
    <row r="844" spans="1:27" x14ac:dyDescent="0.2">
      <c r="A844">
        <v>40</v>
      </c>
      <c r="B844">
        <v>1</v>
      </c>
      <c r="C844">
        <v>0.4</v>
      </c>
      <c r="D844">
        <v>20</v>
      </c>
      <c r="E844">
        <v>5.80828891272804E-2</v>
      </c>
      <c r="F844">
        <v>1</v>
      </c>
      <c r="G844">
        <v>42.463299272999997</v>
      </c>
      <c r="H844">
        <v>6.5250346803686202E-2</v>
      </c>
      <c r="I844">
        <v>1</v>
      </c>
      <c r="J844">
        <v>0.48849371400000002</v>
      </c>
      <c r="V844" s="5">
        <v>3.9705085171541497E-2</v>
      </c>
      <c r="W844">
        <v>1</v>
      </c>
      <c r="X844">
        <v>532.05439155199997</v>
      </c>
      <c r="Y844">
        <v>223</v>
      </c>
      <c r="Z844">
        <v>1.6366811299953099E-2</v>
      </c>
      <c r="AA844">
        <v>50</v>
      </c>
    </row>
    <row r="845" spans="1:27" x14ac:dyDescent="0.2">
      <c r="A845">
        <v>40</v>
      </c>
      <c r="B845">
        <v>1</v>
      </c>
      <c r="C845">
        <v>0.4</v>
      </c>
      <c r="D845">
        <v>20</v>
      </c>
      <c r="E845">
        <v>7.1619495754669693E-2</v>
      </c>
      <c r="F845">
        <v>1</v>
      </c>
      <c r="G845">
        <v>31.757086029</v>
      </c>
      <c r="H845">
        <v>8.7586815548761798E-2</v>
      </c>
      <c r="I845">
        <v>1</v>
      </c>
      <c r="J845">
        <v>0.27316194399999999</v>
      </c>
      <c r="V845" s="5">
        <v>5.91344797681643E-2</v>
      </c>
      <c r="W845">
        <v>1</v>
      </c>
      <c r="X845">
        <v>6002.4009039849998</v>
      </c>
      <c r="Y845">
        <v>16386</v>
      </c>
      <c r="Z845">
        <v>2.9727471238265499E-2</v>
      </c>
      <c r="AA845">
        <v>50</v>
      </c>
    </row>
    <row r="846" spans="1:27" x14ac:dyDescent="0.2">
      <c r="A846">
        <v>40</v>
      </c>
      <c r="B846">
        <v>1</v>
      </c>
      <c r="C846">
        <v>0.3</v>
      </c>
      <c r="D846">
        <v>20</v>
      </c>
      <c r="E846">
        <v>6.2419682729310602E-2</v>
      </c>
      <c r="F846">
        <v>1</v>
      </c>
      <c r="G846">
        <v>37.005783823999998</v>
      </c>
      <c r="H846">
        <v>7.9395235134989695E-2</v>
      </c>
      <c r="I846">
        <v>1</v>
      </c>
      <c r="J846">
        <v>0.45068761899999998</v>
      </c>
      <c r="V846" s="5">
        <v>5.4777940658292001E-2</v>
      </c>
      <c r="W846">
        <v>1</v>
      </c>
      <c r="X846">
        <v>18769.461845835001</v>
      </c>
      <c r="Y846">
        <v>32967</v>
      </c>
      <c r="Z846">
        <v>1.89515394243811E-2</v>
      </c>
      <c r="AA846">
        <v>50</v>
      </c>
    </row>
    <row r="847" spans="1:27" x14ac:dyDescent="0.2">
      <c r="A847">
        <v>40</v>
      </c>
      <c r="B847">
        <v>1</v>
      </c>
      <c r="C847">
        <v>0.1</v>
      </c>
      <c r="D847">
        <v>20</v>
      </c>
      <c r="E847">
        <v>0.32523231639870798</v>
      </c>
      <c r="F847">
        <v>1</v>
      </c>
      <c r="G847">
        <v>33.998815465</v>
      </c>
      <c r="H847">
        <v>0.31111206807998198</v>
      </c>
      <c r="I847">
        <v>1</v>
      </c>
      <c r="J847">
        <v>0.38896103500000001</v>
      </c>
      <c r="V847" s="5">
        <v>0.279444981062278</v>
      </c>
      <c r="W847">
        <v>1</v>
      </c>
      <c r="X847">
        <v>30979.413813429001</v>
      </c>
      <c r="Y847">
        <v>1734</v>
      </c>
      <c r="Z847">
        <v>6.5707838289877196E-2</v>
      </c>
      <c r="AA847">
        <v>50</v>
      </c>
    </row>
    <row r="848" spans="1:27" x14ac:dyDescent="0.2">
      <c r="A848">
        <v>40</v>
      </c>
      <c r="B848">
        <v>1</v>
      </c>
      <c r="C848">
        <v>0.2</v>
      </c>
      <c r="D848">
        <v>20</v>
      </c>
      <c r="E848">
        <v>9.3858950309288605E-2</v>
      </c>
      <c r="F848">
        <v>1</v>
      </c>
      <c r="G848">
        <v>49.065775524000003</v>
      </c>
      <c r="H848">
        <v>0.108715985811008</v>
      </c>
      <c r="I848">
        <v>1</v>
      </c>
      <c r="J848">
        <v>0.71628266299999999</v>
      </c>
      <c r="P848" s="7"/>
      <c r="V848" s="7">
        <v>8.4091076365027301E-2</v>
      </c>
      <c r="W848">
        <v>1</v>
      </c>
      <c r="X848">
        <v>30729.414911266998</v>
      </c>
      <c r="Y848">
        <v>19184</v>
      </c>
      <c r="Z848">
        <v>8.1122576844514904E-2</v>
      </c>
      <c r="AA848">
        <v>50</v>
      </c>
    </row>
    <row r="849" spans="1:27" x14ac:dyDescent="0.2">
      <c r="A849">
        <v>40</v>
      </c>
      <c r="B849">
        <v>1</v>
      </c>
      <c r="C849">
        <v>0.3</v>
      </c>
      <c r="D849">
        <v>20</v>
      </c>
      <c r="E849">
        <v>6.3999093170612101E-2</v>
      </c>
      <c r="F849">
        <v>1</v>
      </c>
      <c r="G849">
        <v>31.434806575</v>
      </c>
      <c r="H849">
        <v>8.8929858283789201E-2</v>
      </c>
      <c r="I849">
        <v>1</v>
      </c>
      <c r="J849">
        <v>0.40814461299999999</v>
      </c>
      <c r="P849" s="7"/>
      <c r="V849" s="7">
        <v>6.4591361449369805E-2</v>
      </c>
      <c r="W849">
        <v>1</v>
      </c>
      <c r="X849">
        <v>30589.108268840999</v>
      </c>
      <c r="Y849">
        <v>33456</v>
      </c>
      <c r="Z849">
        <v>6.0029202437767902E-2</v>
      </c>
      <c r="AA849">
        <v>50</v>
      </c>
    </row>
    <row r="850" spans="1:27" x14ac:dyDescent="0.2">
      <c r="A850">
        <v>40</v>
      </c>
      <c r="B850">
        <v>1</v>
      </c>
      <c r="C850">
        <v>0.2</v>
      </c>
      <c r="D850">
        <v>20</v>
      </c>
      <c r="E850">
        <v>0.13889280631661599</v>
      </c>
      <c r="F850">
        <v>1</v>
      </c>
      <c r="G850">
        <v>44.361720052000003</v>
      </c>
      <c r="H850">
        <v>0.100160877425294</v>
      </c>
      <c r="I850">
        <v>1</v>
      </c>
      <c r="J850">
        <v>0.31778040600000002</v>
      </c>
      <c r="P850" s="7"/>
      <c r="V850" s="7">
        <v>7.9106636027119107E-2</v>
      </c>
      <c r="W850">
        <v>1</v>
      </c>
      <c r="X850">
        <v>30678.061610353001</v>
      </c>
      <c r="Y850">
        <v>28125</v>
      </c>
      <c r="Z850">
        <v>6.3968417882278999E-2</v>
      </c>
      <c r="AA850">
        <v>50</v>
      </c>
    </row>
    <row r="851" spans="1:27" x14ac:dyDescent="0.2">
      <c r="A851">
        <v>40</v>
      </c>
      <c r="B851">
        <v>1</v>
      </c>
      <c r="C851">
        <v>0.4</v>
      </c>
      <c r="D851">
        <v>20</v>
      </c>
      <c r="E851">
        <v>5.6444569980401399E-2</v>
      </c>
      <c r="F851">
        <v>1</v>
      </c>
      <c r="G851">
        <v>56.779473670999998</v>
      </c>
      <c r="H851">
        <v>7.8873198271204495E-2</v>
      </c>
      <c r="I851">
        <v>1</v>
      </c>
      <c r="J851">
        <v>1.425935607</v>
      </c>
      <c r="P851" s="7"/>
      <c r="V851" s="7">
        <v>5.7685705956329998E-2</v>
      </c>
      <c r="W851">
        <v>1</v>
      </c>
      <c r="X851">
        <v>30289.705461157999</v>
      </c>
      <c r="Y851">
        <v>27862</v>
      </c>
      <c r="Z851">
        <v>8.6103260534942494E-2</v>
      </c>
      <c r="AA851">
        <v>50</v>
      </c>
    </row>
    <row r="852" spans="1:27" x14ac:dyDescent="0.2">
      <c r="A852">
        <v>40</v>
      </c>
      <c r="B852">
        <v>1</v>
      </c>
      <c r="C852">
        <v>0.1</v>
      </c>
      <c r="D852">
        <v>20</v>
      </c>
      <c r="E852">
        <v>0.38650154590546798</v>
      </c>
      <c r="F852">
        <v>1</v>
      </c>
      <c r="G852">
        <v>34.254518031000003</v>
      </c>
      <c r="H852">
        <v>0.27979528344459798</v>
      </c>
      <c r="I852">
        <v>1</v>
      </c>
      <c r="J852">
        <v>1.170587729</v>
      </c>
      <c r="P852" s="7"/>
      <c r="V852" s="7">
        <v>0.24378463966752301</v>
      </c>
      <c r="W852">
        <v>1</v>
      </c>
      <c r="X852">
        <v>30270.472635849001</v>
      </c>
      <c r="Y852">
        <v>36700</v>
      </c>
      <c r="Z852">
        <v>0.110711059498989</v>
      </c>
      <c r="AA852">
        <v>50</v>
      </c>
    </row>
    <row r="853" spans="1:27" x14ac:dyDescent="0.2">
      <c r="A853">
        <v>40</v>
      </c>
      <c r="B853">
        <v>1</v>
      </c>
      <c r="C853">
        <v>0.1</v>
      </c>
      <c r="D853">
        <v>20</v>
      </c>
      <c r="E853">
        <v>0.293847415450737</v>
      </c>
      <c r="F853">
        <v>1</v>
      </c>
      <c r="G853">
        <v>47.441069149</v>
      </c>
      <c r="H853">
        <v>0.221345634605705</v>
      </c>
      <c r="I853">
        <v>1</v>
      </c>
      <c r="J853">
        <v>0.82016462899999998</v>
      </c>
      <c r="P853" s="7"/>
      <c r="V853" s="7">
        <v>0.20677912007254801</v>
      </c>
      <c r="W853">
        <v>1</v>
      </c>
      <c r="X853">
        <v>30555.653789803</v>
      </c>
      <c r="Y853">
        <v>24796</v>
      </c>
      <c r="Z853">
        <v>4.0778268146450303E-2</v>
      </c>
      <c r="AA853">
        <v>50</v>
      </c>
    </row>
    <row r="854" spans="1:27" x14ac:dyDescent="0.2">
      <c r="A854">
        <v>40</v>
      </c>
      <c r="B854">
        <v>1</v>
      </c>
      <c r="C854">
        <v>0.1</v>
      </c>
      <c r="D854">
        <v>20</v>
      </c>
      <c r="E854">
        <v>0.41769324455461998</v>
      </c>
      <c r="F854">
        <v>1</v>
      </c>
      <c r="G854">
        <v>34.472347612999997</v>
      </c>
      <c r="H854">
        <v>0.40263508012769</v>
      </c>
      <c r="I854">
        <v>1</v>
      </c>
      <c r="J854">
        <v>0.34383776399999999</v>
      </c>
      <c r="P854" s="7"/>
      <c r="V854" s="7">
        <v>0.38927112209796999</v>
      </c>
      <c r="W854">
        <v>1</v>
      </c>
      <c r="X854">
        <v>31907.396681123999</v>
      </c>
      <c r="Y854">
        <v>1032</v>
      </c>
      <c r="Z854">
        <v>9.3269716264543001E-2</v>
      </c>
      <c r="AA854">
        <v>50</v>
      </c>
    </row>
    <row r="855" spans="1:27" x14ac:dyDescent="0.2">
      <c r="A855">
        <v>40</v>
      </c>
      <c r="B855">
        <v>1</v>
      </c>
      <c r="C855">
        <v>0.1</v>
      </c>
      <c r="D855">
        <v>20</v>
      </c>
      <c r="E855">
        <v>0.38122519074309202</v>
      </c>
      <c r="F855">
        <v>1</v>
      </c>
      <c r="G855">
        <v>48.774871013000002</v>
      </c>
      <c r="H855">
        <v>0.27827923082759998</v>
      </c>
      <c r="I855">
        <v>1</v>
      </c>
      <c r="J855">
        <v>0.97227439999999998</v>
      </c>
      <c r="P855" s="7"/>
      <c r="V855" s="7">
        <v>0.26274816900902598</v>
      </c>
      <c r="W855">
        <v>1</v>
      </c>
      <c r="X855">
        <v>32066.25310161</v>
      </c>
      <c r="Y855">
        <v>997</v>
      </c>
      <c r="Z855">
        <v>0.209299897625153</v>
      </c>
      <c r="AA855">
        <v>50</v>
      </c>
    </row>
    <row r="856" spans="1:27" x14ac:dyDescent="0.2">
      <c r="A856">
        <v>40</v>
      </c>
      <c r="B856">
        <v>1</v>
      </c>
      <c r="C856">
        <v>0.4</v>
      </c>
      <c r="D856">
        <v>20</v>
      </c>
      <c r="E856">
        <v>9.0943462134984096E-2</v>
      </c>
      <c r="F856">
        <v>1</v>
      </c>
      <c r="G856">
        <v>31.267231016</v>
      </c>
      <c r="H856">
        <v>0.108403450290879</v>
      </c>
      <c r="I856">
        <v>1</v>
      </c>
      <c r="J856">
        <v>0.28236830200000002</v>
      </c>
      <c r="P856" s="7"/>
      <c r="V856" s="7">
        <v>7.4977170758432299E-2</v>
      </c>
      <c r="W856">
        <v>1</v>
      </c>
      <c r="X856">
        <v>32293.773116591001</v>
      </c>
      <c r="Y856">
        <v>53072</v>
      </c>
      <c r="Z856">
        <v>0.14524027470595299</v>
      </c>
      <c r="AA856">
        <v>50</v>
      </c>
    </row>
    <row r="857" spans="1:27" x14ac:dyDescent="0.2">
      <c r="A857">
        <v>40</v>
      </c>
      <c r="B857">
        <v>1</v>
      </c>
      <c r="C857">
        <v>0.3</v>
      </c>
      <c r="D857">
        <v>20</v>
      </c>
      <c r="E857">
        <v>7.4812218126996996E-2</v>
      </c>
      <c r="F857">
        <v>1</v>
      </c>
      <c r="G857">
        <v>49.462349291999999</v>
      </c>
      <c r="H857">
        <v>9.3917183123173195E-2</v>
      </c>
      <c r="I857">
        <v>1</v>
      </c>
      <c r="J857">
        <v>0.947549639</v>
      </c>
      <c r="P857" s="7"/>
      <c r="V857" s="7">
        <v>6.6201444405174503E-2</v>
      </c>
      <c r="W857">
        <v>1</v>
      </c>
      <c r="X857">
        <v>31155.010466511001</v>
      </c>
      <c r="Y857">
        <v>18777</v>
      </c>
      <c r="Z857">
        <v>0.14700855209352001</v>
      </c>
      <c r="AA857">
        <v>50</v>
      </c>
    </row>
    <row r="858" spans="1:27" x14ac:dyDescent="0.2">
      <c r="A858">
        <v>40</v>
      </c>
      <c r="B858">
        <v>1</v>
      </c>
      <c r="C858">
        <v>0.2</v>
      </c>
      <c r="D858">
        <v>20</v>
      </c>
      <c r="E858">
        <v>0.106291668113104</v>
      </c>
      <c r="F858">
        <v>1</v>
      </c>
      <c r="G858">
        <v>36.553787446999998</v>
      </c>
      <c r="H858">
        <v>0.129908911420406</v>
      </c>
      <c r="I858">
        <v>1</v>
      </c>
      <c r="J858">
        <v>0.54163695999999995</v>
      </c>
      <c r="P858" s="7"/>
      <c r="V858" s="7">
        <v>0.102489212229032</v>
      </c>
      <c r="W858">
        <v>1</v>
      </c>
      <c r="X858">
        <v>31387.195161568001</v>
      </c>
      <c r="Y858">
        <v>20719</v>
      </c>
      <c r="Z858">
        <v>0.115632271520674</v>
      </c>
      <c r="AA858">
        <v>50</v>
      </c>
    </row>
    <row r="859" spans="1:27" x14ac:dyDescent="0.2">
      <c r="A859">
        <v>40</v>
      </c>
      <c r="B859">
        <v>1</v>
      </c>
      <c r="C859">
        <v>0.2</v>
      </c>
      <c r="D859">
        <v>20</v>
      </c>
      <c r="E859">
        <v>0.23726557628595901</v>
      </c>
      <c r="F859">
        <v>1</v>
      </c>
      <c r="G859">
        <v>32.261778495999998</v>
      </c>
      <c r="H859">
        <v>0.16301411290641099</v>
      </c>
      <c r="I859">
        <v>1</v>
      </c>
      <c r="J859">
        <v>0.31437362899999999</v>
      </c>
      <c r="P859" s="7"/>
      <c r="V859" s="7">
        <v>0.149100155881006</v>
      </c>
      <c r="W859">
        <v>1</v>
      </c>
      <c r="X859">
        <v>30961.395725461</v>
      </c>
      <c r="Y859">
        <v>51883</v>
      </c>
      <c r="Z859">
        <v>0.170672690050095</v>
      </c>
      <c r="AA859">
        <v>50</v>
      </c>
    </row>
    <row r="860" spans="1:27" x14ac:dyDescent="0.2">
      <c r="A860">
        <v>40</v>
      </c>
      <c r="B860">
        <v>1</v>
      </c>
      <c r="C860">
        <v>0.2</v>
      </c>
      <c r="D860">
        <v>20</v>
      </c>
      <c r="E860">
        <v>9.8850211296057602E-2</v>
      </c>
      <c r="F860">
        <v>1</v>
      </c>
      <c r="G860">
        <v>30.056574185999999</v>
      </c>
      <c r="H860">
        <v>0.117736672257752</v>
      </c>
      <c r="I860">
        <v>1</v>
      </c>
      <c r="J860">
        <v>0.401927808</v>
      </c>
      <c r="P860" s="7"/>
      <c r="V860" s="7">
        <v>8.7642891011064206E-2</v>
      </c>
      <c r="W860">
        <v>1</v>
      </c>
      <c r="X860">
        <v>32737.197341005001</v>
      </c>
      <c r="Y860">
        <v>49273</v>
      </c>
      <c r="Z860">
        <v>0.149316186919522</v>
      </c>
      <c r="AA860">
        <v>50</v>
      </c>
    </row>
    <row r="861" spans="1:27" x14ac:dyDescent="0.2">
      <c r="A861">
        <v>40</v>
      </c>
      <c r="B861">
        <v>1</v>
      </c>
      <c r="C861">
        <v>0.2</v>
      </c>
      <c r="D861">
        <v>20</v>
      </c>
      <c r="E861">
        <v>8.6688345132352199E-2</v>
      </c>
      <c r="F861">
        <v>1</v>
      </c>
      <c r="G861">
        <v>31.061178703</v>
      </c>
      <c r="H861">
        <v>0.103232423937637</v>
      </c>
      <c r="I861">
        <v>1</v>
      </c>
      <c r="J861">
        <v>0.33517021200000002</v>
      </c>
      <c r="P861" s="7"/>
      <c r="V861" s="7">
        <v>7.1341968038847306E-2</v>
      </c>
      <c r="W861">
        <v>1</v>
      </c>
      <c r="X861">
        <v>30465.274477755</v>
      </c>
      <c r="Y861">
        <v>34309</v>
      </c>
      <c r="Z861">
        <v>8.3351328833427496E-2</v>
      </c>
      <c r="AA861">
        <v>50</v>
      </c>
    </row>
    <row r="862" spans="1:27" x14ac:dyDescent="0.2">
      <c r="A862">
        <v>40</v>
      </c>
      <c r="B862">
        <v>1</v>
      </c>
      <c r="C862">
        <v>0.2</v>
      </c>
      <c r="D862">
        <v>20</v>
      </c>
      <c r="E862">
        <v>0.14841176100370099</v>
      </c>
      <c r="F862">
        <v>1</v>
      </c>
      <c r="G862">
        <v>34.636106976999997</v>
      </c>
      <c r="H862">
        <v>0.12570222015570201</v>
      </c>
      <c r="I862">
        <v>1</v>
      </c>
      <c r="J862">
        <v>0.36119046799999999</v>
      </c>
      <c r="P862" s="7"/>
      <c r="V862" s="7">
        <v>0.105992303514352</v>
      </c>
      <c r="W862">
        <v>1</v>
      </c>
      <c r="X862">
        <v>32791.052813877002</v>
      </c>
      <c r="Y862">
        <v>24809</v>
      </c>
      <c r="Z862">
        <v>0.17358682686160101</v>
      </c>
      <c r="AA862">
        <v>50</v>
      </c>
    </row>
    <row r="863" spans="1:27" x14ac:dyDescent="0.2">
      <c r="A863">
        <v>40</v>
      </c>
      <c r="B863">
        <v>1</v>
      </c>
      <c r="C863">
        <v>0.1</v>
      </c>
      <c r="D863">
        <v>20</v>
      </c>
      <c r="E863">
        <v>0.44497243243835599</v>
      </c>
      <c r="F863">
        <v>1</v>
      </c>
      <c r="G863">
        <v>31.200682874000002</v>
      </c>
      <c r="H863">
        <v>0.35749708058663199</v>
      </c>
      <c r="I863">
        <v>1</v>
      </c>
      <c r="J863">
        <v>0.29902686099999998</v>
      </c>
      <c r="P863" s="7"/>
      <c r="V863" s="7">
        <v>0.33556564359137703</v>
      </c>
      <c r="W863">
        <v>1</v>
      </c>
      <c r="X863">
        <v>31160.838001606</v>
      </c>
      <c r="Y863">
        <v>48440</v>
      </c>
      <c r="Z863">
        <v>4.90380025022321E-2</v>
      </c>
      <c r="AA863">
        <v>50</v>
      </c>
    </row>
    <row r="864" spans="1:27" x14ac:dyDescent="0.2">
      <c r="A864">
        <v>40</v>
      </c>
      <c r="B864">
        <v>1</v>
      </c>
      <c r="C864">
        <v>0.1</v>
      </c>
      <c r="D864">
        <v>20</v>
      </c>
      <c r="E864">
        <v>0.38378098338771599</v>
      </c>
      <c r="F864">
        <v>1</v>
      </c>
      <c r="G864">
        <v>35.410450904999998</v>
      </c>
      <c r="H864">
        <v>0.36048085747949099</v>
      </c>
      <c r="I864">
        <v>1</v>
      </c>
      <c r="J864">
        <v>0.69093943899999999</v>
      </c>
      <c r="P864" s="7"/>
      <c r="V864" s="7">
        <v>0.34082963773641201</v>
      </c>
      <c r="W864">
        <v>1</v>
      </c>
      <c r="X864">
        <v>31595.428412060999</v>
      </c>
      <c r="Y864">
        <v>1527</v>
      </c>
      <c r="Z864">
        <v>0.14561407098669399</v>
      </c>
      <c r="AA864">
        <v>50</v>
      </c>
    </row>
    <row r="865" spans="1:27" x14ac:dyDescent="0.2">
      <c r="A865">
        <v>40</v>
      </c>
      <c r="B865">
        <v>1</v>
      </c>
      <c r="C865">
        <v>0.1</v>
      </c>
      <c r="D865">
        <v>20</v>
      </c>
      <c r="E865">
        <v>0.43786184299449299</v>
      </c>
      <c r="F865">
        <v>1</v>
      </c>
      <c r="G865">
        <v>39.030350233999997</v>
      </c>
      <c r="H865">
        <v>0.40600937110244001</v>
      </c>
      <c r="I865">
        <v>1</v>
      </c>
      <c r="J865">
        <v>0.606327226</v>
      </c>
      <c r="P865" s="7"/>
      <c r="V865" s="7">
        <v>0.395121046656291</v>
      </c>
      <c r="W865">
        <v>1</v>
      </c>
      <c r="X865">
        <v>30704.217581514</v>
      </c>
      <c r="Y865">
        <v>39605</v>
      </c>
      <c r="Z865">
        <v>6.6925644994187294E-2</v>
      </c>
      <c r="AA865">
        <v>50</v>
      </c>
    </row>
    <row r="866" spans="1:27" x14ac:dyDescent="0.2">
      <c r="A866">
        <v>40</v>
      </c>
      <c r="B866">
        <v>1</v>
      </c>
      <c r="C866">
        <v>0.3</v>
      </c>
      <c r="D866">
        <v>20</v>
      </c>
      <c r="E866">
        <v>6.1905913511272899E-2</v>
      </c>
      <c r="F866">
        <v>1</v>
      </c>
      <c r="G866">
        <v>34.610719994</v>
      </c>
      <c r="H866">
        <v>8.6976736798311305E-2</v>
      </c>
      <c r="I866">
        <v>1</v>
      </c>
      <c r="J866">
        <v>0.57578496999999995</v>
      </c>
      <c r="P866" s="7"/>
      <c r="V866" s="7">
        <v>6.4995209798696996E-2</v>
      </c>
      <c r="W866">
        <v>1</v>
      </c>
      <c r="X866">
        <v>34187.647291059999</v>
      </c>
      <c r="Y866">
        <v>33567</v>
      </c>
      <c r="Z866">
        <v>0.13333979652967301</v>
      </c>
      <c r="AA866">
        <v>50</v>
      </c>
    </row>
    <row r="867" spans="1:27" x14ac:dyDescent="0.2">
      <c r="A867">
        <v>40</v>
      </c>
      <c r="B867">
        <v>1</v>
      </c>
      <c r="C867">
        <v>0.2</v>
      </c>
      <c r="D867">
        <v>20</v>
      </c>
      <c r="E867">
        <v>8.8425548134779194E-2</v>
      </c>
      <c r="F867">
        <v>1</v>
      </c>
      <c r="G867">
        <v>30.880178911000002</v>
      </c>
      <c r="H867">
        <v>0.10044397926870099</v>
      </c>
      <c r="I867">
        <v>1</v>
      </c>
      <c r="J867">
        <v>0.41372894599999999</v>
      </c>
      <c r="P867" s="7"/>
      <c r="V867" s="7">
        <v>7.3660785501705406E-2</v>
      </c>
      <c r="W867">
        <v>1</v>
      </c>
      <c r="X867">
        <v>31055.276188421001</v>
      </c>
      <c r="Y867">
        <v>39264</v>
      </c>
      <c r="Z867">
        <v>0.101588842039025</v>
      </c>
      <c r="AA867">
        <v>50</v>
      </c>
    </row>
    <row r="868" spans="1:27" x14ac:dyDescent="0.2">
      <c r="A868">
        <v>40</v>
      </c>
      <c r="B868">
        <v>1</v>
      </c>
      <c r="C868">
        <v>0.1</v>
      </c>
      <c r="D868">
        <v>20</v>
      </c>
      <c r="E868">
        <v>0.36367069450056699</v>
      </c>
      <c r="F868">
        <v>1</v>
      </c>
      <c r="G868">
        <v>31.915130046000002</v>
      </c>
      <c r="H868">
        <v>0.30117360834357898</v>
      </c>
      <c r="I868">
        <v>1</v>
      </c>
      <c r="J868">
        <v>1.0288469179999999</v>
      </c>
      <c r="P868" s="7"/>
      <c r="V868" s="7">
        <v>0.27157085433565098</v>
      </c>
      <c r="W868">
        <v>1</v>
      </c>
      <c r="X868">
        <v>30869.938966301001</v>
      </c>
      <c r="Y868">
        <v>1000</v>
      </c>
      <c r="Z868">
        <v>9.98003428927694E-2</v>
      </c>
      <c r="AA868">
        <v>50</v>
      </c>
    </row>
    <row r="869" spans="1:27" x14ac:dyDescent="0.2">
      <c r="A869">
        <v>40</v>
      </c>
      <c r="B869">
        <v>1</v>
      </c>
      <c r="C869">
        <v>0.1</v>
      </c>
      <c r="D869">
        <v>20</v>
      </c>
      <c r="E869">
        <v>0.628045360564222</v>
      </c>
      <c r="F869">
        <v>1</v>
      </c>
      <c r="G869">
        <v>31.376473418</v>
      </c>
      <c r="H869">
        <v>0.55797116816749504</v>
      </c>
      <c r="I869">
        <v>1</v>
      </c>
      <c r="J869">
        <v>0.643071112</v>
      </c>
      <c r="P869" s="7"/>
      <c r="V869" s="7">
        <v>0.55152482487811905</v>
      </c>
      <c r="W869">
        <v>1</v>
      </c>
      <c r="X869">
        <v>31485.002575620001</v>
      </c>
      <c r="Y869">
        <v>1457</v>
      </c>
      <c r="Z869">
        <v>8.1248601266599996E-2</v>
      </c>
      <c r="AA869">
        <v>50</v>
      </c>
    </row>
    <row r="870" spans="1:27" x14ac:dyDescent="0.2">
      <c r="A870">
        <v>40</v>
      </c>
      <c r="B870">
        <v>1</v>
      </c>
      <c r="C870">
        <v>0.1</v>
      </c>
      <c r="D870">
        <v>20</v>
      </c>
      <c r="E870">
        <v>0.40273472273035199</v>
      </c>
      <c r="F870">
        <v>1</v>
      </c>
      <c r="G870">
        <v>36.013688913000003</v>
      </c>
      <c r="H870">
        <v>0.35980792474166601</v>
      </c>
      <c r="I870">
        <v>1</v>
      </c>
      <c r="J870">
        <v>1.0545851049999999</v>
      </c>
      <c r="P870" s="7"/>
      <c r="V870" s="7">
        <v>0.327883189116907</v>
      </c>
      <c r="W870">
        <v>1</v>
      </c>
      <c r="X870">
        <v>30277.917283372</v>
      </c>
      <c r="Y870">
        <v>54637</v>
      </c>
      <c r="Z870">
        <v>0.21684578479589101</v>
      </c>
      <c r="AA870">
        <v>50</v>
      </c>
    </row>
    <row r="871" spans="1:27" x14ac:dyDescent="0.2">
      <c r="A871">
        <v>40</v>
      </c>
      <c r="B871">
        <v>1</v>
      </c>
      <c r="C871">
        <v>0.2</v>
      </c>
      <c r="D871">
        <v>20</v>
      </c>
      <c r="E871">
        <v>0.37365340133152802</v>
      </c>
      <c r="F871">
        <v>1</v>
      </c>
      <c r="G871">
        <v>31.886719828</v>
      </c>
      <c r="H871">
        <v>0.33498521798165498</v>
      </c>
      <c r="I871">
        <v>1</v>
      </c>
      <c r="J871">
        <v>0.45374082599999999</v>
      </c>
      <c r="P871" s="7"/>
      <c r="V871" s="7">
        <v>0.32632591789691201</v>
      </c>
      <c r="W871">
        <v>1</v>
      </c>
      <c r="X871">
        <v>31631.209411722</v>
      </c>
      <c r="Y871">
        <v>33207</v>
      </c>
      <c r="Z871">
        <v>8.0625326078545001E-2</v>
      </c>
      <c r="AA871">
        <v>50</v>
      </c>
    </row>
    <row r="872" spans="1:27" x14ac:dyDescent="0.2">
      <c r="A872">
        <v>40</v>
      </c>
      <c r="B872">
        <v>1</v>
      </c>
      <c r="C872">
        <v>0.1</v>
      </c>
      <c r="D872">
        <v>20</v>
      </c>
      <c r="E872">
        <v>0.28677162779506798</v>
      </c>
      <c r="F872">
        <v>1</v>
      </c>
      <c r="G872">
        <v>32.461401563000003</v>
      </c>
      <c r="H872">
        <v>0.23462781139768901</v>
      </c>
      <c r="I872">
        <v>1</v>
      </c>
      <c r="J872">
        <v>0.64679541100000004</v>
      </c>
      <c r="P872" s="7"/>
      <c r="V872" s="7">
        <v>0.20722151995823901</v>
      </c>
      <c r="W872">
        <v>1</v>
      </c>
      <c r="X872">
        <v>31064.986719778</v>
      </c>
      <c r="Y872">
        <v>1015</v>
      </c>
      <c r="Z872">
        <v>6.1802031490051097E-2</v>
      </c>
      <c r="AA872">
        <v>50</v>
      </c>
    </row>
    <row r="873" spans="1:27" x14ac:dyDescent="0.2">
      <c r="A873">
        <v>40</v>
      </c>
      <c r="B873">
        <v>1</v>
      </c>
      <c r="C873">
        <v>0.1</v>
      </c>
      <c r="D873">
        <v>20</v>
      </c>
      <c r="E873">
        <v>0.21543783426395299</v>
      </c>
      <c r="F873">
        <v>1</v>
      </c>
      <c r="G873">
        <v>32.093512707000002</v>
      </c>
      <c r="H873">
        <v>0.206837757601679</v>
      </c>
      <c r="I873">
        <v>1</v>
      </c>
      <c r="J873">
        <v>0.54310931799999995</v>
      </c>
      <c r="P873" s="7"/>
      <c r="V873" s="7">
        <v>0.197679606157417</v>
      </c>
      <c r="W873">
        <v>1</v>
      </c>
      <c r="X873">
        <v>30787.893866213999</v>
      </c>
      <c r="Y873">
        <v>42087</v>
      </c>
      <c r="Z873">
        <v>5.3279842668619598E-2</v>
      </c>
      <c r="AA873">
        <v>50</v>
      </c>
    </row>
    <row r="874" spans="1:27" x14ac:dyDescent="0.2">
      <c r="A874">
        <v>40</v>
      </c>
      <c r="B874">
        <v>1</v>
      </c>
      <c r="C874">
        <v>0.2</v>
      </c>
      <c r="D874">
        <v>20</v>
      </c>
      <c r="E874">
        <v>0.12337027283223299</v>
      </c>
      <c r="F874">
        <v>1</v>
      </c>
      <c r="G874">
        <v>40.826018281000003</v>
      </c>
      <c r="H874">
        <v>0.10193018433656</v>
      </c>
      <c r="I874">
        <v>1</v>
      </c>
      <c r="J874">
        <v>0.41782982400000002</v>
      </c>
      <c r="P874" s="7"/>
      <c r="V874" s="7">
        <v>8.6437086329830798E-2</v>
      </c>
      <c r="W874">
        <v>1</v>
      </c>
      <c r="X874">
        <v>29987.196126567</v>
      </c>
      <c r="Y874">
        <v>39343</v>
      </c>
      <c r="Z874">
        <v>4.1264995711543399E-2</v>
      </c>
      <c r="AA874">
        <v>50</v>
      </c>
    </row>
    <row r="875" spans="1:27" x14ac:dyDescent="0.2">
      <c r="A875">
        <v>40</v>
      </c>
      <c r="B875">
        <v>1</v>
      </c>
      <c r="C875">
        <v>0.1</v>
      </c>
      <c r="D875">
        <v>20</v>
      </c>
      <c r="E875">
        <v>0.346288269227295</v>
      </c>
      <c r="F875">
        <v>1</v>
      </c>
      <c r="G875">
        <v>39.678692394000002</v>
      </c>
      <c r="H875">
        <v>0.36672058831327597</v>
      </c>
      <c r="I875">
        <v>1</v>
      </c>
      <c r="J875">
        <v>0.81309891099999998</v>
      </c>
      <c r="P875" s="7"/>
      <c r="V875" s="7">
        <v>0.34176622654030397</v>
      </c>
      <c r="W875">
        <v>1</v>
      </c>
      <c r="X875">
        <v>30553.713875768</v>
      </c>
      <c r="Y875">
        <v>37641</v>
      </c>
      <c r="Z875">
        <v>6.5466315942998204E-2</v>
      </c>
      <c r="AA875">
        <v>50</v>
      </c>
    </row>
    <row r="876" spans="1:27" x14ac:dyDescent="0.2">
      <c r="A876">
        <v>40</v>
      </c>
      <c r="B876">
        <v>1</v>
      </c>
      <c r="C876">
        <v>0.1</v>
      </c>
      <c r="D876">
        <v>20</v>
      </c>
      <c r="E876">
        <v>0.52558277918621599</v>
      </c>
      <c r="F876">
        <v>1</v>
      </c>
      <c r="G876">
        <v>32.062867324999999</v>
      </c>
      <c r="H876">
        <v>0.51930135259366605</v>
      </c>
      <c r="I876">
        <v>1</v>
      </c>
      <c r="J876">
        <v>0.66326427600000004</v>
      </c>
      <c r="P876" s="7"/>
      <c r="V876" s="7">
        <v>0.50617857339655603</v>
      </c>
      <c r="W876">
        <v>1</v>
      </c>
      <c r="X876">
        <v>30437.511314133</v>
      </c>
      <c r="Y876">
        <v>42532</v>
      </c>
      <c r="Z876">
        <v>8.4256852582663397E-2</v>
      </c>
      <c r="AA876">
        <v>50</v>
      </c>
    </row>
    <row r="877" spans="1:27" x14ac:dyDescent="0.2">
      <c r="A877">
        <v>40</v>
      </c>
      <c r="B877">
        <v>1</v>
      </c>
      <c r="C877">
        <v>0.1</v>
      </c>
      <c r="D877">
        <v>20</v>
      </c>
      <c r="E877">
        <v>0.30378483618540397</v>
      </c>
      <c r="F877">
        <v>1</v>
      </c>
      <c r="G877">
        <v>31.189008886</v>
      </c>
      <c r="H877">
        <v>0.205534785042601</v>
      </c>
      <c r="I877">
        <v>1</v>
      </c>
      <c r="J877">
        <v>0.71647306200000005</v>
      </c>
      <c r="P877" s="7"/>
      <c r="V877" s="7">
        <v>0.18766282587236799</v>
      </c>
      <c r="W877">
        <v>1</v>
      </c>
      <c r="X877">
        <v>30251.764581461</v>
      </c>
      <c r="Y877">
        <v>55760</v>
      </c>
      <c r="Z877">
        <v>5.71966577968816E-2</v>
      </c>
      <c r="AA877">
        <v>50</v>
      </c>
    </row>
    <row r="878" spans="1:27" x14ac:dyDescent="0.2">
      <c r="A878">
        <v>40</v>
      </c>
      <c r="B878">
        <v>1</v>
      </c>
      <c r="C878">
        <v>0.4</v>
      </c>
      <c r="D878">
        <v>20</v>
      </c>
      <c r="E878">
        <v>8.7688909914305405E-2</v>
      </c>
      <c r="F878">
        <v>1</v>
      </c>
      <c r="G878">
        <v>34.295614479999998</v>
      </c>
      <c r="H878">
        <v>0.106767647256997</v>
      </c>
      <c r="I878">
        <v>1</v>
      </c>
      <c r="J878">
        <v>0.34823653399999999</v>
      </c>
      <c r="P878" s="7"/>
      <c r="V878" s="7">
        <v>7.6515168134779696E-2</v>
      </c>
      <c r="W878">
        <v>1</v>
      </c>
      <c r="X878">
        <v>29694.201222234002</v>
      </c>
      <c r="Y878">
        <v>47022</v>
      </c>
      <c r="Z878">
        <v>0.13296512211353201</v>
      </c>
      <c r="AA878">
        <v>50</v>
      </c>
    </row>
    <row r="879" spans="1:27" x14ac:dyDescent="0.2">
      <c r="A879">
        <v>40</v>
      </c>
      <c r="B879">
        <v>1</v>
      </c>
      <c r="C879">
        <v>0.3</v>
      </c>
      <c r="D879">
        <v>20</v>
      </c>
      <c r="E879">
        <v>8.6914473826184294E-2</v>
      </c>
      <c r="F879">
        <v>1</v>
      </c>
      <c r="G879">
        <v>31.656993093000001</v>
      </c>
      <c r="H879">
        <v>9.8810146681896402E-2</v>
      </c>
      <c r="I879">
        <v>1</v>
      </c>
      <c r="J879">
        <v>0.41102667300000001</v>
      </c>
      <c r="P879" s="7"/>
      <c r="V879" s="7">
        <v>6.5623594742346497E-2</v>
      </c>
      <c r="W879">
        <v>1</v>
      </c>
      <c r="X879">
        <v>32301.943405860999</v>
      </c>
      <c r="Y879">
        <v>33125</v>
      </c>
      <c r="Z879">
        <v>4.7247959049759203E-2</v>
      </c>
      <c r="AA879">
        <v>50</v>
      </c>
    </row>
    <row r="880" spans="1:27" x14ac:dyDescent="0.2">
      <c r="A880">
        <v>40</v>
      </c>
      <c r="B880">
        <v>1</v>
      </c>
      <c r="C880">
        <v>0.1</v>
      </c>
      <c r="D880">
        <v>20</v>
      </c>
      <c r="E880">
        <v>0.309674505703043</v>
      </c>
      <c r="F880">
        <v>1</v>
      </c>
      <c r="G880">
        <v>31.517749990999999</v>
      </c>
      <c r="H880">
        <v>0.236693493604132</v>
      </c>
      <c r="I880">
        <v>1</v>
      </c>
      <c r="J880">
        <v>0.51744354100000001</v>
      </c>
      <c r="P880" s="7"/>
      <c r="V880" s="7">
        <v>0.218968336885354</v>
      </c>
      <c r="W880">
        <v>1</v>
      </c>
      <c r="X880">
        <v>30439.84822571</v>
      </c>
      <c r="Y880">
        <v>47993</v>
      </c>
      <c r="Z880">
        <v>0.13120817479194</v>
      </c>
      <c r="AA880">
        <v>50</v>
      </c>
    </row>
    <row r="881" spans="1:27" x14ac:dyDescent="0.2">
      <c r="A881">
        <v>40</v>
      </c>
      <c r="B881">
        <v>1</v>
      </c>
      <c r="C881">
        <v>0.2</v>
      </c>
      <c r="D881">
        <v>20</v>
      </c>
      <c r="E881">
        <v>0.11817852243800001</v>
      </c>
      <c r="F881">
        <v>1</v>
      </c>
      <c r="G881">
        <v>40.439175802000001</v>
      </c>
      <c r="H881">
        <v>0.13133442550865801</v>
      </c>
      <c r="I881">
        <v>1</v>
      </c>
      <c r="J881">
        <v>0.47708135200000001</v>
      </c>
      <c r="P881" s="7"/>
      <c r="V881" s="7">
        <v>9.6149345675051207E-2</v>
      </c>
      <c r="W881">
        <v>1</v>
      </c>
      <c r="X881">
        <v>30938.694182513002</v>
      </c>
      <c r="Y881">
        <v>33102</v>
      </c>
      <c r="Z881">
        <v>5.7002079010911297E-2</v>
      </c>
      <c r="AA881">
        <v>50</v>
      </c>
    </row>
    <row r="882" spans="1:27" x14ac:dyDescent="0.2">
      <c r="A882">
        <v>40</v>
      </c>
      <c r="B882">
        <v>1</v>
      </c>
      <c r="C882">
        <v>0.4</v>
      </c>
      <c r="D882">
        <v>100</v>
      </c>
      <c r="E882">
        <v>1.3105273026531E-2</v>
      </c>
      <c r="F882">
        <v>1</v>
      </c>
      <c r="G882">
        <v>31.675493371999998</v>
      </c>
      <c r="H882">
        <v>1.4883825318426001E-2</v>
      </c>
      <c r="I882">
        <v>1</v>
      </c>
      <c r="J882">
        <v>0.215538127</v>
      </c>
      <c r="P882"/>
      <c r="V882">
        <v>8.8763074337143196E-3</v>
      </c>
      <c r="W882">
        <v>1</v>
      </c>
      <c r="X882">
        <v>196.51970668499999</v>
      </c>
      <c r="Y882">
        <v>135</v>
      </c>
      <c r="Z882">
        <v>1.9284722022856399E-3</v>
      </c>
      <c r="AA882">
        <v>1</v>
      </c>
    </row>
    <row r="883" spans="1:27" x14ac:dyDescent="0.2">
      <c r="A883">
        <v>40</v>
      </c>
      <c r="B883">
        <v>1</v>
      </c>
      <c r="C883">
        <v>0.4</v>
      </c>
      <c r="D883">
        <v>100</v>
      </c>
      <c r="E883">
        <v>1.24419401101504E-2</v>
      </c>
      <c r="F883">
        <v>1</v>
      </c>
      <c r="G883">
        <v>31.489030784000001</v>
      </c>
      <c r="H883">
        <v>1.9556010072401001E-2</v>
      </c>
      <c r="I883">
        <v>1</v>
      </c>
      <c r="J883">
        <v>0.32551686499999999</v>
      </c>
      <c r="P883"/>
      <c r="V883">
        <v>1.52485745548146E-2</v>
      </c>
      <c r="W883">
        <v>1</v>
      </c>
      <c r="X883">
        <v>662.81902913700003</v>
      </c>
      <c r="Y883">
        <v>87</v>
      </c>
      <c r="Z883">
        <v>9.0196137148161794E-3</v>
      </c>
      <c r="AA883">
        <v>38</v>
      </c>
    </row>
    <row r="884" spans="1:27" x14ac:dyDescent="0.2">
      <c r="A884">
        <v>40</v>
      </c>
      <c r="B884">
        <v>1</v>
      </c>
      <c r="C884">
        <v>0.4</v>
      </c>
      <c r="D884">
        <v>100</v>
      </c>
      <c r="E884">
        <v>1.10636351899617E-2</v>
      </c>
      <c r="F884">
        <v>1</v>
      </c>
      <c r="G884">
        <v>32.178137212000003</v>
      </c>
      <c r="H884">
        <v>1.26044341405361E-2</v>
      </c>
      <c r="I884">
        <v>1</v>
      </c>
      <c r="J884">
        <v>0.27517703199999999</v>
      </c>
      <c r="P884"/>
      <c r="V884">
        <v>7.5412392897469798E-3</v>
      </c>
      <c r="W884">
        <v>1</v>
      </c>
      <c r="X884">
        <v>684.68705973500005</v>
      </c>
      <c r="Y884">
        <v>105</v>
      </c>
      <c r="Z884">
        <v>9.6160629387900196E-3</v>
      </c>
      <c r="AA884">
        <v>19</v>
      </c>
    </row>
    <row r="885" spans="1:27" x14ac:dyDescent="0.2">
      <c r="A885">
        <v>40</v>
      </c>
      <c r="B885">
        <v>1</v>
      </c>
      <c r="C885">
        <v>0.4</v>
      </c>
      <c r="D885">
        <v>100</v>
      </c>
      <c r="E885">
        <v>1.15598731135252E-2</v>
      </c>
      <c r="F885">
        <v>1</v>
      </c>
      <c r="G885">
        <v>31.531687178999999</v>
      </c>
      <c r="H885">
        <v>1.42346047911795E-2</v>
      </c>
      <c r="I885">
        <v>1</v>
      </c>
      <c r="J885">
        <v>0.23705106400000001</v>
      </c>
      <c r="P885"/>
      <c r="V885">
        <v>9.1801676386475805E-3</v>
      </c>
      <c r="W885">
        <v>1</v>
      </c>
      <c r="X885">
        <v>265.66412413299997</v>
      </c>
      <c r="Y885">
        <v>174</v>
      </c>
      <c r="Z885">
        <v>7.7202964266209701E-3</v>
      </c>
      <c r="AA885">
        <v>1</v>
      </c>
    </row>
    <row r="886" spans="1:27" x14ac:dyDescent="0.2">
      <c r="A886">
        <v>40</v>
      </c>
      <c r="B886">
        <v>1</v>
      </c>
      <c r="C886">
        <v>0.3</v>
      </c>
      <c r="D886">
        <v>100</v>
      </c>
      <c r="E886">
        <v>1.00842133389836E-2</v>
      </c>
      <c r="F886">
        <v>1</v>
      </c>
      <c r="G886">
        <v>31.694247269000002</v>
      </c>
      <c r="H886">
        <v>1.09945407451741E-2</v>
      </c>
      <c r="I886">
        <v>1</v>
      </c>
      <c r="J886">
        <v>0.24210398299999999</v>
      </c>
      <c r="P886"/>
      <c r="V886">
        <v>6.2955439897848103E-3</v>
      </c>
      <c r="W886">
        <v>1</v>
      </c>
      <c r="X886">
        <v>239.899146753</v>
      </c>
      <c r="Y886">
        <v>35</v>
      </c>
      <c r="Z886">
        <v>7.9922966140479803E-3</v>
      </c>
      <c r="AA886">
        <v>1</v>
      </c>
    </row>
    <row r="887" spans="1:27" x14ac:dyDescent="0.2">
      <c r="A887">
        <v>40</v>
      </c>
      <c r="B887">
        <v>1</v>
      </c>
      <c r="C887">
        <v>0.4</v>
      </c>
      <c r="D887">
        <v>100</v>
      </c>
      <c r="E887">
        <v>1.0626674327419899E-2</v>
      </c>
      <c r="F887">
        <v>1</v>
      </c>
      <c r="G887">
        <v>31.853651488000001</v>
      </c>
      <c r="H887">
        <v>1.31673043182524E-2</v>
      </c>
      <c r="I887">
        <v>1</v>
      </c>
      <c r="J887">
        <v>0.31201993700000002</v>
      </c>
      <c r="P887"/>
      <c r="V887">
        <v>8.6260591744435205E-3</v>
      </c>
      <c r="W887">
        <v>1</v>
      </c>
      <c r="X887">
        <v>435.35972211900003</v>
      </c>
      <c r="Y887">
        <v>49</v>
      </c>
      <c r="Z887">
        <v>6.4978514556925902E-3</v>
      </c>
      <c r="AA887">
        <v>5</v>
      </c>
    </row>
    <row r="888" spans="1:27" x14ac:dyDescent="0.2">
      <c r="A888">
        <v>40</v>
      </c>
      <c r="B888">
        <v>1</v>
      </c>
      <c r="C888">
        <v>0.4</v>
      </c>
      <c r="D888">
        <v>100</v>
      </c>
      <c r="E888">
        <v>1.1976724065561901E-2</v>
      </c>
      <c r="F888">
        <v>1</v>
      </c>
      <c r="G888">
        <v>35.650773457</v>
      </c>
      <c r="H888">
        <v>1.3728291043956601E-2</v>
      </c>
      <c r="I888">
        <v>1</v>
      </c>
      <c r="J888">
        <v>0.16561861</v>
      </c>
      <c r="P888"/>
      <c r="V888">
        <v>8.3732682438182292E-3</v>
      </c>
      <c r="W888">
        <v>1</v>
      </c>
      <c r="X888">
        <v>714.90883563700004</v>
      </c>
      <c r="Y888">
        <v>108</v>
      </c>
      <c r="Z888">
        <v>2.3410898837230498E-3</v>
      </c>
      <c r="AA888">
        <v>29</v>
      </c>
    </row>
    <row r="889" spans="1:27" x14ac:dyDescent="0.2">
      <c r="A889">
        <v>40</v>
      </c>
      <c r="B889">
        <v>1</v>
      </c>
      <c r="C889">
        <v>0.4</v>
      </c>
      <c r="D889">
        <v>100</v>
      </c>
      <c r="E889">
        <v>1.0146242339880001E-2</v>
      </c>
      <c r="F889">
        <v>1</v>
      </c>
      <c r="G889">
        <v>32.683529112999999</v>
      </c>
      <c r="H889">
        <v>1.0705478241546299E-2</v>
      </c>
      <c r="I889">
        <v>1</v>
      </c>
      <c r="J889">
        <v>0.25133822</v>
      </c>
      <c r="P889"/>
      <c r="V889">
        <v>5.8815890381879498E-3</v>
      </c>
      <c r="W889">
        <v>1</v>
      </c>
      <c r="X889">
        <v>439.49074628599999</v>
      </c>
      <c r="Y889">
        <v>82</v>
      </c>
      <c r="Z889">
        <v>4.0395307525473703E-3</v>
      </c>
      <c r="AA889">
        <v>28</v>
      </c>
    </row>
    <row r="890" spans="1:27" x14ac:dyDescent="0.2">
      <c r="A890">
        <v>40</v>
      </c>
      <c r="B890">
        <v>1</v>
      </c>
      <c r="C890">
        <v>0.4</v>
      </c>
      <c r="D890">
        <v>100</v>
      </c>
      <c r="E890">
        <v>1.22940665403808E-2</v>
      </c>
      <c r="F890">
        <v>1</v>
      </c>
      <c r="G890">
        <v>37.507665607</v>
      </c>
      <c r="H890">
        <v>1.6046540136708001E-2</v>
      </c>
      <c r="I890">
        <v>1</v>
      </c>
      <c r="J890">
        <v>0.18651880500000001</v>
      </c>
      <c r="P890"/>
      <c r="V890">
        <v>1.13184219171822E-2</v>
      </c>
      <c r="W890">
        <v>1</v>
      </c>
      <c r="X890">
        <v>392.66307393599999</v>
      </c>
      <c r="Y890">
        <v>28</v>
      </c>
      <c r="Z890">
        <v>9.9474247462882897E-3</v>
      </c>
      <c r="AA890">
        <v>19</v>
      </c>
    </row>
    <row r="891" spans="1:27" x14ac:dyDescent="0.2">
      <c r="A891">
        <v>40</v>
      </c>
      <c r="B891">
        <v>1</v>
      </c>
      <c r="C891">
        <v>0.4</v>
      </c>
      <c r="D891">
        <v>100</v>
      </c>
      <c r="E891">
        <v>1.2068238027106101E-2</v>
      </c>
      <c r="F891">
        <v>1</v>
      </c>
      <c r="G891">
        <v>33.636245676999998</v>
      </c>
      <c r="H891">
        <v>1.6317930779755699E-2</v>
      </c>
      <c r="I891">
        <v>1</v>
      </c>
      <c r="J891">
        <v>0.27311398999999997</v>
      </c>
      <c r="P891"/>
      <c r="V891">
        <v>1.11872307602964E-2</v>
      </c>
      <c r="W891">
        <v>1</v>
      </c>
      <c r="X891">
        <v>1055.887093968</v>
      </c>
      <c r="Y891">
        <v>163</v>
      </c>
      <c r="Z891">
        <v>9.5682101723078006E-3</v>
      </c>
      <c r="AA891">
        <v>41</v>
      </c>
    </row>
    <row r="892" spans="1:27" x14ac:dyDescent="0.2">
      <c r="A892">
        <v>40</v>
      </c>
      <c r="B892">
        <v>1</v>
      </c>
      <c r="C892">
        <v>0.3</v>
      </c>
      <c r="D892">
        <v>100</v>
      </c>
      <c r="E892">
        <v>9.7573311225729407E-3</v>
      </c>
      <c r="F892">
        <v>1</v>
      </c>
      <c r="G892">
        <v>31.130933488</v>
      </c>
      <c r="H892">
        <v>1.1974332173411199E-2</v>
      </c>
      <c r="I892">
        <v>1</v>
      </c>
      <c r="J892">
        <v>0.224026909</v>
      </c>
      <c r="P892"/>
      <c r="V892">
        <v>7.8238971886242705E-3</v>
      </c>
      <c r="W892">
        <v>1</v>
      </c>
      <c r="X892">
        <v>2664.7937215070001</v>
      </c>
      <c r="Y892">
        <v>212</v>
      </c>
      <c r="Z892">
        <v>1.54897597199887E-3</v>
      </c>
      <c r="AA892">
        <v>14</v>
      </c>
    </row>
    <row r="893" spans="1:27" x14ac:dyDescent="0.2">
      <c r="A893">
        <v>40</v>
      </c>
      <c r="B893">
        <v>1</v>
      </c>
      <c r="C893">
        <v>0.4</v>
      </c>
      <c r="D893">
        <v>100</v>
      </c>
      <c r="E893">
        <v>1.22267334082514E-2</v>
      </c>
      <c r="F893">
        <v>1</v>
      </c>
      <c r="G893">
        <v>32.322507858000002</v>
      </c>
      <c r="H893">
        <v>1.58036586698319E-2</v>
      </c>
      <c r="I893">
        <v>1</v>
      </c>
      <c r="J893">
        <v>0.38634038700000001</v>
      </c>
      <c r="P893"/>
      <c r="V893">
        <v>1.0491322074744401E-2</v>
      </c>
      <c r="W893">
        <v>1</v>
      </c>
      <c r="X893">
        <v>2532.9773855100002</v>
      </c>
      <c r="Y893">
        <v>93</v>
      </c>
      <c r="Z893">
        <v>7.9506826747874904E-3</v>
      </c>
      <c r="AA893">
        <v>21</v>
      </c>
    </row>
    <row r="894" spans="1:27" x14ac:dyDescent="0.2">
      <c r="A894">
        <v>40</v>
      </c>
      <c r="B894">
        <v>1</v>
      </c>
      <c r="C894">
        <v>0.4</v>
      </c>
      <c r="D894">
        <v>100</v>
      </c>
      <c r="E894">
        <v>1.39577189247624E-2</v>
      </c>
      <c r="F894">
        <v>1</v>
      </c>
      <c r="G894">
        <v>30.431249064999999</v>
      </c>
      <c r="H894">
        <v>1.6792102042240201E-2</v>
      </c>
      <c r="I894">
        <v>1</v>
      </c>
      <c r="J894">
        <v>0.37437052700000001</v>
      </c>
      <c r="P894"/>
      <c r="V894">
        <v>1.0527998549815501E-2</v>
      </c>
      <c r="W894">
        <v>1</v>
      </c>
      <c r="X894">
        <v>6303.4632741550004</v>
      </c>
      <c r="Y894">
        <v>2621</v>
      </c>
      <c r="Z894">
        <v>9.7186308557866107E-3</v>
      </c>
      <c r="AA894">
        <v>32</v>
      </c>
    </row>
    <row r="895" spans="1:27" x14ac:dyDescent="0.2">
      <c r="A895">
        <v>40</v>
      </c>
      <c r="B895">
        <v>1</v>
      </c>
      <c r="C895">
        <v>0.4</v>
      </c>
      <c r="D895">
        <v>100</v>
      </c>
      <c r="E895">
        <v>1.12834445961504E-2</v>
      </c>
      <c r="F895">
        <v>1</v>
      </c>
      <c r="G895">
        <v>29.791974075999999</v>
      </c>
      <c r="H895">
        <v>1.52667207519777E-2</v>
      </c>
      <c r="I895">
        <v>1</v>
      </c>
      <c r="J895">
        <v>0.31206935299999999</v>
      </c>
      <c r="P895"/>
      <c r="V895">
        <v>1.0625472489851601E-2</v>
      </c>
      <c r="W895">
        <v>1</v>
      </c>
      <c r="X895">
        <v>376.014355045</v>
      </c>
      <c r="Y895">
        <v>219</v>
      </c>
      <c r="Z895">
        <v>2.2127369115376699E-3</v>
      </c>
      <c r="AA895">
        <v>1</v>
      </c>
    </row>
    <row r="896" spans="1:27" x14ac:dyDescent="0.2">
      <c r="A896">
        <v>40</v>
      </c>
      <c r="B896">
        <v>1</v>
      </c>
      <c r="C896">
        <v>0.3</v>
      </c>
      <c r="D896">
        <v>100</v>
      </c>
      <c r="E896">
        <v>1.2293520261042801E-2</v>
      </c>
      <c r="F896">
        <v>1</v>
      </c>
      <c r="G896">
        <v>33.733723570000002</v>
      </c>
      <c r="H896">
        <v>2.2671087776481701E-2</v>
      </c>
      <c r="I896">
        <v>1</v>
      </c>
      <c r="J896">
        <v>0.32149200500000003</v>
      </c>
      <c r="P896"/>
      <c r="V896">
        <v>1.8915815326996301E-2</v>
      </c>
      <c r="W896">
        <v>1</v>
      </c>
      <c r="X896">
        <v>7098.3505710059999</v>
      </c>
      <c r="Y896">
        <v>10622</v>
      </c>
      <c r="Z896">
        <v>1.06653188974172E-2</v>
      </c>
      <c r="AA896">
        <v>50</v>
      </c>
    </row>
    <row r="897" spans="1:27" x14ac:dyDescent="0.2">
      <c r="A897">
        <v>40</v>
      </c>
      <c r="B897">
        <v>1</v>
      </c>
      <c r="C897">
        <v>0.4</v>
      </c>
      <c r="D897">
        <v>100</v>
      </c>
      <c r="E897">
        <v>1.09211990962298E-2</v>
      </c>
      <c r="F897">
        <v>1</v>
      </c>
      <c r="G897">
        <v>32.973849485000002</v>
      </c>
      <c r="H897">
        <v>1.31820242405372E-2</v>
      </c>
      <c r="I897">
        <v>1</v>
      </c>
      <c r="J897">
        <v>0.29479724600000001</v>
      </c>
      <c r="P897"/>
      <c r="V897">
        <v>8.3903080689606904E-3</v>
      </c>
      <c r="W897">
        <v>1</v>
      </c>
      <c r="X897">
        <v>237.51958469799999</v>
      </c>
      <c r="Y897">
        <v>103</v>
      </c>
      <c r="Z897">
        <v>8.42059563481223E-3</v>
      </c>
      <c r="AA897">
        <v>1</v>
      </c>
    </row>
    <row r="898" spans="1:27" x14ac:dyDescent="0.2">
      <c r="A898">
        <v>40</v>
      </c>
      <c r="B898">
        <v>1</v>
      </c>
      <c r="C898">
        <v>0.4</v>
      </c>
      <c r="D898">
        <v>100</v>
      </c>
      <c r="E898">
        <v>1.10250434161549E-2</v>
      </c>
      <c r="F898">
        <v>1</v>
      </c>
      <c r="G898">
        <v>30.890136549000001</v>
      </c>
      <c r="H898">
        <v>1.2606855054825099E-2</v>
      </c>
      <c r="I898">
        <v>1</v>
      </c>
      <c r="J898">
        <v>0.184594852</v>
      </c>
      <c r="P898"/>
      <c r="V898">
        <v>7.6029781513912899E-3</v>
      </c>
      <c r="W898">
        <v>1</v>
      </c>
      <c r="X898">
        <v>217.16477679900001</v>
      </c>
      <c r="Y898">
        <v>54</v>
      </c>
      <c r="Z898">
        <v>4.1978820531518501E-3</v>
      </c>
      <c r="AA898">
        <v>30</v>
      </c>
    </row>
    <row r="899" spans="1:27" x14ac:dyDescent="0.2">
      <c r="A899">
        <v>40</v>
      </c>
      <c r="B899">
        <v>1</v>
      </c>
      <c r="C899">
        <v>0.3</v>
      </c>
      <c r="D899">
        <v>100</v>
      </c>
      <c r="E899">
        <v>1.1556964651738401E-2</v>
      </c>
      <c r="F899">
        <v>1</v>
      </c>
      <c r="G899">
        <v>33.680759115999997</v>
      </c>
      <c r="H899">
        <v>1.3612482604137799E-2</v>
      </c>
      <c r="I899">
        <v>1</v>
      </c>
      <c r="J899">
        <v>0.20878090999999999</v>
      </c>
      <c r="P899"/>
      <c r="V899">
        <v>8.65537236690277E-3</v>
      </c>
      <c r="W899">
        <v>1</v>
      </c>
      <c r="X899">
        <v>228.85685073499999</v>
      </c>
      <c r="Y899">
        <v>9</v>
      </c>
      <c r="Z899">
        <v>9.4270499260988797E-3</v>
      </c>
      <c r="AA899">
        <v>1</v>
      </c>
    </row>
    <row r="900" spans="1:27" x14ac:dyDescent="0.2">
      <c r="A900">
        <v>40</v>
      </c>
      <c r="B900">
        <v>1</v>
      </c>
      <c r="C900">
        <v>0.4</v>
      </c>
      <c r="D900">
        <v>100</v>
      </c>
      <c r="E900">
        <v>1.03937644002709E-2</v>
      </c>
      <c r="F900">
        <v>1</v>
      </c>
      <c r="G900">
        <v>30.738184077</v>
      </c>
      <c r="H900">
        <v>1.39486813317305E-2</v>
      </c>
      <c r="I900">
        <v>1</v>
      </c>
      <c r="J900">
        <v>0.35651323800000001</v>
      </c>
      <c r="P900"/>
      <c r="V900">
        <v>9.8125410589396701E-3</v>
      </c>
      <c r="W900">
        <v>1</v>
      </c>
      <c r="X900">
        <v>308.13773987299999</v>
      </c>
      <c r="Y900">
        <v>26</v>
      </c>
      <c r="Z900">
        <v>9.6604613899362504E-3</v>
      </c>
      <c r="AA900">
        <v>23</v>
      </c>
    </row>
    <row r="901" spans="1:27" x14ac:dyDescent="0.2">
      <c r="A901">
        <v>40</v>
      </c>
      <c r="B901">
        <v>1</v>
      </c>
      <c r="C901">
        <v>0.4</v>
      </c>
      <c r="D901">
        <v>100</v>
      </c>
      <c r="E901">
        <v>1.17253383834024E-2</v>
      </c>
      <c r="F901">
        <v>1</v>
      </c>
      <c r="G901">
        <v>34.043223322999999</v>
      </c>
      <c r="H901">
        <v>1.42834023518445E-2</v>
      </c>
      <c r="I901">
        <v>1</v>
      </c>
      <c r="J901">
        <v>0.29857119199999999</v>
      </c>
      <c r="P901"/>
      <c r="V901">
        <v>9.0952466768604908E-3</v>
      </c>
      <c r="W901">
        <v>1</v>
      </c>
      <c r="X901">
        <v>248.706488232</v>
      </c>
      <c r="Y901">
        <v>145</v>
      </c>
      <c r="Z901">
        <v>1.82500944364649E-3</v>
      </c>
      <c r="AA901">
        <v>1</v>
      </c>
    </row>
    <row r="902" spans="1:27" x14ac:dyDescent="0.2">
      <c r="A902">
        <v>40</v>
      </c>
      <c r="B902">
        <v>1</v>
      </c>
      <c r="C902">
        <v>0.3</v>
      </c>
      <c r="D902">
        <v>100</v>
      </c>
      <c r="E902">
        <v>1.2189461621837001E-2</v>
      </c>
      <c r="F902">
        <v>1</v>
      </c>
      <c r="G902">
        <v>30.245221047000001</v>
      </c>
      <c r="H902">
        <v>1.4348275659479E-2</v>
      </c>
      <c r="I902">
        <v>1</v>
      </c>
      <c r="J902">
        <v>0.40658214999999998</v>
      </c>
      <c r="P902"/>
      <c r="V902">
        <v>8.9510207885196095E-3</v>
      </c>
      <c r="W902">
        <v>1</v>
      </c>
      <c r="X902">
        <v>532.97857319100001</v>
      </c>
      <c r="Y902">
        <v>79</v>
      </c>
      <c r="Z902">
        <v>4.6490239025307398E-3</v>
      </c>
      <c r="AA902">
        <v>28</v>
      </c>
    </row>
    <row r="903" spans="1:27" x14ac:dyDescent="0.2">
      <c r="A903">
        <v>40</v>
      </c>
      <c r="B903">
        <v>1</v>
      </c>
      <c r="C903">
        <v>0.4</v>
      </c>
      <c r="D903">
        <v>100</v>
      </c>
      <c r="E903">
        <v>1.2351761744670699E-2</v>
      </c>
      <c r="F903">
        <v>1</v>
      </c>
      <c r="G903">
        <v>32.093024751999998</v>
      </c>
      <c r="H903">
        <v>1.4364617202629999E-2</v>
      </c>
      <c r="I903">
        <v>1</v>
      </c>
      <c r="J903">
        <v>0.26817226</v>
      </c>
      <c r="P903"/>
      <c r="V903">
        <v>8.9227312219425006E-3</v>
      </c>
      <c r="W903">
        <v>1</v>
      </c>
      <c r="X903">
        <v>428.07908097799998</v>
      </c>
      <c r="Y903">
        <v>64</v>
      </c>
      <c r="Z903">
        <v>4.0182663002235001E-3</v>
      </c>
      <c r="AA903">
        <v>31</v>
      </c>
    </row>
    <row r="904" spans="1:27" x14ac:dyDescent="0.2">
      <c r="A904">
        <v>40</v>
      </c>
      <c r="B904">
        <v>1</v>
      </c>
      <c r="C904">
        <v>0.4</v>
      </c>
      <c r="D904">
        <v>100</v>
      </c>
      <c r="E904">
        <v>1.14798768957528E-2</v>
      </c>
      <c r="F904">
        <v>1</v>
      </c>
      <c r="G904">
        <v>31.293759686000001</v>
      </c>
      <c r="H904">
        <v>1.35579718157329E-2</v>
      </c>
      <c r="I904">
        <v>1</v>
      </c>
      <c r="J904">
        <v>0.29634733200000002</v>
      </c>
      <c r="P904"/>
      <c r="V904">
        <v>8.4357947255144106E-3</v>
      </c>
      <c r="W904">
        <v>1</v>
      </c>
      <c r="X904">
        <v>261.22285600100003</v>
      </c>
      <c r="Y904">
        <v>181</v>
      </c>
      <c r="Z904">
        <v>7.2002009897742503E-4</v>
      </c>
      <c r="AA904">
        <v>1</v>
      </c>
    </row>
    <row r="905" spans="1:27" x14ac:dyDescent="0.2">
      <c r="A905">
        <v>40</v>
      </c>
      <c r="B905">
        <v>1</v>
      </c>
      <c r="C905">
        <v>0.4</v>
      </c>
      <c r="D905">
        <v>100</v>
      </c>
      <c r="E905">
        <v>1.21308478543855E-2</v>
      </c>
      <c r="F905">
        <v>1</v>
      </c>
      <c r="G905">
        <v>43.318732388000001</v>
      </c>
      <c r="H905">
        <v>1.28422546267457E-2</v>
      </c>
      <c r="I905">
        <v>1</v>
      </c>
      <c r="J905">
        <v>0.19367847699999999</v>
      </c>
      <c r="P905"/>
      <c r="V905">
        <v>7.0611372878240496E-3</v>
      </c>
      <c r="W905">
        <v>1</v>
      </c>
      <c r="X905">
        <v>340.04990625400001</v>
      </c>
      <c r="Y905">
        <v>341</v>
      </c>
      <c r="Z905">
        <v>4.0794780895172496E-3</v>
      </c>
      <c r="AA905">
        <v>1</v>
      </c>
    </row>
    <row r="906" spans="1:27" x14ac:dyDescent="0.2">
      <c r="A906">
        <v>40</v>
      </c>
      <c r="B906">
        <v>1</v>
      </c>
      <c r="C906">
        <v>0.3</v>
      </c>
      <c r="D906">
        <v>100</v>
      </c>
      <c r="E906">
        <v>2.2073677382718801E-2</v>
      </c>
      <c r="F906">
        <v>1</v>
      </c>
      <c r="G906">
        <v>32.810319970999998</v>
      </c>
      <c r="H906">
        <v>2.5034756313026801E-2</v>
      </c>
      <c r="I906">
        <v>1</v>
      </c>
      <c r="J906">
        <v>0.28945105799999998</v>
      </c>
      <c r="P906"/>
      <c r="V906">
        <v>1.54141724676361E-2</v>
      </c>
      <c r="W906">
        <v>1</v>
      </c>
      <c r="X906">
        <v>9072.7348214810008</v>
      </c>
      <c r="Y906">
        <v>1050</v>
      </c>
      <c r="Z906">
        <v>8.4774063444605901E-3</v>
      </c>
      <c r="AA906">
        <v>26</v>
      </c>
    </row>
    <row r="907" spans="1:27" x14ac:dyDescent="0.2">
      <c r="A907">
        <v>40</v>
      </c>
      <c r="B907">
        <v>1</v>
      </c>
      <c r="C907">
        <v>0.4</v>
      </c>
      <c r="D907">
        <v>100</v>
      </c>
      <c r="E907">
        <v>1.1941829530197399E-2</v>
      </c>
      <c r="F907">
        <v>1</v>
      </c>
      <c r="G907">
        <v>32.431818788000001</v>
      </c>
      <c r="H907">
        <v>1.4444881340768099E-2</v>
      </c>
      <c r="I907">
        <v>1</v>
      </c>
      <c r="J907">
        <v>0.29166813899999999</v>
      </c>
      <c r="P907"/>
      <c r="V907">
        <v>9.1021794949178204E-3</v>
      </c>
      <c r="W907">
        <v>1</v>
      </c>
      <c r="X907">
        <v>409.40229422599998</v>
      </c>
      <c r="Y907">
        <v>325</v>
      </c>
      <c r="Z907">
        <v>1.5753174985233499E-4</v>
      </c>
      <c r="AA907">
        <v>1</v>
      </c>
    </row>
    <row r="908" spans="1:27" x14ac:dyDescent="0.2">
      <c r="A908">
        <v>40</v>
      </c>
      <c r="B908">
        <v>1</v>
      </c>
      <c r="C908">
        <v>0.4</v>
      </c>
      <c r="D908">
        <v>100</v>
      </c>
      <c r="E908">
        <v>1.12970259544836E-2</v>
      </c>
      <c r="F908">
        <v>1</v>
      </c>
      <c r="G908">
        <v>32.529851157000003</v>
      </c>
      <c r="H908">
        <v>1.24854441190781E-2</v>
      </c>
      <c r="I908">
        <v>1</v>
      </c>
      <c r="J908">
        <v>0.208139343</v>
      </c>
      <c r="P908"/>
      <c r="V908">
        <v>7.2132638374181202E-3</v>
      </c>
      <c r="W908">
        <v>1</v>
      </c>
      <c r="X908">
        <v>181.54383551000001</v>
      </c>
      <c r="Y908">
        <v>89</v>
      </c>
      <c r="Z908">
        <v>5.1749808310756996E-3</v>
      </c>
      <c r="AA908">
        <v>1</v>
      </c>
    </row>
    <row r="909" spans="1:27" x14ac:dyDescent="0.2">
      <c r="A909">
        <v>40</v>
      </c>
      <c r="B909">
        <v>1</v>
      </c>
      <c r="C909">
        <v>0.4</v>
      </c>
      <c r="D909">
        <v>100</v>
      </c>
      <c r="E909">
        <v>1.31091879295125E-2</v>
      </c>
      <c r="F909">
        <v>1</v>
      </c>
      <c r="G909">
        <v>31.572191712999999</v>
      </c>
      <c r="H909">
        <v>1.4653256127827899E-2</v>
      </c>
      <c r="I909">
        <v>1</v>
      </c>
      <c r="J909">
        <v>0.361904169</v>
      </c>
      <c r="P909"/>
      <c r="V909">
        <v>8.5092227868269095E-3</v>
      </c>
      <c r="W909">
        <v>1</v>
      </c>
      <c r="X909">
        <v>355.24147265400001</v>
      </c>
      <c r="Y909">
        <v>36</v>
      </c>
      <c r="Z909">
        <v>7.7921209166325004E-3</v>
      </c>
      <c r="AA909">
        <v>26</v>
      </c>
    </row>
    <row r="910" spans="1:27" x14ac:dyDescent="0.2">
      <c r="A910">
        <v>40</v>
      </c>
      <c r="B910">
        <v>1</v>
      </c>
      <c r="C910">
        <v>0.3</v>
      </c>
      <c r="D910">
        <v>100</v>
      </c>
      <c r="E910">
        <v>9.4461806702674008E-3</v>
      </c>
      <c r="F910">
        <v>1</v>
      </c>
      <c r="G910">
        <v>33.785074510000001</v>
      </c>
      <c r="H910">
        <v>1.15818510080169E-2</v>
      </c>
      <c r="I910">
        <v>1</v>
      </c>
      <c r="J910">
        <v>0.25492782000000003</v>
      </c>
      <c r="P910"/>
      <c r="V910">
        <v>7.5669062581276703E-3</v>
      </c>
      <c r="W910">
        <v>1</v>
      </c>
      <c r="X910">
        <v>438.95983625899999</v>
      </c>
      <c r="Y910">
        <v>26</v>
      </c>
      <c r="Z910">
        <v>8.5454783854150805E-3</v>
      </c>
      <c r="AA910">
        <v>12</v>
      </c>
    </row>
    <row r="911" spans="1:27" x14ac:dyDescent="0.2">
      <c r="A911">
        <v>40</v>
      </c>
      <c r="B911">
        <v>1</v>
      </c>
      <c r="C911">
        <v>0.3</v>
      </c>
      <c r="D911">
        <v>100</v>
      </c>
      <c r="E911">
        <v>1.11021762772488E-2</v>
      </c>
      <c r="F911">
        <v>1</v>
      </c>
      <c r="G911">
        <v>33.362369602999998</v>
      </c>
      <c r="H911">
        <v>1.5458034665836401E-2</v>
      </c>
      <c r="I911">
        <v>1</v>
      </c>
      <c r="J911">
        <v>0.350910318</v>
      </c>
      <c r="P911"/>
      <c r="V911">
        <v>1.10110929919925E-2</v>
      </c>
      <c r="W911">
        <v>1</v>
      </c>
      <c r="X911">
        <v>9241.4234661160008</v>
      </c>
      <c r="Y911">
        <v>877</v>
      </c>
      <c r="Z911">
        <v>7.4032499961838001E-3</v>
      </c>
      <c r="AA911">
        <v>27</v>
      </c>
    </row>
    <row r="912" spans="1:27" x14ac:dyDescent="0.2">
      <c r="A912">
        <v>40</v>
      </c>
      <c r="B912">
        <v>1</v>
      </c>
      <c r="C912">
        <v>0.4</v>
      </c>
      <c r="D912">
        <v>100</v>
      </c>
      <c r="E912">
        <v>1.15799256712148E-2</v>
      </c>
      <c r="F912">
        <v>1</v>
      </c>
      <c r="G912">
        <v>30.849934668</v>
      </c>
      <c r="H912">
        <v>1.37991944475221E-2</v>
      </c>
      <c r="I912">
        <v>1</v>
      </c>
      <c r="J912">
        <v>0.245683137</v>
      </c>
      <c r="P912"/>
      <c r="V912">
        <v>8.6723634357382794E-3</v>
      </c>
      <c r="W912">
        <v>1</v>
      </c>
      <c r="X912">
        <v>314.84885770699998</v>
      </c>
      <c r="Y912">
        <v>113</v>
      </c>
      <c r="Z912">
        <v>2.6801459585405999E-3</v>
      </c>
      <c r="AA912">
        <v>6</v>
      </c>
    </row>
    <row r="913" spans="1:27" x14ac:dyDescent="0.2">
      <c r="A913">
        <v>40</v>
      </c>
      <c r="B913">
        <v>1</v>
      </c>
      <c r="C913">
        <v>0.3</v>
      </c>
      <c r="D913">
        <v>100</v>
      </c>
      <c r="E913">
        <v>1.3532675148810999E-2</v>
      </c>
      <c r="F913">
        <v>1</v>
      </c>
      <c r="G913">
        <v>42.867075069000002</v>
      </c>
      <c r="H913">
        <v>1.7011757878264599E-2</v>
      </c>
      <c r="I913">
        <v>1</v>
      </c>
      <c r="J913">
        <v>0.43718108300000003</v>
      </c>
      <c r="P913"/>
      <c r="V913">
        <v>1.12430647514938E-2</v>
      </c>
      <c r="W913">
        <v>1</v>
      </c>
      <c r="X913">
        <v>10595.148371768</v>
      </c>
      <c r="Y913">
        <v>1479</v>
      </c>
      <c r="Z913">
        <v>8.6603910582976305E-3</v>
      </c>
      <c r="AA913">
        <v>29</v>
      </c>
    </row>
    <row r="914" spans="1:27" x14ac:dyDescent="0.2">
      <c r="A914">
        <v>40</v>
      </c>
      <c r="B914">
        <v>1</v>
      </c>
      <c r="C914">
        <v>0.4</v>
      </c>
      <c r="D914">
        <v>100</v>
      </c>
      <c r="E914">
        <v>1.15397458218299E-2</v>
      </c>
      <c r="F914">
        <v>1</v>
      </c>
      <c r="G914">
        <v>31.208783477000001</v>
      </c>
      <c r="H914">
        <v>1.7197984558748301E-2</v>
      </c>
      <c r="I914">
        <v>1</v>
      </c>
      <c r="J914">
        <v>0.27341243599999998</v>
      </c>
      <c r="P914"/>
      <c r="V914">
        <v>1.28888971069727E-2</v>
      </c>
      <c r="W914">
        <v>1</v>
      </c>
      <c r="X914">
        <v>4216.0398638569995</v>
      </c>
      <c r="Y914">
        <v>191</v>
      </c>
      <c r="Z914">
        <v>6.7072311378506503E-3</v>
      </c>
      <c r="AA914">
        <v>18</v>
      </c>
    </row>
    <row r="915" spans="1:27" x14ac:dyDescent="0.2">
      <c r="A915">
        <v>40</v>
      </c>
      <c r="B915">
        <v>1</v>
      </c>
      <c r="C915">
        <v>0.4</v>
      </c>
      <c r="D915">
        <v>100</v>
      </c>
      <c r="E915">
        <v>1.2277381240322899E-2</v>
      </c>
      <c r="F915">
        <v>1</v>
      </c>
      <c r="G915">
        <v>34.418032758000003</v>
      </c>
      <c r="H915">
        <v>1.43075389968977E-2</v>
      </c>
      <c r="I915">
        <v>1</v>
      </c>
      <c r="J915">
        <v>0.39106928099999999</v>
      </c>
      <c r="P915"/>
      <c r="V915">
        <v>8.7264716152899002E-3</v>
      </c>
      <c r="W915">
        <v>1</v>
      </c>
      <c r="X915">
        <v>3336.800928395</v>
      </c>
      <c r="Y915">
        <v>256</v>
      </c>
      <c r="Z915">
        <v>1.0028480322124399E-2</v>
      </c>
      <c r="AA915">
        <v>50</v>
      </c>
    </row>
    <row r="916" spans="1:27" x14ac:dyDescent="0.2">
      <c r="A916">
        <v>40</v>
      </c>
      <c r="B916">
        <v>1</v>
      </c>
      <c r="C916">
        <v>0.4</v>
      </c>
      <c r="D916">
        <v>100</v>
      </c>
      <c r="E916">
        <v>2.3963648555509202E-2</v>
      </c>
      <c r="F916">
        <v>1</v>
      </c>
      <c r="G916">
        <v>32.957124184000001</v>
      </c>
      <c r="H916">
        <v>2.5048981861426099E-2</v>
      </c>
      <c r="I916">
        <v>1</v>
      </c>
      <c r="J916">
        <v>0.24928426000000001</v>
      </c>
      <c r="P916"/>
      <c r="V916">
        <v>1.5018041329494001E-2</v>
      </c>
      <c r="W916">
        <v>1</v>
      </c>
      <c r="X916">
        <v>19065.132578194</v>
      </c>
      <c r="Y916">
        <v>24757</v>
      </c>
      <c r="Z916">
        <v>9.7087364362930997E-3</v>
      </c>
      <c r="AA916">
        <v>50</v>
      </c>
    </row>
    <row r="917" spans="1:27" x14ac:dyDescent="0.2">
      <c r="A917">
        <v>40</v>
      </c>
      <c r="B917">
        <v>1</v>
      </c>
      <c r="C917">
        <v>0.4</v>
      </c>
      <c r="D917">
        <v>100</v>
      </c>
      <c r="E917">
        <v>1.0264242011409901E-2</v>
      </c>
      <c r="F917">
        <v>1</v>
      </c>
      <c r="G917">
        <v>40.323301264000001</v>
      </c>
      <c r="H917">
        <v>1.41321218466563E-2</v>
      </c>
      <c r="I917">
        <v>1</v>
      </c>
      <c r="J917">
        <v>0.39717616</v>
      </c>
      <c r="P917"/>
      <c r="V917">
        <v>1.01002214725259E-2</v>
      </c>
      <c r="W917">
        <v>1</v>
      </c>
      <c r="X917">
        <v>2745.3378775649999</v>
      </c>
      <c r="Y917">
        <v>103</v>
      </c>
      <c r="Z917">
        <v>7.7727949119434899E-3</v>
      </c>
      <c r="AA917">
        <v>14</v>
      </c>
    </row>
    <row r="918" spans="1:27" x14ac:dyDescent="0.2">
      <c r="A918">
        <v>40</v>
      </c>
      <c r="B918">
        <v>1</v>
      </c>
      <c r="C918">
        <v>0.4</v>
      </c>
      <c r="D918">
        <v>100</v>
      </c>
      <c r="E918">
        <v>1.40314017738819E-2</v>
      </c>
      <c r="F918">
        <v>1</v>
      </c>
      <c r="G918">
        <v>31.752415441</v>
      </c>
      <c r="H918">
        <v>2.1144153691205599E-2</v>
      </c>
      <c r="I918">
        <v>1</v>
      </c>
      <c r="J918">
        <v>0.33825100899999999</v>
      </c>
      <c r="P918"/>
      <c r="V918">
        <v>1.58961766280412E-2</v>
      </c>
      <c r="W918">
        <v>1</v>
      </c>
      <c r="X918">
        <v>13874.695778468</v>
      </c>
      <c r="Y918">
        <v>5940</v>
      </c>
      <c r="Z918">
        <v>8.4121966930594799E-3</v>
      </c>
      <c r="AA918">
        <v>31</v>
      </c>
    </row>
    <row r="919" spans="1:27" x14ac:dyDescent="0.2">
      <c r="A919">
        <v>40</v>
      </c>
      <c r="B919">
        <v>1</v>
      </c>
      <c r="C919">
        <v>0.4</v>
      </c>
      <c r="D919">
        <v>100</v>
      </c>
      <c r="E919">
        <v>1.10230184758372E-2</v>
      </c>
      <c r="F919">
        <v>1</v>
      </c>
      <c r="G919">
        <v>37.862260358</v>
      </c>
      <c r="H919">
        <v>1.3157323655125E-2</v>
      </c>
      <c r="I919">
        <v>1</v>
      </c>
      <c r="J919">
        <v>0.37019491300000001</v>
      </c>
      <c r="P919"/>
      <c r="V919">
        <v>8.2078012327505192E-3</v>
      </c>
      <c r="W919">
        <v>1</v>
      </c>
      <c r="X919">
        <v>263.071456184</v>
      </c>
      <c r="Y919">
        <v>83</v>
      </c>
      <c r="Z919">
        <v>7.2269699978497696E-3</v>
      </c>
      <c r="AA919">
        <v>1</v>
      </c>
    </row>
    <row r="920" spans="1:27" x14ac:dyDescent="0.2">
      <c r="A920">
        <v>30</v>
      </c>
      <c r="B920">
        <v>1</v>
      </c>
      <c r="C920">
        <v>0.1</v>
      </c>
      <c r="D920">
        <v>20</v>
      </c>
      <c r="E920">
        <v>0.524845419763323</v>
      </c>
      <c r="F920">
        <v>1</v>
      </c>
      <c r="G920">
        <v>28.852280041</v>
      </c>
      <c r="H920">
        <v>0.50356172364156104</v>
      </c>
      <c r="I920">
        <v>1</v>
      </c>
      <c r="J920">
        <v>0.225471742</v>
      </c>
      <c r="P920"/>
      <c r="V920">
        <v>0.49472173680278902</v>
      </c>
      <c r="W920">
        <v>1</v>
      </c>
      <c r="X920">
        <v>29965.796979876999</v>
      </c>
      <c r="Y920">
        <v>132509</v>
      </c>
      <c r="Z920">
        <v>1.33841651467394E-2</v>
      </c>
      <c r="AA920">
        <v>50</v>
      </c>
    </row>
    <row r="921" spans="1:27" x14ac:dyDescent="0.2">
      <c r="A921">
        <v>30</v>
      </c>
      <c r="B921">
        <v>1</v>
      </c>
      <c r="C921">
        <v>0.1</v>
      </c>
      <c r="D921">
        <v>20</v>
      </c>
      <c r="E921">
        <v>0.61042487844620796</v>
      </c>
      <c r="F921">
        <v>1</v>
      </c>
      <c r="G921">
        <v>23.174028951</v>
      </c>
      <c r="H921">
        <v>0.60579599554024899</v>
      </c>
      <c r="I921">
        <v>1</v>
      </c>
      <c r="J921">
        <v>0.27708864799999999</v>
      </c>
      <c r="P921"/>
      <c r="V921">
        <v>0.59706702627139396</v>
      </c>
      <c r="W921">
        <v>1</v>
      </c>
      <c r="X921">
        <v>30048.220219764</v>
      </c>
      <c r="Y921">
        <v>133398</v>
      </c>
      <c r="Z921">
        <v>2.73679132644029E-2</v>
      </c>
      <c r="AA921">
        <v>50</v>
      </c>
    </row>
    <row r="922" spans="1:27" x14ac:dyDescent="0.2">
      <c r="A922">
        <v>30</v>
      </c>
      <c r="B922">
        <v>1</v>
      </c>
      <c r="C922">
        <v>0.4</v>
      </c>
      <c r="D922">
        <v>20</v>
      </c>
      <c r="E922">
        <v>8.7736170973772107E-2</v>
      </c>
      <c r="F922">
        <v>1</v>
      </c>
      <c r="G922">
        <v>22.742715877999998</v>
      </c>
      <c r="H922">
        <v>0.104980106806579</v>
      </c>
      <c r="I922">
        <v>1</v>
      </c>
      <c r="J922">
        <v>0.17075657499999999</v>
      </c>
      <c r="P922"/>
      <c r="V922">
        <v>8.6548528561797206E-2</v>
      </c>
      <c r="W922">
        <v>1</v>
      </c>
      <c r="X922">
        <v>30979.22372559</v>
      </c>
      <c r="Y922">
        <v>110038</v>
      </c>
      <c r="Z922">
        <v>0.112149835128022</v>
      </c>
      <c r="AA922">
        <v>50</v>
      </c>
    </row>
    <row r="923" spans="1:27" x14ac:dyDescent="0.2">
      <c r="A923">
        <v>30</v>
      </c>
      <c r="B923">
        <v>1</v>
      </c>
      <c r="C923">
        <v>0.4</v>
      </c>
      <c r="D923">
        <v>20</v>
      </c>
      <c r="E923">
        <v>8.2619785621677294E-2</v>
      </c>
      <c r="F923">
        <v>1</v>
      </c>
      <c r="G923">
        <v>27.425864349000001</v>
      </c>
      <c r="H923">
        <v>0.102650193603524</v>
      </c>
      <c r="I923">
        <v>1</v>
      </c>
      <c r="J923">
        <v>0.16721196199999999</v>
      </c>
      <c r="P923"/>
      <c r="V923">
        <v>7.1344269283572695E-2</v>
      </c>
      <c r="W923">
        <v>1</v>
      </c>
      <c r="X923">
        <v>30392.067527605999</v>
      </c>
      <c r="Y923">
        <v>61146</v>
      </c>
      <c r="Z923">
        <v>0.124752865425969</v>
      </c>
      <c r="AA923">
        <v>50</v>
      </c>
    </row>
    <row r="924" spans="1:27" x14ac:dyDescent="0.2">
      <c r="A924">
        <v>30</v>
      </c>
      <c r="B924">
        <v>1</v>
      </c>
      <c r="C924">
        <v>0.2</v>
      </c>
      <c r="D924">
        <v>20</v>
      </c>
      <c r="E924">
        <v>0.34701968591175297</v>
      </c>
      <c r="F924">
        <v>1</v>
      </c>
      <c r="G924">
        <v>28.096532242999999</v>
      </c>
      <c r="H924">
        <v>0.357473781837292</v>
      </c>
      <c r="I924">
        <v>1</v>
      </c>
      <c r="J924">
        <v>0.20317280200000001</v>
      </c>
      <c r="P924"/>
      <c r="V924">
        <v>0.30182512217812202</v>
      </c>
      <c r="W924">
        <v>1</v>
      </c>
      <c r="X924">
        <v>31402.374534113002</v>
      </c>
      <c r="Y924">
        <v>59504</v>
      </c>
      <c r="Z924">
        <v>9.4074261472108803E-2</v>
      </c>
      <c r="AA924">
        <v>50</v>
      </c>
    </row>
    <row r="925" spans="1:27" x14ac:dyDescent="0.2">
      <c r="A925">
        <v>30</v>
      </c>
      <c r="B925">
        <v>1</v>
      </c>
      <c r="C925">
        <v>0.1</v>
      </c>
      <c r="D925">
        <v>20</v>
      </c>
      <c r="E925">
        <v>0.57518201900061094</v>
      </c>
      <c r="F925">
        <v>1</v>
      </c>
      <c r="G925">
        <v>27.077298803000001</v>
      </c>
      <c r="H925">
        <v>0.56765275002705495</v>
      </c>
      <c r="I925">
        <v>1</v>
      </c>
      <c r="J925">
        <v>0.45354467100000001</v>
      </c>
      <c r="P925"/>
      <c r="V925">
        <v>1.15185069863154</v>
      </c>
      <c r="W925">
        <v>1</v>
      </c>
      <c r="X925">
        <v>30414.638924318999</v>
      </c>
      <c r="Y925">
        <v>191948</v>
      </c>
      <c r="Z925">
        <v>0.46868460018597202</v>
      </c>
      <c r="AA925">
        <v>50</v>
      </c>
    </row>
    <row r="926" spans="1:27" x14ac:dyDescent="0.2">
      <c r="A926">
        <v>30</v>
      </c>
      <c r="B926">
        <v>1</v>
      </c>
      <c r="C926">
        <v>0.3</v>
      </c>
      <c r="D926">
        <v>20</v>
      </c>
      <c r="E926">
        <v>0.152077144949229</v>
      </c>
      <c r="F926">
        <v>1</v>
      </c>
      <c r="G926">
        <v>28.815014827999999</v>
      </c>
      <c r="H926">
        <v>0.13148253008670499</v>
      </c>
      <c r="I926">
        <v>1</v>
      </c>
      <c r="J926">
        <v>0.28960110999999999</v>
      </c>
      <c r="P926"/>
      <c r="V926">
        <v>0.111995492317138</v>
      </c>
      <c r="W926">
        <v>1</v>
      </c>
      <c r="X926">
        <v>30588.292598823999</v>
      </c>
      <c r="Y926">
        <v>63026</v>
      </c>
      <c r="Z926">
        <v>5.6286428533747601E-2</v>
      </c>
      <c r="AA926">
        <v>50</v>
      </c>
    </row>
    <row r="927" spans="1:27" x14ac:dyDescent="0.2">
      <c r="A927">
        <v>30</v>
      </c>
      <c r="B927">
        <v>1</v>
      </c>
      <c r="C927">
        <v>0.2</v>
      </c>
      <c r="D927">
        <v>20</v>
      </c>
      <c r="E927">
        <v>0.121835903899328</v>
      </c>
      <c r="F927">
        <v>1</v>
      </c>
      <c r="G927">
        <v>27.648200727999999</v>
      </c>
      <c r="H927">
        <v>0.140347835220161</v>
      </c>
      <c r="I927">
        <v>1</v>
      </c>
      <c r="J927">
        <v>0.20251604000000001</v>
      </c>
      <c r="P927"/>
      <c r="V927">
        <v>9.96964379601427E-2</v>
      </c>
      <c r="W927">
        <v>1</v>
      </c>
      <c r="X927">
        <v>31174.888917404001</v>
      </c>
      <c r="Y927">
        <v>65108</v>
      </c>
      <c r="Z927">
        <v>5.4806674464643303E-2</v>
      </c>
      <c r="AA927">
        <v>50</v>
      </c>
    </row>
    <row r="928" spans="1:27" x14ac:dyDescent="0.2">
      <c r="A928">
        <v>30</v>
      </c>
      <c r="B928">
        <v>1</v>
      </c>
      <c r="C928">
        <v>0.2</v>
      </c>
      <c r="D928">
        <v>20</v>
      </c>
      <c r="E928">
        <v>0.12960518806955701</v>
      </c>
      <c r="F928">
        <v>1</v>
      </c>
      <c r="G928">
        <v>26.899714616000001</v>
      </c>
      <c r="H928">
        <v>0.13436008962528001</v>
      </c>
      <c r="I928">
        <v>1</v>
      </c>
      <c r="J928">
        <v>0.17382526200000001</v>
      </c>
      <c r="P928"/>
      <c r="V928">
        <v>0.11441332280684</v>
      </c>
      <c r="W928">
        <v>1</v>
      </c>
      <c r="X928">
        <v>30679.369301727002</v>
      </c>
      <c r="Y928">
        <v>101045</v>
      </c>
      <c r="Z928">
        <v>3.0565210887724299E-2</v>
      </c>
      <c r="AA928">
        <v>50</v>
      </c>
    </row>
    <row r="929" spans="1:27" x14ac:dyDescent="0.2">
      <c r="A929">
        <v>30</v>
      </c>
      <c r="B929">
        <v>1</v>
      </c>
      <c r="C929">
        <v>0.3</v>
      </c>
      <c r="D929">
        <v>20</v>
      </c>
      <c r="E929">
        <v>0.145622190773917</v>
      </c>
      <c r="F929">
        <v>1</v>
      </c>
      <c r="G929">
        <v>28.998664943000001</v>
      </c>
      <c r="H929">
        <v>0.14969995645461701</v>
      </c>
      <c r="I929">
        <v>1</v>
      </c>
      <c r="J929">
        <v>0.29480614900000002</v>
      </c>
      <c r="P929"/>
      <c r="V929">
        <v>0.13110818962498499</v>
      </c>
      <c r="W929">
        <v>1</v>
      </c>
      <c r="X929">
        <v>32999.843179506002</v>
      </c>
      <c r="Y929">
        <v>48470</v>
      </c>
      <c r="Z929">
        <v>0.187320006202983</v>
      </c>
      <c r="AA929">
        <v>50</v>
      </c>
    </row>
    <row r="930" spans="1:27" x14ac:dyDescent="0.2">
      <c r="A930">
        <v>30</v>
      </c>
      <c r="B930">
        <v>1</v>
      </c>
      <c r="C930">
        <v>0.1</v>
      </c>
      <c r="D930">
        <v>20</v>
      </c>
      <c r="E930">
        <v>0.58674389417430795</v>
      </c>
      <c r="F930">
        <v>1</v>
      </c>
      <c r="G930">
        <v>26.697714743999999</v>
      </c>
      <c r="H930">
        <v>0.49088292116510701</v>
      </c>
      <c r="I930">
        <v>1</v>
      </c>
      <c r="J930">
        <v>0.428774247</v>
      </c>
      <c r="P930"/>
      <c r="V930">
        <v>0.72174350987487201</v>
      </c>
      <c r="W930">
        <v>1</v>
      </c>
      <c r="X930">
        <v>30063.311130988001</v>
      </c>
      <c r="Y930">
        <v>109805</v>
      </c>
      <c r="Z930">
        <v>2.00064164401541E-2</v>
      </c>
      <c r="AA930">
        <v>50</v>
      </c>
    </row>
    <row r="931" spans="1:27" x14ac:dyDescent="0.2">
      <c r="A931">
        <v>30</v>
      </c>
      <c r="B931">
        <v>1</v>
      </c>
      <c r="C931">
        <v>0.3</v>
      </c>
      <c r="D931">
        <v>20</v>
      </c>
      <c r="E931">
        <v>0.14822384025294599</v>
      </c>
      <c r="F931">
        <v>1</v>
      </c>
      <c r="G931">
        <v>30.235519166</v>
      </c>
      <c r="H931">
        <v>0.139569351225654</v>
      </c>
      <c r="I931">
        <v>1</v>
      </c>
      <c r="J931">
        <v>0.188545449</v>
      </c>
      <c r="P931"/>
      <c r="V931">
        <v>0.119683050712381</v>
      </c>
      <c r="W931">
        <v>1</v>
      </c>
      <c r="X931">
        <v>31554.095794044999</v>
      </c>
      <c r="Y931">
        <v>49721</v>
      </c>
      <c r="Z931">
        <v>7.1567609211873301E-2</v>
      </c>
      <c r="AA931">
        <v>50</v>
      </c>
    </row>
    <row r="932" spans="1:27" x14ac:dyDescent="0.2">
      <c r="A932">
        <v>30</v>
      </c>
      <c r="B932">
        <v>1</v>
      </c>
      <c r="C932">
        <v>0.2</v>
      </c>
      <c r="D932">
        <v>20</v>
      </c>
      <c r="E932">
        <v>0.11485982935882</v>
      </c>
      <c r="F932">
        <v>1</v>
      </c>
      <c r="G932">
        <v>27.385189547</v>
      </c>
      <c r="H932">
        <v>0.135635856166505</v>
      </c>
      <c r="I932">
        <v>1</v>
      </c>
      <c r="J932">
        <v>0.214209233</v>
      </c>
      <c r="P932"/>
      <c r="V932">
        <v>0.112015114240176</v>
      </c>
      <c r="W932">
        <v>1</v>
      </c>
      <c r="X932">
        <v>33244.443594343</v>
      </c>
      <c r="Y932">
        <v>50243</v>
      </c>
      <c r="Z932">
        <v>0.234314795886431</v>
      </c>
      <c r="AA932">
        <v>50</v>
      </c>
    </row>
    <row r="933" spans="1:27" x14ac:dyDescent="0.2">
      <c r="A933">
        <v>30</v>
      </c>
      <c r="B933">
        <v>1</v>
      </c>
      <c r="C933">
        <v>0.1</v>
      </c>
      <c r="D933">
        <v>20</v>
      </c>
      <c r="E933">
        <v>0.317321396458841</v>
      </c>
      <c r="F933">
        <v>1</v>
      </c>
      <c r="G933">
        <v>31.138734521</v>
      </c>
      <c r="H933">
        <v>0.33610905467177599</v>
      </c>
      <c r="I933">
        <v>1</v>
      </c>
      <c r="J933">
        <v>0.41112609500000002</v>
      </c>
      <c r="P933"/>
      <c r="V933">
        <v>0.32713829029941899</v>
      </c>
      <c r="W933">
        <v>1</v>
      </c>
      <c r="X933">
        <v>30087.735893503999</v>
      </c>
      <c r="Y933">
        <v>90962</v>
      </c>
      <c r="Z933">
        <v>4.85038038748659E-2</v>
      </c>
      <c r="AA933">
        <v>50</v>
      </c>
    </row>
    <row r="934" spans="1:27" x14ac:dyDescent="0.2">
      <c r="A934">
        <v>30</v>
      </c>
      <c r="B934">
        <v>1</v>
      </c>
      <c r="C934">
        <v>0.2</v>
      </c>
      <c r="D934">
        <v>20</v>
      </c>
      <c r="E934">
        <v>0.18492454625747501</v>
      </c>
      <c r="F934">
        <v>1</v>
      </c>
      <c r="G934">
        <v>30.053931589000001</v>
      </c>
      <c r="H934">
        <v>0.198680810903826</v>
      </c>
      <c r="I934">
        <v>1</v>
      </c>
      <c r="J934">
        <v>0.308768918</v>
      </c>
      <c r="P934"/>
      <c r="V934">
        <v>0.167097496690091</v>
      </c>
      <c r="W934">
        <v>1</v>
      </c>
      <c r="X934">
        <v>31670.164241661001</v>
      </c>
      <c r="Y934">
        <v>46201</v>
      </c>
      <c r="Z934">
        <v>0.11432604449082399</v>
      </c>
      <c r="AA934">
        <v>50</v>
      </c>
    </row>
    <row r="935" spans="1:27" x14ac:dyDescent="0.2">
      <c r="A935">
        <v>30</v>
      </c>
      <c r="B935">
        <v>1</v>
      </c>
      <c r="C935">
        <v>0.3</v>
      </c>
      <c r="D935">
        <v>20</v>
      </c>
      <c r="E935">
        <v>0.23418993335122801</v>
      </c>
      <c r="F935">
        <v>1</v>
      </c>
      <c r="G935">
        <v>30.537073834000001</v>
      </c>
      <c r="H935">
        <v>0.25794177403273699</v>
      </c>
      <c r="I935">
        <v>1</v>
      </c>
      <c r="J935">
        <v>0.239293072</v>
      </c>
      <c r="P935"/>
      <c r="V935">
        <v>0.16159792611593901</v>
      </c>
      <c r="W935">
        <v>1</v>
      </c>
      <c r="X935">
        <v>32220.520239582002</v>
      </c>
      <c r="Y935">
        <v>45355</v>
      </c>
      <c r="Z935">
        <v>0.105406139780019</v>
      </c>
      <c r="AA935">
        <v>50</v>
      </c>
    </row>
    <row r="936" spans="1:27" x14ac:dyDescent="0.2">
      <c r="A936">
        <v>10</v>
      </c>
      <c r="B936">
        <v>1</v>
      </c>
      <c r="C936">
        <v>0.4</v>
      </c>
      <c r="D936">
        <v>100</v>
      </c>
      <c r="E936">
        <v>0.108837860055448</v>
      </c>
      <c r="F936">
        <v>1</v>
      </c>
      <c r="G936">
        <v>30.875135045</v>
      </c>
      <c r="H936">
        <v>2.1816899237899898E-2</v>
      </c>
      <c r="I936">
        <v>1</v>
      </c>
      <c r="J936">
        <v>8.6486836999999997E-2</v>
      </c>
      <c r="K936">
        <v>2.1275634662997599E-2</v>
      </c>
      <c r="L936">
        <v>1</v>
      </c>
      <c r="M936">
        <v>1838.1415653019999</v>
      </c>
      <c r="N936">
        <v>374766</v>
      </c>
      <c r="O936">
        <v>1.2814722364886599E-3</v>
      </c>
      <c r="P936">
        <v>0.119328251328862</v>
      </c>
      <c r="Q936">
        <v>1</v>
      </c>
      <c r="R936">
        <v>190.43484216100001</v>
      </c>
      <c r="S936">
        <v>3597</v>
      </c>
      <c r="T936">
        <v>1.03606756177127E-3</v>
      </c>
      <c r="U936">
        <v>2390</v>
      </c>
      <c r="V936">
        <v>2.8391000458647599E-2</v>
      </c>
      <c r="W936">
        <v>1</v>
      </c>
      <c r="X936">
        <v>22.894184585000001</v>
      </c>
      <c r="Y936">
        <v>1</v>
      </c>
      <c r="Z936">
        <v>1.8883931897068201E-3</v>
      </c>
      <c r="AA936">
        <v>6</v>
      </c>
    </row>
    <row r="937" spans="1:27" x14ac:dyDescent="0.2">
      <c r="A937">
        <v>10</v>
      </c>
      <c r="B937">
        <v>1</v>
      </c>
      <c r="C937">
        <v>0.4</v>
      </c>
      <c r="D937">
        <v>100</v>
      </c>
      <c r="E937">
        <v>7.7715912035284995E-2</v>
      </c>
      <c r="F937">
        <v>1</v>
      </c>
      <c r="G937">
        <v>32.880638064999999</v>
      </c>
      <c r="H937">
        <v>5.5445977944736102E-2</v>
      </c>
      <c r="I937">
        <v>1</v>
      </c>
      <c r="J937">
        <v>0.11316667399999999</v>
      </c>
      <c r="K937">
        <v>6.4791130287334395E-2</v>
      </c>
      <c r="L937">
        <v>1</v>
      </c>
      <c r="M937">
        <v>123.675220301</v>
      </c>
      <c r="N937">
        <v>74592</v>
      </c>
      <c r="O937">
        <v>3.9551186109107999E-3</v>
      </c>
      <c r="P937">
        <v>0.143824267613959</v>
      </c>
      <c r="Q937">
        <v>1</v>
      </c>
      <c r="R937">
        <v>260.42411418500001</v>
      </c>
      <c r="S937">
        <v>7701</v>
      </c>
      <c r="T937">
        <v>3.3991804455933399E-3</v>
      </c>
      <c r="U937">
        <v>5217</v>
      </c>
      <c r="V937">
        <v>7.4737743536739107E-2</v>
      </c>
      <c r="W937">
        <v>1</v>
      </c>
      <c r="X937">
        <v>524.82581503699998</v>
      </c>
      <c r="Y937">
        <v>36790</v>
      </c>
      <c r="Z937">
        <v>1.8269523744676101E-3</v>
      </c>
      <c r="AA937">
        <v>20</v>
      </c>
    </row>
    <row r="938" spans="1:27" x14ac:dyDescent="0.2">
      <c r="A938">
        <v>10</v>
      </c>
      <c r="B938">
        <v>1</v>
      </c>
      <c r="C938">
        <v>0.4</v>
      </c>
      <c r="D938">
        <v>100</v>
      </c>
      <c r="E938">
        <v>0.30051341481703597</v>
      </c>
      <c r="F938">
        <v>1</v>
      </c>
      <c r="G938">
        <v>33.290375466999997</v>
      </c>
      <c r="H938">
        <v>0.148501510498983</v>
      </c>
      <c r="I938">
        <v>1</v>
      </c>
      <c r="J938">
        <v>5.3040077999999997E-2</v>
      </c>
      <c r="K938">
        <v>0.19283685787194901</v>
      </c>
      <c r="L938">
        <v>1</v>
      </c>
      <c r="M938">
        <v>682.94909762199995</v>
      </c>
      <c r="N938">
        <v>422310</v>
      </c>
      <c r="O938">
        <v>6.8331111311437098E-3</v>
      </c>
      <c r="P938">
        <v>0.21994207740459301</v>
      </c>
      <c r="Q938">
        <v>1</v>
      </c>
      <c r="R938">
        <v>91.20971394</v>
      </c>
      <c r="S938">
        <v>1630</v>
      </c>
      <c r="T938">
        <v>5.9623779516418899E-3</v>
      </c>
      <c r="U938">
        <v>1330</v>
      </c>
      <c r="V938">
        <v>0.220244755090269</v>
      </c>
      <c r="W938">
        <v>1</v>
      </c>
      <c r="X938">
        <v>375.05897369100001</v>
      </c>
      <c r="Y938">
        <v>25277</v>
      </c>
      <c r="Z938">
        <v>2.7623094098407899E-3</v>
      </c>
      <c r="AA938">
        <v>20</v>
      </c>
    </row>
    <row r="939" spans="1:27" x14ac:dyDescent="0.2">
      <c r="A939">
        <v>10</v>
      </c>
      <c r="B939">
        <v>1</v>
      </c>
      <c r="C939">
        <v>0.1</v>
      </c>
      <c r="D939">
        <v>100</v>
      </c>
      <c r="E939">
        <v>0.98661176615718205</v>
      </c>
      <c r="F939">
        <v>1</v>
      </c>
      <c r="G939">
        <v>30.452848640999999</v>
      </c>
      <c r="H939">
        <v>0.98661176617108604</v>
      </c>
      <c r="I939">
        <v>1</v>
      </c>
      <c r="J939">
        <v>3.4429346999999999E-2</v>
      </c>
      <c r="K939">
        <v>1.0909550018415199</v>
      </c>
      <c r="L939">
        <v>1</v>
      </c>
      <c r="M939">
        <v>3600.4903669760001</v>
      </c>
      <c r="N939">
        <v>688682</v>
      </c>
      <c r="O939">
        <v>1.08216521216153E-2</v>
      </c>
      <c r="P939">
        <v>1.0565378739529001</v>
      </c>
      <c r="Q939">
        <v>1</v>
      </c>
      <c r="R939">
        <v>127.35559698500001</v>
      </c>
      <c r="S939">
        <v>2557</v>
      </c>
      <c r="T939" s="1">
        <v>2.4678120376323599E-6</v>
      </c>
      <c r="U939">
        <v>2561</v>
      </c>
      <c r="V939">
        <v>1.05766047355885</v>
      </c>
      <c r="W939">
        <v>1</v>
      </c>
      <c r="X939">
        <v>6.0062871790000001</v>
      </c>
      <c r="Y939">
        <v>1420</v>
      </c>
      <c r="Z939" s="1">
        <v>4.3023407491141197E-8</v>
      </c>
      <c r="AA939">
        <v>1</v>
      </c>
    </row>
    <row r="940" spans="1:27" x14ac:dyDescent="0.2">
      <c r="A940">
        <v>10</v>
      </c>
      <c r="B940">
        <v>1</v>
      </c>
      <c r="C940">
        <v>0.1</v>
      </c>
      <c r="D940">
        <v>100</v>
      </c>
      <c r="E940">
        <v>0.98031951168060505</v>
      </c>
      <c r="F940">
        <v>1</v>
      </c>
      <c r="G940">
        <v>31.647788855999998</v>
      </c>
      <c r="H940">
        <v>0.98031951168065501</v>
      </c>
      <c r="I940">
        <v>1</v>
      </c>
      <c r="J940">
        <v>4.8574627000000002E-2</v>
      </c>
      <c r="K940">
        <v>0.86300420553066404</v>
      </c>
      <c r="L940">
        <v>1</v>
      </c>
      <c r="M940">
        <v>3601.3044463430001</v>
      </c>
      <c r="N940">
        <v>598830</v>
      </c>
      <c r="O940">
        <v>7.2110351068879197E-3</v>
      </c>
      <c r="P940">
        <v>0.99840478014095502</v>
      </c>
      <c r="Q940">
        <v>1</v>
      </c>
      <c r="R940">
        <v>172.86526144000001</v>
      </c>
      <c r="S940">
        <v>2847</v>
      </c>
      <c r="T940" s="1">
        <v>6.4306435015870602E-7</v>
      </c>
      <c r="U940">
        <v>2816</v>
      </c>
      <c r="V940">
        <v>1.1439523915440999</v>
      </c>
      <c r="W940">
        <v>1</v>
      </c>
      <c r="X940">
        <v>7.7141530039999999</v>
      </c>
      <c r="Y940">
        <v>3010</v>
      </c>
      <c r="Z940" s="1">
        <v>8.6325969910622194E-8</v>
      </c>
      <c r="AA940">
        <v>1</v>
      </c>
    </row>
    <row r="941" spans="1:27" x14ac:dyDescent="0.2">
      <c r="A941">
        <v>10</v>
      </c>
      <c r="B941">
        <v>1</v>
      </c>
      <c r="C941">
        <v>0.4</v>
      </c>
      <c r="D941">
        <v>100</v>
      </c>
      <c r="E941">
        <v>0.133629942533909</v>
      </c>
      <c r="F941">
        <v>1</v>
      </c>
      <c r="G941">
        <v>32.941626745000001</v>
      </c>
      <c r="H941">
        <v>7.3190270147483097E-2</v>
      </c>
      <c r="I941">
        <v>1</v>
      </c>
      <c r="J941">
        <v>0.1010708</v>
      </c>
      <c r="K941">
        <v>7.3054973372346801E-2</v>
      </c>
      <c r="L941">
        <v>1</v>
      </c>
      <c r="M941">
        <v>794.27583991100005</v>
      </c>
      <c r="N941">
        <v>370155</v>
      </c>
      <c r="O941">
        <v>1.51684704716714E-3</v>
      </c>
      <c r="P941">
        <v>0.19083791254875301</v>
      </c>
      <c r="Q941">
        <v>1</v>
      </c>
      <c r="R941">
        <v>218.62033098800001</v>
      </c>
      <c r="S941">
        <v>6398</v>
      </c>
      <c r="T941">
        <v>1.3595682034046E-3</v>
      </c>
      <c r="U941">
        <v>3987</v>
      </c>
      <c r="V941">
        <v>5.0914700486913697E-2</v>
      </c>
      <c r="W941">
        <v>1</v>
      </c>
      <c r="X941">
        <v>835.504408904</v>
      </c>
      <c r="Y941">
        <v>43755</v>
      </c>
      <c r="Z941">
        <v>7.5338392994780902E-4</v>
      </c>
      <c r="AA941">
        <v>20</v>
      </c>
    </row>
    <row r="942" spans="1:27" x14ac:dyDescent="0.2">
      <c r="A942">
        <v>10</v>
      </c>
      <c r="B942">
        <v>1</v>
      </c>
      <c r="C942">
        <v>0.2</v>
      </c>
      <c r="D942">
        <v>100</v>
      </c>
      <c r="E942">
        <v>0.51461600993496903</v>
      </c>
      <c r="F942">
        <v>1</v>
      </c>
      <c r="G942">
        <v>31.840487373999999</v>
      </c>
      <c r="H942">
        <v>0.43574884483067899</v>
      </c>
      <c r="I942">
        <v>1</v>
      </c>
      <c r="J942">
        <v>0.111228045</v>
      </c>
      <c r="K942">
        <v>0.43489960430609798</v>
      </c>
      <c r="L942">
        <v>1</v>
      </c>
      <c r="M942">
        <v>3600.790561022</v>
      </c>
      <c r="N942">
        <v>562677</v>
      </c>
      <c r="O942">
        <v>1.2477094863472199E-2</v>
      </c>
      <c r="P942">
        <v>0.65733599214395999</v>
      </c>
      <c r="Q942">
        <v>1</v>
      </c>
      <c r="R942">
        <v>413.23652461400002</v>
      </c>
      <c r="S942">
        <v>9937</v>
      </c>
      <c r="T942">
        <v>2.5631930855999399E-4</v>
      </c>
      <c r="U942">
        <v>6966</v>
      </c>
      <c r="V942">
        <v>0.65305789426394201</v>
      </c>
      <c r="W942">
        <v>1</v>
      </c>
      <c r="X942">
        <v>18.122992175</v>
      </c>
      <c r="Y942">
        <v>1</v>
      </c>
      <c r="Z942">
        <v>8.7405506269995102E-4</v>
      </c>
      <c r="AA942">
        <v>3</v>
      </c>
    </row>
    <row r="943" spans="1:27" x14ac:dyDescent="0.2">
      <c r="A943">
        <v>10</v>
      </c>
      <c r="B943">
        <v>1</v>
      </c>
      <c r="C943">
        <v>0.3</v>
      </c>
      <c r="D943">
        <v>100</v>
      </c>
      <c r="E943">
        <v>8.7103058013456303E-2</v>
      </c>
      <c r="F943">
        <v>1</v>
      </c>
      <c r="G943">
        <v>30.509198780999998</v>
      </c>
      <c r="H943">
        <v>5.3472854689503399E-2</v>
      </c>
      <c r="I943">
        <v>1</v>
      </c>
      <c r="J943">
        <v>6.8443696999999998E-2</v>
      </c>
      <c r="K943">
        <v>4.3413449406107599E-2</v>
      </c>
      <c r="L943">
        <v>1</v>
      </c>
      <c r="M943">
        <v>3600.5733067330002</v>
      </c>
      <c r="N943">
        <v>547610</v>
      </c>
      <c r="O943">
        <v>1.09956051621455E-2</v>
      </c>
      <c r="P943">
        <v>0.27008655795626602</v>
      </c>
      <c r="Q943">
        <v>1</v>
      </c>
      <c r="R943">
        <v>411.87246857999997</v>
      </c>
      <c r="S943">
        <v>7182</v>
      </c>
      <c r="T943">
        <v>1.6336596707577499E-4</v>
      </c>
      <c r="U943">
        <v>4755</v>
      </c>
      <c r="V943">
        <v>0.121445994675031</v>
      </c>
      <c r="W943">
        <v>1</v>
      </c>
      <c r="X943">
        <v>41.321362831000002</v>
      </c>
      <c r="Y943">
        <v>20090</v>
      </c>
      <c r="Z943">
        <v>1.67048821173215E-4</v>
      </c>
      <c r="AA943">
        <v>1</v>
      </c>
    </row>
    <row r="944" spans="1:27" x14ac:dyDescent="0.2">
      <c r="A944">
        <v>10</v>
      </c>
      <c r="B944">
        <v>1</v>
      </c>
      <c r="C944">
        <v>0.4</v>
      </c>
      <c r="D944">
        <v>100</v>
      </c>
      <c r="E944">
        <v>0.128538893765717</v>
      </c>
      <c r="F944">
        <v>1</v>
      </c>
      <c r="G944">
        <v>31.289520900999999</v>
      </c>
      <c r="H944">
        <v>5.5695296840573297E-2</v>
      </c>
      <c r="I944">
        <v>1</v>
      </c>
      <c r="J944">
        <v>0.20015592600000001</v>
      </c>
      <c r="K944">
        <v>5.5552298559928402E-2</v>
      </c>
      <c r="L944">
        <v>1</v>
      </c>
      <c r="M944">
        <v>1322.925434795</v>
      </c>
      <c r="N944">
        <v>428897</v>
      </c>
      <c r="O944">
        <v>2.0733904070873101E-3</v>
      </c>
      <c r="P944">
        <v>0.146158069979933</v>
      </c>
      <c r="Q944">
        <v>1</v>
      </c>
      <c r="R944">
        <v>293.37182575200001</v>
      </c>
      <c r="S944">
        <v>6049</v>
      </c>
      <c r="T944">
        <v>1.3620456989965799E-3</v>
      </c>
      <c r="U944">
        <v>4224</v>
      </c>
      <c r="V944">
        <v>4.9921933920120898E-2</v>
      </c>
      <c r="W944">
        <v>1</v>
      </c>
      <c r="X944">
        <v>393.07349572200002</v>
      </c>
      <c r="Y944">
        <v>27370</v>
      </c>
      <c r="Z944">
        <v>1.0823047069960501E-3</v>
      </c>
      <c r="AA944">
        <v>19</v>
      </c>
    </row>
    <row r="945" spans="1:27" x14ac:dyDescent="0.2">
      <c r="A945">
        <v>10</v>
      </c>
      <c r="B945">
        <v>1</v>
      </c>
      <c r="C945">
        <v>0.2</v>
      </c>
      <c r="D945">
        <v>100</v>
      </c>
      <c r="E945">
        <v>0.26243498324450798</v>
      </c>
      <c r="F945">
        <v>1</v>
      </c>
      <c r="G945">
        <v>32.939165578000001</v>
      </c>
      <c r="H945">
        <v>0.227969869002555</v>
      </c>
      <c r="I945">
        <v>1</v>
      </c>
      <c r="J945">
        <v>0.318707236</v>
      </c>
      <c r="K945">
        <v>0.27990043741135501</v>
      </c>
      <c r="L945">
        <v>1</v>
      </c>
      <c r="M945">
        <v>592.18263844499995</v>
      </c>
      <c r="N945">
        <v>268007</v>
      </c>
      <c r="O945">
        <v>2.4003686686242501E-3</v>
      </c>
      <c r="P945">
        <v>0.21254104017394801</v>
      </c>
      <c r="Q945">
        <v>1</v>
      </c>
      <c r="R945">
        <v>228.04522979699999</v>
      </c>
      <c r="S945">
        <v>2968</v>
      </c>
      <c r="T945">
        <v>1.2877226134795599E-3</v>
      </c>
      <c r="U945">
        <v>2330</v>
      </c>
      <c r="V945">
        <v>0.21216616170219399</v>
      </c>
      <c r="W945">
        <v>1</v>
      </c>
      <c r="X945">
        <v>57.230263387000001</v>
      </c>
      <c r="Y945">
        <v>1</v>
      </c>
      <c r="Z945">
        <v>1.3054557500018699E-3</v>
      </c>
      <c r="AA945">
        <v>10</v>
      </c>
    </row>
    <row r="946" spans="1:27" x14ac:dyDescent="0.2">
      <c r="A946">
        <v>10</v>
      </c>
      <c r="B946">
        <v>1</v>
      </c>
      <c r="C946">
        <v>0.4</v>
      </c>
      <c r="D946">
        <v>100</v>
      </c>
      <c r="E946">
        <v>0.13346141470634601</v>
      </c>
      <c r="F946">
        <v>1</v>
      </c>
      <c r="G946">
        <v>32.498329529999999</v>
      </c>
      <c r="H946">
        <v>3.8411140953838803E-2</v>
      </c>
      <c r="I946">
        <v>1</v>
      </c>
      <c r="J946">
        <v>0.111493307</v>
      </c>
      <c r="K946">
        <v>3.8444917786426301E-2</v>
      </c>
      <c r="L946">
        <v>1</v>
      </c>
      <c r="M946">
        <v>1234.8605284600001</v>
      </c>
      <c r="N946">
        <v>509728</v>
      </c>
      <c r="O946">
        <v>1.7775792785279501E-3</v>
      </c>
      <c r="P946">
        <v>0.354008721561962</v>
      </c>
      <c r="Q946">
        <v>1</v>
      </c>
      <c r="R946">
        <v>198.51243115299999</v>
      </c>
      <c r="S946">
        <v>4144</v>
      </c>
      <c r="T946">
        <v>1.0634547663434201E-3</v>
      </c>
      <c r="U946">
        <v>3177</v>
      </c>
      <c r="V946">
        <v>0.143051171844156</v>
      </c>
      <c r="W946">
        <v>1</v>
      </c>
      <c r="X946">
        <v>1073.5047100669999</v>
      </c>
      <c r="Y946">
        <v>90818</v>
      </c>
      <c r="Z946">
        <v>8.7051124305106899E-4</v>
      </c>
      <c r="AA946">
        <v>20</v>
      </c>
    </row>
    <row r="947" spans="1:27" x14ac:dyDescent="0.2">
      <c r="A947">
        <v>10</v>
      </c>
      <c r="B947">
        <v>1</v>
      </c>
      <c r="C947">
        <v>0.4</v>
      </c>
      <c r="D947">
        <v>100</v>
      </c>
      <c r="E947">
        <v>0.10747348983015</v>
      </c>
      <c r="F947">
        <v>1</v>
      </c>
      <c r="G947">
        <v>31.610463758000002</v>
      </c>
      <c r="H947">
        <v>6.8558343626326401E-2</v>
      </c>
      <c r="I947">
        <v>1</v>
      </c>
      <c r="J947">
        <v>9.5115482000000001E-2</v>
      </c>
      <c r="K947">
        <v>6.6921499201137602E-2</v>
      </c>
      <c r="L947">
        <v>1</v>
      </c>
      <c r="M947">
        <v>3600.5126705470002</v>
      </c>
      <c r="N947">
        <v>753384</v>
      </c>
      <c r="O947">
        <v>3.81318492209636E-3</v>
      </c>
      <c r="P947">
        <v>0.21132185173757601</v>
      </c>
      <c r="Q947">
        <v>1</v>
      </c>
      <c r="R947">
        <v>234.48204419000001</v>
      </c>
      <c r="S947">
        <v>5692</v>
      </c>
      <c r="T947">
        <v>8.2572011777187705E-4</v>
      </c>
      <c r="U947">
        <v>3766</v>
      </c>
      <c r="V947">
        <v>0.10926018353754401</v>
      </c>
      <c r="W947">
        <v>1</v>
      </c>
      <c r="X947">
        <v>2701.268935137</v>
      </c>
      <c r="Y947">
        <v>89771</v>
      </c>
      <c r="Z947">
        <v>1.7174321819359E-3</v>
      </c>
      <c r="AA947">
        <v>20</v>
      </c>
    </row>
    <row r="948" spans="1:27" x14ac:dyDescent="0.2">
      <c r="A948">
        <v>10</v>
      </c>
      <c r="B948">
        <v>1</v>
      </c>
      <c r="C948">
        <v>0.2</v>
      </c>
      <c r="D948">
        <v>100</v>
      </c>
      <c r="E948">
        <v>0.42270746432700601</v>
      </c>
      <c r="F948">
        <v>1</v>
      </c>
      <c r="G948">
        <v>32.889403148</v>
      </c>
      <c r="H948">
        <v>0.29292181278826801</v>
      </c>
      <c r="I948">
        <v>1</v>
      </c>
      <c r="J948">
        <v>9.9851038000000003E-2</v>
      </c>
      <c r="K948">
        <v>0.30027403275731002</v>
      </c>
      <c r="L948">
        <v>1</v>
      </c>
      <c r="M948">
        <v>3600.9490417470001</v>
      </c>
      <c r="N948">
        <v>1196840</v>
      </c>
      <c r="O948">
        <v>2.5678233810140201E-3</v>
      </c>
      <c r="P948">
        <v>0.41476346496268501</v>
      </c>
      <c r="Q948">
        <v>1</v>
      </c>
      <c r="R948">
        <v>93.569728307000005</v>
      </c>
      <c r="S948">
        <v>1959</v>
      </c>
      <c r="T948">
        <v>3.3622687624602899E-4</v>
      </c>
      <c r="U948">
        <v>1592</v>
      </c>
      <c r="V948">
        <v>0.469255720417112</v>
      </c>
      <c r="W948">
        <v>1</v>
      </c>
      <c r="X948">
        <v>17.914892904999999</v>
      </c>
      <c r="Y948">
        <v>1</v>
      </c>
      <c r="Z948">
        <v>5.7177965221648299E-4</v>
      </c>
      <c r="AA948">
        <v>6</v>
      </c>
    </row>
    <row r="949" spans="1:27" x14ac:dyDescent="0.2">
      <c r="A949">
        <v>10</v>
      </c>
      <c r="B949">
        <v>1</v>
      </c>
      <c r="C949">
        <v>0.1</v>
      </c>
      <c r="D949">
        <v>100</v>
      </c>
      <c r="E949">
        <v>0.66380744170045702</v>
      </c>
      <c r="F949">
        <v>1</v>
      </c>
      <c r="G949">
        <v>32.607232504999999</v>
      </c>
      <c r="H949">
        <v>0.66406082690851098</v>
      </c>
      <c r="I949">
        <v>1</v>
      </c>
      <c r="J949">
        <v>4.0776589000000002E-2</v>
      </c>
      <c r="K949">
        <v>0.67274855936960398</v>
      </c>
      <c r="L949">
        <v>1</v>
      </c>
      <c r="M949">
        <v>3600.5032421350002</v>
      </c>
      <c r="N949">
        <v>961909</v>
      </c>
      <c r="O949">
        <v>1.9146348221815699E-3</v>
      </c>
      <c r="P949">
        <v>0.70657065793224705</v>
      </c>
      <c r="Q949">
        <v>1</v>
      </c>
      <c r="R949">
        <v>123.160401546</v>
      </c>
      <c r="S949">
        <v>2847</v>
      </c>
      <c r="T949" s="1">
        <v>1.0171625355639799E-5</v>
      </c>
      <c r="U949">
        <v>2489</v>
      </c>
      <c r="V949">
        <v>0.726342063212435</v>
      </c>
      <c r="W949">
        <v>1</v>
      </c>
      <c r="X949">
        <v>8.2398135789999998</v>
      </c>
      <c r="Y949">
        <v>6860</v>
      </c>
      <c r="Z949" s="1">
        <v>2.26571526695828E-5</v>
      </c>
      <c r="AA949">
        <v>1</v>
      </c>
    </row>
    <row r="950" spans="1:27" x14ac:dyDescent="0.2">
      <c r="A950">
        <v>10</v>
      </c>
      <c r="B950">
        <v>1</v>
      </c>
      <c r="C950">
        <v>0.3</v>
      </c>
      <c r="D950">
        <v>100</v>
      </c>
      <c r="E950">
        <v>0.34868984340118597</v>
      </c>
      <c r="F950">
        <v>1</v>
      </c>
      <c r="G950">
        <v>34.680598308</v>
      </c>
      <c r="H950">
        <v>0.181258920428569</v>
      </c>
      <c r="I950">
        <v>1</v>
      </c>
      <c r="J950">
        <v>0.14317147999999999</v>
      </c>
      <c r="K950">
        <v>0.167461653678908</v>
      </c>
      <c r="L950">
        <v>1</v>
      </c>
      <c r="M950">
        <v>3600.55240654</v>
      </c>
      <c r="N950">
        <v>558071</v>
      </c>
      <c r="O950">
        <v>1.10319818336068E-2</v>
      </c>
      <c r="P950">
        <v>0.58994885787678297</v>
      </c>
      <c r="Q950">
        <v>1</v>
      </c>
      <c r="R950">
        <v>134.21352753299999</v>
      </c>
      <c r="S950">
        <v>3193</v>
      </c>
      <c r="T950">
        <v>2.0379489483068799E-4</v>
      </c>
      <c r="U950">
        <v>2524</v>
      </c>
      <c r="V950">
        <v>0.23262000754404799</v>
      </c>
      <c r="W950">
        <v>1</v>
      </c>
      <c r="X950">
        <v>12.541567161</v>
      </c>
      <c r="Y950">
        <v>2173</v>
      </c>
      <c r="Z950">
        <v>2.9653573274854202E-4</v>
      </c>
      <c r="AA950">
        <v>1</v>
      </c>
    </row>
    <row r="951" spans="1:27" x14ac:dyDescent="0.2">
      <c r="A951">
        <v>10</v>
      </c>
      <c r="B951">
        <v>1</v>
      </c>
      <c r="C951">
        <v>0.3</v>
      </c>
      <c r="D951">
        <v>100</v>
      </c>
      <c r="E951">
        <v>0.33658172860345198</v>
      </c>
      <c r="F951">
        <v>1</v>
      </c>
      <c r="G951">
        <v>33.221827226999999</v>
      </c>
      <c r="H951">
        <v>0.15731044263505001</v>
      </c>
      <c r="I951">
        <v>1</v>
      </c>
      <c r="J951">
        <v>0.26335844600000002</v>
      </c>
      <c r="K951">
        <v>0.15307126788641501</v>
      </c>
      <c r="L951">
        <v>1</v>
      </c>
      <c r="M951">
        <v>3600.9053860049999</v>
      </c>
      <c r="N951">
        <v>798948</v>
      </c>
      <c r="O951">
        <v>2.2808039186514801E-3</v>
      </c>
      <c r="P951">
        <v>0.231445450037955</v>
      </c>
      <c r="Q951">
        <v>1</v>
      </c>
      <c r="R951">
        <v>146.97128998599999</v>
      </c>
      <c r="S951">
        <v>3082</v>
      </c>
      <c r="T951">
        <v>3.4512657424576299E-4</v>
      </c>
      <c r="U951">
        <v>2342</v>
      </c>
      <c r="V951">
        <v>0.16710307391687601</v>
      </c>
      <c r="W951">
        <v>1</v>
      </c>
      <c r="X951">
        <v>11.134805997000001</v>
      </c>
      <c r="Y951">
        <v>2266</v>
      </c>
      <c r="Z951">
        <v>4.1117854676497802E-4</v>
      </c>
      <c r="AA951">
        <v>1</v>
      </c>
    </row>
    <row r="952" spans="1:27" x14ac:dyDescent="0.2">
      <c r="A952">
        <v>10</v>
      </c>
      <c r="B952">
        <v>1</v>
      </c>
      <c r="C952">
        <v>0.1</v>
      </c>
      <c r="D952">
        <v>100</v>
      </c>
      <c r="E952">
        <v>0.97997698166763902</v>
      </c>
      <c r="F952">
        <v>1</v>
      </c>
      <c r="G952">
        <v>32.552357604000001</v>
      </c>
      <c r="H952">
        <v>0.97993306211551501</v>
      </c>
      <c r="I952">
        <v>1</v>
      </c>
      <c r="J952">
        <v>7.0955264000000004E-2</v>
      </c>
      <c r="K952">
        <v>0.92381739860183099</v>
      </c>
      <c r="L952">
        <v>1</v>
      </c>
      <c r="M952">
        <v>3600.5538694520001</v>
      </c>
      <c r="N952">
        <v>625794</v>
      </c>
      <c r="O952">
        <v>5.4841256108790698E-3</v>
      </c>
      <c r="P952">
        <v>1.06522029011506</v>
      </c>
      <c r="Q952">
        <v>1</v>
      </c>
      <c r="R952">
        <v>154.14410274400001</v>
      </c>
      <c r="S952">
        <v>2899</v>
      </c>
      <c r="T952" s="1">
        <v>5.7261540397854301E-6</v>
      </c>
      <c r="U952">
        <v>2804</v>
      </c>
      <c r="V952">
        <v>1.0665901860427101</v>
      </c>
      <c r="W952">
        <v>1</v>
      </c>
      <c r="X952">
        <v>8.8771330810000002</v>
      </c>
      <c r="Y952">
        <v>2651</v>
      </c>
      <c r="Z952" s="1">
        <v>1.7694786001104799E-5</v>
      </c>
      <c r="AA952">
        <v>1</v>
      </c>
    </row>
    <row r="953" spans="1:27" x14ac:dyDescent="0.2">
      <c r="A953">
        <v>10</v>
      </c>
      <c r="B953">
        <v>1</v>
      </c>
      <c r="C953">
        <v>0.3</v>
      </c>
      <c r="D953">
        <v>100</v>
      </c>
      <c r="E953">
        <v>0.84820124521378404</v>
      </c>
      <c r="F953">
        <v>1</v>
      </c>
      <c r="G953">
        <v>32.924088949000001</v>
      </c>
      <c r="H953">
        <v>0.84820124521378404</v>
      </c>
      <c r="I953">
        <v>1</v>
      </c>
      <c r="J953">
        <v>3.7474113000000003E-2</v>
      </c>
      <c r="K953">
        <v>1.39389878925797</v>
      </c>
      <c r="L953">
        <v>1</v>
      </c>
      <c r="M953">
        <v>3600.7657093879998</v>
      </c>
      <c r="N953">
        <v>672864</v>
      </c>
      <c r="O953">
        <v>3.23519270448358E-3</v>
      </c>
      <c r="P953">
        <v>1.3987819979331599</v>
      </c>
      <c r="Q953">
        <v>1</v>
      </c>
      <c r="R953">
        <v>156.00872435299999</v>
      </c>
      <c r="S953">
        <v>2113</v>
      </c>
      <c r="T953">
        <v>2.9745342642395402E-4</v>
      </c>
      <c r="U953">
        <v>2075</v>
      </c>
      <c r="V953">
        <v>1.3995934517551201</v>
      </c>
      <c r="W953">
        <v>1</v>
      </c>
      <c r="X953">
        <v>11.026637175999999</v>
      </c>
      <c r="Y953">
        <v>2361</v>
      </c>
      <c r="Z953" s="1">
        <v>1.14382125483702E-5</v>
      </c>
      <c r="AA953">
        <v>1</v>
      </c>
    </row>
    <row r="954" spans="1:27" x14ac:dyDescent="0.2">
      <c r="A954">
        <v>10</v>
      </c>
      <c r="B954">
        <v>1</v>
      </c>
      <c r="C954">
        <v>0.4</v>
      </c>
      <c r="D954">
        <v>100</v>
      </c>
      <c r="E954">
        <v>0.454700772756015</v>
      </c>
      <c r="F954">
        <v>1</v>
      </c>
      <c r="G954">
        <v>33.415890939000001</v>
      </c>
      <c r="H954">
        <v>0.387529903121826</v>
      </c>
      <c r="I954">
        <v>1</v>
      </c>
      <c r="J954">
        <v>8.6218204000000007E-2</v>
      </c>
      <c r="K954">
        <v>0.38741572233743798</v>
      </c>
      <c r="L954">
        <v>1</v>
      </c>
      <c r="M954">
        <v>3600.8041671330002</v>
      </c>
      <c r="N954">
        <v>895026</v>
      </c>
      <c r="O954">
        <v>5.0350844710251802E-3</v>
      </c>
      <c r="P954">
        <v>0.31937849276906399</v>
      </c>
      <c r="Q954">
        <v>1</v>
      </c>
      <c r="R954">
        <v>98.006986511999997</v>
      </c>
      <c r="S954">
        <v>1763</v>
      </c>
      <c r="T954">
        <v>1.90866389369845E-3</v>
      </c>
      <c r="U954">
        <v>1414</v>
      </c>
      <c r="V954">
        <v>0.32097621208863297</v>
      </c>
      <c r="W954">
        <v>1</v>
      </c>
      <c r="X954">
        <v>77.423683033000003</v>
      </c>
      <c r="Y954">
        <v>4770</v>
      </c>
      <c r="Z954">
        <v>1.30679533964481E-3</v>
      </c>
      <c r="AA954">
        <v>15</v>
      </c>
    </row>
    <row r="955" spans="1:27" x14ac:dyDescent="0.2">
      <c r="A955">
        <v>10</v>
      </c>
      <c r="B955">
        <v>1</v>
      </c>
      <c r="C955">
        <v>0.1</v>
      </c>
      <c r="D955">
        <v>100</v>
      </c>
      <c r="E955">
        <v>0.97332914457057995</v>
      </c>
      <c r="F955">
        <v>1</v>
      </c>
      <c r="G955">
        <v>35.296918445000003</v>
      </c>
      <c r="H955">
        <v>0.97332914585417996</v>
      </c>
      <c r="I955">
        <v>1</v>
      </c>
      <c r="J955">
        <v>4.3657605000000002E-2</v>
      </c>
      <c r="K955">
        <v>1.1774727688698501</v>
      </c>
      <c r="L955">
        <v>1</v>
      </c>
      <c r="M955">
        <v>3600.5405631439999</v>
      </c>
      <c r="N955">
        <v>593772</v>
      </c>
      <c r="O955">
        <v>4.4629944048997202E-3</v>
      </c>
      <c r="P955">
        <v>1.1323409823803301</v>
      </c>
      <c r="Q955">
        <v>1</v>
      </c>
      <c r="R955">
        <v>178.766114687</v>
      </c>
      <c r="S955">
        <v>3174</v>
      </c>
      <c r="T955" s="1">
        <v>5.2183145804289502E-7</v>
      </c>
      <c r="U955">
        <v>3173</v>
      </c>
      <c r="V955">
        <v>1.0998994791208101</v>
      </c>
      <c r="W955">
        <v>1</v>
      </c>
      <c r="X955">
        <v>5.9984067230000004</v>
      </c>
      <c r="Y955">
        <v>1607</v>
      </c>
      <c r="Z955" s="1">
        <v>9.0031606158882602E-6</v>
      </c>
      <c r="AA955">
        <v>1</v>
      </c>
    </row>
    <row r="956" spans="1:27" x14ac:dyDescent="0.2">
      <c r="A956">
        <v>10</v>
      </c>
      <c r="B956">
        <v>1</v>
      </c>
      <c r="C956">
        <v>0.2</v>
      </c>
      <c r="D956">
        <v>100</v>
      </c>
      <c r="E956">
        <v>0.94992518379296997</v>
      </c>
      <c r="F956">
        <v>1</v>
      </c>
      <c r="G956">
        <v>31.770193165999999</v>
      </c>
      <c r="H956">
        <v>0.94992518379298396</v>
      </c>
      <c r="I956">
        <v>1</v>
      </c>
      <c r="J956">
        <v>3.5922427E-2</v>
      </c>
      <c r="K956">
        <v>1.2647790354387201</v>
      </c>
      <c r="L956">
        <v>1</v>
      </c>
      <c r="M956">
        <v>3600.7461051760001</v>
      </c>
      <c r="N956">
        <v>742191</v>
      </c>
      <c r="O956">
        <v>1.04574896812597E-2</v>
      </c>
      <c r="P956">
        <v>0.69348796390799095</v>
      </c>
      <c r="Q956">
        <v>1</v>
      </c>
      <c r="R956">
        <v>201.79637385699999</v>
      </c>
      <c r="S956">
        <v>4088</v>
      </c>
      <c r="T956">
        <v>3.7548181484404997E-4</v>
      </c>
      <c r="U956">
        <v>3858</v>
      </c>
      <c r="V956">
        <v>0.59788509817282398</v>
      </c>
      <c r="W956">
        <v>1</v>
      </c>
      <c r="X956">
        <v>13.590773159999999</v>
      </c>
      <c r="Y956">
        <v>2559</v>
      </c>
      <c r="Z956">
        <v>2.7608367103984499E-4</v>
      </c>
      <c r="AA956">
        <v>1</v>
      </c>
    </row>
    <row r="957" spans="1:27" x14ac:dyDescent="0.2">
      <c r="A957">
        <v>10</v>
      </c>
      <c r="B957">
        <v>1</v>
      </c>
      <c r="C957">
        <v>0.2</v>
      </c>
      <c r="D957">
        <v>100</v>
      </c>
      <c r="E957">
        <v>0.82248442521422105</v>
      </c>
      <c r="F957">
        <v>1</v>
      </c>
      <c r="G957">
        <v>33.443233677999999</v>
      </c>
      <c r="H957">
        <v>0.81863221765411498</v>
      </c>
      <c r="I957">
        <v>1</v>
      </c>
      <c r="J957">
        <v>0.124436529</v>
      </c>
      <c r="K957">
        <v>1.17075701136263</v>
      </c>
      <c r="L957">
        <v>1</v>
      </c>
      <c r="M957">
        <v>3601.7681645849998</v>
      </c>
      <c r="N957">
        <v>594636</v>
      </c>
      <c r="O957">
        <v>6.32673394926897E-3</v>
      </c>
      <c r="P957">
        <v>0.56679898426387099</v>
      </c>
      <c r="Q957">
        <v>1</v>
      </c>
      <c r="R957">
        <v>158.99044179200001</v>
      </c>
      <c r="S957">
        <v>5255</v>
      </c>
      <c r="T957">
        <v>4.2477452801044997E-4</v>
      </c>
      <c r="U957">
        <v>4187</v>
      </c>
      <c r="V957">
        <v>0.58590348704504702</v>
      </c>
      <c r="W957">
        <v>1</v>
      </c>
      <c r="X957">
        <v>19.881393415000002</v>
      </c>
      <c r="Y957">
        <v>6251</v>
      </c>
      <c r="Z957">
        <v>3.8281832853905002E-4</v>
      </c>
      <c r="AA957">
        <v>1</v>
      </c>
    </row>
    <row r="958" spans="1:27" x14ac:dyDescent="0.2">
      <c r="A958">
        <v>10</v>
      </c>
      <c r="B958">
        <v>1</v>
      </c>
      <c r="C958">
        <v>0.1</v>
      </c>
      <c r="D958">
        <v>100</v>
      </c>
      <c r="E958">
        <v>0.95418493520648595</v>
      </c>
      <c r="F958">
        <v>1</v>
      </c>
      <c r="G958">
        <v>33.093889081999997</v>
      </c>
      <c r="H958">
        <v>0.95418496678752596</v>
      </c>
      <c r="I958">
        <v>1</v>
      </c>
      <c r="J958">
        <v>3.8596564E-2</v>
      </c>
      <c r="K958">
        <v>0.91132960098761695</v>
      </c>
      <c r="L958">
        <v>1</v>
      </c>
      <c r="M958">
        <v>3601.328428623</v>
      </c>
      <c r="N958">
        <v>794734</v>
      </c>
      <c r="O958">
        <v>2.4451965079270699E-3</v>
      </c>
      <c r="P958">
        <v>1.04229803565108</v>
      </c>
      <c r="Q958">
        <v>1</v>
      </c>
      <c r="R958">
        <v>255.700815613</v>
      </c>
      <c r="S958">
        <v>4894</v>
      </c>
      <c r="T958" s="1">
        <v>3.0161952271554001E-7</v>
      </c>
      <c r="U958">
        <v>4866</v>
      </c>
      <c r="V958">
        <v>1.0815604901614899</v>
      </c>
      <c r="W958">
        <v>1</v>
      </c>
      <c r="X958">
        <v>5.9584053399999997</v>
      </c>
      <c r="Y958">
        <v>1531</v>
      </c>
      <c r="Z958" s="1">
        <v>4.9232742571243801E-6</v>
      </c>
      <c r="AA958">
        <v>1</v>
      </c>
    </row>
    <row r="959" spans="1:27" x14ac:dyDescent="0.2">
      <c r="A959">
        <v>10</v>
      </c>
      <c r="B959">
        <v>1</v>
      </c>
      <c r="C959">
        <v>0.1</v>
      </c>
      <c r="D959">
        <v>100</v>
      </c>
      <c r="E959">
        <v>0.96825874124968703</v>
      </c>
      <c r="F959">
        <v>1</v>
      </c>
      <c r="G959">
        <v>33.794380199999999</v>
      </c>
      <c r="H959">
        <v>0.96825875671904105</v>
      </c>
      <c r="I959">
        <v>1</v>
      </c>
      <c r="J959">
        <v>3.9234573000000002E-2</v>
      </c>
      <c r="K959">
        <v>1.0779476860755901</v>
      </c>
      <c r="L959">
        <v>1</v>
      </c>
      <c r="M959">
        <v>3600.845310744</v>
      </c>
      <c r="N959">
        <v>454830</v>
      </c>
      <c r="O959">
        <v>7.7867001284510603E-3</v>
      </c>
      <c r="P959">
        <v>0.89261305594785201</v>
      </c>
      <c r="Q959">
        <v>1</v>
      </c>
      <c r="R959">
        <v>190.76620840699999</v>
      </c>
      <c r="S959">
        <v>3460</v>
      </c>
      <c r="T959" s="1">
        <v>8.4303189191099401E-5</v>
      </c>
      <c r="U959">
        <v>2753</v>
      </c>
      <c r="V959">
        <v>1.06115994729667</v>
      </c>
      <c r="W959">
        <v>1</v>
      </c>
      <c r="X959">
        <v>11.928003209</v>
      </c>
      <c r="Y959">
        <v>5604</v>
      </c>
      <c r="Z959" s="1">
        <v>8.9578728208633898E-5</v>
      </c>
      <c r="AA959">
        <v>1</v>
      </c>
    </row>
    <row r="960" spans="1:27" x14ac:dyDescent="0.2">
      <c r="A960">
        <v>10</v>
      </c>
      <c r="B960">
        <v>1</v>
      </c>
      <c r="C960">
        <v>0.3</v>
      </c>
      <c r="D960">
        <v>100</v>
      </c>
      <c r="E960">
        <v>0.75657389608464598</v>
      </c>
      <c r="F960">
        <v>1</v>
      </c>
      <c r="G960">
        <v>33.710029634000001</v>
      </c>
      <c r="H960">
        <v>0.71005530420177099</v>
      </c>
      <c r="I960">
        <v>1</v>
      </c>
      <c r="J960">
        <v>0.205391139</v>
      </c>
      <c r="K960">
        <v>1.1790469836025701</v>
      </c>
      <c r="L960">
        <v>1</v>
      </c>
      <c r="M960">
        <v>3600.8076905190001</v>
      </c>
      <c r="N960">
        <v>483341</v>
      </c>
      <c r="O960">
        <v>3.6573928079020497E-2</v>
      </c>
      <c r="P960">
        <v>1.1836950814010301</v>
      </c>
      <c r="Q960">
        <v>1</v>
      </c>
      <c r="R960">
        <v>316.08633886699999</v>
      </c>
      <c r="S960">
        <v>4713</v>
      </c>
      <c r="T960">
        <v>2.9535553608294601E-4</v>
      </c>
      <c r="U960">
        <v>4126</v>
      </c>
      <c r="V960">
        <v>0.36838486969433898</v>
      </c>
      <c r="W960">
        <v>1</v>
      </c>
      <c r="X960">
        <v>30.794336201</v>
      </c>
      <c r="Y960">
        <v>9784</v>
      </c>
      <c r="Z960">
        <v>4.2232469372153997E-4</v>
      </c>
      <c r="AA960">
        <v>1</v>
      </c>
    </row>
    <row r="961" spans="1:27" x14ac:dyDescent="0.2">
      <c r="A961">
        <v>10</v>
      </c>
      <c r="B961">
        <v>1</v>
      </c>
      <c r="C961">
        <v>0.3</v>
      </c>
      <c r="D961">
        <v>100</v>
      </c>
      <c r="E961">
        <v>0.14185118863745499</v>
      </c>
      <c r="F961">
        <v>1</v>
      </c>
      <c r="G961">
        <v>32.786252075999997</v>
      </c>
      <c r="H961">
        <v>4.8131559818062698E-2</v>
      </c>
      <c r="I961">
        <v>1</v>
      </c>
      <c r="J961">
        <v>0.18846221399999999</v>
      </c>
      <c r="K961">
        <v>4.42744691319161E-2</v>
      </c>
      <c r="L961">
        <v>1</v>
      </c>
      <c r="M961">
        <v>3601.3402663699999</v>
      </c>
      <c r="N961">
        <v>637855</v>
      </c>
      <c r="O961">
        <v>3.5200680494487102E-3</v>
      </c>
      <c r="P961">
        <v>6.9201162740829103E-2</v>
      </c>
      <c r="Q961">
        <v>1</v>
      </c>
      <c r="R961">
        <v>452.40298275399999</v>
      </c>
      <c r="S961">
        <v>14949</v>
      </c>
      <c r="T961">
        <v>5.2386175812936498E-4</v>
      </c>
      <c r="U961">
        <v>8674</v>
      </c>
      <c r="V961">
        <v>7.4323204110627303E-2</v>
      </c>
      <c r="W961">
        <v>1</v>
      </c>
      <c r="X961">
        <v>79.981491679000001</v>
      </c>
      <c r="Y961">
        <v>17392</v>
      </c>
      <c r="Z961">
        <v>7.0101934793023702E-4</v>
      </c>
      <c r="AA961">
        <v>8</v>
      </c>
    </row>
    <row r="962" spans="1:27" x14ac:dyDescent="0.2">
      <c r="A962">
        <v>10</v>
      </c>
      <c r="B962">
        <v>1</v>
      </c>
      <c r="C962">
        <v>0.1</v>
      </c>
      <c r="D962">
        <v>100</v>
      </c>
      <c r="E962">
        <v>0.89096577056821802</v>
      </c>
      <c r="F962">
        <v>1</v>
      </c>
      <c r="G962">
        <v>34.094714347999997</v>
      </c>
      <c r="H962">
        <v>0.890804701754775</v>
      </c>
      <c r="I962">
        <v>1</v>
      </c>
      <c r="J962">
        <v>8.1787993000000003E-2</v>
      </c>
      <c r="K962">
        <v>0.89583331740174998</v>
      </c>
      <c r="L962">
        <v>1</v>
      </c>
      <c r="M962">
        <v>3600.5737550809999</v>
      </c>
      <c r="N962">
        <v>1169713</v>
      </c>
      <c r="O962">
        <v>1.00201514511333E-3</v>
      </c>
      <c r="P962">
        <v>0.89700818426748996</v>
      </c>
      <c r="Q962">
        <v>1</v>
      </c>
      <c r="R962">
        <v>102.318760662</v>
      </c>
      <c r="S962">
        <v>2026</v>
      </c>
      <c r="T962" s="1">
        <v>1.8197053764443502E-5</v>
      </c>
      <c r="U962">
        <v>1777</v>
      </c>
      <c r="V962">
        <v>0.89824665703082496</v>
      </c>
      <c r="W962">
        <v>1</v>
      </c>
      <c r="X962">
        <v>7.2506580730000003</v>
      </c>
      <c r="Y962">
        <v>1558</v>
      </c>
      <c r="Z962" s="1">
        <v>8.3777788312581995E-5</v>
      </c>
      <c r="AA962">
        <v>1</v>
      </c>
    </row>
    <row r="963" spans="1:27" x14ac:dyDescent="0.2">
      <c r="A963">
        <v>10</v>
      </c>
      <c r="B963">
        <v>1</v>
      </c>
      <c r="C963">
        <v>0.2</v>
      </c>
      <c r="D963">
        <v>100</v>
      </c>
      <c r="E963">
        <v>0.52954090682195798</v>
      </c>
      <c r="F963">
        <v>1</v>
      </c>
      <c r="G963">
        <v>33.986191507000001</v>
      </c>
      <c r="H963">
        <v>0.44557923526732801</v>
      </c>
      <c r="I963">
        <v>1</v>
      </c>
      <c r="J963">
        <v>0.32414846899999999</v>
      </c>
      <c r="K963">
        <v>0.44758253591388703</v>
      </c>
      <c r="L963">
        <v>1</v>
      </c>
      <c r="M963">
        <v>3600.9754540280001</v>
      </c>
      <c r="N963">
        <v>960507</v>
      </c>
      <c r="O963">
        <v>1.8639885892310899E-3</v>
      </c>
      <c r="P963">
        <v>0.41124860657582601</v>
      </c>
      <c r="Q963">
        <v>1</v>
      </c>
      <c r="R963">
        <v>563.93710318299998</v>
      </c>
      <c r="S963">
        <v>18013</v>
      </c>
      <c r="T963">
        <v>3.30944070881807E-4</v>
      </c>
      <c r="U963">
        <v>10669</v>
      </c>
      <c r="V963">
        <v>0.59437939705929799</v>
      </c>
      <c r="W963">
        <v>1</v>
      </c>
      <c r="X963">
        <v>165.860696284</v>
      </c>
      <c r="Y963">
        <v>39366</v>
      </c>
      <c r="Z963">
        <v>5.6348093388736804E-4</v>
      </c>
      <c r="AA963">
        <v>6</v>
      </c>
    </row>
    <row r="964" spans="1:27" x14ac:dyDescent="0.2">
      <c r="A964">
        <v>10</v>
      </c>
      <c r="B964">
        <v>1</v>
      </c>
      <c r="C964">
        <v>0.4</v>
      </c>
      <c r="D964">
        <v>100</v>
      </c>
      <c r="E964">
        <v>3.5207248569755302E-2</v>
      </c>
      <c r="F964">
        <v>1</v>
      </c>
      <c r="G964">
        <v>34.679043200999999</v>
      </c>
      <c r="H964">
        <v>1.9473106210373899E-2</v>
      </c>
      <c r="I964">
        <v>1</v>
      </c>
      <c r="J964">
        <v>8.6617239999999998E-2</v>
      </c>
      <c r="K964">
        <v>1.9451520110236799E-2</v>
      </c>
      <c r="L964">
        <v>1</v>
      </c>
      <c r="M964">
        <v>2502.671423621</v>
      </c>
      <c r="N964">
        <v>865320</v>
      </c>
      <c r="O964">
        <v>4.2004358499028102E-3</v>
      </c>
      <c r="P964">
        <v>1.6208751486083001E-2</v>
      </c>
      <c r="Q964">
        <v>1</v>
      </c>
      <c r="R964">
        <v>23.998205054</v>
      </c>
      <c r="S964">
        <v>1</v>
      </c>
      <c r="T964">
        <v>1.9545035322171499E-3</v>
      </c>
      <c r="U964">
        <v>4</v>
      </c>
      <c r="V964">
        <v>1.6208751500081098E-2</v>
      </c>
      <c r="W964">
        <v>1</v>
      </c>
      <c r="X964">
        <v>8.1293002370000007</v>
      </c>
      <c r="Y964">
        <v>1</v>
      </c>
      <c r="Z964">
        <v>4.0697036800945103E-3</v>
      </c>
      <c r="AA964">
        <v>1</v>
      </c>
    </row>
    <row r="965" spans="1:27" x14ac:dyDescent="0.2">
      <c r="A965">
        <v>10</v>
      </c>
      <c r="B965">
        <v>1</v>
      </c>
      <c r="C965">
        <v>0.1</v>
      </c>
      <c r="D965">
        <v>100</v>
      </c>
      <c r="E965">
        <v>0.90940406668387996</v>
      </c>
      <c r="F965">
        <v>1</v>
      </c>
      <c r="G965">
        <v>31.796678980999999</v>
      </c>
      <c r="H965">
        <v>0.90940406668387996</v>
      </c>
      <c r="I965">
        <v>1</v>
      </c>
      <c r="J965">
        <v>3.9341674E-2</v>
      </c>
      <c r="K965">
        <v>0.91940039619487701</v>
      </c>
      <c r="L965">
        <v>1</v>
      </c>
      <c r="M965">
        <v>3600.520251077</v>
      </c>
      <c r="N965">
        <v>721384</v>
      </c>
      <c r="O965">
        <v>3.6739252819942901E-3</v>
      </c>
      <c r="P965">
        <v>1.1146192953788301</v>
      </c>
      <c r="Q965">
        <v>1</v>
      </c>
      <c r="R965">
        <v>94.326770719999999</v>
      </c>
      <c r="S965">
        <v>1508</v>
      </c>
      <c r="T965" s="1">
        <v>7.7525624288289596E-6</v>
      </c>
      <c r="U965">
        <v>1509</v>
      </c>
      <c r="V965">
        <v>0.72141841147565899</v>
      </c>
      <c r="W965">
        <v>1</v>
      </c>
      <c r="X965">
        <v>5.6662846269999996</v>
      </c>
      <c r="Y965">
        <v>1864</v>
      </c>
      <c r="Z965" s="1">
        <v>1.03484767825443E-6</v>
      </c>
      <c r="AA965">
        <v>1</v>
      </c>
    </row>
    <row r="966" spans="1:27" x14ac:dyDescent="0.2">
      <c r="A966">
        <v>10</v>
      </c>
      <c r="B966">
        <v>1</v>
      </c>
      <c r="C966">
        <v>0.2</v>
      </c>
      <c r="D966">
        <v>100</v>
      </c>
      <c r="E966">
        <v>0.54644581190410002</v>
      </c>
      <c r="F966">
        <v>1</v>
      </c>
      <c r="G966">
        <v>33.519885060999997</v>
      </c>
      <c r="H966">
        <v>0.54546563817529004</v>
      </c>
      <c r="I966">
        <v>1</v>
      </c>
      <c r="J966">
        <v>4.8541593000000001E-2</v>
      </c>
      <c r="K966">
        <v>0.74145470706107197</v>
      </c>
      <c r="L966">
        <v>1</v>
      </c>
      <c r="M966">
        <v>3601.2041183259998</v>
      </c>
      <c r="N966">
        <v>900134</v>
      </c>
      <c r="O966">
        <v>2.8752592467959901E-3</v>
      </c>
      <c r="P966">
        <v>0.45580563565093501</v>
      </c>
      <c r="Q966">
        <v>1</v>
      </c>
      <c r="R966">
        <v>175.573762018</v>
      </c>
      <c r="S966">
        <v>2527</v>
      </c>
      <c r="T966">
        <v>1.14454460018592E-4</v>
      </c>
      <c r="U966">
        <v>2377</v>
      </c>
      <c r="V966">
        <v>0.45669649171330001</v>
      </c>
      <c r="W966">
        <v>1</v>
      </c>
      <c r="X966">
        <v>8.1498698380000008</v>
      </c>
      <c r="Y966">
        <v>1298</v>
      </c>
      <c r="Z966">
        <v>2.1440802081491801E-4</v>
      </c>
      <c r="AA966">
        <v>1</v>
      </c>
    </row>
    <row r="967" spans="1:27" x14ac:dyDescent="0.2">
      <c r="A967">
        <v>10</v>
      </c>
      <c r="B967">
        <v>1</v>
      </c>
      <c r="C967">
        <v>0.3</v>
      </c>
      <c r="D967">
        <v>100</v>
      </c>
      <c r="E967">
        <v>0.41200769367826701</v>
      </c>
      <c r="F967">
        <v>1</v>
      </c>
      <c r="G967">
        <v>33.529905605000003</v>
      </c>
      <c r="H967">
        <v>0.26218578939626602</v>
      </c>
      <c r="I967">
        <v>1</v>
      </c>
      <c r="J967">
        <v>0.406554054</v>
      </c>
      <c r="K967">
        <v>0.26341860832260799</v>
      </c>
      <c r="L967">
        <v>1</v>
      </c>
      <c r="M967">
        <v>3600.7358666559999</v>
      </c>
      <c r="N967">
        <v>545115</v>
      </c>
      <c r="O967">
        <v>1.7890332531429399E-2</v>
      </c>
      <c r="P967">
        <v>0.48368780547832702</v>
      </c>
      <c r="Q967">
        <v>1</v>
      </c>
      <c r="R967">
        <v>74.009225951000005</v>
      </c>
      <c r="S967">
        <v>2702</v>
      </c>
      <c r="T967">
        <v>2.23457505380172E-3</v>
      </c>
      <c r="U967">
        <v>1951</v>
      </c>
      <c r="V967">
        <v>0.34802380702332802</v>
      </c>
      <c r="W967">
        <v>1</v>
      </c>
      <c r="X967">
        <v>910.312063126</v>
      </c>
      <c r="Y967">
        <v>56870</v>
      </c>
      <c r="Z967">
        <v>1.1224133920102401E-3</v>
      </c>
      <c r="AA967">
        <v>20</v>
      </c>
    </row>
    <row r="968" spans="1:27" x14ac:dyDescent="0.2">
      <c r="A968">
        <v>10</v>
      </c>
      <c r="B968">
        <v>1</v>
      </c>
      <c r="C968">
        <v>0.4</v>
      </c>
      <c r="D968">
        <v>100</v>
      </c>
      <c r="E968">
        <v>0.30949162856204299</v>
      </c>
      <c r="F968">
        <v>1</v>
      </c>
      <c r="G968">
        <v>32.805564353000001</v>
      </c>
      <c r="H968">
        <v>0.29076506544374597</v>
      </c>
      <c r="I968">
        <v>1</v>
      </c>
      <c r="J968">
        <v>5.1806078999999998E-2</v>
      </c>
      <c r="K968">
        <v>0.29177249821694301</v>
      </c>
      <c r="L968">
        <v>1</v>
      </c>
      <c r="M968">
        <v>3601.0489600790002</v>
      </c>
      <c r="N968">
        <v>872033</v>
      </c>
      <c r="O968">
        <v>2.7275921216247602E-3</v>
      </c>
      <c r="P968">
        <v>0.338781632748057</v>
      </c>
      <c r="Q968">
        <v>1</v>
      </c>
      <c r="R968">
        <v>63.911378702</v>
      </c>
      <c r="S968">
        <v>1310</v>
      </c>
      <c r="T968">
        <v>8.0962661459842101E-4</v>
      </c>
      <c r="U968">
        <v>939</v>
      </c>
      <c r="V968">
        <v>0.29034688954370103</v>
      </c>
      <c r="W968">
        <v>1</v>
      </c>
      <c r="X968">
        <v>7.2972323389999998</v>
      </c>
      <c r="Y968">
        <v>1</v>
      </c>
      <c r="Z968">
        <v>9.3127701190270896E-4</v>
      </c>
      <c r="AA968">
        <v>1</v>
      </c>
    </row>
    <row r="969" spans="1:27" x14ac:dyDescent="0.2">
      <c r="A969">
        <v>10</v>
      </c>
      <c r="B969">
        <v>1</v>
      </c>
      <c r="C969">
        <v>0.3</v>
      </c>
      <c r="D969">
        <v>100</v>
      </c>
      <c r="E969">
        <v>0.39482901463200998</v>
      </c>
      <c r="F969">
        <v>1</v>
      </c>
      <c r="G969">
        <v>29.687175971999999</v>
      </c>
      <c r="H969">
        <v>0.39693022454154803</v>
      </c>
      <c r="I969">
        <v>1</v>
      </c>
      <c r="J969">
        <v>7.0682354000000003E-2</v>
      </c>
      <c r="K969">
        <v>0.39703700408610298</v>
      </c>
      <c r="L969">
        <v>1</v>
      </c>
      <c r="M969">
        <v>3600.9263010509999</v>
      </c>
      <c r="N969">
        <v>1061124</v>
      </c>
      <c r="O969">
        <v>1.37874618466682E-3</v>
      </c>
      <c r="P969">
        <v>0.42505881001184698</v>
      </c>
      <c r="Q969">
        <v>1</v>
      </c>
      <c r="R969">
        <v>140.92155099999999</v>
      </c>
      <c r="S969">
        <v>3385</v>
      </c>
      <c r="T969">
        <v>1.08352181205248E-3</v>
      </c>
      <c r="U969">
        <v>2490</v>
      </c>
      <c r="V969">
        <v>0.40805952099146198</v>
      </c>
      <c r="W969">
        <v>1</v>
      </c>
      <c r="X969">
        <v>563.34294371199996</v>
      </c>
      <c r="Y969">
        <v>39383</v>
      </c>
      <c r="Z969">
        <v>5.18666938012071E-4</v>
      </c>
      <c r="AA969">
        <v>20</v>
      </c>
    </row>
    <row r="970" spans="1:27" x14ac:dyDescent="0.2">
      <c r="A970">
        <v>10</v>
      </c>
      <c r="B970">
        <v>1</v>
      </c>
      <c r="C970">
        <v>0.3</v>
      </c>
      <c r="D970">
        <v>100</v>
      </c>
      <c r="E970">
        <v>0.18465400318959399</v>
      </c>
      <c r="F970">
        <v>1</v>
      </c>
      <c r="G970">
        <v>31.766718723</v>
      </c>
      <c r="H970">
        <v>0.114048647387663</v>
      </c>
      <c r="I970">
        <v>1</v>
      </c>
      <c r="J970">
        <v>0.250936135</v>
      </c>
      <c r="K970">
        <v>0.113667515780612</v>
      </c>
      <c r="L970">
        <v>1</v>
      </c>
      <c r="M970">
        <v>3600.8184349960002</v>
      </c>
      <c r="N970">
        <v>772750</v>
      </c>
      <c r="O970">
        <v>3.00872856150569E-3</v>
      </c>
      <c r="P970">
        <v>0.33699624713621201</v>
      </c>
      <c r="Q970">
        <v>1</v>
      </c>
      <c r="R970">
        <v>170.93599803199999</v>
      </c>
      <c r="S970">
        <v>4720</v>
      </c>
      <c r="T970">
        <v>8.0845939643928101E-4</v>
      </c>
      <c r="U970">
        <v>3228</v>
      </c>
      <c r="V970">
        <v>0.29381483147325999</v>
      </c>
      <c r="W970">
        <v>1</v>
      </c>
      <c r="X970">
        <v>1136.4207851860001</v>
      </c>
      <c r="Y970">
        <v>179069</v>
      </c>
      <c r="Z970">
        <v>4.41585509116812E-4</v>
      </c>
      <c r="AA970">
        <v>20</v>
      </c>
    </row>
    <row r="971" spans="1:27" x14ac:dyDescent="0.2">
      <c r="A971">
        <v>10</v>
      </c>
      <c r="B971">
        <v>1</v>
      </c>
      <c r="C971">
        <v>0.2</v>
      </c>
      <c r="D971">
        <v>100</v>
      </c>
      <c r="E971">
        <v>0.72571589475959297</v>
      </c>
      <c r="F971">
        <v>1</v>
      </c>
      <c r="G971">
        <v>32.368215069000001</v>
      </c>
      <c r="H971">
        <v>0.65754920676409601</v>
      </c>
      <c r="I971">
        <v>1</v>
      </c>
      <c r="J971">
        <v>0.25878952599999999</v>
      </c>
      <c r="K971">
        <v>0.65719991372306097</v>
      </c>
      <c r="L971">
        <v>1</v>
      </c>
      <c r="M971">
        <v>3600.6223844269998</v>
      </c>
      <c r="N971">
        <v>1204670</v>
      </c>
      <c r="O971">
        <v>9.6714894928418005E-4</v>
      </c>
      <c r="P971">
        <v>0.71080940967595396</v>
      </c>
      <c r="Q971">
        <v>1</v>
      </c>
      <c r="R971">
        <v>290.19109437399999</v>
      </c>
      <c r="S971">
        <v>9428</v>
      </c>
      <c r="T971">
        <v>5.8150090332121502E-4</v>
      </c>
      <c r="U971">
        <v>5965</v>
      </c>
      <c r="V971">
        <v>0.66690151782181295</v>
      </c>
      <c r="W971">
        <v>1</v>
      </c>
      <c r="X971">
        <v>1131.960861626</v>
      </c>
      <c r="Y971">
        <v>173479</v>
      </c>
      <c r="Z971">
        <v>3.0601667465653099E-4</v>
      </c>
      <c r="AA971">
        <v>20</v>
      </c>
    </row>
    <row r="972" spans="1:27" x14ac:dyDescent="0.2">
      <c r="A972">
        <v>10</v>
      </c>
      <c r="B972">
        <v>1</v>
      </c>
      <c r="C972">
        <v>0.1</v>
      </c>
      <c r="D972">
        <v>100</v>
      </c>
      <c r="E972">
        <v>0.94339319483773698</v>
      </c>
      <c r="F972">
        <v>1</v>
      </c>
      <c r="G972">
        <v>33.125647377999996</v>
      </c>
      <c r="H972">
        <v>0.934561473491615</v>
      </c>
      <c r="I972">
        <v>1</v>
      </c>
      <c r="J972">
        <v>6.3259656999999997E-2</v>
      </c>
      <c r="K972">
        <v>1.2238941167756301</v>
      </c>
      <c r="L972">
        <v>1</v>
      </c>
      <c r="M972">
        <v>3600.712851237</v>
      </c>
      <c r="N972">
        <v>981591</v>
      </c>
      <c r="O972">
        <v>4.2425636361675904E-3</v>
      </c>
      <c r="P972">
        <v>0.77805550355582698</v>
      </c>
      <c r="Q972">
        <v>1</v>
      </c>
      <c r="R972">
        <v>91.708408637999995</v>
      </c>
      <c r="S972">
        <v>1759</v>
      </c>
      <c r="T972" s="1">
        <v>1.27856714173674E-6</v>
      </c>
      <c r="U972">
        <v>1764</v>
      </c>
      <c r="V972">
        <v>0.67098738864243102</v>
      </c>
      <c r="W972">
        <v>1</v>
      </c>
      <c r="X972">
        <v>6.4187234640000002</v>
      </c>
      <c r="Y972">
        <v>1555</v>
      </c>
      <c r="Z972" s="1">
        <v>3.4415593267320099E-5</v>
      </c>
      <c r="AA972">
        <v>1</v>
      </c>
    </row>
    <row r="973" spans="1:27" x14ac:dyDescent="0.2">
      <c r="A973">
        <v>10</v>
      </c>
      <c r="B973">
        <v>1</v>
      </c>
      <c r="C973">
        <v>0.2</v>
      </c>
      <c r="D973">
        <v>100</v>
      </c>
      <c r="E973">
        <v>0.67914997718163195</v>
      </c>
      <c r="F973">
        <v>1</v>
      </c>
      <c r="G973">
        <v>34.542201794999997</v>
      </c>
      <c r="H973">
        <v>0.67249128728986196</v>
      </c>
      <c r="I973">
        <v>1</v>
      </c>
      <c r="J973">
        <v>0.100811858</v>
      </c>
      <c r="K973">
        <v>0.67435399161520704</v>
      </c>
      <c r="L973">
        <v>1</v>
      </c>
      <c r="M973">
        <v>3601.8932724269998</v>
      </c>
      <c r="N973">
        <v>780944</v>
      </c>
      <c r="O973">
        <v>3.3399124497026601E-3</v>
      </c>
      <c r="P973">
        <v>0.69585705847934198</v>
      </c>
      <c r="Q973">
        <v>1</v>
      </c>
      <c r="R973">
        <v>110.724107731</v>
      </c>
      <c r="S973">
        <v>2054</v>
      </c>
      <c r="T973" s="1">
        <v>4.9868459424860701E-5</v>
      </c>
      <c r="U973">
        <v>1909</v>
      </c>
      <c r="V973">
        <v>0.68411060643021704</v>
      </c>
      <c r="W973">
        <v>1</v>
      </c>
      <c r="X973">
        <v>10.032306388</v>
      </c>
      <c r="Y973">
        <v>3895</v>
      </c>
      <c r="Z973" s="1">
        <v>8.5238815327333005E-5</v>
      </c>
      <c r="AA973">
        <v>1</v>
      </c>
    </row>
    <row r="974" spans="1:27" x14ac:dyDescent="0.2">
      <c r="A974">
        <v>10</v>
      </c>
      <c r="B974">
        <v>1</v>
      </c>
      <c r="C974">
        <v>0.1</v>
      </c>
      <c r="D974">
        <v>100</v>
      </c>
      <c r="E974">
        <v>0.95256988731563397</v>
      </c>
      <c r="F974">
        <v>1</v>
      </c>
      <c r="G974">
        <v>31.184198548000001</v>
      </c>
      <c r="H974">
        <v>0.95252774268777496</v>
      </c>
      <c r="I974">
        <v>1</v>
      </c>
      <c r="J974">
        <v>3.5773736E-2</v>
      </c>
      <c r="K974">
        <v>1.1230402042051999</v>
      </c>
      <c r="L974">
        <v>1</v>
      </c>
      <c r="M974">
        <v>3600.465157226</v>
      </c>
      <c r="N974">
        <v>1460689</v>
      </c>
      <c r="O974">
        <v>8.1552730193212798E-4</v>
      </c>
      <c r="P974">
        <v>1.0872943532933199</v>
      </c>
      <c r="Q974">
        <v>1</v>
      </c>
      <c r="R974">
        <v>128.864587454</v>
      </c>
      <c r="S974">
        <v>2774</v>
      </c>
      <c r="T974" s="1">
        <v>3.2949532007817099E-5</v>
      </c>
      <c r="U974">
        <v>2723</v>
      </c>
      <c r="V974">
        <v>0.84397754736324804</v>
      </c>
      <c r="W974">
        <v>1</v>
      </c>
      <c r="X974">
        <v>5.2852845390000001</v>
      </c>
      <c r="Y974">
        <v>1375</v>
      </c>
      <c r="Z974" s="1">
        <v>5.1941943297169301E-5</v>
      </c>
      <c r="AA974">
        <v>1</v>
      </c>
    </row>
    <row r="975" spans="1:27" x14ac:dyDescent="0.2">
      <c r="A975">
        <v>10</v>
      </c>
      <c r="B975">
        <v>1</v>
      </c>
      <c r="C975">
        <v>0.4</v>
      </c>
      <c r="D975">
        <v>100</v>
      </c>
      <c r="E975">
        <v>3.39727598153967E-2</v>
      </c>
      <c r="F975">
        <v>1</v>
      </c>
      <c r="G975">
        <v>31.569231027000001</v>
      </c>
      <c r="H975">
        <v>3.4270906889675198E-2</v>
      </c>
      <c r="I975">
        <v>1</v>
      </c>
      <c r="J975">
        <v>4.0696010999999997E-2</v>
      </c>
      <c r="K975">
        <v>3.4407647647939403E-2</v>
      </c>
      <c r="L975">
        <v>1</v>
      </c>
      <c r="M975">
        <v>3600.5070025320001</v>
      </c>
      <c r="N975">
        <v>1107523</v>
      </c>
      <c r="O975">
        <v>3.3007800868389798E-4</v>
      </c>
      <c r="P975">
        <v>0.10292064245565299</v>
      </c>
      <c r="Q975">
        <v>1</v>
      </c>
      <c r="R975">
        <v>132.42110980000001</v>
      </c>
      <c r="S975">
        <v>3572</v>
      </c>
      <c r="T975">
        <v>2.0724996556315599E-4</v>
      </c>
      <c r="U975">
        <v>2472</v>
      </c>
      <c r="V975">
        <v>2.9379965909610999E-2</v>
      </c>
      <c r="W975">
        <v>1</v>
      </c>
      <c r="X975">
        <v>6.3536076660000003</v>
      </c>
      <c r="Y975">
        <v>936</v>
      </c>
      <c r="Z975">
        <v>3.1666562545505601E-4</v>
      </c>
      <c r="AA975">
        <v>1</v>
      </c>
    </row>
    <row r="976" spans="1:27" x14ac:dyDescent="0.2">
      <c r="A976">
        <v>10</v>
      </c>
      <c r="B976">
        <v>1</v>
      </c>
      <c r="C976">
        <v>0.4</v>
      </c>
      <c r="D976">
        <v>100</v>
      </c>
      <c r="E976">
        <v>9.2477798926358698E-2</v>
      </c>
      <c r="F976">
        <v>1</v>
      </c>
      <c r="G976">
        <v>34.316277898999999</v>
      </c>
      <c r="H976">
        <v>3.1717844420158098E-2</v>
      </c>
      <c r="I976">
        <v>1</v>
      </c>
      <c r="J976">
        <v>0.13074460299999999</v>
      </c>
      <c r="K976">
        <v>3.0870645864553899E-2</v>
      </c>
      <c r="L976">
        <v>1</v>
      </c>
      <c r="M976">
        <v>3343.0392920680001</v>
      </c>
      <c r="N976">
        <v>824579</v>
      </c>
      <c r="O976">
        <v>1.4368474219654799E-3</v>
      </c>
      <c r="P976">
        <v>0.20287245258469599</v>
      </c>
      <c r="Q976">
        <v>1</v>
      </c>
      <c r="R976">
        <v>231.34116158099999</v>
      </c>
      <c r="S976">
        <v>6765</v>
      </c>
      <c r="T976">
        <v>1.2741788225035201E-3</v>
      </c>
      <c r="U976">
        <v>4135</v>
      </c>
      <c r="V976">
        <v>1.9414351687696299E-2</v>
      </c>
      <c r="W976">
        <v>1</v>
      </c>
      <c r="X976">
        <v>166.310714749</v>
      </c>
      <c r="Y976">
        <v>16173</v>
      </c>
      <c r="Z976">
        <v>1.2929507846681199E-3</v>
      </c>
      <c r="AA976">
        <v>11</v>
      </c>
    </row>
    <row r="977" spans="1:27" x14ac:dyDescent="0.2">
      <c r="A977">
        <v>10</v>
      </c>
      <c r="B977">
        <v>1</v>
      </c>
      <c r="C977">
        <v>0.3</v>
      </c>
      <c r="D977">
        <v>100</v>
      </c>
      <c r="E977">
        <v>0.33139840261721398</v>
      </c>
      <c r="F977">
        <v>1</v>
      </c>
      <c r="G977">
        <v>33.397255600999998</v>
      </c>
      <c r="H977">
        <v>0.24234722904245701</v>
      </c>
      <c r="I977">
        <v>1</v>
      </c>
      <c r="J977">
        <v>0.25343872899999997</v>
      </c>
      <c r="K977">
        <v>0.20927828320126399</v>
      </c>
      <c r="L977">
        <v>1</v>
      </c>
      <c r="M977">
        <v>3600.7505796280002</v>
      </c>
      <c r="N977">
        <v>698701</v>
      </c>
      <c r="O977">
        <v>4.6447177901001099E-3</v>
      </c>
      <c r="P977">
        <v>0.17078821043155901</v>
      </c>
      <c r="Q977">
        <v>1</v>
      </c>
      <c r="R977">
        <v>155.50349930900001</v>
      </c>
      <c r="S977">
        <v>3091</v>
      </c>
      <c r="T977">
        <v>1.24932442557362E-3</v>
      </c>
      <c r="U977">
        <v>2352</v>
      </c>
      <c r="V977">
        <v>0.13104757269439299</v>
      </c>
      <c r="W977">
        <v>1</v>
      </c>
      <c r="X977">
        <v>14.688155604</v>
      </c>
      <c r="Y977">
        <v>1</v>
      </c>
      <c r="Z977">
        <v>2.28218762150536E-3</v>
      </c>
      <c r="AA977">
        <v>5</v>
      </c>
    </row>
    <row r="978" spans="1:27" x14ac:dyDescent="0.2">
      <c r="A978">
        <v>10</v>
      </c>
      <c r="B978">
        <v>1</v>
      </c>
      <c r="C978">
        <v>0.1</v>
      </c>
      <c r="D978">
        <v>100</v>
      </c>
      <c r="E978">
        <v>0.90767891367077602</v>
      </c>
      <c r="F978">
        <v>1</v>
      </c>
      <c r="G978">
        <v>38.941988099</v>
      </c>
      <c r="H978">
        <v>0.90738616882886303</v>
      </c>
      <c r="I978">
        <v>1</v>
      </c>
      <c r="J978">
        <v>4.7439989000000002E-2</v>
      </c>
      <c r="K978">
        <v>0.79112906708738995</v>
      </c>
      <c r="L978">
        <v>1</v>
      </c>
      <c r="M978">
        <v>3601.7283804580002</v>
      </c>
      <c r="N978">
        <v>1059138</v>
      </c>
      <c r="O978">
        <v>1.05018078546947E-3</v>
      </c>
      <c r="P978">
        <v>0.73764142896999696</v>
      </c>
      <c r="Q978">
        <v>1</v>
      </c>
      <c r="R978">
        <v>183.52817727300001</v>
      </c>
      <c r="S978">
        <v>2563</v>
      </c>
      <c r="T978" s="1">
        <v>3.47322446553333E-7</v>
      </c>
      <c r="U978">
        <v>2478</v>
      </c>
      <c r="V978">
        <v>1.16426997550073</v>
      </c>
      <c r="W978">
        <v>1</v>
      </c>
      <c r="X978">
        <v>8.1507285730000003</v>
      </c>
      <c r="Y978">
        <v>2788</v>
      </c>
      <c r="Z978" s="1">
        <v>9.2110014841828495E-7</v>
      </c>
      <c r="AA978">
        <v>1</v>
      </c>
    </row>
    <row r="979" spans="1:27" x14ac:dyDescent="0.2">
      <c r="A979">
        <v>10</v>
      </c>
      <c r="B979">
        <v>1</v>
      </c>
      <c r="C979">
        <v>0.2</v>
      </c>
      <c r="D979">
        <v>100</v>
      </c>
      <c r="E979">
        <v>0.75196177621705396</v>
      </c>
      <c r="F979">
        <v>1</v>
      </c>
      <c r="G979">
        <v>33.388345428000001</v>
      </c>
      <c r="H979">
        <v>0.58897964687261894</v>
      </c>
      <c r="I979">
        <v>1</v>
      </c>
      <c r="J979">
        <v>0.42038807099999997</v>
      </c>
      <c r="K979">
        <v>0.506414440297692</v>
      </c>
      <c r="L979">
        <v>1</v>
      </c>
      <c r="M979">
        <v>3600.543432036</v>
      </c>
      <c r="N979">
        <v>671215</v>
      </c>
      <c r="O979">
        <v>2.73290797362006E-2</v>
      </c>
      <c r="P979">
        <v>1.1384182677362999</v>
      </c>
      <c r="Q979">
        <v>1</v>
      </c>
      <c r="R979">
        <v>181.08533632999999</v>
      </c>
      <c r="S979">
        <v>4729</v>
      </c>
      <c r="T979">
        <v>2.80332911102416E-4</v>
      </c>
      <c r="U979">
        <v>3500</v>
      </c>
      <c r="V979">
        <v>0.54865527080226395</v>
      </c>
      <c r="W979">
        <v>1</v>
      </c>
      <c r="X979">
        <v>29.307852620999999</v>
      </c>
      <c r="Y979">
        <v>3113</v>
      </c>
      <c r="Z979">
        <v>9.8998926723442506E-4</v>
      </c>
      <c r="AA979">
        <v>3</v>
      </c>
    </row>
    <row r="980" spans="1:27" x14ac:dyDescent="0.2">
      <c r="A980">
        <v>10</v>
      </c>
      <c r="B980">
        <v>1</v>
      </c>
      <c r="C980">
        <v>0.1</v>
      </c>
      <c r="D980">
        <v>100</v>
      </c>
      <c r="E980">
        <v>0.92126927053427599</v>
      </c>
      <c r="F980">
        <v>1</v>
      </c>
      <c r="G980">
        <v>33.790220955000002</v>
      </c>
      <c r="H980">
        <v>0.91755206419253899</v>
      </c>
      <c r="I980">
        <v>1</v>
      </c>
      <c r="J980">
        <v>0.12037745499999999</v>
      </c>
      <c r="K980">
        <v>0.92925309797863398</v>
      </c>
      <c r="L980">
        <v>1</v>
      </c>
      <c r="M980">
        <v>3601.0232823309998</v>
      </c>
      <c r="N980">
        <v>900914</v>
      </c>
      <c r="O980">
        <v>7.6880697123442501E-3</v>
      </c>
      <c r="P980">
        <v>1.12075819609772</v>
      </c>
      <c r="Q980">
        <v>1</v>
      </c>
      <c r="R980">
        <v>141.20071149699999</v>
      </c>
      <c r="S980">
        <v>2695</v>
      </c>
      <c r="T980">
        <v>4.4410749036133998E-4</v>
      </c>
      <c r="U980">
        <v>2649</v>
      </c>
      <c r="V980">
        <v>1.12074607908318</v>
      </c>
      <c r="W980">
        <v>1</v>
      </c>
      <c r="X980">
        <v>12.366208105</v>
      </c>
      <c r="Y980">
        <v>0</v>
      </c>
      <c r="Z980">
        <v>8.2065319677253996E-4</v>
      </c>
      <c r="AA980">
        <v>6</v>
      </c>
    </row>
    <row r="981" spans="1:27" x14ac:dyDescent="0.2">
      <c r="A981">
        <v>10</v>
      </c>
      <c r="B981">
        <v>1</v>
      </c>
      <c r="C981">
        <v>0.1</v>
      </c>
      <c r="D981">
        <v>100</v>
      </c>
      <c r="E981">
        <v>0.98823757114631305</v>
      </c>
      <c r="F981">
        <v>1</v>
      </c>
      <c r="G981">
        <v>30.664869165999999</v>
      </c>
      <c r="H981">
        <v>0.97870684009064401</v>
      </c>
      <c r="I981">
        <v>1</v>
      </c>
      <c r="J981">
        <v>9.3970706000000001E-2</v>
      </c>
      <c r="K981">
        <v>0.98964094401935299</v>
      </c>
      <c r="L981">
        <v>1</v>
      </c>
      <c r="M981">
        <v>3600.704561131</v>
      </c>
      <c r="N981">
        <v>575521</v>
      </c>
      <c r="O981">
        <v>7.1999373222847397E-4</v>
      </c>
      <c r="P981">
        <v>1.0026786911863499</v>
      </c>
      <c r="Q981">
        <v>1</v>
      </c>
      <c r="R981">
        <v>979.47086122400003</v>
      </c>
      <c r="S981">
        <v>44186</v>
      </c>
      <c r="T981" s="1">
        <v>3.3743709792123E-6</v>
      </c>
      <c r="U981">
        <v>23632</v>
      </c>
      <c r="V981">
        <v>1.0989666189207701</v>
      </c>
      <c r="W981">
        <v>1</v>
      </c>
      <c r="X981">
        <v>633.46352170700004</v>
      </c>
      <c r="Y981">
        <v>114313</v>
      </c>
      <c r="Z981" s="1">
        <v>3.3344550521498598E-5</v>
      </c>
      <c r="AA981">
        <v>11</v>
      </c>
    </row>
    <row r="982" spans="1:27" x14ac:dyDescent="0.2">
      <c r="A982">
        <v>10</v>
      </c>
      <c r="B982">
        <v>1</v>
      </c>
      <c r="C982">
        <v>0.3</v>
      </c>
      <c r="D982">
        <v>100</v>
      </c>
      <c r="E982">
        <v>0.23383084658745101</v>
      </c>
      <c r="F982">
        <v>1</v>
      </c>
      <c r="G982">
        <v>34.712634628000004</v>
      </c>
      <c r="H982">
        <v>0.24053336425021399</v>
      </c>
      <c r="I982">
        <v>1</v>
      </c>
      <c r="J982">
        <v>0.12283907299999999</v>
      </c>
      <c r="K982">
        <v>0.26059994430740602</v>
      </c>
      <c r="L982">
        <v>1</v>
      </c>
      <c r="M982">
        <v>3600.5852025200002</v>
      </c>
      <c r="N982">
        <v>1314227</v>
      </c>
      <c r="O982">
        <v>2.3115616075983698E-3</v>
      </c>
      <c r="P982">
        <v>0.31076636885195902</v>
      </c>
      <c r="Q982">
        <v>1</v>
      </c>
      <c r="R982">
        <v>215.42660553499999</v>
      </c>
      <c r="S982">
        <v>4775</v>
      </c>
      <c r="T982">
        <v>9.9467383005902299E-4</v>
      </c>
      <c r="U982">
        <v>4038</v>
      </c>
      <c r="V982">
        <v>0.27691844161790102</v>
      </c>
      <c r="W982">
        <v>1</v>
      </c>
      <c r="X982">
        <v>28.688010618</v>
      </c>
      <c r="Y982">
        <v>3618</v>
      </c>
      <c r="Z982">
        <v>1.9401022012618899E-3</v>
      </c>
      <c r="AA982">
        <v>6</v>
      </c>
    </row>
    <row r="983" spans="1:27" x14ac:dyDescent="0.2">
      <c r="A983">
        <v>10</v>
      </c>
      <c r="B983">
        <v>1</v>
      </c>
      <c r="C983">
        <v>0.4</v>
      </c>
      <c r="D983">
        <v>100</v>
      </c>
      <c r="E983">
        <v>5.1474245980306498E-2</v>
      </c>
      <c r="F983">
        <v>1</v>
      </c>
      <c r="G983">
        <v>33.823545885000001</v>
      </c>
      <c r="H983">
        <v>2.0848401586729199E-2</v>
      </c>
      <c r="I983">
        <v>1</v>
      </c>
      <c r="J983">
        <v>0.10326752</v>
      </c>
      <c r="K983">
        <v>2.07702264048065E-2</v>
      </c>
      <c r="L983">
        <v>1</v>
      </c>
      <c r="M983">
        <v>1491.160105294</v>
      </c>
      <c r="N983">
        <v>339218</v>
      </c>
      <c r="O983">
        <v>2.36502588577636E-3</v>
      </c>
      <c r="P983">
        <v>1.42335431149163E-2</v>
      </c>
      <c r="Q983">
        <v>1</v>
      </c>
      <c r="R983">
        <v>24.817360947000001</v>
      </c>
      <c r="S983">
        <v>1</v>
      </c>
      <c r="T983">
        <v>2.1712868318828301E-3</v>
      </c>
      <c r="U983">
        <v>5</v>
      </c>
      <c r="V983">
        <v>1.4233543127458999E-2</v>
      </c>
      <c r="W983">
        <v>1</v>
      </c>
      <c r="X983">
        <v>9.2496675990000004</v>
      </c>
      <c r="Y983">
        <v>1</v>
      </c>
      <c r="Z983">
        <v>1.8096755228801599E-3</v>
      </c>
      <c r="AA983">
        <v>1</v>
      </c>
    </row>
    <row r="984" spans="1:27" x14ac:dyDescent="0.2">
      <c r="A984">
        <v>10</v>
      </c>
      <c r="B984">
        <v>1</v>
      </c>
      <c r="C984">
        <v>0.4</v>
      </c>
      <c r="D984">
        <v>100</v>
      </c>
      <c r="E984">
        <v>0.36238362285631998</v>
      </c>
      <c r="F984">
        <v>1</v>
      </c>
      <c r="G984">
        <v>33.529036032999997</v>
      </c>
      <c r="H984">
        <v>0.19306752370187799</v>
      </c>
      <c r="I984">
        <v>1</v>
      </c>
      <c r="J984">
        <v>8.0419928000000002E-2</v>
      </c>
      <c r="K984">
        <v>0.192151204664533</v>
      </c>
      <c r="L984">
        <v>1</v>
      </c>
      <c r="M984">
        <v>3600.9663281960002</v>
      </c>
      <c r="N984">
        <v>872901</v>
      </c>
      <c r="O984">
        <v>9.0367572444414093E-3</v>
      </c>
      <c r="P984">
        <v>0.25892550583145202</v>
      </c>
      <c r="Q984">
        <v>1</v>
      </c>
      <c r="R984">
        <v>237.172248078</v>
      </c>
      <c r="S984">
        <v>3231</v>
      </c>
      <c r="T984">
        <v>2.4650182629119498E-3</v>
      </c>
      <c r="U984">
        <v>2649</v>
      </c>
      <c r="V984">
        <v>0.25617069814214499</v>
      </c>
      <c r="W984">
        <v>1</v>
      </c>
      <c r="X984">
        <v>1545.6670125569999</v>
      </c>
      <c r="Y984">
        <v>88039</v>
      </c>
      <c r="Z984">
        <v>1.28259652486661E-3</v>
      </c>
      <c r="AA984">
        <v>20</v>
      </c>
    </row>
    <row r="985" spans="1:27" x14ac:dyDescent="0.2">
      <c r="A985">
        <v>10</v>
      </c>
      <c r="B985">
        <v>1</v>
      </c>
      <c r="C985">
        <v>0.2</v>
      </c>
      <c r="D985">
        <v>100</v>
      </c>
      <c r="E985">
        <v>0.87913693939802895</v>
      </c>
      <c r="F985">
        <v>1</v>
      </c>
      <c r="G985">
        <v>34.472348691999997</v>
      </c>
      <c r="H985">
        <v>0.87376642185582198</v>
      </c>
      <c r="I985">
        <v>1</v>
      </c>
      <c r="J985">
        <v>8.1999534999999998E-2</v>
      </c>
      <c r="K985">
        <v>0.33129991163307598</v>
      </c>
      <c r="L985">
        <v>1</v>
      </c>
      <c r="M985">
        <v>3600.8103495669998</v>
      </c>
      <c r="N985">
        <v>580580</v>
      </c>
      <c r="O985">
        <v>1.7739343569846001E-2</v>
      </c>
      <c r="P985">
        <v>0.423735980232119</v>
      </c>
      <c r="Q985">
        <v>1</v>
      </c>
      <c r="R985">
        <v>377.31786235200002</v>
      </c>
      <c r="S985">
        <v>11139</v>
      </c>
      <c r="T985">
        <v>3.1006250597105601E-4</v>
      </c>
      <c r="U985">
        <v>7881</v>
      </c>
      <c r="V985">
        <v>1.3026665349536199</v>
      </c>
      <c r="W985">
        <v>1</v>
      </c>
      <c r="X985">
        <v>31.931159642000001</v>
      </c>
      <c r="Y985">
        <v>3540</v>
      </c>
      <c r="Z985">
        <v>7.1316319447799897E-4</v>
      </c>
      <c r="AA985">
        <v>6</v>
      </c>
    </row>
    <row r="986" spans="1:27" x14ac:dyDescent="0.2">
      <c r="A986">
        <v>10</v>
      </c>
      <c r="B986">
        <v>1</v>
      </c>
      <c r="C986">
        <v>0.2</v>
      </c>
      <c r="D986">
        <v>100</v>
      </c>
      <c r="E986">
        <v>0.71546871890736397</v>
      </c>
      <c r="F986">
        <v>1</v>
      </c>
      <c r="G986">
        <v>42.733665901999998</v>
      </c>
      <c r="H986">
        <v>0.69599486366381802</v>
      </c>
      <c r="I986">
        <v>1</v>
      </c>
      <c r="J986">
        <v>0.16199152999999999</v>
      </c>
      <c r="K986">
        <v>0.65883339835239796</v>
      </c>
      <c r="L986">
        <v>1</v>
      </c>
      <c r="M986">
        <v>3600.7701212809998</v>
      </c>
      <c r="N986">
        <v>953308</v>
      </c>
      <c r="O986">
        <v>3.5285147523733602E-3</v>
      </c>
      <c r="P986">
        <v>0.89984192468302404</v>
      </c>
      <c r="Q986">
        <v>1</v>
      </c>
      <c r="R986">
        <v>254.76393269299999</v>
      </c>
      <c r="S986">
        <v>5212</v>
      </c>
      <c r="T986">
        <v>3.9168526735586901E-4</v>
      </c>
      <c r="U986">
        <v>3990</v>
      </c>
      <c r="V986">
        <v>0.67504468274509</v>
      </c>
      <c r="W986">
        <v>1</v>
      </c>
      <c r="X986">
        <v>26.120657628</v>
      </c>
      <c r="Y986">
        <v>3656</v>
      </c>
      <c r="Z986">
        <v>6.8165183473626397E-4</v>
      </c>
      <c r="AA986">
        <v>5</v>
      </c>
    </row>
    <row r="987" spans="1:27" x14ac:dyDescent="0.2">
      <c r="A987">
        <v>10</v>
      </c>
      <c r="B987">
        <v>1</v>
      </c>
      <c r="C987">
        <v>0.4</v>
      </c>
      <c r="D987">
        <v>100</v>
      </c>
      <c r="E987">
        <v>9.7717871130776707E-2</v>
      </c>
      <c r="F987">
        <v>1</v>
      </c>
      <c r="G987">
        <v>30.730502717</v>
      </c>
      <c r="H987">
        <v>7.1930432681284601E-2</v>
      </c>
      <c r="I987">
        <v>1</v>
      </c>
      <c r="J987">
        <v>9.8148298999999994E-2</v>
      </c>
      <c r="K987">
        <v>7.1435013142557499E-2</v>
      </c>
      <c r="L987">
        <v>1</v>
      </c>
      <c r="M987">
        <v>3600.6952385270001</v>
      </c>
      <c r="N987">
        <v>842820</v>
      </c>
      <c r="O987">
        <v>3.36721275000329E-3</v>
      </c>
      <c r="P987">
        <v>0.16993956981538999</v>
      </c>
      <c r="Q987">
        <v>1</v>
      </c>
      <c r="R987">
        <v>434.614436872</v>
      </c>
      <c r="S987">
        <v>11063</v>
      </c>
      <c r="T987">
        <v>2.3558493323976E-3</v>
      </c>
      <c r="U987">
        <v>6663</v>
      </c>
      <c r="V987">
        <v>0.106237736707453</v>
      </c>
      <c r="W987">
        <v>1</v>
      </c>
      <c r="X987">
        <v>1500.792514858</v>
      </c>
      <c r="Y987">
        <v>70808</v>
      </c>
      <c r="Z987">
        <v>1.23561995377058E-3</v>
      </c>
      <c r="AA987">
        <v>20</v>
      </c>
    </row>
    <row r="988" spans="1:27" x14ac:dyDescent="0.2">
      <c r="A988">
        <v>10</v>
      </c>
      <c r="B988">
        <v>1</v>
      </c>
      <c r="C988">
        <v>0.2</v>
      </c>
      <c r="D988">
        <v>100</v>
      </c>
      <c r="E988">
        <v>0.79548908208219604</v>
      </c>
      <c r="F988">
        <v>1</v>
      </c>
      <c r="G988">
        <v>30.664978944000001</v>
      </c>
      <c r="H988">
        <v>0.70400174649999703</v>
      </c>
      <c r="I988">
        <v>1</v>
      </c>
      <c r="J988">
        <v>8.4994273999999995E-2</v>
      </c>
      <c r="K988">
        <v>0.70664436922236495</v>
      </c>
      <c r="L988">
        <v>1</v>
      </c>
      <c r="M988">
        <v>3601.0633261620001</v>
      </c>
      <c r="N988">
        <v>457384</v>
      </c>
      <c r="O988">
        <v>3.2436230771797298E-3</v>
      </c>
      <c r="P988">
        <v>0.74207715018579101</v>
      </c>
      <c r="Q988">
        <v>1</v>
      </c>
      <c r="R988">
        <v>314.92800477200001</v>
      </c>
      <c r="S988">
        <v>6383</v>
      </c>
      <c r="T988" s="1">
        <v>3.6659354647872297E-5</v>
      </c>
      <c r="U988">
        <v>4579</v>
      </c>
      <c r="V988">
        <v>0.74448762202156005</v>
      </c>
      <c r="W988">
        <v>1</v>
      </c>
      <c r="X988">
        <v>1590.4358589159999</v>
      </c>
      <c r="Y988">
        <v>104581</v>
      </c>
      <c r="Z988">
        <v>1.144535016343E-4</v>
      </c>
      <c r="AA988">
        <v>16</v>
      </c>
    </row>
    <row r="989" spans="1:27" x14ac:dyDescent="0.2">
      <c r="A989">
        <v>10</v>
      </c>
      <c r="B989">
        <v>1</v>
      </c>
      <c r="C989">
        <v>0.1</v>
      </c>
      <c r="D989">
        <v>100</v>
      </c>
      <c r="E989">
        <v>0.96517381020651705</v>
      </c>
      <c r="F989">
        <v>1</v>
      </c>
      <c r="G989">
        <v>34.862359468999998</v>
      </c>
      <c r="H989">
        <v>0.96517381039595496</v>
      </c>
      <c r="I989">
        <v>1</v>
      </c>
      <c r="J989">
        <v>7.0130847999999996E-2</v>
      </c>
      <c r="K989">
        <v>1.12819098138128</v>
      </c>
      <c r="L989">
        <v>1</v>
      </c>
      <c r="M989">
        <v>3600.7166547040001</v>
      </c>
      <c r="N989">
        <v>886357</v>
      </c>
      <c r="O989">
        <v>8.1535867302999707E-3</v>
      </c>
      <c r="P989">
        <v>1.10070957293841</v>
      </c>
      <c r="Q989">
        <v>1</v>
      </c>
      <c r="R989">
        <v>148.860864303</v>
      </c>
      <c r="S989">
        <v>2909</v>
      </c>
      <c r="T989" s="1">
        <v>1.1420772589948399E-5</v>
      </c>
      <c r="U989">
        <v>2905</v>
      </c>
      <c r="V989">
        <v>1.1101829412330699</v>
      </c>
      <c r="W989">
        <v>1</v>
      </c>
      <c r="X989">
        <v>5.7925343949999997</v>
      </c>
      <c r="Y989">
        <v>1388</v>
      </c>
      <c r="Z989">
        <v>1.17061641285203E-4</v>
      </c>
      <c r="AA989">
        <v>1</v>
      </c>
    </row>
    <row r="990" spans="1:27" x14ac:dyDescent="0.2">
      <c r="A990">
        <v>10</v>
      </c>
      <c r="B990">
        <v>1</v>
      </c>
      <c r="C990">
        <v>0.3</v>
      </c>
      <c r="D990">
        <v>100</v>
      </c>
      <c r="E990">
        <v>0.31757781452128703</v>
      </c>
      <c r="F990">
        <v>1</v>
      </c>
      <c r="G990">
        <v>35.399907706</v>
      </c>
      <c r="H990">
        <v>0.42780143946803301</v>
      </c>
      <c r="I990">
        <v>1</v>
      </c>
      <c r="J990">
        <v>0.241857234</v>
      </c>
      <c r="K990">
        <v>0.47477736766691497</v>
      </c>
      <c r="L990">
        <v>1</v>
      </c>
      <c r="M990">
        <v>3601.7165100470002</v>
      </c>
      <c r="N990">
        <v>468007</v>
      </c>
      <c r="O990">
        <v>9.1083475982127703E-3</v>
      </c>
      <c r="P990">
        <v>1.0388897454244399</v>
      </c>
      <c r="Q990">
        <v>1</v>
      </c>
      <c r="R990">
        <v>125.610124075</v>
      </c>
      <c r="S990">
        <v>2224</v>
      </c>
      <c r="T990">
        <v>4.2436358567893902E-4</v>
      </c>
      <c r="U990">
        <v>1670</v>
      </c>
      <c r="V990">
        <v>0.50990032226975801</v>
      </c>
      <c r="W990">
        <v>1</v>
      </c>
      <c r="X990">
        <v>15.079934669</v>
      </c>
      <c r="Y990">
        <v>1</v>
      </c>
      <c r="Z990">
        <v>1.7679737462606101E-3</v>
      </c>
      <c r="AA990">
        <v>2</v>
      </c>
    </row>
    <row r="991" spans="1:27" x14ac:dyDescent="0.2">
      <c r="A991">
        <v>10</v>
      </c>
      <c r="B991">
        <v>1</v>
      </c>
      <c r="C991">
        <v>0.3</v>
      </c>
      <c r="D991">
        <v>100</v>
      </c>
      <c r="E991">
        <v>0.70325097135153603</v>
      </c>
      <c r="F991">
        <v>1</v>
      </c>
      <c r="G991">
        <v>32.800485168000002</v>
      </c>
      <c r="H991">
        <v>0.69609612976292901</v>
      </c>
      <c r="I991">
        <v>1</v>
      </c>
      <c r="J991">
        <v>5.6338328999999999E-2</v>
      </c>
      <c r="K991">
        <v>0.69611352454925401</v>
      </c>
      <c r="L991">
        <v>1</v>
      </c>
      <c r="M991">
        <v>3600.690254227</v>
      </c>
      <c r="N991">
        <v>1303107</v>
      </c>
      <c r="O991">
        <v>1.9966426072777202E-3</v>
      </c>
      <c r="P991">
        <v>0.62758400177740503</v>
      </c>
      <c r="Q991">
        <v>1</v>
      </c>
      <c r="R991">
        <v>257.634202609</v>
      </c>
      <c r="S991">
        <v>6744</v>
      </c>
      <c r="T991">
        <v>1.0932797310828999E-3</v>
      </c>
      <c r="U991">
        <v>4688</v>
      </c>
      <c r="V991">
        <v>0.61749818130497802</v>
      </c>
      <c r="W991">
        <v>1</v>
      </c>
      <c r="X991">
        <v>1339.0242967720001</v>
      </c>
      <c r="Y991">
        <v>84403</v>
      </c>
      <c r="Z991">
        <v>5.0957156483975798E-4</v>
      </c>
      <c r="AA991">
        <v>20</v>
      </c>
    </row>
    <row r="992" spans="1:27" x14ac:dyDescent="0.2">
      <c r="A992">
        <v>10</v>
      </c>
      <c r="B992">
        <v>1</v>
      </c>
      <c r="C992">
        <v>0.3</v>
      </c>
      <c r="D992">
        <v>100</v>
      </c>
      <c r="E992">
        <v>0.40138087146909401</v>
      </c>
      <c r="F992">
        <v>1</v>
      </c>
      <c r="G992">
        <v>34.750705422999999</v>
      </c>
      <c r="H992">
        <v>0.128605552543295</v>
      </c>
      <c r="I992">
        <v>1</v>
      </c>
      <c r="J992">
        <v>0.28453392300000002</v>
      </c>
      <c r="K992">
        <v>0.13202451141398799</v>
      </c>
      <c r="L992">
        <v>1</v>
      </c>
      <c r="M992">
        <v>3600.6567385940002</v>
      </c>
      <c r="N992">
        <v>685866</v>
      </c>
      <c r="O992">
        <v>4.0973019610035504E-3</v>
      </c>
      <c r="P992">
        <v>0.326577163954405</v>
      </c>
      <c r="Q992">
        <v>1</v>
      </c>
      <c r="R992">
        <v>245.31165816999999</v>
      </c>
      <c r="S992">
        <v>3924</v>
      </c>
      <c r="T992">
        <v>5.3115050038679502E-4</v>
      </c>
      <c r="U992">
        <v>2995</v>
      </c>
      <c r="V992">
        <v>0.15975469946360801</v>
      </c>
      <c r="W992">
        <v>1</v>
      </c>
      <c r="X992">
        <v>2371.9592948999998</v>
      </c>
      <c r="Y992">
        <v>92440</v>
      </c>
      <c r="Z992">
        <v>1.0992233356021501E-3</v>
      </c>
      <c r="AA992">
        <v>20</v>
      </c>
    </row>
    <row r="993" spans="1:27" x14ac:dyDescent="0.2">
      <c r="A993">
        <v>10</v>
      </c>
      <c r="B993">
        <v>1</v>
      </c>
      <c r="C993">
        <v>0.1</v>
      </c>
      <c r="D993">
        <v>100</v>
      </c>
      <c r="E993">
        <v>0.96294081694451705</v>
      </c>
      <c r="F993">
        <v>1</v>
      </c>
      <c r="G993">
        <v>32.971513893000001</v>
      </c>
      <c r="H993">
        <v>0.95217794154679902</v>
      </c>
      <c r="I993">
        <v>1</v>
      </c>
      <c r="J993">
        <v>0.119497776</v>
      </c>
      <c r="K993">
        <v>0.85880716600360296</v>
      </c>
      <c r="L993">
        <v>1</v>
      </c>
      <c r="M993">
        <v>3600.7625662370001</v>
      </c>
      <c r="N993">
        <v>559674</v>
      </c>
      <c r="O993">
        <v>6.8084046185849997E-3</v>
      </c>
      <c r="P993">
        <v>0.91674363456602403</v>
      </c>
      <c r="Q993">
        <v>1</v>
      </c>
      <c r="R993">
        <v>232.841211792</v>
      </c>
      <c r="S993">
        <v>5835</v>
      </c>
      <c r="T993" s="1">
        <v>4.5606466083821803E-5</v>
      </c>
      <c r="U993">
        <v>4548</v>
      </c>
      <c r="V993">
        <v>1.0704654528219799</v>
      </c>
      <c r="W993">
        <v>1</v>
      </c>
      <c r="X993">
        <v>2685.7799664089998</v>
      </c>
      <c r="Y993">
        <v>689587</v>
      </c>
      <c r="Z993">
        <v>1.10424191538373E-4</v>
      </c>
      <c r="AA993">
        <v>20</v>
      </c>
    </row>
    <row r="994" spans="1:27" x14ac:dyDescent="0.2">
      <c r="A994">
        <v>10</v>
      </c>
      <c r="B994">
        <v>1</v>
      </c>
      <c r="C994">
        <v>0.4</v>
      </c>
      <c r="D994">
        <v>100</v>
      </c>
      <c r="E994">
        <v>0.25053601689967497</v>
      </c>
      <c r="F994">
        <v>1</v>
      </c>
      <c r="G994">
        <v>32.233263919999999</v>
      </c>
      <c r="H994">
        <v>0.22991664559983199</v>
      </c>
      <c r="I994">
        <v>1</v>
      </c>
      <c r="J994">
        <v>8.4858724999999996E-2</v>
      </c>
      <c r="K994">
        <v>0.229876650265921</v>
      </c>
      <c r="L994">
        <v>1</v>
      </c>
      <c r="M994">
        <v>3600.5918888020001</v>
      </c>
      <c r="N994">
        <v>756748</v>
      </c>
      <c r="O994">
        <v>8.7385223799714105E-3</v>
      </c>
      <c r="P994">
        <v>0.44135858643419601</v>
      </c>
      <c r="Q994">
        <v>1</v>
      </c>
      <c r="R994">
        <v>469.91474031600001</v>
      </c>
      <c r="S994">
        <v>9439</v>
      </c>
      <c r="T994">
        <v>3.46473986375034E-3</v>
      </c>
      <c r="U994">
        <v>6147</v>
      </c>
      <c r="V994">
        <v>0.14918303094329699</v>
      </c>
      <c r="W994">
        <v>1</v>
      </c>
      <c r="X994">
        <v>2566.3438917580002</v>
      </c>
      <c r="Y994">
        <v>78573</v>
      </c>
      <c r="Z994">
        <v>9.2457662761474199E-3</v>
      </c>
      <c r="AA994">
        <v>20</v>
      </c>
    </row>
    <row r="995" spans="1:27" x14ac:dyDescent="0.2">
      <c r="A995">
        <v>10</v>
      </c>
      <c r="B995">
        <v>1</v>
      </c>
      <c r="C995">
        <v>0.1</v>
      </c>
      <c r="D995">
        <v>100</v>
      </c>
      <c r="E995">
        <v>0.97974183067462695</v>
      </c>
      <c r="F995">
        <v>1</v>
      </c>
      <c r="G995">
        <v>33.654296893999998</v>
      </c>
      <c r="H995">
        <v>0.97974183067462695</v>
      </c>
      <c r="I995">
        <v>1</v>
      </c>
      <c r="J995">
        <v>4.4443950000000003E-2</v>
      </c>
      <c r="K995">
        <v>1.1082589252297601</v>
      </c>
      <c r="L995">
        <v>1</v>
      </c>
      <c r="M995">
        <v>3601.555545186</v>
      </c>
      <c r="N995">
        <v>755591</v>
      </c>
      <c r="O995">
        <v>2.8294368935989299E-3</v>
      </c>
      <c r="P995">
        <v>1.2877791397846501</v>
      </c>
      <c r="Q995">
        <v>1</v>
      </c>
      <c r="R995">
        <v>180.58382902899999</v>
      </c>
      <c r="S995">
        <v>2915</v>
      </c>
      <c r="T995">
        <v>0</v>
      </c>
      <c r="U995">
        <v>2914</v>
      </c>
      <c r="V995">
        <v>1.1353950639414301</v>
      </c>
      <c r="W995">
        <v>1</v>
      </c>
      <c r="X995">
        <v>8.3071522580000003</v>
      </c>
      <c r="Y995">
        <v>2617</v>
      </c>
      <c r="Z995" s="1">
        <v>1.03275313716412E-5</v>
      </c>
      <c r="AA995">
        <v>1</v>
      </c>
    </row>
    <row r="996" spans="1:27" x14ac:dyDescent="0.2">
      <c r="A996">
        <v>10</v>
      </c>
      <c r="B996">
        <v>1</v>
      </c>
      <c r="C996">
        <v>0.2</v>
      </c>
      <c r="D996">
        <v>100</v>
      </c>
      <c r="E996">
        <v>0.89311205937914795</v>
      </c>
      <c r="F996">
        <v>1</v>
      </c>
      <c r="G996">
        <v>33.744302494000003</v>
      </c>
      <c r="H996">
        <v>0.38445083220390402</v>
      </c>
      <c r="I996">
        <v>1</v>
      </c>
      <c r="J996">
        <v>0.53172123100000002</v>
      </c>
      <c r="K996">
        <v>1.2796131103006301</v>
      </c>
      <c r="L996">
        <v>1</v>
      </c>
      <c r="M996">
        <v>3600.7832860369999</v>
      </c>
      <c r="N996">
        <v>328043</v>
      </c>
      <c r="O996">
        <v>4.2952438823452697E-2</v>
      </c>
      <c r="P996">
        <v>1.11448486983034</v>
      </c>
      <c r="Q996">
        <v>1</v>
      </c>
      <c r="R996">
        <v>623.34971203500004</v>
      </c>
      <c r="S996">
        <v>15158</v>
      </c>
      <c r="T996">
        <v>3.7721360196217498E-4</v>
      </c>
      <c r="U996">
        <v>9286</v>
      </c>
      <c r="V996">
        <v>0.43716422419492401</v>
      </c>
      <c r="W996">
        <v>1</v>
      </c>
      <c r="X996">
        <v>2664.7618028910001</v>
      </c>
      <c r="Y996">
        <v>116326</v>
      </c>
      <c r="Z996">
        <v>1.02037521830437E-3</v>
      </c>
      <c r="AA996">
        <v>20</v>
      </c>
    </row>
    <row r="997" spans="1:27" x14ac:dyDescent="0.2">
      <c r="A997">
        <v>10</v>
      </c>
      <c r="B997">
        <v>1</v>
      </c>
      <c r="C997">
        <v>0.4</v>
      </c>
      <c r="D997">
        <v>100</v>
      </c>
      <c r="E997">
        <v>0.338399315400153</v>
      </c>
      <c r="F997">
        <v>1</v>
      </c>
      <c r="G997">
        <v>33.043963322000003</v>
      </c>
      <c r="H997">
        <v>9.8835614841962793E-2</v>
      </c>
      <c r="I997">
        <v>1</v>
      </c>
      <c r="J997">
        <v>0.114960838</v>
      </c>
      <c r="K997">
        <v>9.6864667870363699E-2</v>
      </c>
      <c r="L997">
        <v>1</v>
      </c>
      <c r="M997">
        <v>3600.9982450140001</v>
      </c>
      <c r="N997">
        <v>663466</v>
      </c>
      <c r="O997">
        <v>2.6462821411898899E-3</v>
      </c>
      <c r="P997">
        <v>0.23587018133836599</v>
      </c>
      <c r="Q997">
        <v>1</v>
      </c>
      <c r="R997">
        <v>454.41180028299999</v>
      </c>
      <c r="S997">
        <v>9808</v>
      </c>
      <c r="T997">
        <v>5.5890247493358498E-4</v>
      </c>
      <c r="U997">
        <v>6484</v>
      </c>
      <c r="V997">
        <v>0.22237852234118</v>
      </c>
      <c r="W997">
        <v>1</v>
      </c>
      <c r="X997">
        <v>2913.0721822239998</v>
      </c>
      <c r="Y997">
        <v>202840</v>
      </c>
      <c r="Z997">
        <v>2.9198727559966799E-4</v>
      </c>
      <c r="AA997">
        <v>20</v>
      </c>
    </row>
    <row r="998" spans="1:27" x14ac:dyDescent="0.2">
      <c r="A998">
        <v>10</v>
      </c>
      <c r="B998">
        <v>1</v>
      </c>
      <c r="C998">
        <v>0.3</v>
      </c>
      <c r="D998">
        <v>100</v>
      </c>
      <c r="E998">
        <v>0.30234884771119203</v>
      </c>
      <c r="F998">
        <v>1</v>
      </c>
      <c r="G998">
        <v>30.143949859999999</v>
      </c>
      <c r="H998">
        <v>6.3910431169477894E-2</v>
      </c>
      <c r="I998">
        <v>1</v>
      </c>
      <c r="J998">
        <v>0.13123621199999999</v>
      </c>
      <c r="K998">
        <v>6.19074944140518E-2</v>
      </c>
      <c r="L998">
        <v>1</v>
      </c>
      <c r="M998">
        <v>3600.9515228939999</v>
      </c>
      <c r="N998">
        <v>478246</v>
      </c>
      <c r="O998">
        <v>5.1189651739793601E-3</v>
      </c>
      <c r="P998">
        <v>0.223298705004919</v>
      </c>
      <c r="Q998">
        <v>1</v>
      </c>
      <c r="R998">
        <v>350.562008096</v>
      </c>
      <c r="S998">
        <v>6436</v>
      </c>
      <c r="T998">
        <v>1.0539243271591001E-3</v>
      </c>
      <c r="U998">
        <v>4572</v>
      </c>
      <c r="V998">
        <v>0.108931269354576</v>
      </c>
      <c r="W998">
        <v>1</v>
      </c>
      <c r="X998">
        <v>2520.8436485440002</v>
      </c>
      <c r="Y998">
        <v>119186</v>
      </c>
      <c r="Z998">
        <v>1.8995434216806501E-3</v>
      </c>
      <c r="AA998">
        <v>20</v>
      </c>
    </row>
    <row r="999" spans="1:27" x14ac:dyDescent="0.2">
      <c r="A999">
        <v>10</v>
      </c>
      <c r="B999">
        <v>1</v>
      </c>
      <c r="C999">
        <v>0.1</v>
      </c>
      <c r="D999">
        <v>100</v>
      </c>
      <c r="E999">
        <v>0.80466106937694504</v>
      </c>
      <c r="F999">
        <v>1</v>
      </c>
      <c r="G999">
        <v>32.720453329999998</v>
      </c>
      <c r="H999">
        <v>0.80770776765315599</v>
      </c>
      <c r="I999">
        <v>1</v>
      </c>
      <c r="J999">
        <v>3.8521215999999997E-2</v>
      </c>
      <c r="K999">
        <v>1.1060166629528601</v>
      </c>
      <c r="L999">
        <v>1</v>
      </c>
      <c r="M999">
        <v>3600.4890236810002</v>
      </c>
      <c r="N999">
        <v>668478</v>
      </c>
      <c r="O999">
        <v>6.68252681825554E-3</v>
      </c>
      <c r="P999">
        <v>1.6283889826096201</v>
      </c>
      <c r="Q999">
        <v>1</v>
      </c>
      <c r="R999">
        <v>73.517769372999993</v>
      </c>
      <c r="S999">
        <v>999</v>
      </c>
      <c r="T999" s="1">
        <v>2.7862133431532701E-5</v>
      </c>
      <c r="U999">
        <v>1003</v>
      </c>
      <c r="V999">
        <v>0.62623481191502794</v>
      </c>
      <c r="W999">
        <v>1</v>
      </c>
      <c r="X999">
        <v>2850.4637777190001</v>
      </c>
      <c r="Y999">
        <v>207679</v>
      </c>
      <c r="Z999">
        <v>2.83327668752891E-4</v>
      </c>
      <c r="AA999">
        <v>20</v>
      </c>
    </row>
    <row r="1000" spans="1:27" x14ac:dyDescent="0.2">
      <c r="A1000">
        <v>10</v>
      </c>
      <c r="B1000">
        <v>1</v>
      </c>
      <c r="C1000">
        <v>0.2</v>
      </c>
      <c r="D1000">
        <v>100</v>
      </c>
      <c r="E1000">
        <v>0.79531543308837904</v>
      </c>
      <c r="F1000">
        <v>1</v>
      </c>
      <c r="G1000">
        <v>31.129791206</v>
      </c>
      <c r="H1000">
        <v>0.55139375325950202</v>
      </c>
      <c r="I1000">
        <v>1</v>
      </c>
      <c r="J1000">
        <v>0.21514341000000001</v>
      </c>
      <c r="K1000">
        <v>0.57540487544447705</v>
      </c>
      <c r="L1000">
        <v>1</v>
      </c>
      <c r="M1000">
        <v>3600.5328862830002</v>
      </c>
      <c r="N1000">
        <v>574390</v>
      </c>
      <c r="O1000">
        <v>2.5158718291077398E-2</v>
      </c>
      <c r="P1000">
        <v>0.64318252561453704</v>
      </c>
      <c r="Q1000">
        <v>1</v>
      </c>
      <c r="R1000">
        <v>264.15071483399998</v>
      </c>
      <c r="S1000">
        <v>4940</v>
      </c>
      <c r="T1000">
        <v>1.58423181518395E-4</v>
      </c>
      <c r="U1000">
        <v>3473</v>
      </c>
      <c r="V1000">
        <v>0.57922638860213205</v>
      </c>
      <c r="W1000">
        <v>1</v>
      </c>
      <c r="X1000">
        <v>2908.8386135300002</v>
      </c>
      <c r="Y1000">
        <v>345324</v>
      </c>
      <c r="Z1000">
        <v>4.8734466649413399E-4</v>
      </c>
      <c r="AA1000">
        <v>20</v>
      </c>
    </row>
    <row r="1001" spans="1:27" x14ac:dyDescent="0.2">
      <c r="A1001">
        <v>10</v>
      </c>
      <c r="B1001">
        <v>1</v>
      </c>
      <c r="C1001">
        <v>0.1</v>
      </c>
      <c r="D1001">
        <v>100</v>
      </c>
      <c r="E1001">
        <v>0.95981088867347097</v>
      </c>
      <c r="F1001">
        <v>1</v>
      </c>
      <c r="G1001">
        <v>35.314632131000003</v>
      </c>
      <c r="H1001">
        <v>0.95981090353721998</v>
      </c>
      <c r="I1001">
        <v>1</v>
      </c>
      <c r="J1001">
        <v>5.4273463000000001E-2</v>
      </c>
      <c r="K1001">
        <v>0.85627655753188803</v>
      </c>
      <c r="L1001">
        <v>1</v>
      </c>
      <c r="M1001">
        <v>3600.5237486010001</v>
      </c>
      <c r="N1001">
        <v>1204140</v>
      </c>
      <c r="O1001">
        <v>8.9824269383420498E-4</v>
      </c>
      <c r="P1001">
        <v>0.92495266935789699</v>
      </c>
      <c r="Q1001">
        <v>1</v>
      </c>
      <c r="R1001">
        <v>92.361640046999995</v>
      </c>
      <c r="S1001">
        <v>1517</v>
      </c>
      <c r="T1001" s="1">
        <v>4.6888057381663701E-6</v>
      </c>
      <c r="U1001">
        <v>1526</v>
      </c>
      <c r="V1001">
        <v>0.93142356397089099</v>
      </c>
      <c r="W1001">
        <v>1</v>
      </c>
      <c r="X1001">
        <v>5.0605394400000003</v>
      </c>
      <c r="Y1001">
        <v>1419</v>
      </c>
      <c r="Z1001" s="1">
        <v>3.9681567784253297E-5</v>
      </c>
      <c r="AA1001">
        <v>1</v>
      </c>
    </row>
    <row r="1002" spans="1:27" x14ac:dyDescent="0.2">
      <c r="A1002">
        <v>10</v>
      </c>
      <c r="B1002">
        <v>1</v>
      </c>
      <c r="C1002">
        <v>0.2</v>
      </c>
      <c r="D1002">
        <v>100</v>
      </c>
      <c r="E1002">
        <v>0.80761143280715997</v>
      </c>
      <c r="F1002">
        <v>1</v>
      </c>
      <c r="G1002">
        <v>31.725485376999998</v>
      </c>
      <c r="H1002">
        <v>0.78955186706086899</v>
      </c>
      <c r="I1002">
        <v>1</v>
      </c>
      <c r="J1002">
        <v>7.3849544000000003E-2</v>
      </c>
      <c r="K1002">
        <v>0.77180741846230405</v>
      </c>
      <c r="L1002">
        <v>1</v>
      </c>
      <c r="M1002">
        <v>3600.4935849660001</v>
      </c>
      <c r="N1002">
        <v>836077</v>
      </c>
      <c r="O1002">
        <v>1.1420941758543799E-2</v>
      </c>
      <c r="P1002">
        <v>0.72458743562387395</v>
      </c>
      <c r="Q1002">
        <v>1</v>
      </c>
      <c r="R1002">
        <v>301.56048611400001</v>
      </c>
      <c r="S1002">
        <v>10417</v>
      </c>
      <c r="T1002" s="1">
        <v>6.3123169551718096E-5</v>
      </c>
      <c r="U1002">
        <v>6479</v>
      </c>
      <c r="V1002">
        <v>0.84839550790628004</v>
      </c>
      <c r="W1002">
        <v>1</v>
      </c>
      <c r="X1002">
        <v>443.75335078299997</v>
      </c>
      <c r="Y1002">
        <v>119224</v>
      </c>
      <c r="Z1002" s="1">
        <v>6.1432028007803695E-5</v>
      </c>
      <c r="AA1002">
        <v>12</v>
      </c>
    </row>
    <row r="1003" spans="1:27" x14ac:dyDescent="0.2">
      <c r="A1003">
        <v>10</v>
      </c>
      <c r="B1003">
        <v>1</v>
      </c>
      <c r="C1003">
        <v>0.4</v>
      </c>
      <c r="D1003">
        <v>100</v>
      </c>
      <c r="E1003">
        <v>0.20100806292006401</v>
      </c>
      <c r="F1003">
        <v>1</v>
      </c>
      <c r="G1003">
        <v>42.124085606999998</v>
      </c>
      <c r="H1003">
        <v>5.1280924996767799E-2</v>
      </c>
      <c r="I1003">
        <v>1</v>
      </c>
      <c r="J1003">
        <v>0.26868331400000001</v>
      </c>
      <c r="K1003">
        <v>5.0702075928389101E-2</v>
      </c>
      <c r="L1003">
        <v>1</v>
      </c>
      <c r="M1003">
        <v>3600.7299902069999</v>
      </c>
      <c r="N1003">
        <v>769585</v>
      </c>
      <c r="O1003">
        <v>3.0035786295776702E-3</v>
      </c>
      <c r="P1003">
        <v>0.144874789444604</v>
      </c>
      <c r="Q1003">
        <v>1</v>
      </c>
      <c r="R1003">
        <v>647.83724346500003</v>
      </c>
      <c r="S1003">
        <v>17139</v>
      </c>
      <c r="T1003">
        <v>1.9826215650072202E-3</v>
      </c>
      <c r="U1003">
        <v>10640</v>
      </c>
      <c r="V1003">
        <v>6.2750075174974898E-2</v>
      </c>
      <c r="W1003">
        <v>1</v>
      </c>
      <c r="X1003">
        <v>1955.1650095340001</v>
      </c>
      <c r="Y1003">
        <v>96915</v>
      </c>
      <c r="Z1003">
        <v>1.2710749537373999E-3</v>
      </c>
      <c r="AA1003">
        <v>20</v>
      </c>
    </row>
    <row r="1004" spans="1:27" x14ac:dyDescent="0.2">
      <c r="A1004">
        <v>10</v>
      </c>
      <c r="B1004">
        <v>1</v>
      </c>
      <c r="C1004">
        <v>0.2</v>
      </c>
      <c r="D1004">
        <v>100</v>
      </c>
      <c r="E1004">
        <v>0.63980584778072602</v>
      </c>
      <c r="F1004">
        <v>1</v>
      </c>
      <c r="G1004">
        <v>29.715752945999999</v>
      </c>
      <c r="H1004">
        <v>0.29966245337960201</v>
      </c>
      <c r="I1004">
        <v>1</v>
      </c>
      <c r="J1004">
        <v>0.39696857800000002</v>
      </c>
      <c r="K1004">
        <v>0.356642565316311</v>
      </c>
      <c r="L1004">
        <v>1</v>
      </c>
      <c r="M1004">
        <v>3600.8049606159998</v>
      </c>
      <c r="N1004">
        <v>588628</v>
      </c>
      <c r="O1004">
        <v>3.8712335381956203E-2</v>
      </c>
      <c r="P1004">
        <v>0.433081320220707</v>
      </c>
      <c r="Q1004">
        <v>1</v>
      </c>
      <c r="R1004">
        <v>1084.6260628529999</v>
      </c>
      <c r="S1004">
        <v>36178</v>
      </c>
      <c r="T1004">
        <v>3.5000753117443701E-4</v>
      </c>
      <c r="U1004">
        <v>20526</v>
      </c>
      <c r="V1004">
        <v>0.45942408689931202</v>
      </c>
      <c r="W1004">
        <v>1</v>
      </c>
      <c r="X1004">
        <v>2507.548857196</v>
      </c>
      <c r="Y1004">
        <v>216417</v>
      </c>
      <c r="Z1004">
        <v>8.3066128778066996E-4</v>
      </c>
      <c r="AA1004">
        <v>20</v>
      </c>
    </row>
    <row r="1005" spans="1:27" x14ac:dyDescent="0.2">
      <c r="A1005">
        <v>10</v>
      </c>
      <c r="B1005">
        <v>1</v>
      </c>
      <c r="C1005">
        <v>0.3</v>
      </c>
      <c r="D1005">
        <v>100</v>
      </c>
      <c r="E1005">
        <v>0.20930356238989101</v>
      </c>
      <c r="F1005">
        <v>1</v>
      </c>
      <c r="G1005">
        <v>33.611529328000003</v>
      </c>
      <c r="H1005">
        <v>0.120372045702972</v>
      </c>
      <c r="I1005">
        <v>1</v>
      </c>
      <c r="J1005">
        <v>0.31681150299999999</v>
      </c>
      <c r="K1005">
        <v>0.32570274155666001</v>
      </c>
      <c r="L1005">
        <v>1</v>
      </c>
      <c r="M1005">
        <v>3600.6717744590001</v>
      </c>
      <c r="N1005">
        <v>1644620</v>
      </c>
      <c r="O1005">
        <v>1.6180600531910699E-2</v>
      </c>
      <c r="P1005">
        <v>0.205485985654007</v>
      </c>
      <c r="Q1005">
        <v>1</v>
      </c>
      <c r="R1005">
        <v>202.36781678700001</v>
      </c>
      <c r="S1005">
        <v>4890</v>
      </c>
      <c r="T1005">
        <v>4.6641100504800602E-3</v>
      </c>
      <c r="U1005">
        <v>3857</v>
      </c>
      <c r="V1005">
        <v>0.27211451909130902</v>
      </c>
      <c r="W1005">
        <v>1</v>
      </c>
      <c r="X1005">
        <v>356.07030024699998</v>
      </c>
      <c r="Y1005">
        <v>29907</v>
      </c>
      <c r="Z1005">
        <v>2.68960534577622E-3</v>
      </c>
      <c r="AA1005">
        <v>20</v>
      </c>
    </row>
    <row r="1006" spans="1:27" x14ac:dyDescent="0.2">
      <c r="A1006">
        <v>10</v>
      </c>
      <c r="B1006">
        <v>1</v>
      </c>
      <c r="C1006">
        <v>0.3</v>
      </c>
      <c r="D1006">
        <v>100</v>
      </c>
      <c r="E1006">
        <v>0.45582732528942699</v>
      </c>
      <c r="F1006">
        <v>1</v>
      </c>
      <c r="G1006">
        <v>32.502148578000003</v>
      </c>
      <c r="H1006">
        <v>0.16596248498543001</v>
      </c>
      <c r="I1006">
        <v>1</v>
      </c>
      <c r="J1006">
        <v>0.311985717</v>
      </c>
      <c r="K1006">
        <v>0.16372380152309099</v>
      </c>
      <c r="L1006">
        <v>1</v>
      </c>
      <c r="M1006">
        <v>3600.5222925200001</v>
      </c>
      <c r="N1006">
        <v>637660</v>
      </c>
      <c r="O1006">
        <v>5.8677482507185604E-3</v>
      </c>
      <c r="P1006">
        <v>1.14235268839742</v>
      </c>
      <c r="Q1006">
        <v>1</v>
      </c>
      <c r="R1006">
        <v>311.79082359900002</v>
      </c>
      <c r="S1006">
        <v>8123</v>
      </c>
      <c r="T1006">
        <v>6.9908303277654805E-4</v>
      </c>
      <c r="U1006">
        <v>6013</v>
      </c>
      <c r="V1006">
        <v>0.34858376105037298</v>
      </c>
      <c r="W1006">
        <v>1</v>
      </c>
      <c r="X1006">
        <v>3018.9863034320001</v>
      </c>
      <c r="Y1006">
        <v>274011</v>
      </c>
      <c r="Z1006">
        <v>2.1400772227515201E-3</v>
      </c>
      <c r="AA1006">
        <v>20</v>
      </c>
    </row>
    <row r="1007" spans="1:27" x14ac:dyDescent="0.2">
      <c r="A1007">
        <v>10</v>
      </c>
      <c r="B1007">
        <v>1</v>
      </c>
      <c r="C1007">
        <v>0.4</v>
      </c>
      <c r="D1007">
        <v>100</v>
      </c>
      <c r="E1007">
        <v>0.30722210441875403</v>
      </c>
      <c r="F1007">
        <v>1</v>
      </c>
      <c r="G1007">
        <v>33.887487030999999</v>
      </c>
      <c r="H1007">
        <v>5.9759793257330697E-2</v>
      </c>
      <c r="I1007">
        <v>1</v>
      </c>
      <c r="J1007">
        <v>0.20026802499999999</v>
      </c>
      <c r="K1007">
        <v>5.9339769813322403E-2</v>
      </c>
      <c r="L1007">
        <v>1</v>
      </c>
      <c r="M1007">
        <v>3600.953295968</v>
      </c>
      <c r="N1007">
        <v>754457</v>
      </c>
      <c r="O1007">
        <v>4.1879584345210202E-3</v>
      </c>
      <c r="P1007">
        <v>0.25744176909222</v>
      </c>
      <c r="Q1007">
        <v>1</v>
      </c>
      <c r="R1007">
        <v>701.58553699100003</v>
      </c>
      <c r="S1007">
        <v>14918</v>
      </c>
      <c r="T1007">
        <v>1.84172637688215E-3</v>
      </c>
      <c r="U1007">
        <v>8477</v>
      </c>
      <c r="V1007">
        <v>0.19483954784743701</v>
      </c>
      <c r="W1007">
        <v>1</v>
      </c>
      <c r="X1007">
        <v>2906.0010835399999</v>
      </c>
      <c r="Y1007">
        <v>299039</v>
      </c>
      <c r="Z1007">
        <v>5.5078253311438797E-3</v>
      </c>
      <c r="AA1007">
        <v>20</v>
      </c>
    </row>
    <row r="1008" spans="1:27" x14ac:dyDescent="0.2">
      <c r="A1008">
        <v>10</v>
      </c>
      <c r="B1008">
        <v>1</v>
      </c>
      <c r="C1008">
        <v>0.3</v>
      </c>
      <c r="D1008">
        <v>100</v>
      </c>
      <c r="E1008">
        <v>0.25448075434880502</v>
      </c>
      <c r="F1008">
        <v>1</v>
      </c>
      <c r="G1008">
        <v>35.091499366000001</v>
      </c>
      <c r="H1008">
        <v>8.1556721666878995E-2</v>
      </c>
      <c r="I1008">
        <v>1</v>
      </c>
      <c r="J1008">
        <v>0.108661786</v>
      </c>
      <c r="K1008">
        <v>8.0613469039618704E-2</v>
      </c>
      <c r="L1008">
        <v>1</v>
      </c>
      <c r="M1008">
        <v>3601.2926199449998</v>
      </c>
      <c r="N1008">
        <v>517343</v>
      </c>
      <c r="O1008">
        <v>1.45575836493989E-2</v>
      </c>
      <c r="P1008">
        <v>0.23385532187340799</v>
      </c>
      <c r="Q1008">
        <v>1</v>
      </c>
      <c r="R1008">
        <v>286.26328013900002</v>
      </c>
      <c r="S1008">
        <v>6430</v>
      </c>
      <c r="T1008">
        <v>8.2038297713490904E-4</v>
      </c>
      <c r="U1008">
        <v>3961</v>
      </c>
      <c r="V1008">
        <v>0.14051851748435701</v>
      </c>
      <c r="W1008">
        <v>1</v>
      </c>
      <c r="X1008">
        <v>2865.5900574860002</v>
      </c>
      <c r="Y1008">
        <v>130385</v>
      </c>
      <c r="Z1008">
        <v>2.49575734013926E-3</v>
      </c>
      <c r="AA1008">
        <v>20</v>
      </c>
    </row>
    <row r="1009" spans="1:27" x14ac:dyDescent="0.2">
      <c r="A1009">
        <v>10</v>
      </c>
      <c r="B1009">
        <v>1</v>
      </c>
      <c r="C1009">
        <v>0.4</v>
      </c>
      <c r="D1009">
        <v>100</v>
      </c>
      <c r="E1009">
        <v>0.228949940184972</v>
      </c>
      <c r="F1009">
        <v>1</v>
      </c>
      <c r="G1009">
        <v>34.331366094000003</v>
      </c>
      <c r="H1009">
        <v>0.14053307929509901</v>
      </c>
      <c r="I1009">
        <v>1</v>
      </c>
      <c r="J1009">
        <v>0.273506992</v>
      </c>
      <c r="K1009">
        <v>0.13517526417075901</v>
      </c>
      <c r="L1009">
        <v>1</v>
      </c>
      <c r="M1009">
        <v>3600.7062282420002</v>
      </c>
      <c r="N1009">
        <v>859629</v>
      </c>
      <c r="O1009">
        <v>4.03625562258103E-3</v>
      </c>
      <c r="P1009">
        <v>0.39260389001371399</v>
      </c>
      <c r="Q1009">
        <v>1</v>
      </c>
      <c r="R1009">
        <v>756.76772378600003</v>
      </c>
      <c r="S1009">
        <v>28486</v>
      </c>
      <c r="T1009">
        <v>6.7722979055617695E-4</v>
      </c>
      <c r="U1009">
        <v>16139</v>
      </c>
      <c r="V1009">
        <v>0.19129281754882299</v>
      </c>
      <c r="W1009">
        <v>1</v>
      </c>
      <c r="X1009">
        <v>2726.3151947669999</v>
      </c>
      <c r="Y1009">
        <v>125221</v>
      </c>
      <c r="Z1009">
        <v>2.61158411259578E-3</v>
      </c>
      <c r="AA1009">
        <v>20</v>
      </c>
    </row>
    <row r="1010" spans="1:27" x14ac:dyDescent="0.2">
      <c r="A1010">
        <v>10</v>
      </c>
      <c r="B1010">
        <v>1</v>
      </c>
      <c r="C1010">
        <v>0.2</v>
      </c>
      <c r="D1010">
        <v>100</v>
      </c>
      <c r="E1010">
        <v>0.86876686559145799</v>
      </c>
      <c r="F1010">
        <v>1</v>
      </c>
      <c r="G1010">
        <v>34.955797988999997</v>
      </c>
      <c r="H1010">
        <v>0.71457416952293296</v>
      </c>
      <c r="I1010">
        <v>1</v>
      </c>
      <c r="J1010">
        <v>0.25652528899999999</v>
      </c>
      <c r="K1010">
        <v>1.05779469907896</v>
      </c>
      <c r="L1010">
        <v>1</v>
      </c>
      <c r="M1010">
        <v>3600.6042166920001</v>
      </c>
      <c r="N1010">
        <v>750983</v>
      </c>
      <c r="O1010">
        <v>1.6792324785336099E-2</v>
      </c>
      <c r="P1010">
        <v>0.62089593217792804</v>
      </c>
      <c r="Q1010">
        <v>1</v>
      </c>
      <c r="R1010">
        <v>577.28748778299996</v>
      </c>
      <c r="S1010">
        <v>10508</v>
      </c>
      <c r="T1010">
        <v>3.8088419751790899E-4</v>
      </c>
      <c r="U1010">
        <v>7371</v>
      </c>
      <c r="V1010">
        <v>1.0623566062547001</v>
      </c>
      <c r="W1010">
        <v>1</v>
      </c>
      <c r="X1010">
        <v>2963.416001434</v>
      </c>
      <c r="Y1010">
        <v>484246</v>
      </c>
      <c r="Z1010">
        <v>5.2581854736310997E-4</v>
      </c>
      <c r="AA1010">
        <v>20</v>
      </c>
    </row>
    <row r="1011" spans="1:27" x14ac:dyDescent="0.2">
      <c r="A1011">
        <v>10</v>
      </c>
      <c r="B1011">
        <v>1</v>
      </c>
      <c r="C1011">
        <v>0.4</v>
      </c>
      <c r="D1011">
        <v>100</v>
      </c>
      <c r="E1011">
        <v>0.121290077891673</v>
      </c>
      <c r="F1011">
        <v>1</v>
      </c>
      <c r="G1011">
        <v>30.122486961</v>
      </c>
      <c r="H1011">
        <v>2.5521597256848098E-2</v>
      </c>
      <c r="I1011">
        <v>1</v>
      </c>
      <c r="J1011">
        <v>0.11448653</v>
      </c>
      <c r="K1011">
        <v>2.5648864872644801E-2</v>
      </c>
      <c r="L1011">
        <v>1</v>
      </c>
      <c r="M1011">
        <v>153.00549820000001</v>
      </c>
      <c r="N1011">
        <v>75542</v>
      </c>
      <c r="O1011">
        <v>2.3939129862711101E-3</v>
      </c>
      <c r="P1011">
        <v>3.7364354110403397E-2</v>
      </c>
      <c r="Q1011">
        <v>1</v>
      </c>
      <c r="R1011">
        <v>141.04961836699999</v>
      </c>
      <c r="S1011">
        <v>2811</v>
      </c>
      <c r="T1011">
        <v>2.2493962837509501E-3</v>
      </c>
      <c r="U1011">
        <v>2222</v>
      </c>
      <c r="V1011">
        <v>2.2907538649261198E-2</v>
      </c>
      <c r="W1011">
        <v>1</v>
      </c>
      <c r="X1011">
        <v>31.218449777</v>
      </c>
      <c r="Y1011">
        <v>3128</v>
      </c>
      <c r="Z1011">
        <v>2.1561655764274698E-3</v>
      </c>
      <c r="AA1011">
        <v>11</v>
      </c>
    </row>
    <row r="1012" spans="1:27" x14ac:dyDescent="0.2">
      <c r="A1012">
        <v>10</v>
      </c>
      <c r="B1012">
        <v>1</v>
      </c>
      <c r="C1012">
        <v>0.4</v>
      </c>
      <c r="D1012">
        <v>100</v>
      </c>
      <c r="E1012">
        <v>8.3106946893527295E-2</v>
      </c>
      <c r="F1012">
        <v>1</v>
      </c>
      <c r="G1012">
        <v>30.922249895</v>
      </c>
      <c r="H1012">
        <v>3.9364436346162802E-2</v>
      </c>
      <c r="I1012">
        <v>1</v>
      </c>
      <c r="J1012">
        <v>0.11634575599999999</v>
      </c>
      <c r="K1012">
        <v>3.91992166507684E-2</v>
      </c>
      <c r="L1012">
        <v>1</v>
      </c>
      <c r="M1012">
        <v>687.76605446099995</v>
      </c>
      <c r="N1012">
        <v>244131</v>
      </c>
      <c r="O1012">
        <v>3.3091993678055999E-3</v>
      </c>
      <c r="P1012">
        <v>3.7787585025547001E-2</v>
      </c>
      <c r="Q1012">
        <v>1</v>
      </c>
      <c r="R1012">
        <v>24.057736876</v>
      </c>
      <c r="S1012">
        <v>53</v>
      </c>
      <c r="T1012">
        <v>3.2061364141664399E-3</v>
      </c>
      <c r="U1012">
        <v>39</v>
      </c>
      <c r="V1012">
        <v>3.7787585034452502E-2</v>
      </c>
      <c r="W1012">
        <v>1</v>
      </c>
      <c r="X1012">
        <v>7.6835871930000001</v>
      </c>
      <c r="Y1012">
        <v>57</v>
      </c>
      <c r="Z1012">
        <v>3.2294080258562499E-3</v>
      </c>
      <c r="AA1012">
        <v>1</v>
      </c>
    </row>
    <row r="1013" spans="1:27" x14ac:dyDescent="0.2">
      <c r="A1013">
        <v>10</v>
      </c>
      <c r="B1013">
        <v>1</v>
      </c>
      <c r="C1013">
        <v>0.3</v>
      </c>
      <c r="D1013">
        <v>100</v>
      </c>
      <c r="E1013">
        <v>0.22791235313713901</v>
      </c>
      <c r="F1013">
        <v>1</v>
      </c>
      <c r="G1013">
        <v>32.178858996999999</v>
      </c>
      <c r="H1013">
        <v>0.22828406938652299</v>
      </c>
      <c r="I1013">
        <v>1</v>
      </c>
      <c r="J1013">
        <v>3.8843648000000001E-2</v>
      </c>
      <c r="K1013">
        <v>0.228296770085922</v>
      </c>
      <c r="L1013">
        <v>1</v>
      </c>
      <c r="M1013">
        <v>1101.0281389050001</v>
      </c>
      <c r="N1013">
        <v>325336</v>
      </c>
      <c r="O1013">
        <v>1.2778442950462899E-3</v>
      </c>
      <c r="P1013">
        <v>0.22811482498361399</v>
      </c>
      <c r="Q1013">
        <v>1</v>
      </c>
      <c r="R1013">
        <v>23.098189398999999</v>
      </c>
      <c r="S1013">
        <v>1</v>
      </c>
      <c r="T1013">
        <v>5.4738425871858599E-4</v>
      </c>
      <c r="U1013">
        <v>3</v>
      </c>
      <c r="V1013">
        <v>0.22811482498351399</v>
      </c>
      <c r="W1013">
        <v>1</v>
      </c>
      <c r="X1013">
        <v>6.4624634600000004</v>
      </c>
      <c r="Y1013">
        <v>1</v>
      </c>
      <c r="Z1013">
        <v>4.3183490813422599E-4</v>
      </c>
      <c r="AA1013">
        <v>1</v>
      </c>
    </row>
    <row r="1014" spans="1:27" x14ac:dyDescent="0.2">
      <c r="A1014">
        <v>10</v>
      </c>
      <c r="B1014">
        <v>1</v>
      </c>
      <c r="C1014">
        <v>0.4</v>
      </c>
      <c r="D1014">
        <v>100</v>
      </c>
      <c r="E1014">
        <v>2.52618499820477E-2</v>
      </c>
      <c r="F1014">
        <v>1</v>
      </c>
      <c r="G1014">
        <v>31.038321138000001</v>
      </c>
      <c r="H1014">
        <v>2.1589338445137898E-2</v>
      </c>
      <c r="I1014">
        <v>1</v>
      </c>
      <c r="J1014">
        <v>5.9397304999999997E-2</v>
      </c>
      <c r="K1014">
        <v>2.13050325060977E-2</v>
      </c>
      <c r="L1014">
        <v>1</v>
      </c>
      <c r="M1014">
        <v>1083.709274413</v>
      </c>
      <c r="N1014">
        <v>316893</v>
      </c>
      <c r="O1014">
        <v>4.0599518242530001E-3</v>
      </c>
      <c r="P1014">
        <v>1.5277556418896601E-2</v>
      </c>
      <c r="Q1014">
        <v>1</v>
      </c>
      <c r="R1014">
        <v>19.581849329000001</v>
      </c>
      <c r="S1014">
        <v>1</v>
      </c>
      <c r="T1014">
        <v>3.29199430115506E-3</v>
      </c>
      <c r="U1014">
        <v>4</v>
      </c>
      <c r="V1014">
        <v>1.527755641912E-2</v>
      </c>
      <c r="W1014">
        <v>1</v>
      </c>
      <c r="X1014">
        <v>8.0035199800000001</v>
      </c>
      <c r="Y1014">
        <v>1</v>
      </c>
      <c r="Z1014">
        <v>2.24511328623383E-3</v>
      </c>
      <c r="AA1014">
        <v>1</v>
      </c>
    </row>
    <row r="1015" spans="1:27" x14ac:dyDescent="0.2">
      <c r="A1015">
        <v>10</v>
      </c>
      <c r="B1015">
        <v>1</v>
      </c>
      <c r="C1015">
        <v>0.4</v>
      </c>
      <c r="D1015">
        <v>100</v>
      </c>
      <c r="E1015">
        <v>4.3646965230275302E-2</v>
      </c>
      <c r="F1015">
        <v>1</v>
      </c>
      <c r="G1015">
        <v>30.757011202000001</v>
      </c>
      <c r="H1015">
        <v>4.31421172157124E-2</v>
      </c>
      <c r="I1015">
        <v>1</v>
      </c>
      <c r="J1015">
        <v>4.6934651000000001E-2</v>
      </c>
      <c r="K1015">
        <v>4.4023041355198599E-2</v>
      </c>
      <c r="L1015">
        <v>1</v>
      </c>
      <c r="M1015">
        <v>3602.6106622570001</v>
      </c>
      <c r="N1015">
        <v>656094</v>
      </c>
      <c r="O1015">
        <v>2.31478053161282E-3</v>
      </c>
      <c r="P1015">
        <v>5.3430631599238498E-2</v>
      </c>
      <c r="Q1015">
        <v>1</v>
      </c>
      <c r="R1015">
        <v>67.908635258999993</v>
      </c>
      <c r="S1015">
        <v>940</v>
      </c>
      <c r="T1015">
        <v>1.8234384454211201E-3</v>
      </c>
      <c r="U1015">
        <v>752</v>
      </c>
      <c r="V1015">
        <v>2.99802278058552E-2</v>
      </c>
      <c r="W1015">
        <v>1</v>
      </c>
      <c r="X1015">
        <v>8.4904221230000001</v>
      </c>
      <c r="Y1015">
        <v>793</v>
      </c>
      <c r="Z1015">
        <v>1.84301268429062E-3</v>
      </c>
      <c r="AA1015">
        <v>1</v>
      </c>
    </row>
    <row r="1016" spans="1:27" x14ac:dyDescent="0.2">
      <c r="A1016">
        <v>10</v>
      </c>
      <c r="B1016">
        <v>1</v>
      </c>
      <c r="C1016">
        <v>0.1</v>
      </c>
      <c r="D1016">
        <v>100</v>
      </c>
      <c r="E1016">
        <v>0.85955485306845603</v>
      </c>
      <c r="F1016">
        <v>1</v>
      </c>
      <c r="G1016">
        <v>32.288889054000002</v>
      </c>
      <c r="H1016">
        <v>0.85901789103011605</v>
      </c>
      <c r="I1016">
        <v>1</v>
      </c>
      <c r="J1016">
        <v>6.4945812000000006E-2</v>
      </c>
      <c r="K1016">
        <v>0.91081761635162795</v>
      </c>
      <c r="L1016">
        <v>1</v>
      </c>
      <c r="M1016">
        <v>3600.7072033210002</v>
      </c>
      <c r="N1016">
        <v>1142477</v>
      </c>
      <c r="O1016">
        <v>9.7113057502795598E-4</v>
      </c>
      <c r="P1016">
        <v>0.83883158626156895</v>
      </c>
      <c r="Q1016">
        <v>1</v>
      </c>
      <c r="R1016">
        <v>92.314857661000005</v>
      </c>
      <c r="S1016">
        <v>1300</v>
      </c>
      <c r="T1016">
        <v>1.4209616173418101E-4</v>
      </c>
      <c r="U1016">
        <v>1274</v>
      </c>
      <c r="V1016">
        <v>0.90818608220719099</v>
      </c>
      <c r="W1016">
        <v>1</v>
      </c>
      <c r="X1016">
        <v>7.4955542839999998</v>
      </c>
      <c r="Y1016">
        <v>2195</v>
      </c>
      <c r="Z1016">
        <v>1.06508750752881E-4</v>
      </c>
      <c r="AA1016">
        <v>1</v>
      </c>
    </row>
    <row r="1017" spans="1:27" x14ac:dyDescent="0.2">
      <c r="A1017">
        <v>10</v>
      </c>
      <c r="B1017">
        <v>1</v>
      </c>
      <c r="C1017">
        <v>0.3</v>
      </c>
      <c r="D1017">
        <v>100</v>
      </c>
      <c r="E1017">
        <v>0.27788783985103199</v>
      </c>
      <c r="F1017">
        <v>1</v>
      </c>
      <c r="G1017">
        <v>33.442485724000001</v>
      </c>
      <c r="H1017">
        <v>0.21766445839874299</v>
      </c>
      <c r="I1017">
        <v>1</v>
      </c>
      <c r="J1017">
        <v>0.26993135899999998</v>
      </c>
      <c r="K1017">
        <v>0.214402401888136</v>
      </c>
      <c r="L1017">
        <v>1</v>
      </c>
      <c r="M1017">
        <v>3600.573511522</v>
      </c>
      <c r="N1017">
        <v>929147</v>
      </c>
      <c r="O1017">
        <v>8.2460002180475504E-3</v>
      </c>
      <c r="P1017">
        <v>0.29798499887541302</v>
      </c>
      <c r="Q1017">
        <v>1</v>
      </c>
      <c r="R1017">
        <v>125.662392759</v>
      </c>
      <c r="S1017">
        <v>2243</v>
      </c>
      <c r="T1017">
        <v>2.2387358364476199E-3</v>
      </c>
      <c r="U1017">
        <v>1861</v>
      </c>
      <c r="V1017">
        <v>0.24238183677792599</v>
      </c>
      <c r="W1017">
        <v>1</v>
      </c>
      <c r="X1017">
        <v>14.776144402</v>
      </c>
      <c r="Y1017">
        <v>1781</v>
      </c>
      <c r="Z1017">
        <v>2.50935598631679E-3</v>
      </c>
      <c r="AA1017">
        <v>1</v>
      </c>
    </row>
    <row r="1018" spans="1:27" x14ac:dyDescent="0.2">
      <c r="A1018">
        <v>10</v>
      </c>
      <c r="B1018">
        <v>1</v>
      </c>
      <c r="C1018">
        <v>0.3</v>
      </c>
      <c r="D1018">
        <v>100</v>
      </c>
      <c r="E1018">
        <v>2.07491469256759E-2</v>
      </c>
      <c r="F1018">
        <v>1</v>
      </c>
      <c r="G1018">
        <v>35.650841167000003</v>
      </c>
      <c r="H1018">
        <v>2.0092556745426999E-2</v>
      </c>
      <c r="I1018">
        <v>1</v>
      </c>
      <c r="J1018">
        <v>7.1819765999999993E-2</v>
      </c>
      <c r="K1018">
        <v>1.9844431324259899E-2</v>
      </c>
      <c r="L1018">
        <v>1</v>
      </c>
      <c r="M1018">
        <v>3600.5773521639999</v>
      </c>
      <c r="N1018">
        <v>709270</v>
      </c>
      <c r="O1018">
        <v>5.0620437390378401E-3</v>
      </c>
      <c r="P1018">
        <v>1.44638775965813E-2</v>
      </c>
      <c r="Q1018">
        <v>1</v>
      </c>
      <c r="R1018">
        <v>24.330765445000001</v>
      </c>
      <c r="S1018">
        <v>1</v>
      </c>
      <c r="T1018">
        <v>1.38733864584697E-3</v>
      </c>
      <c r="U1018">
        <v>3</v>
      </c>
      <c r="V1018">
        <v>1.4463877595868599E-2</v>
      </c>
      <c r="W1018">
        <v>1</v>
      </c>
      <c r="X1018">
        <v>7.9119397640000004</v>
      </c>
      <c r="Y1018">
        <v>1</v>
      </c>
      <c r="Z1018">
        <v>9.6098800861502099E-4</v>
      </c>
      <c r="AA1018">
        <v>1</v>
      </c>
    </row>
    <row r="1019" spans="1:27" x14ac:dyDescent="0.2">
      <c r="A1019">
        <v>10</v>
      </c>
      <c r="B1019">
        <v>1</v>
      </c>
      <c r="C1019">
        <v>0.1</v>
      </c>
      <c r="D1019">
        <v>100</v>
      </c>
      <c r="E1019">
        <v>0.906685281340463</v>
      </c>
      <c r="F1019">
        <v>1</v>
      </c>
      <c r="G1019">
        <v>32.068853288</v>
      </c>
      <c r="H1019">
        <v>0.89741748768539298</v>
      </c>
      <c r="I1019">
        <v>1</v>
      </c>
      <c r="J1019">
        <v>9.6199255999999997E-2</v>
      </c>
      <c r="K1019">
        <v>1.2312873632766099</v>
      </c>
      <c r="L1019">
        <v>1</v>
      </c>
      <c r="M1019">
        <v>3600.806257618</v>
      </c>
      <c r="N1019">
        <v>995715</v>
      </c>
      <c r="O1019">
        <v>3.4924661015049898E-3</v>
      </c>
      <c r="P1019">
        <v>1.20977566413189</v>
      </c>
      <c r="Q1019">
        <v>1</v>
      </c>
      <c r="R1019">
        <v>189.42830361200001</v>
      </c>
      <c r="S1019">
        <v>4648</v>
      </c>
      <c r="T1019">
        <v>1.12375596203428E-4</v>
      </c>
      <c r="U1019">
        <v>3444</v>
      </c>
      <c r="V1019">
        <v>0.74276591224119004</v>
      </c>
      <c r="W1019">
        <v>1</v>
      </c>
      <c r="X1019">
        <v>7.7180085490000003</v>
      </c>
      <c r="Y1019">
        <v>3875</v>
      </c>
      <c r="Z1019" s="1">
        <v>7.1902711862916206E-5</v>
      </c>
      <c r="AA1019">
        <v>1</v>
      </c>
    </row>
    <row r="1020" spans="1:27" x14ac:dyDescent="0.2">
      <c r="A1020">
        <v>10</v>
      </c>
      <c r="B1020">
        <v>1</v>
      </c>
      <c r="C1020">
        <v>0.2</v>
      </c>
      <c r="D1020">
        <v>100</v>
      </c>
      <c r="E1020">
        <v>0.81101357548508601</v>
      </c>
      <c r="F1020">
        <v>1</v>
      </c>
      <c r="G1020">
        <v>33.541042036999997</v>
      </c>
      <c r="H1020">
        <v>0.800492467557681</v>
      </c>
      <c r="I1020">
        <v>1</v>
      </c>
      <c r="J1020">
        <v>7.5493279999999996E-2</v>
      </c>
      <c r="K1020">
        <v>0.60678521760520898</v>
      </c>
      <c r="L1020">
        <v>1</v>
      </c>
      <c r="M1020">
        <v>3601.5760641289999</v>
      </c>
      <c r="N1020">
        <v>436726</v>
      </c>
      <c r="O1020">
        <v>1.69837136804433E-2</v>
      </c>
      <c r="P1020">
        <v>0.62042612512320205</v>
      </c>
      <c r="Q1020">
        <v>1</v>
      </c>
      <c r="R1020">
        <v>116.598367559</v>
      </c>
      <c r="S1020">
        <v>2171</v>
      </c>
      <c r="T1020">
        <v>3.2219871894013902E-4</v>
      </c>
      <c r="U1020">
        <v>2121</v>
      </c>
      <c r="V1020">
        <v>0.61463298650662102</v>
      </c>
      <c r="W1020">
        <v>1</v>
      </c>
      <c r="X1020">
        <v>8.5794491970000006</v>
      </c>
      <c r="Y1020">
        <v>1300</v>
      </c>
      <c r="Z1020">
        <v>3.3494480537483301E-4</v>
      </c>
      <c r="AA1020">
        <v>1</v>
      </c>
    </row>
    <row r="1021" spans="1:27" x14ac:dyDescent="0.2">
      <c r="A1021">
        <v>10</v>
      </c>
      <c r="B1021">
        <v>1</v>
      </c>
      <c r="C1021">
        <v>0.1</v>
      </c>
      <c r="D1021">
        <v>100</v>
      </c>
      <c r="E1021">
        <v>0.97512564409890901</v>
      </c>
      <c r="F1021">
        <v>1</v>
      </c>
      <c r="G1021">
        <v>31.515014332</v>
      </c>
      <c r="H1021">
        <v>0.97512564409890901</v>
      </c>
      <c r="I1021">
        <v>1</v>
      </c>
      <c r="J1021">
        <v>3.4883145999999997E-2</v>
      </c>
      <c r="K1021">
        <v>1.0437566856666201</v>
      </c>
      <c r="L1021">
        <v>1</v>
      </c>
      <c r="M1021">
        <v>3600.4900828</v>
      </c>
      <c r="N1021">
        <v>525314</v>
      </c>
      <c r="O1021">
        <v>2.2928939324189301E-3</v>
      </c>
      <c r="P1021">
        <v>1.08659754527237</v>
      </c>
      <c r="Q1021">
        <v>1</v>
      </c>
      <c r="R1021">
        <v>144.84598609599999</v>
      </c>
      <c r="S1021">
        <v>2470</v>
      </c>
      <c r="T1021" s="1">
        <v>7.3299081301131306E-8</v>
      </c>
      <c r="U1021">
        <v>2474</v>
      </c>
      <c r="V1021">
        <v>0.95794003504125402</v>
      </c>
      <c r="W1021">
        <v>1</v>
      </c>
      <c r="X1021">
        <v>7.1935376299999998</v>
      </c>
      <c r="Y1021">
        <v>3121</v>
      </c>
      <c r="Z1021" s="1">
        <v>3.6069554303986002E-7</v>
      </c>
      <c r="AA1021">
        <v>1</v>
      </c>
    </row>
    <row r="1022" spans="1:27" x14ac:dyDescent="0.2">
      <c r="A1022">
        <v>10</v>
      </c>
      <c r="B1022">
        <v>1</v>
      </c>
      <c r="C1022">
        <v>0.1</v>
      </c>
      <c r="D1022">
        <v>100</v>
      </c>
      <c r="E1022">
        <v>1.0874326281212301</v>
      </c>
      <c r="F1022">
        <v>1</v>
      </c>
      <c r="G1022">
        <v>33.742297336</v>
      </c>
      <c r="H1022">
        <v>0.93029994500302404</v>
      </c>
      <c r="I1022">
        <v>1</v>
      </c>
      <c r="J1022">
        <v>0.24226994800000001</v>
      </c>
      <c r="K1022">
        <v>0.90507252771681201</v>
      </c>
      <c r="L1022">
        <v>1</v>
      </c>
      <c r="M1022">
        <v>3600.7225636799999</v>
      </c>
      <c r="N1022">
        <v>611457</v>
      </c>
      <c r="O1022">
        <v>1.7735935394138601E-3</v>
      </c>
      <c r="P1022">
        <v>1.0998430745813299</v>
      </c>
      <c r="Q1022">
        <v>1</v>
      </c>
      <c r="R1022">
        <v>150.356287033</v>
      </c>
      <c r="S1022">
        <v>2782</v>
      </c>
      <c r="T1022" s="1">
        <v>1.8989911231185099E-5</v>
      </c>
      <c r="U1022">
        <v>2741</v>
      </c>
      <c r="V1022">
        <v>1.0371739015223</v>
      </c>
      <c r="W1022">
        <v>1</v>
      </c>
      <c r="X1022">
        <v>5.5959625050000001</v>
      </c>
      <c r="Y1022">
        <v>1183</v>
      </c>
      <c r="Z1022" s="1">
        <v>1.4423600969484599E-5</v>
      </c>
      <c r="AA1022">
        <v>1</v>
      </c>
    </row>
    <row r="1023" spans="1:27" x14ac:dyDescent="0.2">
      <c r="A1023">
        <v>10</v>
      </c>
      <c r="B1023">
        <v>1</v>
      </c>
      <c r="C1023">
        <v>0.1</v>
      </c>
      <c r="D1023">
        <v>100</v>
      </c>
      <c r="E1023">
        <v>0.98529808145130104</v>
      </c>
      <c r="F1023">
        <v>1</v>
      </c>
      <c r="G1023">
        <v>31.942732119999999</v>
      </c>
      <c r="H1023">
        <v>0.98529808145130104</v>
      </c>
      <c r="I1023">
        <v>1</v>
      </c>
      <c r="J1023">
        <v>3.8123549E-2</v>
      </c>
      <c r="K1023">
        <v>0.98742145817179305</v>
      </c>
      <c r="L1023">
        <v>1</v>
      </c>
      <c r="M1023">
        <v>3600.5044964429999</v>
      </c>
      <c r="N1023">
        <v>568992</v>
      </c>
      <c r="O1023">
        <v>4.6730001015804698E-3</v>
      </c>
      <c r="P1023">
        <v>1.1048312023482401</v>
      </c>
      <c r="Q1023">
        <v>1</v>
      </c>
      <c r="R1023">
        <v>172.706090499</v>
      </c>
      <c r="S1023">
        <v>2520</v>
      </c>
      <c r="T1023" s="1">
        <v>1.5908970978977999E-6</v>
      </c>
      <c r="U1023">
        <v>2444</v>
      </c>
      <c r="V1023">
        <v>1.1570249974302</v>
      </c>
      <c r="W1023">
        <v>1</v>
      </c>
      <c r="X1023">
        <v>6.3381928030000001</v>
      </c>
      <c r="Y1023">
        <v>1682</v>
      </c>
      <c r="Z1023" s="1">
        <v>1.2695472038097899E-5</v>
      </c>
      <c r="AA1023">
        <v>1</v>
      </c>
    </row>
    <row r="1024" spans="1:27" x14ac:dyDescent="0.2">
      <c r="A1024">
        <v>10</v>
      </c>
      <c r="B1024">
        <v>1</v>
      </c>
      <c r="C1024">
        <v>0.3</v>
      </c>
      <c r="D1024">
        <v>100</v>
      </c>
      <c r="E1024">
        <v>0.46792457427305501</v>
      </c>
      <c r="F1024">
        <v>1</v>
      </c>
      <c r="G1024">
        <v>32.315427372999999</v>
      </c>
      <c r="H1024">
        <v>0.26405394432628099</v>
      </c>
      <c r="I1024">
        <v>1</v>
      </c>
      <c r="J1024">
        <v>0.18880276100000001</v>
      </c>
      <c r="K1024">
        <v>0.25522129493843398</v>
      </c>
      <c r="L1024">
        <v>1</v>
      </c>
      <c r="M1024">
        <v>3600.6416961909999</v>
      </c>
      <c r="N1024">
        <v>685316</v>
      </c>
      <c r="O1024">
        <v>5.0443636633996604E-3</v>
      </c>
      <c r="P1024">
        <v>0.344144938403598</v>
      </c>
      <c r="Q1024">
        <v>1</v>
      </c>
      <c r="R1024">
        <v>173.644018781</v>
      </c>
      <c r="S1024">
        <v>2636</v>
      </c>
      <c r="T1024">
        <v>4.38459255206843E-4</v>
      </c>
      <c r="U1024">
        <v>2317</v>
      </c>
      <c r="V1024">
        <v>0.33695129668791901</v>
      </c>
      <c r="W1024">
        <v>1</v>
      </c>
      <c r="X1024">
        <v>15.581295231</v>
      </c>
      <c r="Y1024">
        <v>1523</v>
      </c>
      <c r="Z1024">
        <v>4.14636853712971E-4</v>
      </c>
      <c r="AA1024">
        <v>1</v>
      </c>
    </row>
    <row r="1025" spans="1:27" x14ac:dyDescent="0.2">
      <c r="A1025">
        <v>10</v>
      </c>
      <c r="B1025">
        <v>1</v>
      </c>
      <c r="C1025">
        <v>0.4</v>
      </c>
      <c r="D1025">
        <v>100</v>
      </c>
      <c r="E1025">
        <v>0.13750471463268399</v>
      </c>
      <c r="F1025">
        <v>1</v>
      </c>
      <c r="G1025">
        <v>34.372153906999998</v>
      </c>
      <c r="H1025">
        <v>3.8795789090639597E-2</v>
      </c>
      <c r="I1025">
        <v>1</v>
      </c>
      <c r="J1025">
        <v>0.105229777</v>
      </c>
      <c r="K1025">
        <v>3.74050390115091E-2</v>
      </c>
      <c r="L1025">
        <v>1</v>
      </c>
      <c r="M1025">
        <v>3600.7513815749999</v>
      </c>
      <c r="N1025">
        <v>911798</v>
      </c>
      <c r="O1025">
        <v>2.1073406510829702E-3</v>
      </c>
      <c r="P1025">
        <v>3.8360835848446198E-2</v>
      </c>
      <c r="Q1025">
        <v>1</v>
      </c>
      <c r="R1025">
        <v>173.89893338600001</v>
      </c>
      <c r="S1025">
        <v>3550</v>
      </c>
      <c r="T1025">
        <v>1.9552837427005399E-3</v>
      </c>
      <c r="U1025">
        <v>2638</v>
      </c>
      <c r="V1025">
        <v>4.2467873358700302E-2</v>
      </c>
      <c r="W1025">
        <v>1</v>
      </c>
      <c r="X1025">
        <v>17.431693966000001</v>
      </c>
      <c r="Y1025">
        <v>1</v>
      </c>
      <c r="Z1025">
        <v>3.36988820569919E-3</v>
      </c>
      <c r="AA1025">
        <v>2</v>
      </c>
    </row>
    <row r="1026" spans="1:27" x14ac:dyDescent="0.2">
      <c r="A1026">
        <v>10</v>
      </c>
      <c r="B1026">
        <v>1</v>
      </c>
      <c r="C1026">
        <v>0.2</v>
      </c>
      <c r="D1026">
        <v>100</v>
      </c>
      <c r="E1026">
        <v>2.06067390275454</v>
      </c>
      <c r="F1026">
        <v>1</v>
      </c>
      <c r="G1026">
        <v>32.910605365000002</v>
      </c>
      <c r="H1026">
        <v>0.47658691135514603</v>
      </c>
      <c r="I1026">
        <v>1</v>
      </c>
      <c r="J1026">
        <v>0.69184003999999999</v>
      </c>
      <c r="K1026">
        <v>0.67814446831136299</v>
      </c>
      <c r="L1026">
        <v>1</v>
      </c>
      <c r="M1026">
        <v>3600.6281636069998</v>
      </c>
      <c r="N1026">
        <v>499329</v>
      </c>
      <c r="O1026">
        <v>2.8234755809755499E-2</v>
      </c>
      <c r="P1026">
        <v>1.23852167090058</v>
      </c>
      <c r="Q1026">
        <v>1</v>
      </c>
      <c r="R1026">
        <v>159.56543646399999</v>
      </c>
      <c r="S1026">
        <v>2113</v>
      </c>
      <c r="T1026">
        <v>5.3006486799446397E-4</v>
      </c>
      <c r="U1026">
        <v>2065</v>
      </c>
      <c r="V1026">
        <v>1.22730289705721</v>
      </c>
      <c r="W1026">
        <v>1</v>
      </c>
      <c r="X1026">
        <v>14.152095931</v>
      </c>
      <c r="Y1026">
        <v>2750</v>
      </c>
      <c r="Z1026">
        <v>2.22442294593686E-4</v>
      </c>
      <c r="AA1026">
        <v>1</v>
      </c>
    </row>
    <row r="1027" spans="1:27" x14ac:dyDescent="0.2">
      <c r="A1027">
        <v>10</v>
      </c>
      <c r="B1027">
        <v>1</v>
      </c>
      <c r="C1027">
        <v>0.2</v>
      </c>
      <c r="D1027">
        <v>100</v>
      </c>
      <c r="E1027">
        <v>0.72444063427522598</v>
      </c>
      <c r="F1027">
        <v>1</v>
      </c>
      <c r="G1027">
        <v>38.966636911000002</v>
      </c>
      <c r="H1027">
        <v>0.71501244357321803</v>
      </c>
      <c r="I1027">
        <v>1</v>
      </c>
      <c r="J1027">
        <v>5.8355461999999997E-2</v>
      </c>
      <c r="K1027">
        <v>1.18844625918913</v>
      </c>
      <c r="L1027">
        <v>1</v>
      </c>
      <c r="M1027">
        <v>3602.1173165499999</v>
      </c>
      <c r="N1027">
        <v>899027</v>
      </c>
      <c r="O1027">
        <v>3.3840239656122099E-3</v>
      </c>
      <c r="P1027">
        <v>1.2225298596701</v>
      </c>
      <c r="Q1027">
        <v>1</v>
      </c>
      <c r="R1027">
        <v>113.054953918</v>
      </c>
      <c r="S1027">
        <v>1147</v>
      </c>
      <c r="T1027">
        <v>3.6062463678313001E-4</v>
      </c>
      <c r="U1027">
        <v>1150</v>
      </c>
      <c r="V1027">
        <v>1.1933450814523801</v>
      </c>
      <c r="W1027">
        <v>1</v>
      </c>
      <c r="X1027">
        <v>12.390841765999999</v>
      </c>
      <c r="Y1027">
        <v>2790</v>
      </c>
      <c r="Z1027">
        <v>2.5425769195940002E-4</v>
      </c>
      <c r="AA1027">
        <v>1</v>
      </c>
    </row>
    <row r="1028" spans="1:27" x14ac:dyDescent="0.2">
      <c r="A1028">
        <v>10</v>
      </c>
      <c r="B1028">
        <v>1</v>
      </c>
      <c r="C1028">
        <v>0.1</v>
      </c>
      <c r="D1028">
        <v>100</v>
      </c>
      <c r="E1028">
        <v>0.97413063105920195</v>
      </c>
      <c r="F1028">
        <v>1</v>
      </c>
      <c r="G1028">
        <v>31.662643167999999</v>
      </c>
      <c r="H1028">
        <v>0.97413063811764</v>
      </c>
      <c r="I1028">
        <v>1</v>
      </c>
      <c r="J1028">
        <v>3.6895445999999998E-2</v>
      </c>
      <c r="K1028">
        <v>1.11371489232828</v>
      </c>
      <c r="L1028">
        <v>1</v>
      </c>
      <c r="M1028">
        <v>3600.819657561</v>
      </c>
      <c r="N1028">
        <v>778765</v>
      </c>
      <c r="O1028">
        <v>2.0778385481441302E-3</v>
      </c>
      <c r="P1028">
        <v>0.96967170894578902</v>
      </c>
      <c r="Q1028">
        <v>1</v>
      </c>
      <c r="R1028">
        <v>107.253016167</v>
      </c>
      <c r="S1028">
        <v>2199</v>
      </c>
      <c r="T1028" s="1">
        <v>9.5943213003855198E-6</v>
      </c>
      <c r="U1028">
        <v>2164</v>
      </c>
      <c r="V1028">
        <v>0.86411960325417303</v>
      </c>
      <c r="W1028">
        <v>1</v>
      </c>
      <c r="X1028">
        <v>6.5299103179999998</v>
      </c>
      <c r="Y1028">
        <v>1290</v>
      </c>
      <c r="Z1028" s="1">
        <v>1.61509765464994E-6</v>
      </c>
      <c r="AA1028">
        <v>1</v>
      </c>
    </row>
    <row r="1029" spans="1:27" x14ac:dyDescent="0.2">
      <c r="A1029">
        <v>10</v>
      </c>
      <c r="B1029">
        <v>1</v>
      </c>
      <c r="C1029">
        <v>0.1</v>
      </c>
      <c r="D1029">
        <v>100</v>
      </c>
      <c r="E1029">
        <v>0.95429963264548501</v>
      </c>
      <c r="F1029">
        <v>1</v>
      </c>
      <c r="G1029">
        <v>34.157375344000002</v>
      </c>
      <c r="H1029">
        <v>0.954299632645634</v>
      </c>
      <c r="I1029">
        <v>1</v>
      </c>
      <c r="J1029">
        <v>4.1628064999999999E-2</v>
      </c>
      <c r="K1029">
        <v>1.0166424174531901</v>
      </c>
      <c r="L1029">
        <v>1</v>
      </c>
      <c r="M1029">
        <v>3600.9286871740001</v>
      </c>
      <c r="N1029">
        <v>649837</v>
      </c>
      <c r="O1029">
        <v>4.3631164324633397E-3</v>
      </c>
      <c r="P1029">
        <v>1.1561376331945701</v>
      </c>
      <c r="Q1029">
        <v>1</v>
      </c>
      <c r="R1029">
        <v>80.363804205999998</v>
      </c>
      <c r="S1029">
        <v>1336</v>
      </c>
      <c r="T1029" s="1">
        <v>4.7218391781914098E-6</v>
      </c>
      <c r="U1029">
        <v>1340</v>
      </c>
      <c r="V1029">
        <v>1.18351379960447</v>
      </c>
      <c r="W1029">
        <v>1</v>
      </c>
      <c r="X1029">
        <v>5.5819545780000004</v>
      </c>
      <c r="Y1029">
        <v>1731</v>
      </c>
      <c r="Z1029" s="1">
        <v>7.5938232454287797E-5</v>
      </c>
      <c r="AA1029">
        <v>1</v>
      </c>
    </row>
    <row r="1030" spans="1:27" x14ac:dyDescent="0.2">
      <c r="A1030">
        <v>10</v>
      </c>
      <c r="B1030">
        <v>1</v>
      </c>
      <c r="C1030">
        <v>0.1</v>
      </c>
      <c r="D1030">
        <v>100</v>
      </c>
      <c r="E1030">
        <v>0.94949202177266701</v>
      </c>
      <c r="F1030">
        <v>1</v>
      </c>
      <c r="G1030">
        <v>41.752232065000001</v>
      </c>
      <c r="H1030">
        <v>0.94913094743485105</v>
      </c>
      <c r="I1030">
        <v>1</v>
      </c>
      <c r="J1030">
        <v>6.6427716999999997E-2</v>
      </c>
      <c r="K1030">
        <v>1.0834644792094801</v>
      </c>
      <c r="L1030">
        <v>1</v>
      </c>
      <c r="M1030">
        <v>3602.6409940670001</v>
      </c>
      <c r="N1030">
        <v>428401</v>
      </c>
      <c r="O1030">
        <v>6.6107360646008796E-4</v>
      </c>
      <c r="P1030">
        <v>0.89578463232206595</v>
      </c>
      <c r="Q1030">
        <v>1</v>
      </c>
      <c r="R1030">
        <v>267.21935548099998</v>
      </c>
      <c r="S1030">
        <v>2784</v>
      </c>
      <c r="T1030" s="1">
        <v>5.4725139584187499E-6</v>
      </c>
      <c r="U1030">
        <v>2646</v>
      </c>
      <c r="V1030">
        <v>1.0940851062770001</v>
      </c>
      <c r="W1030">
        <v>1</v>
      </c>
      <c r="X1030">
        <v>12.317639205000001</v>
      </c>
      <c r="Y1030">
        <v>4793</v>
      </c>
      <c r="Z1030" s="1">
        <v>3.4097237667856599E-7</v>
      </c>
      <c r="AA1030">
        <v>1</v>
      </c>
    </row>
    <row r="1031" spans="1:27" x14ac:dyDescent="0.2">
      <c r="A1031">
        <v>10</v>
      </c>
      <c r="B1031">
        <v>1</v>
      </c>
      <c r="C1031">
        <v>0.4</v>
      </c>
      <c r="D1031">
        <v>100</v>
      </c>
      <c r="E1031">
        <v>0.18950532139557799</v>
      </c>
      <c r="F1031">
        <v>1</v>
      </c>
      <c r="G1031">
        <v>42.082062800999999</v>
      </c>
      <c r="H1031">
        <v>0.109629599810638</v>
      </c>
      <c r="I1031">
        <v>1</v>
      </c>
      <c r="J1031">
        <v>0.111433913</v>
      </c>
      <c r="K1031">
        <v>0.108444106270096</v>
      </c>
      <c r="L1031">
        <v>1</v>
      </c>
      <c r="M1031">
        <v>3600.763541759</v>
      </c>
      <c r="N1031">
        <v>755651</v>
      </c>
      <c r="O1031">
        <v>3.5313265692522499E-3</v>
      </c>
      <c r="P1031">
        <v>0.31915706348126499</v>
      </c>
      <c r="Q1031">
        <v>1</v>
      </c>
      <c r="R1031">
        <v>147.63991726099999</v>
      </c>
      <c r="S1031">
        <v>2209</v>
      </c>
      <c r="T1031">
        <v>1.3990109683141201E-3</v>
      </c>
      <c r="U1031">
        <v>1754</v>
      </c>
      <c r="V1031">
        <v>4.2769909962045903E-2</v>
      </c>
      <c r="W1031">
        <v>1</v>
      </c>
      <c r="X1031">
        <v>184.96994202499999</v>
      </c>
      <c r="Y1031">
        <v>14509</v>
      </c>
      <c r="Z1031">
        <v>9.8958772822985109E-4</v>
      </c>
      <c r="AA1031">
        <v>15</v>
      </c>
    </row>
    <row r="1032" spans="1:27" x14ac:dyDescent="0.2">
      <c r="A1032">
        <v>10</v>
      </c>
      <c r="B1032">
        <v>1</v>
      </c>
      <c r="C1032">
        <v>0.1</v>
      </c>
      <c r="D1032">
        <v>100</v>
      </c>
      <c r="E1032">
        <v>0.97453916432137899</v>
      </c>
      <c r="F1032">
        <v>1</v>
      </c>
      <c r="G1032">
        <v>30.656164206</v>
      </c>
      <c r="H1032">
        <v>0.97453916432137899</v>
      </c>
      <c r="I1032">
        <v>1</v>
      </c>
      <c r="J1032">
        <v>3.3021012000000002E-2</v>
      </c>
      <c r="K1032">
        <v>0.84641393431118495</v>
      </c>
      <c r="L1032">
        <v>1</v>
      </c>
      <c r="M1032">
        <v>3600.5423992579999</v>
      </c>
      <c r="N1032">
        <v>639479</v>
      </c>
      <c r="O1032">
        <v>8.6466010483405801E-3</v>
      </c>
      <c r="P1032">
        <v>1.16099920434852</v>
      </c>
      <c r="Q1032">
        <v>1</v>
      </c>
      <c r="R1032">
        <v>198.71421403900001</v>
      </c>
      <c r="S1032">
        <v>2767</v>
      </c>
      <c r="T1032" s="1">
        <v>1.2306947108076099E-6</v>
      </c>
      <c r="U1032">
        <v>2773</v>
      </c>
      <c r="V1032">
        <v>1.15661940470247</v>
      </c>
      <c r="W1032">
        <v>1</v>
      </c>
      <c r="X1032">
        <v>8.4369198329999993</v>
      </c>
      <c r="Y1032">
        <v>2501</v>
      </c>
      <c r="Z1032" s="1">
        <v>2.2396559770307401E-7</v>
      </c>
      <c r="AA1032">
        <v>1</v>
      </c>
    </row>
    <row r="1033" spans="1:27" x14ac:dyDescent="0.2">
      <c r="A1033">
        <v>10</v>
      </c>
      <c r="B1033">
        <v>1</v>
      </c>
      <c r="C1033">
        <v>0.2</v>
      </c>
      <c r="D1033">
        <v>100</v>
      </c>
      <c r="E1033">
        <v>0.69036680638751302</v>
      </c>
      <c r="F1033">
        <v>1</v>
      </c>
      <c r="G1033">
        <v>31.917558434</v>
      </c>
      <c r="H1033">
        <v>0.69671214633934797</v>
      </c>
      <c r="I1033">
        <v>1</v>
      </c>
      <c r="J1033">
        <v>0.21448941799999999</v>
      </c>
      <c r="K1033">
        <v>0.71702286565503703</v>
      </c>
      <c r="L1033">
        <v>1</v>
      </c>
      <c r="M1033">
        <v>3601.0769673889999</v>
      </c>
      <c r="N1033">
        <v>945122</v>
      </c>
      <c r="O1033">
        <v>9.0648691816144194E-3</v>
      </c>
      <c r="P1033">
        <v>1.1045442141270001</v>
      </c>
      <c r="Q1033">
        <v>1</v>
      </c>
      <c r="R1033">
        <v>145.85698504300001</v>
      </c>
      <c r="S1033">
        <v>2130</v>
      </c>
      <c r="T1033">
        <v>1.00500738325102E-4</v>
      </c>
      <c r="U1033">
        <v>1890</v>
      </c>
      <c r="V1033">
        <v>1.1033217521987799</v>
      </c>
      <c r="W1033">
        <v>1</v>
      </c>
      <c r="X1033">
        <v>16.503894265</v>
      </c>
      <c r="Y1033">
        <v>3317</v>
      </c>
      <c r="Z1033">
        <v>1.0487670550790199E-4</v>
      </c>
      <c r="AA1033">
        <v>1</v>
      </c>
    </row>
    <row r="1034" spans="1:27" x14ac:dyDescent="0.2">
      <c r="A1034">
        <v>10</v>
      </c>
      <c r="B1034">
        <v>1</v>
      </c>
      <c r="C1034">
        <v>0.1</v>
      </c>
      <c r="D1034">
        <v>100</v>
      </c>
      <c r="E1034">
        <v>0.99024831303417604</v>
      </c>
      <c r="F1034">
        <v>1</v>
      </c>
      <c r="G1034">
        <v>29.648753460999998</v>
      </c>
      <c r="H1034">
        <v>0.99024831303417604</v>
      </c>
      <c r="I1034">
        <v>1</v>
      </c>
      <c r="J1034">
        <v>3.3298613999999997E-2</v>
      </c>
      <c r="K1034">
        <v>1.05117559557519</v>
      </c>
      <c r="L1034">
        <v>1</v>
      </c>
      <c r="M1034">
        <v>3600.504201878</v>
      </c>
      <c r="N1034">
        <v>634052</v>
      </c>
      <c r="O1034">
        <v>1.3680168541773099E-3</v>
      </c>
      <c r="P1034">
        <v>1.0927062549743101</v>
      </c>
      <c r="Q1034">
        <v>1</v>
      </c>
      <c r="R1034">
        <v>165.98291451099999</v>
      </c>
      <c r="S1034">
        <v>2676</v>
      </c>
      <c r="T1034" s="1">
        <v>2.7941662038251898E-6</v>
      </c>
      <c r="U1034">
        <v>2680</v>
      </c>
      <c r="V1034">
        <v>1.0357737582028801</v>
      </c>
      <c r="W1034">
        <v>1</v>
      </c>
      <c r="X1034">
        <v>7.576862159</v>
      </c>
      <c r="Y1034">
        <v>4150</v>
      </c>
      <c r="Z1034" s="1">
        <v>7.2025678289188505E-8</v>
      </c>
      <c r="AA1034">
        <v>1</v>
      </c>
    </row>
    <row r="1035" spans="1:27" x14ac:dyDescent="0.2">
      <c r="A1035">
        <v>10</v>
      </c>
      <c r="B1035">
        <v>1</v>
      </c>
      <c r="C1035">
        <v>0.2</v>
      </c>
      <c r="D1035">
        <v>100</v>
      </c>
      <c r="E1035">
        <v>0.59145844570886297</v>
      </c>
      <c r="F1035">
        <v>1</v>
      </c>
      <c r="G1035">
        <v>32.557289412000003</v>
      </c>
      <c r="H1035">
        <v>0.59052316497905899</v>
      </c>
      <c r="I1035">
        <v>1</v>
      </c>
      <c r="J1035">
        <v>7.5311244999999999E-2</v>
      </c>
      <c r="K1035">
        <v>0.30815897980534201</v>
      </c>
      <c r="L1035">
        <v>1</v>
      </c>
      <c r="M1035">
        <v>3600.8433853329998</v>
      </c>
      <c r="N1035">
        <v>848589</v>
      </c>
      <c r="O1035">
        <v>1.86815374528208E-2</v>
      </c>
      <c r="P1035">
        <v>0.90272936594109698</v>
      </c>
      <c r="Q1035">
        <v>1</v>
      </c>
      <c r="R1035">
        <v>140.16256431799999</v>
      </c>
      <c r="S1035">
        <v>2241</v>
      </c>
      <c r="T1035">
        <v>1.4314668298564201E-3</v>
      </c>
      <c r="U1035">
        <v>2212</v>
      </c>
      <c r="V1035">
        <v>0.94554793644588098</v>
      </c>
      <c r="W1035">
        <v>1</v>
      </c>
      <c r="X1035">
        <v>674.77497548300005</v>
      </c>
      <c r="Y1035">
        <v>180088</v>
      </c>
      <c r="Z1035">
        <v>1.0655990612360099E-3</v>
      </c>
      <c r="AA1035">
        <v>15</v>
      </c>
    </row>
    <row r="1036" spans="1:27" x14ac:dyDescent="0.2">
      <c r="A1036">
        <v>10</v>
      </c>
      <c r="B1036">
        <v>1</v>
      </c>
      <c r="C1036">
        <v>0.2</v>
      </c>
      <c r="D1036">
        <v>100</v>
      </c>
      <c r="E1036">
        <v>0.59349603326725497</v>
      </c>
      <c r="F1036">
        <v>1</v>
      </c>
      <c r="G1036">
        <v>30.988835851000001</v>
      </c>
      <c r="H1036">
        <v>0.54551341140674003</v>
      </c>
      <c r="I1036">
        <v>1</v>
      </c>
      <c r="J1036">
        <v>0.218650975</v>
      </c>
      <c r="K1036">
        <v>0.28582235930212002</v>
      </c>
      <c r="L1036">
        <v>1</v>
      </c>
      <c r="M1036">
        <v>3600.648103947</v>
      </c>
      <c r="N1036">
        <v>1002023</v>
      </c>
      <c r="O1036">
        <v>4.7551111122388001E-3</v>
      </c>
      <c r="P1036">
        <v>0.93438652422624202</v>
      </c>
      <c r="Q1036">
        <v>1</v>
      </c>
      <c r="R1036">
        <v>160.45990057500001</v>
      </c>
      <c r="S1036">
        <v>4233</v>
      </c>
      <c r="T1036">
        <v>8.6965058526289297E-4</v>
      </c>
      <c r="U1036">
        <v>3517</v>
      </c>
      <c r="V1036">
        <v>0.93663532485657197</v>
      </c>
      <c r="W1036">
        <v>1</v>
      </c>
      <c r="X1036">
        <v>71.398057631</v>
      </c>
      <c r="Y1036">
        <v>3508</v>
      </c>
      <c r="Z1036">
        <v>6.52768214904508E-4</v>
      </c>
      <c r="AA1036">
        <v>20</v>
      </c>
    </row>
    <row r="1037" spans="1:27" x14ac:dyDescent="0.2">
      <c r="A1037">
        <v>10</v>
      </c>
      <c r="B1037">
        <v>1</v>
      </c>
      <c r="C1037">
        <v>0.3</v>
      </c>
      <c r="D1037">
        <v>100</v>
      </c>
      <c r="E1037">
        <v>5.8114839295120499E-2</v>
      </c>
      <c r="F1037">
        <v>1</v>
      </c>
      <c r="G1037">
        <v>34.567843723999999</v>
      </c>
      <c r="H1037">
        <v>4.6195194744981002E-2</v>
      </c>
      <c r="I1037">
        <v>1</v>
      </c>
      <c r="J1037">
        <v>0.104972104</v>
      </c>
      <c r="K1037">
        <v>4.4619721066105698E-2</v>
      </c>
      <c r="L1037">
        <v>1</v>
      </c>
      <c r="M1037">
        <v>3601.225930734</v>
      </c>
      <c r="N1037">
        <v>653943</v>
      </c>
      <c r="O1037">
        <v>2.7777842504583799E-3</v>
      </c>
      <c r="P1037">
        <v>0.28396722869424101</v>
      </c>
      <c r="Q1037">
        <v>1</v>
      </c>
      <c r="R1037">
        <v>80.304112075000006</v>
      </c>
      <c r="S1037">
        <v>1361</v>
      </c>
      <c r="T1037">
        <v>1.64896117985605E-3</v>
      </c>
      <c r="U1037">
        <v>1056</v>
      </c>
      <c r="V1037">
        <v>4.0513189241357897E-2</v>
      </c>
      <c r="W1037">
        <v>1</v>
      </c>
      <c r="X1037">
        <v>358.94603235599999</v>
      </c>
      <c r="Y1037">
        <v>24371</v>
      </c>
      <c r="Z1037">
        <v>9.0629623006352402E-4</v>
      </c>
      <c r="AA1037">
        <v>18</v>
      </c>
    </row>
    <row r="1038" spans="1:27" x14ac:dyDescent="0.2">
      <c r="A1038">
        <v>10</v>
      </c>
      <c r="B1038">
        <v>1</v>
      </c>
      <c r="C1038">
        <v>0.1</v>
      </c>
      <c r="D1038">
        <v>100</v>
      </c>
      <c r="E1038">
        <v>0.71346252945027999</v>
      </c>
      <c r="F1038">
        <v>1</v>
      </c>
      <c r="G1038">
        <v>34.310156945999999</v>
      </c>
      <c r="H1038">
        <v>0.70762159034171301</v>
      </c>
      <c r="I1038">
        <v>1</v>
      </c>
      <c r="J1038">
        <v>0.102560889</v>
      </c>
      <c r="K1038">
        <v>0.74886774077026497</v>
      </c>
      <c r="L1038">
        <v>1</v>
      </c>
      <c r="M1038">
        <v>3600.6378245860001</v>
      </c>
      <c r="N1038">
        <v>1053940</v>
      </c>
      <c r="O1038">
        <v>1.23865078042406E-3</v>
      </c>
      <c r="P1038">
        <v>0.70567180830600595</v>
      </c>
      <c r="Q1038">
        <v>1</v>
      </c>
      <c r="R1038">
        <v>357.88970433499998</v>
      </c>
      <c r="S1038">
        <v>8354</v>
      </c>
      <c r="T1038" s="1">
        <v>9.61206720442135E-5</v>
      </c>
      <c r="U1038">
        <v>5513</v>
      </c>
      <c r="V1038">
        <v>0.69419044320657197</v>
      </c>
      <c r="W1038">
        <v>1</v>
      </c>
      <c r="X1038">
        <v>364.33373382399998</v>
      </c>
      <c r="Y1038">
        <v>200627</v>
      </c>
      <c r="Z1038">
        <v>1.27160618897677E-4</v>
      </c>
      <c r="AA1038">
        <v>8</v>
      </c>
    </row>
    <row r="1039" spans="1:27" x14ac:dyDescent="0.2">
      <c r="A1039">
        <v>10</v>
      </c>
      <c r="B1039">
        <v>1</v>
      </c>
      <c r="C1039">
        <v>0.1</v>
      </c>
      <c r="D1039">
        <v>100</v>
      </c>
      <c r="E1039">
        <v>0.98230372569398905</v>
      </c>
      <c r="F1039">
        <v>1</v>
      </c>
      <c r="G1039">
        <v>30.912553405000001</v>
      </c>
      <c r="H1039">
        <v>0.98230375031825501</v>
      </c>
      <c r="I1039">
        <v>1</v>
      </c>
      <c r="J1039">
        <v>3.5778105999999997E-2</v>
      </c>
      <c r="K1039">
        <v>1.07809083286237</v>
      </c>
      <c r="L1039">
        <v>1</v>
      </c>
      <c r="M1039">
        <v>3600.548351424</v>
      </c>
      <c r="N1039">
        <v>625249</v>
      </c>
      <c r="O1039">
        <v>1.9557398056650999E-3</v>
      </c>
      <c r="P1039">
        <v>1.08191044049109</v>
      </c>
      <c r="Q1039">
        <v>1</v>
      </c>
      <c r="R1039">
        <v>242.640623256</v>
      </c>
      <c r="S1039">
        <v>4072</v>
      </c>
      <c r="T1039" s="1">
        <v>2.5267888099445302E-7</v>
      </c>
      <c r="U1039">
        <v>4065</v>
      </c>
      <c r="V1039">
        <v>0.93180211694383797</v>
      </c>
      <c r="W1039">
        <v>1</v>
      </c>
      <c r="X1039">
        <v>8.4006581219999994</v>
      </c>
      <c r="Y1039">
        <v>3932</v>
      </c>
      <c r="Z1039" s="1">
        <v>2.2976062527149299E-5</v>
      </c>
      <c r="AA1039">
        <v>1</v>
      </c>
    </row>
    <row r="1040" spans="1:27" x14ac:dyDescent="0.2">
      <c r="A1040">
        <v>10</v>
      </c>
      <c r="B1040">
        <v>1</v>
      </c>
      <c r="C1040">
        <v>0.4</v>
      </c>
      <c r="D1040">
        <v>100</v>
      </c>
      <c r="E1040">
        <v>0.145803058825828</v>
      </c>
      <c r="F1040">
        <v>1</v>
      </c>
      <c r="G1040">
        <v>31.901631907999999</v>
      </c>
      <c r="H1040">
        <v>0.10535525660320701</v>
      </c>
      <c r="I1040">
        <v>1</v>
      </c>
      <c r="J1040">
        <v>7.2591871000000002E-2</v>
      </c>
      <c r="K1040">
        <v>0.105281512338651</v>
      </c>
      <c r="L1040">
        <v>1</v>
      </c>
      <c r="M1040">
        <v>3600.5373088410001</v>
      </c>
      <c r="N1040">
        <v>764930</v>
      </c>
      <c r="O1040">
        <v>3.9458175567936796E-3</v>
      </c>
      <c r="P1040">
        <v>0.113428519296847</v>
      </c>
      <c r="Q1040">
        <v>1</v>
      </c>
      <c r="R1040">
        <v>211.88088381700001</v>
      </c>
      <c r="S1040">
        <v>5799</v>
      </c>
      <c r="T1040">
        <v>6.1915010209906396E-4</v>
      </c>
      <c r="U1040">
        <v>3800</v>
      </c>
      <c r="V1040">
        <v>5.6250412839823197E-2</v>
      </c>
      <c r="W1040">
        <v>1</v>
      </c>
      <c r="X1040">
        <v>40.540897735000001</v>
      </c>
      <c r="Y1040">
        <v>1835</v>
      </c>
      <c r="Z1040">
        <v>9.1944239734939495E-4</v>
      </c>
      <c r="AA1040">
        <v>6</v>
      </c>
    </row>
    <row r="1041" spans="1:27" x14ac:dyDescent="0.2">
      <c r="A1041">
        <v>10</v>
      </c>
      <c r="B1041">
        <v>1</v>
      </c>
      <c r="C1041">
        <v>0.4</v>
      </c>
      <c r="D1041">
        <v>100</v>
      </c>
      <c r="E1041">
        <v>0.14358927882507699</v>
      </c>
      <c r="F1041">
        <v>1</v>
      </c>
      <c r="G1041">
        <v>31.804495938999999</v>
      </c>
      <c r="H1041">
        <v>4.3000251184439897E-2</v>
      </c>
      <c r="I1041">
        <v>1</v>
      </c>
      <c r="J1041">
        <v>0.107633596</v>
      </c>
      <c r="K1041">
        <v>3.9085504154585497E-2</v>
      </c>
      <c r="L1041">
        <v>1</v>
      </c>
      <c r="M1041">
        <v>3600.705965824</v>
      </c>
      <c r="N1041">
        <v>912492</v>
      </c>
      <c r="O1041">
        <v>1.6415500141491099E-3</v>
      </c>
      <c r="P1041">
        <v>6.7449617568791906E-2</v>
      </c>
      <c r="Q1041">
        <v>1</v>
      </c>
      <c r="R1041">
        <v>243.22463649299999</v>
      </c>
      <c r="S1041">
        <v>4578</v>
      </c>
      <c r="T1041">
        <v>4.77883124499284E-4</v>
      </c>
      <c r="U1041">
        <v>3345</v>
      </c>
      <c r="V1041">
        <v>2.6037904832956999E-2</v>
      </c>
      <c r="W1041">
        <v>1</v>
      </c>
      <c r="X1041">
        <v>16.700281212</v>
      </c>
      <c r="Y1041">
        <v>3543</v>
      </c>
      <c r="Z1041">
        <v>5.0258575534027595E-4</v>
      </c>
      <c r="AA1041">
        <v>1</v>
      </c>
    </row>
    <row r="1042" spans="1:27" x14ac:dyDescent="0.2">
      <c r="A1042">
        <v>10</v>
      </c>
      <c r="B1042">
        <v>1</v>
      </c>
      <c r="C1042">
        <v>0.1</v>
      </c>
      <c r="D1042">
        <v>100</v>
      </c>
      <c r="E1042">
        <v>0.97466673070944099</v>
      </c>
      <c r="F1042">
        <v>1</v>
      </c>
      <c r="G1042">
        <v>31.139097823</v>
      </c>
      <c r="H1042">
        <v>0.97268459615578795</v>
      </c>
      <c r="I1042">
        <v>1</v>
      </c>
      <c r="J1042">
        <v>6.7175232000000001E-2</v>
      </c>
      <c r="K1042">
        <v>1.0172718912232599</v>
      </c>
      <c r="L1042">
        <v>1</v>
      </c>
      <c r="M1042">
        <v>3600.5041370059998</v>
      </c>
      <c r="N1042">
        <v>569296</v>
      </c>
      <c r="O1042">
        <v>3.1608671780045598E-3</v>
      </c>
      <c r="P1042">
        <v>1.01763051537315</v>
      </c>
      <c r="Q1042">
        <v>1</v>
      </c>
      <c r="R1042">
        <v>260.550057477</v>
      </c>
      <c r="S1042">
        <v>5088</v>
      </c>
      <c r="T1042" s="1">
        <v>3.7552252646064302E-5</v>
      </c>
      <c r="U1042">
        <v>4662</v>
      </c>
      <c r="V1042">
        <v>1.0163575906492099</v>
      </c>
      <c r="W1042">
        <v>1</v>
      </c>
      <c r="X1042">
        <v>10.797487104</v>
      </c>
      <c r="Y1042">
        <v>3321</v>
      </c>
      <c r="Z1042" s="1">
        <v>4.0704525614060802E-5</v>
      </c>
      <c r="AA1042">
        <v>1</v>
      </c>
    </row>
    <row r="1043" spans="1:27" x14ac:dyDescent="0.2">
      <c r="A1043">
        <v>10</v>
      </c>
      <c r="B1043">
        <v>1</v>
      </c>
      <c r="C1043">
        <v>0.1</v>
      </c>
      <c r="D1043">
        <v>100</v>
      </c>
      <c r="E1043">
        <v>0.98128050567000202</v>
      </c>
      <c r="F1043">
        <v>1</v>
      </c>
      <c r="G1043">
        <v>39.378533947000001</v>
      </c>
      <c r="H1043">
        <v>0.98093326313967799</v>
      </c>
      <c r="I1043">
        <v>1</v>
      </c>
      <c r="J1043">
        <v>7.7968221000000004E-2</v>
      </c>
      <c r="K1043">
        <v>0.95128443763575898</v>
      </c>
      <c r="L1043">
        <v>1</v>
      </c>
      <c r="M1043">
        <v>3602.3841383190002</v>
      </c>
      <c r="N1043">
        <v>527500</v>
      </c>
      <c r="O1043">
        <v>4.9808504885664401E-3</v>
      </c>
      <c r="P1043">
        <v>0.95335017052899296</v>
      </c>
      <c r="Q1043">
        <v>1</v>
      </c>
      <c r="R1043">
        <v>273.75683668699997</v>
      </c>
      <c r="S1043">
        <v>3641</v>
      </c>
      <c r="T1043" s="1">
        <v>6.0338438100104797E-9</v>
      </c>
      <c r="U1043">
        <v>3591</v>
      </c>
      <c r="V1043">
        <v>1.0137737140181</v>
      </c>
      <c r="W1043">
        <v>1</v>
      </c>
      <c r="X1043">
        <v>12.163981432</v>
      </c>
      <c r="Y1043">
        <v>3736</v>
      </c>
      <c r="Z1043" s="1">
        <v>3.5299046694109399E-6</v>
      </c>
      <c r="AA1043">
        <v>1</v>
      </c>
    </row>
    <row r="1044" spans="1:27" x14ac:dyDescent="0.2">
      <c r="A1044">
        <v>10</v>
      </c>
      <c r="B1044">
        <v>1</v>
      </c>
      <c r="C1044">
        <v>0.3</v>
      </c>
      <c r="D1044">
        <v>100</v>
      </c>
      <c r="E1044">
        <v>0.534924304636477</v>
      </c>
      <c r="F1044">
        <v>1</v>
      </c>
      <c r="G1044">
        <v>32.417559279999999</v>
      </c>
      <c r="H1044">
        <v>0.23972306611296801</v>
      </c>
      <c r="I1044">
        <v>1</v>
      </c>
      <c r="J1044">
        <v>4.1111555000000001E-2</v>
      </c>
      <c r="K1044">
        <v>0.239443506236167</v>
      </c>
      <c r="L1044">
        <v>1</v>
      </c>
      <c r="M1044">
        <v>3600.9971708439998</v>
      </c>
      <c r="N1044">
        <v>903687</v>
      </c>
      <c r="O1044">
        <v>5.4159365085268904E-3</v>
      </c>
      <c r="P1044">
        <v>0.40271193456094301</v>
      </c>
      <c r="Q1044">
        <v>1</v>
      </c>
      <c r="R1044">
        <v>245.251846065</v>
      </c>
      <c r="S1044">
        <v>4210</v>
      </c>
      <c r="T1044">
        <v>9.4824370080627497E-4</v>
      </c>
      <c r="U1044">
        <v>3554</v>
      </c>
      <c r="V1044">
        <v>0.35278303205019601</v>
      </c>
      <c r="W1044">
        <v>1</v>
      </c>
      <c r="X1044">
        <v>130.76520478699999</v>
      </c>
      <c r="Y1044">
        <v>4433</v>
      </c>
      <c r="Z1044">
        <v>4.5303839600983799E-4</v>
      </c>
      <c r="AA1044">
        <v>20</v>
      </c>
    </row>
    <row r="1045" spans="1:27" x14ac:dyDescent="0.2">
      <c r="A1045">
        <v>10</v>
      </c>
      <c r="B1045">
        <v>1</v>
      </c>
      <c r="C1045">
        <v>0.1</v>
      </c>
      <c r="D1045">
        <v>100</v>
      </c>
      <c r="E1045">
        <v>0.99511647786478397</v>
      </c>
      <c r="F1045">
        <v>1</v>
      </c>
      <c r="G1045">
        <v>31.192835763000001</v>
      </c>
      <c r="H1045">
        <v>0.99511647786478397</v>
      </c>
      <c r="I1045">
        <v>1</v>
      </c>
      <c r="J1045">
        <v>3.6097511999999998E-2</v>
      </c>
      <c r="K1045">
        <v>1.03919053611061</v>
      </c>
      <c r="L1045">
        <v>1</v>
      </c>
      <c r="M1045">
        <v>3600.7984244300001</v>
      </c>
      <c r="N1045">
        <v>705640</v>
      </c>
      <c r="O1045">
        <v>2.3925873173613098E-3</v>
      </c>
      <c r="P1045">
        <v>1.0100249579351199</v>
      </c>
      <c r="Q1045">
        <v>1</v>
      </c>
      <c r="R1045">
        <v>401.11627826500001</v>
      </c>
      <c r="S1045">
        <v>11015</v>
      </c>
      <c r="T1045" s="1">
        <v>2.6234115819814199E-5</v>
      </c>
      <c r="U1045">
        <v>7472</v>
      </c>
      <c r="V1045">
        <v>0.90973072786812004</v>
      </c>
      <c r="W1045">
        <v>1</v>
      </c>
      <c r="X1045">
        <v>7.7125205489999997</v>
      </c>
      <c r="Y1045">
        <v>3562</v>
      </c>
      <c r="Z1045">
        <v>0</v>
      </c>
      <c r="AA1045">
        <v>1</v>
      </c>
    </row>
    <row r="1046" spans="1:27" x14ac:dyDescent="0.2">
      <c r="A1046">
        <v>10</v>
      </c>
      <c r="B1046">
        <v>1</v>
      </c>
      <c r="C1046">
        <v>0.2</v>
      </c>
      <c r="D1046">
        <v>100</v>
      </c>
      <c r="E1046">
        <v>0.70333598104922401</v>
      </c>
      <c r="F1046">
        <v>1</v>
      </c>
      <c r="G1046">
        <v>38.628984911000003</v>
      </c>
      <c r="H1046">
        <v>0.70268044016146702</v>
      </c>
      <c r="I1046">
        <v>1</v>
      </c>
      <c r="J1046">
        <v>0.138401093</v>
      </c>
      <c r="K1046">
        <v>0.80285464477936197</v>
      </c>
      <c r="L1046">
        <v>1</v>
      </c>
      <c r="M1046">
        <v>3603.5784533629999</v>
      </c>
      <c r="N1046">
        <v>517917</v>
      </c>
      <c r="O1046">
        <v>1.30644687405956E-2</v>
      </c>
      <c r="P1046">
        <v>0.82612625562612696</v>
      </c>
      <c r="Q1046">
        <v>1</v>
      </c>
      <c r="R1046">
        <v>352.36116498799998</v>
      </c>
      <c r="S1046">
        <v>5637</v>
      </c>
      <c r="T1046">
        <v>3.0855774330731901E-4</v>
      </c>
      <c r="U1046">
        <v>4768</v>
      </c>
      <c r="V1046">
        <v>0.82236765733200401</v>
      </c>
      <c r="W1046">
        <v>1</v>
      </c>
      <c r="X1046">
        <v>32.826192775000003</v>
      </c>
      <c r="Y1046">
        <v>2629</v>
      </c>
      <c r="Z1046">
        <v>5.7377709541504797E-4</v>
      </c>
      <c r="AA1046">
        <v>4</v>
      </c>
    </row>
    <row r="1047" spans="1:27" x14ac:dyDescent="0.2">
      <c r="A1047">
        <v>10</v>
      </c>
      <c r="B1047">
        <v>1</v>
      </c>
      <c r="C1047">
        <v>0.2</v>
      </c>
      <c r="D1047">
        <v>100</v>
      </c>
      <c r="E1047">
        <v>0.639675301109773</v>
      </c>
      <c r="F1047">
        <v>1</v>
      </c>
      <c r="G1047">
        <v>30.367668079000001</v>
      </c>
      <c r="H1047">
        <v>0.58598115485594404</v>
      </c>
      <c r="I1047">
        <v>1</v>
      </c>
      <c r="J1047">
        <v>0.20439636899999999</v>
      </c>
      <c r="K1047">
        <v>0.585631691098914</v>
      </c>
      <c r="L1047">
        <v>1</v>
      </c>
      <c r="M1047">
        <v>3600.5378637650001</v>
      </c>
      <c r="N1047">
        <v>779468</v>
      </c>
      <c r="O1047">
        <v>3.98509418522863E-3</v>
      </c>
      <c r="P1047">
        <v>0.61695954617834103</v>
      </c>
      <c r="Q1047">
        <v>1</v>
      </c>
      <c r="R1047">
        <v>354.51868706900001</v>
      </c>
      <c r="S1047">
        <v>6177</v>
      </c>
      <c r="T1047">
        <v>7.8079560429711304E-4</v>
      </c>
      <c r="U1047">
        <v>4670</v>
      </c>
      <c r="V1047">
        <v>0.61892629412696698</v>
      </c>
      <c r="W1047">
        <v>1</v>
      </c>
      <c r="X1047">
        <v>132.56902786000001</v>
      </c>
      <c r="Y1047">
        <v>4971</v>
      </c>
      <c r="Z1047">
        <v>3.7364121357946701E-4</v>
      </c>
      <c r="AA1047">
        <v>20</v>
      </c>
    </row>
    <row r="1048" spans="1:27" x14ac:dyDescent="0.2">
      <c r="A1048">
        <v>10</v>
      </c>
      <c r="B1048">
        <v>1</v>
      </c>
      <c r="C1048">
        <v>0.3</v>
      </c>
      <c r="D1048">
        <v>100</v>
      </c>
      <c r="E1048">
        <v>0.496780251737238</v>
      </c>
      <c r="F1048">
        <v>1</v>
      </c>
      <c r="G1048">
        <v>30.932520427</v>
      </c>
      <c r="H1048">
        <v>0.35092410586452699</v>
      </c>
      <c r="I1048">
        <v>1</v>
      </c>
      <c r="J1048">
        <v>0.24556097099999999</v>
      </c>
      <c r="K1048">
        <v>0.34706574892937703</v>
      </c>
      <c r="L1048">
        <v>1</v>
      </c>
      <c r="M1048">
        <v>3601.2085583029998</v>
      </c>
      <c r="N1048">
        <v>760255</v>
      </c>
      <c r="O1048">
        <v>2.3229796832833199E-2</v>
      </c>
      <c r="P1048">
        <v>0.42666116773223101</v>
      </c>
      <c r="Q1048">
        <v>1</v>
      </c>
      <c r="R1048">
        <v>177.74068470099999</v>
      </c>
      <c r="S1048">
        <v>3540</v>
      </c>
      <c r="T1048">
        <v>1.5427239142125899E-3</v>
      </c>
      <c r="U1048">
        <v>2904</v>
      </c>
      <c r="V1048">
        <v>0.38937014530808201</v>
      </c>
      <c r="W1048">
        <v>1</v>
      </c>
      <c r="X1048">
        <v>365.57877723000001</v>
      </c>
      <c r="Y1048">
        <v>28514</v>
      </c>
      <c r="Z1048">
        <v>7.6806235657028699E-4</v>
      </c>
      <c r="AA1048">
        <v>20</v>
      </c>
    </row>
    <row r="1049" spans="1:27" x14ac:dyDescent="0.2">
      <c r="A1049">
        <v>10</v>
      </c>
      <c r="B1049">
        <v>1</v>
      </c>
      <c r="C1049">
        <v>0.2</v>
      </c>
      <c r="D1049">
        <v>100</v>
      </c>
      <c r="E1049">
        <v>0.80146250929362794</v>
      </c>
      <c r="F1049">
        <v>1</v>
      </c>
      <c r="G1049">
        <v>30.171449773999999</v>
      </c>
      <c r="H1049">
        <v>0.52837335091232096</v>
      </c>
      <c r="I1049">
        <v>1</v>
      </c>
      <c r="J1049">
        <v>0.29059872399999997</v>
      </c>
      <c r="K1049">
        <v>0.41827508213979597</v>
      </c>
      <c r="L1049">
        <v>1</v>
      </c>
      <c r="M1049">
        <v>3601.0732789610001</v>
      </c>
      <c r="N1049">
        <v>605124</v>
      </c>
      <c r="O1049">
        <v>2.8722724290389499E-2</v>
      </c>
      <c r="P1049">
        <v>1.1292483251568901</v>
      </c>
      <c r="Q1049">
        <v>1</v>
      </c>
      <c r="R1049">
        <v>356.379937891</v>
      </c>
      <c r="S1049">
        <v>7544</v>
      </c>
      <c r="T1049">
        <v>1.55154519731207E-4</v>
      </c>
      <c r="U1049">
        <v>5955</v>
      </c>
      <c r="V1049">
        <v>0.72510126492725402</v>
      </c>
      <c r="W1049">
        <v>1</v>
      </c>
      <c r="X1049">
        <v>264.62261361200001</v>
      </c>
      <c r="Y1049">
        <v>9511</v>
      </c>
      <c r="Z1049" s="1">
        <v>9.6473760725551694E-5</v>
      </c>
      <c r="AA1049">
        <v>20</v>
      </c>
    </row>
    <row r="1050" spans="1:27" x14ac:dyDescent="0.2">
      <c r="A1050">
        <v>10</v>
      </c>
      <c r="B1050">
        <v>1</v>
      </c>
      <c r="C1050">
        <v>0.3</v>
      </c>
      <c r="D1050">
        <v>100</v>
      </c>
      <c r="E1050">
        <v>0.54921738616795901</v>
      </c>
      <c r="F1050">
        <v>1</v>
      </c>
      <c r="G1050">
        <v>29.641538391000001</v>
      </c>
      <c r="H1050">
        <v>0.31123546694228799</v>
      </c>
      <c r="I1050">
        <v>1</v>
      </c>
      <c r="J1050">
        <v>9.8432156000000007E-2</v>
      </c>
      <c r="K1050">
        <v>0.31314631354203798</v>
      </c>
      <c r="L1050">
        <v>1</v>
      </c>
      <c r="M1050">
        <v>3601.2140829129999</v>
      </c>
      <c r="N1050">
        <v>629214</v>
      </c>
      <c r="O1050">
        <v>9.7320249901757805E-3</v>
      </c>
      <c r="P1050">
        <v>0.38169209522631797</v>
      </c>
      <c r="Q1050">
        <v>1</v>
      </c>
      <c r="R1050">
        <v>189.599910365</v>
      </c>
      <c r="S1050">
        <v>3634</v>
      </c>
      <c r="T1050">
        <v>4.1507313935621598E-4</v>
      </c>
      <c r="U1050">
        <v>3017</v>
      </c>
      <c r="V1050">
        <v>0.37031654641626499</v>
      </c>
      <c r="W1050">
        <v>1</v>
      </c>
      <c r="X1050">
        <v>659.05698902699999</v>
      </c>
      <c r="Y1050">
        <v>36859</v>
      </c>
      <c r="Z1050">
        <v>2.2933690260246799E-4</v>
      </c>
      <c r="AA1050">
        <v>20</v>
      </c>
    </row>
    <row r="1051" spans="1:27" x14ac:dyDescent="0.2">
      <c r="A1051">
        <v>10</v>
      </c>
      <c r="B1051">
        <v>1</v>
      </c>
      <c r="C1051">
        <v>0.2</v>
      </c>
      <c r="D1051">
        <v>100</v>
      </c>
      <c r="E1051">
        <v>0.71799560743937096</v>
      </c>
      <c r="F1051">
        <v>1</v>
      </c>
      <c r="G1051">
        <v>32.256763157000002</v>
      </c>
      <c r="H1051">
        <v>0.37327534143247798</v>
      </c>
      <c r="I1051">
        <v>1</v>
      </c>
      <c r="J1051">
        <v>0.122154108</v>
      </c>
      <c r="K1051">
        <v>0.391515853015449</v>
      </c>
      <c r="L1051">
        <v>1</v>
      </c>
      <c r="M1051">
        <v>3600.8456754270001</v>
      </c>
      <c r="N1051">
        <v>878650</v>
      </c>
      <c r="O1051">
        <v>8.6972827352535999E-3</v>
      </c>
      <c r="P1051">
        <v>0.68694290512604606</v>
      </c>
      <c r="Q1051">
        <v>1</v>
      </c>
      <c r="R1051">
        <v>751.11607182900002</v>
      </c>
      <c r="S1051">
        <v>19279</v>
      </c>
      <c r="T1051">
        <v>4.2646338245981498E-4</v>
      </c>
      <c r="U1051">
        <v>12483</v>
      </c>
      <c r="V1051">
        <v>0.56356161763397505</v>
      </c>
      <c r="W1051">
        <v>1</v>
      </c>
      <c r="X1051">
        <v>303.435207908</v>
      </c>
      <c r="Y1051">
        <v>10073</v>
      </c>
      <c r="Z1051">
        <v>2.1393214317157801E-4</v>
      </c>
      <c r="AA1051">
        <v>20</v>
      </c>
    </row>
    <row r="1052" spans="1:27" x14ac:dyDescent="0.2">
      <c r="A1052">
        <v>10</v>
      </c>
      <c r="B1052">
        <v>1</v>
      </c>
      <c r="C1052">
        <v>0.1</v>
      </c>
      <c r="D1052">
        <v>100</v>
      </c>
      <c r="E1052">
        <v>0.97763928499783204</v>
      </c>
      <c r="F1052">
        <v>1</v>
      </c>
      <c r="G1052">
        <v>33.240971815999998</v>
      </c>
      <c r="H1052">
        <v>0.97757120868609304</v>
      </c>
      <c r="I1052">
        <v>1</v>
      </c>
      <c r="J1052">
        <v>7.0848697000000002E-2</v>
      </c>
      <c r="K1052">
        <v>1.0427474292544601</v>
      </c>
      <c r="L1052">
        <v>1</v>
      </c>
      <c r="M1052">
        <v>3600.6257997070002</v>
      </c>
      <c r="N1052">
        <v>915123</v>
      </c>
      <c r="O1052">
        <v>4.33587559688897E-3</v>
      </c>
      <c r="P1052">
        <v>1.07052078349016</v>
      </c>
      <c r="Q1052">
        <v>1</v>
      </c>
      <c r="R1052">
        <v>318.54416420400003</v>
      </c>
      <c r="S1052">
        <v>7161</v>
      </c>
      <c r="T1052" s="1">
        <v>5.2986714862797E-5</v>
      </c>
      <c r="U1052">
        <v>5496</v>
      </c>
      <c r="V1052">
        <v>0.90742465082691004</v>
      </c>
      <c r="W1052">
        <v>1</v>
      </c>
      <c r="X1052">
        <v>8.4716010960000006</v>
      </c>
      <c r="Y1052">
        <v>3231</v>
      </c>
      <c r="Z1052" s="1">
        <v>2.2151838258589001E-7</v>
      </c>
      <c r="AA1052">
        <v>1</v>
      </c>
    </row>
    <row r="1053" spans="1:27" x14ac:dyDescent="0.2">
      <c r="A1053">
        <v>10</v>
      </c>
      <c r="B1053">
        <v>1</v>
      </c>
      <c r="C1053">
        <v>0.2</v>
      </c>
      <c r="D1053">
        <v>100</v>
      </c>
      <c r="E1053">
        <v>0.88350532529005099</v>
      </c>
      <c r="F1053">
        <v>1</v>
      </c>
      <c r="G1053">
        <v>33.317806732999998</v>
      </c>
      <c r="H1053">
        <v>1.25740526632162</v>
      </c>
      <c r="I1053">
        <v>1</v>
      </c>
      <c r="J1053">
        <v>0.69079420300000005</v>
      </c>
      <c r="K1053">
        <v>0.57548859881065995</v>
      </c>
      <c r="L1053">
        <v>1</v>
      </c>
      <c r="M1053">
        <v>3600.7236622250002</v>
      </c>
      <c r="N1053">
        <v>891981</v>
      </c>
      <c r="O1053">
        <v>8.3101118975612495E-3</v>
      </c>
      <c r="P1053">
        <v>1.25404351742142</v>
      </c>
      <c r="Q1053">
        <v>1</v>
      </c>
      <c r="R1053">
        <v>260.25882709899997</v>
      </c>
      <c r="S1053">
        <v>7527</v>
      </c>
      <c r="T1053">
        <v>4.8918005810479005E-4</v>
      </c>
      <c r="U1053">
        <v>4888</v>
      </c>
      <c r="V1053">
        <v>0.67162384564690403</v>
      </c>
      <c r="W1053">
        <v>1</v>
      </c>
      <c r="X1053">
        <v>73.656041857000005</v>
      </c>
      <c r="Y1053">
        <v>7303</v>
      </c>
      <c r="Z1053">
        <v>3.9352510818583999E-4</v>
      </c>
      <c r="AA1053">
        <v>12</v>
      </c>
    </row>
    <row r="1054" spans="1:27" x14ac:dyDescent="0.2">
      <c r="A1054">
        <v>10</v>
      </c>
      <c r="B1054">
        <v>1</v>
      </c>
      <c r="C1054">
        <v>0.3</v>
      </c>
      <c r="D1054">
        <v>100</v>
      </c>
      <c r="E1054">
        <v>0.80403879990398097</v>
      </c>
      <c r="F1054">
        <v>1</v>
      </c>
      <c r="G1054">
        <v>38.485330871000002</v>
      </c>
      <c r="H1054">
        <v>0.49554933578848098</v>
      </c>
      <c r="I1054">
        <v>1</v>
      </c>
      <c r="J1054">
        <v>0.62406194599999998</v>
      </c>
      <c r="K1054">
        <v>0.49333060305008802</v>
      </c>
      <c r="L1054">
        <v>1</v>
      </c>
      <c r="M1054">
        <v>3602.2183597100002</v>
      </c>
      <c r="N1054">
        <v>569807</v>
      </c>
      <c r="O1054">
        <v>2.12731484810131E-2</v>
      </c>
      <c r="P1054">
        <v>0.667838285825754</v>
      </c>
      <c r="Q1054">
        <v>1</v>
      </c>
      <c r="R1054">
        <v>519.31884896199995</v>
      </c>
      <c r="S1054">
        <v>12008</v>
      </c>
      <c r="T1054">
        <v>6.23877015514959E-4</v>
      </c>
      <c r="U1054">
        <v>7343</v>
      </c>
      <c r="V1054">
        <v>0.574829699955961</v>
      </c>
      <c r="W1054">
        <v>1</v>
      </c>
      <c r="X1054">
        <v>915.36187973000006</v>
      </c>
      <c r="Y1054">
        <v>30361</v>
      </c>
      <c r="Z1054">
        <v>2.8482421405989701E-4</v>
      </c>
      <c r="AA1054">
        <v>20</v>
      </c>
    </row>
    <row r="1055" spans="1:27" x14ac:dyDescent="0.2">
      <c r="A1055">
        <v>10</v>
      </c>
      <c r="B1055">
        <v>1</v>
      </c>
      <c r="C1055">
        <v>0.3</v>
      </c>
      <c r="D1055">
        <v>100</v>
      </c>
      <c r="E1055">
        <v>0.30185621269699597</v>
      </c>
      <c r="F1055">
        <v>1</v>
      </c>
      <c r="G1055">
        <v>31.992099096</v>
      </c>
      <c r="H1055">
        <v>0.14014015450927</v>
      </c>
      <c r="I1055">
        <v>1</v>
      </c>
      <c r="J1055">
        <v>0.24610589899999999</v>
      </c>
      <c r="K1055">
        <v>0.12593815323454199</v>
      </c>
      <c r="L1055">
        <v>1</v>
      </c>
      <c r="M1055">
        <v>3601.3844505729999</v>
      </c>
      <c r="N1055">
        <v>519902</v>
      </c>
      <c r="O1055">
        <v>9.6494944354041899E-3</v>
      </c>
      <c r="P1055">
        <v>0.235435492616137</v>
      </c>
      <c r="Q1055">
        <v>1</v>
      </c>
      <c r="R1055">
        <v>165.34085100999999</v>
      </c>
      <c r="S1055">
        <v>2257</v>
      </c>
      <c r="T1055">
        <v>1.09929266354721E-3</v>
      </c>
      <c r="U1055">
        <v>1894</v>
      </c>
      <c r="V1055">
        <v>0.23240070675809801</v>
      </c>
      <c r="W1055">
        <v>1</v>
      </c>
      <c r="X1055">
        <v>1983.787288927</v>
      </c>
      <c r="Y1055">
        <v>158197</v>
      </c>
      <c r="Z1055">
        <v>7.2557471044545896E-4</v>
      </c>
      <c r="AA1055">
        <v>20</v>
      </c>
    </row>
    <row r="1056" spans="1:27" x14ac:dyDescent="0.2">
      <c r="A1056">
        <v>10</v>
      </c>
      <c r="B1056">
        <v>1</v>
      </c>
      <c r="C1056">
        <v>0.3</v>
      </c>
      <c r="D1056">
        <v>100</v>
      </c>
      <c r="E1056">
        <v>0.29375557019769699</v>
      </c>
      <c r="F1056">
        <v>1</v>
      </c>
      <c r="G1056">
        <v>31.917520462999999</v>
      </c>
      <c r="H1056">
        <v>9.4982037054593793E-2</v>
      </c>
      <c r="I1056">
        <v>1</v>
      </c>
      <c r="J1056">
        <v>0.17500722899999999</v>
      </c>
      <c r="K1056">
        <v>8.9297380457747003E-2</v>
      </c>
      <c r="L1056">
        <v>1</v>
      </c>
      <c r="M1056">
        <v>3601.1192356040001</v>
      </c>
      <c r="N1056">
        <v>614220</v>
      </c>
      <c r="O1056">
        <v>7.7528579519476797E-3</v>
      </c>
      <c r="P1056">
        <v>0.256052681377472</v>
      </c>
      <c r="Q1056">
        <v>1</v>
      </c>
      <c r="R1056">
        <v>1211.95082402</v>
      </c>
      <c r="S1056">
        <v>26558</v>
      </c>
      <c r="T1056">
        <v>8.29265468221304E-4</v>
      </c>
      <c r="U1056">
        <v>16108</v>
      </c>
      <c r="V1056">
        <v>0.31413238065608401</v>
      </c>
      <c r="W1056">
        <v>1</v>
      </c>
      <c r="X1056">
        <v>470.646179287</v>
      </c>
      <c r="Y1056">
        <v>17116</v>
      </c>
      <c r="Z1056">
        <v>3.7868770286365801E-4</v>
      </c>
      <c r="AA1056">
        <v>20</v>
      </c>
    </row>
    <row r="1057" spans="1:27" x14ac:dyDescent="0.2">
      <c r="A1057">
        <v>10</v>
      </c>
      <c r="B1057">
        <v>1</v>
      </c>
      <c r="C1057">
        <v>0.1</v>
      </c>
      <c r="D1057">
        <v>100</v>
      </c>
      <c r="E1057">
        <v>0.94151525307049899</v>
      </c>
      <c r="F1057">
        <v>1</v>
      </c>
      <c r="G1057">
        <v>34.195561224000002</v>
      </c>
      <c r="H1057">
        <v>0.90222254634392896</v>
      </c>
      <c r="I1057">
        <v>1</v>
      </c>
      <c r="J1057">
        <v>0.24327468299999999</v>
      </c>
      <c r="K1057">
        <v>0.78817962401637098</v>
      </c>
      <c r="L1057">
        <v>1</v>
      </c>
      <c r="M1057">
        <v>3600.6552164929999</v>
      </c>
      <c r="N1057">
        <v>681879</v>
      </c>
      <c r="O1057">
        <v>1.79591319601906E-2</v>
      </c>
      <c r="P1057">
        <v>1.0993528860239501</v>
      </c>
      <c r="Q1057">
        <v>1</v>
      </c>
      <c r="R1057">
        <v>83.858217952000004</v>
      </c>
      <c r="S1057">
        <v>1373</v>
      </c>
      <c r="T1057" s="1">
        <v>3.1098845315880003E-5</v>
      </c>
      <c r="U1057">
        <v>1378</v>
      </c>
      <c r="V1057">
        <v>0.79983701640155902</v>
      </c>
      <c r="W1057">
        <v>1</v>
      </c>
      <c r="X1057">
        <v>2214.7707138139999</v>
      </c>
      <c r="Y1057">
        <v>580171</v>
      </c>
      <c r="Z1057">
        <v>2.1803650092027101E-4</v>
      </c>
      <c r="AA1057">
        <v>20</v>
      </c>
    </row>
    <row r="1058" spans="1:27" x14ac:dyDescent="0.2">
      <c r="A1058">
        <v>10</v>
      </c>
      <c r="B1058">
        <v>1</v>
      </c>
      <c r="C1058">
        <v>0.4</v>
      </c>
      <c r="D1058">
        <v>100</v>
      </c>
      <c r="E1058">
        <v>0.28927105635634498</v>
      </c>
      <c r="F1058">
        <v>1</v>
      </c>
      <c r="G1058">
        <v>32.332423114999997</v>
      </c>
      <c r="H1058">
        <v>6.3880773749721204E-2</v>
      </c>
      <c r="I1058">
        <v>1</v>
      </c>
      <c r="J1058">
        <v>0.114989261</v>
      </c>
      <c r="K1058">
        <v>6.3586951681966902E-2</v>
      </c>
      <c r="L1058">
        <v>1</v>
      </c>
      <c r="M1058">
        <v>3600.7973646609998</v>
      </c>
      <c r="N1058">
        <v>720435</v>
      </c>
      <c r="O1058">
        <v>2.1821200375669002E-3</v>
      </c>
      <c r="P1058">
        <v>0.20976329275828701</v>
      </c>
      <c r="Q1058">
        <v>1</v>
      </c>
      <c r="R1058">
        <v>296.70676891199997</v>
      </c>
      <c r="S1058">
        <v>5416</v>
      </c>
      <c r="T1058">
        <v>1.1477949127587301E-3</v>
      </c>
      <c r="U1058">
        <v>3848</v>
      </c>
      <c r="V1058">
        <v>0.166744069267836</v>
      </c>
      <c r="W1058">
        <v>1</v>
      </c>
      <c r="X1058">
        <v>2101.4929624900001</v>
      </c>
      <c r="Y1058">
        <v>81095</v>
      </c>
      <c r="Z1058">
        <v>7.6153721127922205E-4</v>
      </c>
      <c r="AA1058">
        <v>20</v>
      </c>
    </row>
    <row r="1059" spans="1:27" x14ac:dyDescent="0.2">
      <c r="A1059">
        <v>10</v>
      </c>
      <c r="B1059">
        <v>1</v>
      </c>
      <c r="C1059">
        <v>0.2</v>
      </c>
      <c r="D1059">
        <v>100</v>
      </c>
      <c r="E1059">
        <v>0.44201231801805302</v>
      </c>
      <c r="F1059">
        <v>1</v>
      </c>
      <c r="G1059">
        <v>34.086240437999997</v>
      </c>
      <c r="H1059">
        <v>0.17011919147538801</v>
      </c>
      <c r="I1059">
        <v>1</v>
      </c>
      <c r="J1059">
        <v>0.234851006</v>
      </c>
      <c r="K1059">
        <v>0.10709101543508701</v>
      </c>
      <c r="L1059">
        <v>1</v>
      </c>
      <c r="M1059">
        <v>3601.3724850580002</v>
      </c>
      <c r="N1059">
        <v>536800</v>
      </c>
      <c r="O1059">
        <v>1.6313626969094601E-2</v>
      </c>
      <c r="P1059">
        <v>0.17648615748613</v>
      </c>
      <c r="Q1059">
        <v>1</v>
      </c>
      <c r="R1059">
        <v>354.965284967</v>
      </c>
      <c r="S1059">
        <v>9312</v>
      </c>
      <c r="T1059">
        <v>3.98176216796997E-4</v>
      </c>
      <c r="U1059">
        <v>5981</v>
      </c>
      <c r="V1059">
        <v>0.255508431627538</v>
      </c>
      <c r="W1059">
        <v>1</v>
      </c>
      <c r="X1059">
        <v>1754.304848042</v>
      </c>
      <c r="Y1059">
        <v>132948</v>
      </c>
      <c r="Z1059">
        <v>8.7904748807145195E-4</v>
      </c>
      <c r="AA1059">
        <v>20</v>
      </c>
    </row>
    <row r="1060" spans="1:27" x14ac:dyDescent="0.2">
      <c r="A1060">
        <v>10</v>
      </c>
      <c r="B1060">
        <v>1</v>
      </c>
      <c r="C1060">
        <v>0.3</v>
      </c>
      <c r="D1060">
        <v>100</v>
      </c>
      <c r="E1060">
        <v>0.81283297920862696</v>
      </c>
      <c r="F1060">
        <v>1</v>
      </c>
      <c r="G1060">
        <v>30.386150182000002</v>
      </c>
      <c r="H1060">
        <v>0.71921833126479695</v>
      </c>
      <c r="I1060">
        <v>1</v>
      </c>
      <c r="J1060">
        <v>0.296710951</v>
      </c>
      <c r="K1060">
        <v>0.71912928134323095</v>
      </c>
      <c r="L1060">
        <v>1</v>
      </c>
      <c r="M1060">
        <v>3601.293858734</v>
      </c>
      <c r="N1060">
        <v>861560</v>
      </c>
      <c r="O1060">
        <v>9.8223154695400404E-3</v>
      </c>
      <c r="P1060">
        <v>0.76658887345801896</v>
      </c>
      <c r="Q1060">
        <v>1</v>
      </c>
      <c r="R1060">
        <v>222.95272647300001</v>
      </c>
      <c r="S1060">
        <v>5551</v>
      </c>
      <c r="T1060">
        <v>8.9456481193876604E-4</v>
      </c>
      <c r="U1060">
        <v>4272</v>
      </c>
      <c r="V1060">
        <v>0.74563452827992005</v>
      </c>
      <c r="W1060">
        <v>1</v>
      </c>
      <c r="X1060">
        <v>1728.2695191190001</v>
      </c>
      <c r="Y1060">
        <v>162508</v>
      </c>
      <c r="Z1060">
        <v>7.1156284969858797E-4</v>
      </c>
      <c r="AA1060">
        <v>20</v>
      </c>
    </row>
    <row r="1061" spans="1:27" x14ac:dyDescent="0.2">
      <c r="A1061">
        <v>10</v>
      </c>
      <c r="B1061">
        <v>1</v>
      </c>
      <c r="C1061">
        <v>0.4</v>
      </c>
      <c r="D1061">
        <v>100</v>
      </c>
      <c r="E1061">
        <v>0.70400076096349595</v>
      </c>
      <c r="F1061">
        <v>1</v>
      </c>
      <c r="G1061">
        <v>39.452316773</v>
      </c>
      <c r="H1061">
        <v>0.39487969487796398</v>
      </c>
      <c r="I1061">
        <v>1</v>
      </c>
      <c r="J1061">
        <v>0.15280833399999999</v>
      </c>
      <c r="K1061">
        <v>0.39836416733806101</v>
      </c>
      <c r="L1061">
        <v>1</v>
      </c>
      <c r="M1061">
        <v>3605.8814268159999</v>
      </c>
      <c r="N1061">
        <v>552566</v>
      </c>
      <c r="O1061">
        <v>2.83682478010014E-2</v>
      </c>
      <c r="P1061">
        <v>0.77337675935582795</v>
      </c>
      <c r="Q1061">
        <v>1</v>
      </c>
      <c r="R1061">
        <v>563.61078919800002</v>
      </c>
      <c r="S1061">
        <v>8106</v>
      </c>
      <c r="T1061">
        <v>2.0262144052514901E-3</v>
      </c>
      <c r="U1061">
        <v>5330</v>
      </c>
      <c r="V1061">
        <v>0.48391832528871198</v>
      </c>
      <c r="W1061">
        <v>1</v>
      </c>
      <c r="X1061">
        <v>1342.3229045789999</v>
      </c>
      <c r="Y1061">
        <v>104258</v>
      </c>
      <c r="Z1061">
        <v>1.03198883455216E-3</v>
      </c>
      <c r="AA1061">
        <v>20</v>
      </c>
    </row>
    <row r="1062" spans="1:27" x14ac:dyDescent="0.2">
      <c r="A1062">
        <v>10</v>
      </c>
      <c r="B1062">
        <v>1</v>
      </c>
      <c r="C1062">
        <v>0.1</v>
      </c>
      <c r="D1062">
        <v>100</v>
      </c>
      <c r="E1062">
        <v>0.96580268824637205</v>
      </c>
      <c r="F1062">
        <v>1</v>
      </c>
      <c r="G1062">
        <v>34.591285534000001</v>
      </c>
      <c r="H1062">
        <v>0.96552350262443598</v>
      </c>
      <c r="I1062">
        <v>1</v>
      </c>
      <c r="J1062">
        <v>8.2647896999999998E-2</v>
      </c>
      <c r="K1062">
        <v>1.0241309587451799</v>
      </c>
      <c r="L1062">
        <v>1</v>
      </c>
      <c r="M1062">
        <v>3600.5173146510001</v>
      </c>
      <c r="N1062">
        <v>666723</v>
      </c>
      <c r="O1062">
        <v>3.4699077843498502E-3</v>
      </c>
      <c r="P1062">
        <v>0.950642457611652</v>
      </c>
      <c r="Q1062">
        <v>1</v>
      </c>
      <c r="R1062">
        <v>2191.4911816069998</v>
      </c>
      <c r="S1062">
        <v>69153</v>
      </c>
      <c r="T1062" s="1">
        <v>5.27140169905519E-5</v>
      </c>
      <c r="U1062">
        <v>38238</v>
      </c>
      <c r="V1062">
        <v>0.995237842475035</v>
      </c>
      <c r="W1062">
        <v>1</v>
      </c>
      <c r="X1062">
        <v>9.5916819150000006</v>
      </c>
      <c r="Y1062">
        <v>3301</v>
      </c>
      <c r="Z1062" s="1">
        <v>3.7936232454099898E-5</v>
      </c>
      <c r="AA1062">
        <v>1</v>
      </c>
    </row>
    <row r="1063" spans="1:27" x14ac:dyDescent="0.2">
      <c r="A1063">
        <v>10</v>
      </c>
      <c r="B1063">
        <v>1</v>
      </c>
      <c r="C1063">
        <v>0.4</v>
      </c>
      <c r="D1063">
        <v>100</v>
      </c>
      <c r="E1063">
        <v>2.6758412102670801E-2</v>
      </c>
      <c r="F1063">
        <v>1</v>
      </c>
      <c r="G1063">
        <v>31.473970570999999</v>
      </c>
      <c r="H1063">
        <v>2.7671511204459001E-2</v>
      </c>
      <c r="I1063">
        <v>1</v>
      </c>
      <c r="J1063">
        <v>4.7777913999999998E-2</v>
      </c>
      <c r="K1063">
        <v>2.87017369121025E-2</v>
      </c>
      <c r="L1063">
        <v>1</v>
      </c>
      <c r="M1063">
        <v>2263.3143149880002</v>
      </c>
      <c r="N1063">
        <v>492211</v>
      </c>
      <c r="O1063">
        <v>4.1241634292958898E-3</v>
      </c>
      <c r="P1063">
        <v>1.9370052825470298E-2</v>
      </c>
      <c r="Q1063">
        <v>1</v>
      </c>
      <c r="R1063">
        <v>22.236277505</v>
      </c>
      <c r="S1063">
        <v>1</v>
      </c>
      <c r="T1063">
        <v>2.3470700070774499E-3</v>
      </c>
      <c r="U1063">
        <v>4</v>
      </c>
      <c r="V1063">
        <v>1.9370052825470298E-2</v>
      </c>
      <c r="W1063">
        <v>1</v>
      </c>
      <c r="X1063">
        <v>7.9687956760000001</v>
      </c>
      <c r="Y1063">
        <v>1</v>
      </c>
      <c r="Z1063">
        <v>1.67538710776066E-3</v>
      </c>
      <c r="AA1063">
        <v>1</v>
      </c>
    </row>
    <row r="1064" spans="1:27" x14ac:dyDescent="0.2">
      <c r="A1064">
        <v>10</v>
      </c>
      <c r="B1064">
        <v>1</v>
      </c>
      <c r="C1064">
        <v>0.4</v>
      </c>
      <c r="D1064">
        <v>100</v>
      </c>
      <c r="E1064">
        <v>0.395086200135909</v>
      </c>
      <c r="F1064">
        <v>1</v>
      </c>
      <c r="G1064">
        <v>34.016922618999999</v>
      </c>
      <c r="H1064">
        <v>0.108067713517553</v>
      </c>
      <c r="I1064">
        <v>1</v>
      </c>
      <c r="J1064">
        <v>0.129615969</v>
      </c>
      <c r="K1064">
        <v>0.108406546726016</v>
      </c>
      <c r="L1064">
        <v>1</v>
      </c>
      <c r="M1064">
        <v>3600.6955121320002</v>
      </c>
      <c r="N1064">
        <v>999436</v>
      </c>
      <c r="O1064">
        <v>2.5608584009258799E-2</v>
      </c>
      <c r="P1064">
        <v>0.25144325682636998</v>
      </c>
      <c r="Q1064">
        <v>1</v>
      </c>
      <c r="R1064">
        <v>186.29296284</v>
      </c>
      <c r="S1064">
        <v>2726</v>
      </c>
      <c r="T1064">
        <v>1.44242107124145E-3</v>
      </c>
      <c r="U1064">
        <v>2308</v>
      </c>
      <c r="V1064">
        <v>0.21176534561180299</v>
      </c>
      <c r="W1064">
        <v>1</v>
      </c>
      <c r="X1064">
        <v>1490.3792068759999</v>
      </c>
      <c r="Y1064">
        <v>107842</v>
      </c>
      <c r="Z1064">
        <v>1.36510671265804E-3</v>
      </c>
      <c r="AA1064">
        <v>20</v>
      </c>
    </row>
    <row r="1065" spans="1:27" x14ac:dyDescent="0.2">
      <c r="A1065">
        <v>10</v>
      </c>
      <c r="B1065">
        <v>1</v>
      </c>
      <c r="C1065">
        <v>0.2</v>
      </c>
      <c r="D1065">
        <v>100</v>
      </c>
      <c r="E1065">
        <v>0.73667384360652899</v>
      </c>
      <c r="F1065">
        <v>1</v>
      </c>
      <c r="G1065">
        <v>33.459608322999998</v>
      </c>
      <c r="H1065">
        <v>0.73440413969807605</v>
      </c>
      <c r="I1065">
        <v>1</v>
      </c>
      <c r="J1065">
        <v>0.241037787</v>
      </c>
      <c r="K1065">
        <v>0.67078408950722201</v>
      </c>
      <c r="L1065">
        <v>1</v>
      </c>
      <c r="M1065">
        <v>3601.0447857690001</v>
      </c>
      <c r="N1065">
        <v>844965</v>
      </c>
      <c r="O1065">
        <v>7.3407978878208199E-3</v>
      </c>
      <c r="P1065">
        <v>0.93505850100741505</v>
      </c>
      <c r="Q1065">
        <v>1</v>
      </c>
      <c r="R1065">
        <v>146.48246506500001</v>
      </c>
      <c r="S1065">
        <v>3929</v>
      </c>
      <c r="T1065">
        <v>5.10481814530394E-4</v>
      </c>
      <c r="U1065">
        <v>3139</v>
      </c>
      <c r="V1065">
        <v>0.90629846285475202</v>
      </c>
      <c r="W1065">
        <v>1</v>
      </c>
      <c r="X1065">
        <v>2275.5705560279998</v>
      </c>
      <c r="Y1065">
        <v>156851</v>
      </c>
      <c r="Z1065">
        <v>1.3056018600216099E-3</v>
      </c>
      <c r="AA1065">
        <v>20</v>
      </c>
    </row>
    <row r="1066" spans="1:27" x14ac:dyDescent="0.2">
      <c r="A1066">
        <v>10</v>
      </c>
      <c r="B1066">
        <v>1</v>
      </c>
      <c r="C1066">
        <v>0.3</v>
      </c>
      <c r="D1066">
        <v>100</v>
      </c>
      <c r="E1066">
        <v>0.27682388086999998</v>
      </c>
      <c r="F1066">
        <v>1</v>
      </c>
      <c r="G1066">
        <v>32.064384470999997</v>
      </c>
      <c r="H1066">
        <v>0.158960861864992</v>
      </c>
      <c r="I1066">
        <v>1</v>
      </c>
      <c r="J1066">
        <v>0.28460759800000002</v>
      </c>
      <c r="K1066">
        <v>0.157911125135686</v>
      </c>
      <c r="L1066">
        <v>1</v>
      </c>
      <c r="M1066">
        <v>3600.592465879</v>
      </c>
      <c r="N1066">
        <v>865940</v>
      </c>
      <c r="O1066">
        <v>8.3632516657274805E-3</v>
      </c>
      <c r="P1066">
        <v>0.22590732659285101</v>
      </c>
      <c r="Q1066">
        <v>1</v>
      </c>
      <c r="R1066">
        <v>256.97478027099999</v>
      </c>
      <c r="S1066">
        <v>3725</v>
      </c>
      <c r="T1066">
        <v>2.5430912338998898E-3</v>
      </c>
      <c r="U1066">
        <v>2584</v>
      </c>
      <c r="V1066">
        <v>0.148635845125142</v>
      </c>
      <c r="W1066">
        <v>1</v>
      </c>
      <c r="X1066">
        <v>2171.6386143710001</v>
      </c>
      <c r="Y1066">
        <v>87506</v>
      </c>
      <c r="Z1066">
        <v>2.4720657778945498E-3</v>
      </c>
      <c r="AA1066">
        <v>20</v>
      </c>
    </row>
    <row r="1067" spans="1:27" x14ac:dyDescent="0.2">
      <c r="A1067">
        <v>10</v>
      </c>
      <c r="B1067">
        <v>1</v>
      </c>
      <c r="C1067">
        <v>0.3</v>
      </c>
      <c r="D1067">
        <v>100</v>
      </c>
      <c r="E1067">
        <v>0.265687512958931</v>
      </c>
      <c r="F1067">
        <v>1</v>
      </c>
      <c r="G1067">
        <v>32.126658839000001</v>
      </c>
      <c r="H1067">
        <v>0.27894668923538901</v>
      </c>
      <c r="I1067">
        <v>1</v>
      </c>
      <c r="J1067">
        <v>0.13726179399999999</v>
      </c>
      <c r="K1067">
        <v>0.278759497390762</v>
      </c>
      <c r="L1067">
        <v>1</v>
      </c>
      <c r="M1067">
        <v>3601.054099084</v>
      </c>
      <c r="N1067">
        <v>697952</v>
      </c>
      <c r="O1067">
        <v>4.7106534924097297E-3</v>
      </c>
      <c r="P1067">
        <v>0.38335330195539202</v>
      </c>
      <c r="Q1067">
        <v>1</v>
      </c>
      <c r="R1067">
        <v>236.03206335100001</v>
      </c>
      <c r="S1067">
        <v>6449</v>
      </c>
      <c r="T1067">
        <v>1.74376286907779E-3</v>
      </c>
      <c r="U1067">
        <v>4219</v>
      </c>
      <c r="V1067">
        <v>0.191136940399176</v>
      </c>
      <c r="W1067">
        <v>1</v>
      </c>
      <c r="X1067">
        <v>2653.9794978730001</v>
      </c>
      <c r="Y1067">
        <v>66405</v>
      </c>
      <c r="Z1067">
        <v>7.9760192856837501E-3</v>
      </c>
      <c r="AA1067">
        <v>20</v>
      </c>
    </row>
    <row r="1068" spans="1:27" x14ac:dyDescent="0.2">
      <c r="A1068">
        <v>10</v>
      </c>
      <c r="B1068">
        <v>1</v>
      </c>
      <c r="C1068">
        <v>0.2</v>
      </c>
      <c r="D1068">
        <v>100</v>
      </c>
      <c r="E1068">
        <v>0.83134107698711401</v>
      </c>
      <c r="F1068">
        <v>1</v>
      </c>
      <c r="G1068">
        <v>32.145348032999998</v>
      </c>
      <c r="H1068">
        <v>0.69869212347855703</v>
      </c>
      <c r="I1068">
        <v>1</v>
      </c>
      <c r="J1068">
        <v>0.27207935300000002</v>
      </c>
      <c r="K1068">
        <v>0.698951343907247</v>
      </c>
      <c r="L1068">
        <v>1</v>
      </c>
      <c r="M1068">
        <v>3601.0939745840001</v>
      </c>
      <c r="N1068">
        <v>558925</v>
      </c>
      <c r="O1068">
        <v>1.0021752675372701E-2</v>
      </c>
      <c r="P1068">
        <v>0.76059819659053396</v>
      </c>
      <c r="Q1068">
        <v>1</v>
      </c>
      <c r="R1068">
        <v>360.33915375399999</v>
      </c>
      <c r="S1068">
        <v>9198</v>
      </c>
      <c r="T1068">
        <v>3.50841876173839E-4</v>
      </c>
      <c r="U1068">
        <v>6482</v>
      </c>
      <c r="V1068">
        <v>0.76748898547641298</v>
      </c>
      <c r="W1068">
        <v>1</v>
      </c>
      <c r="X1068">
        <v>2282.6392979289999</v>
      </c>
      <c r="Y1068">
        <v>322006</v>
      </c>
      <c r="Z1068">
        <v>4.89230411132572E-4</v>
      </c>
      <c r="AA1068">
        <v>20</v>
      </c>
    </row>
    <row r="1069" spans="1:27" x14ac:dyDescent="0.2">
      <c r="A1069">
        <v>10</v>
      </c>
      <c r="B1069">
        <v>1</v>
      </c>
      <c r="C1069">
        <v>0.2</v>
      </c>
      <c r="D1069">
        <v>100</v>
      </c>
      <c r="E1069">
        <v>0.54772826076691605</v>
      </c>
      <c r="F1069">
        <v>1</v>
      </c>
      <c r="G1069">
        <v>33.294984169999999</v>
      </c>
      <c r="H1069">
        <v>0.56250400602259198</v>
      </c>
      <c r="I1069">
        <v>1</v>
      </c>
      <c r="J1069">
        <v>0.22886140999999999</v>
      </c>
      <c r="K1069">
        <v>0.38009278534705598</v>
      </c>
      <c r="L1069">
        <v>1</v>
      </c>
      <c r="M1069">
        <v>3600.5402723840002</v>
      </c>
      <c r="N1069">
        <v>479974</v>
      </c>
      <c r="O1069">
        <v>4.03340254031192E-2</v>
      </c>
      <c r="P1069">
        <v>0.94780041589478103</v>
      </c>
      <c r="Q1069">
        <v>1</v>
      </c>
      <c r="R1069">
        <v>547.82906236999997</v>
      </c>
      <c r="S1069">
        <v>16204</v>
      </c>
      <c r="T1069">
        <v>7.3527542587790897E-4</v>
      </c>
      <c r="U1069">
        <v>9528</v>
      </c>
      <c r="V1069">
        <v>0.93711934632654903</v>
      </c>
      <c r="W1069">
        <v>1</v>
      </c>
      <c r="X1069">
        <v>2539.1214280929998</v>
      </c>
      <c r="Y1069">
        <v>233016</v>
      </c>
      <c r="Z1069">
        <v>7.63302311614949E-4</v>
      </c>
      <c r="AA1069">
        <v>20</v>
      </c>
    </row>
    <row r="1070" spans="1:27" x14ac:dyDescent="0.2">
      <c r="A1070">
        <v>10</v>
      </c>
      <c r="B1070">
        <v>1</v>
      </c>
      <c r="C1070">
        <v>0.3</v>
      </c>
      <c r="D1070">
        <v>100</v>
      </c>
      <c r="E1070">
        <v>0.40488930459837702</v>
      </c>
      <c r="F1070">
        <v>1</v>
      </c>
      <c r="G1070">
        <v>31.885840942000002</v>
      </c>
      <c r="H1070">
        <v>0.122324418705186</v>
      </c>
      <c r="I1070">
        <v>1</v>
      </c>
      <c r="J1070">
        <v>0.21664602199999999</v>
      </c>
      <c r="K1070">
        <v>0.121878829872282</v>
      </c>
      <c r="L1070">
        <v>1</v>
      </c>
      <c r="M1070">
        <v>3601.0675533059998</v>
      </c>
      <c r="N1070">
        <v>459025</v>
      </c>
      <c r="O1070">
        <v>1.70053010645876E-2</v>
      </c>
      <c r="P1070">
        <v>0.24346501798245701</v>
      </c>
      <c r="Q1070">
        <v>1</v>
      </c>
      <c r="R1070">
        <v>354.954379663</v>
      </c>
      <c r="S1070">
        <v>5421</v>
      </c>
      <c r="T1070">
        <v>1.17644368078889E-3</v>
      </c>
      <c r="U1070">
        <v>4097</v>
      </c>
      <c r="V1070">
        <v>0.222827183841354</v>
      </c>
      <c r="W1070">
        <v>1</v>
      </c>
      <c r="X1070">
        <v>2900.4568264929999</v>
      </c>
      <c r="Y1070">
        <v>167671</v>
      </c>
      <c r="Z1070">
        <v>2.1966273331423098E-3</v>
      </c>
      <c r="AA1070">
        <v>20</v>
      </c>
    </row>
    <row r="1071" spans="1:27" x14ac:dyDescent="0.2">
      <c r="A1071">
        <v>10</v>
      </c>
      <c r="B1071">
        <v>1</v>
      </c>
      <c r="C1071">
        <v>0.4</v>
      </c>
      <c r="D1071">
        <v>100</v>
      </c>
      <c r="E1071">
        <v>0.278225317275961</v>
      </c>
      <c r="F1071">
        <v>1</v>
      </c>
      <c r="G1071">
        <v>30.387137330000002</v>
      </c>
      <c r="H1071">
        <v>6.8582369121940004E-2</v>
      </c>
      <c r="I1071">
        <v>1</v>
      </c>
      <c r="J1071">
        <v>0.18369714000000001</v>
      </c>
      <c r="K1071">
        <v>6.6108672821995604E-2</v>
      </c>
      <c r="L1071">
        <v>1</v>
      </c>
      <c r="M1071">
        <v>3600.8812852390001</v>
      </c>
      <c r="N1071">
        <v>742969</v>
      </c>
      <c r="O1071">
        <v>2.2900792452471498E-3</v>
      </c>
      <c r="P1071">
        <v>0.395443966385158</v>
      </c>
      <c r="Q1071">
        <v>1</v>
      </c>
      <c r="R1071">
        <v>488.41371354500001</v>
      </c>
      <c r="S1071">
        <v>11221</v>
      </c>
      <c r="T1071">
        <v>9.9568659064820609E-4</v>
      </c>
      <c r="U1071">
        <v>6707</v>
      </c>
      <c r="V1071">
        <v>0.15940013710223599</v>
      </c>
      <c r="W1071">
        <v>1</v>
      </c>
      <c r="X1071">
        <v>2719.4520822300001</v>
      </c>
      <c r="Y1071">
        <v>171918</v>
      </c>
      <c r="Z1071">
        <v>1.34375699653514E-3</v>
      </c>
      <c r="AA1071">
        <v>20</v>
      </c>
    </row>
    <row r="1072" spans="1:27" x14ac:dyDescent="0.2">
      <c r="A1072">
        <v>10</v>
      </c>
      <c r="B1072">
        <v>1</v>
      </c>
      <c r="C1072">
        <v>0.4</v>
      </c>
      <c r="D1072">
        <v>100</v>
      </c>
      <c r="E1072">
        <v>0.55973237004786303</v>
      </c>
      <c r="F1072">
        <v>1</v>
      </c>
      <c r="G1072">
        <v>31.524165408999998</v>
      </c>
      <c r="H1072">
        <v>0.50308339810393898</v>
      </c>
      <c r="I1072">
        <v>1</v>
      </c>
      <c r="J1072">
        <v>9.5363733000000006E-2</v>
      </c>
      <c r="K1072">
        <v>0.50304989936283495</v>
      </c>
      <c r="L1072">
        <v>1</v>
      </c>
      <c r="M1072">
        <v>3600.5499294460001</v>
      </c>
      <c r="N1072">
        <v>688313</v>
      </c>
      <c r="O1072">
        <v>1.0618709239671399E-3</v>
      </c>
      <c r="P1072">
        <v>0.39008124905039598</v>
      </c>
      <c r="Q1072">
        <v>1</v>
      </c>
      <c r="R1072">
        <v>395.99498293900001</v>
      </c>
      <c r="S1072">
        <v>9005</v>
      </c>
      <c r="T1072">
        <v>2.9925022413976999E-4</v>
      </c>
      <c r="U1072">
        <v>6233</v>
      </c>
      <c r="V1072">
        <v>0.82649426072034704</v>
      </c>
      <c r="W1072">
        <v>1</v>
      </c>
      <c r="X1072">
        <v>2887.0766758079999</v>
      </c>
      <c r="Y1072">
        <v>121044</v>
      </c>
      <c r="Z1072">
        <v>1.8306882736219901E-3</v>
      </c>
      <c r="AA1072">
        <v>20</v>
      </c>
    </row>
    <row r="1073" spans="1:27" x14ac:dyDescent="0.2">
      <c r="A1073">
        <v>10</v>
      </c>
      <c r="B1073">
        <v>1</v>
      </c>
      <c r="C1073">
        <v>0.4</v>
      </c>
      <c r="D1073">
        <v>100</v>
      </c>
      <c r="E1073">
        <v>0.51367412662210399</v>
      </c>
      <c r="F1073">
        <v>1</v>
      </c>
      <c r="G1073">
        <v>32.248783574000001</v>
      </c>
      <c r="H1073">
        <v>0.24804807924042399</v>
      </c>
      <c r="I1073">
        <v>1</v>
      </c>
      <c r="J1073">
        <v>0.166409643</v>
      </c>
      <c r="K1073">
        <v>0.26313708966727001</v>
      </c>
      <c r="L1073">
        <v>1</v>
      </c>
      <c r="M1073">
        <v>3600.5715317139998</v>
      </c>
      <c r="N1073">
        <v>793967</v>
      </c>
      <c r="O1073">
        <v>2.1243603606148499E-2</v>
      </c>
      <c r="P1073">
        <v>0.86716663099265101</v>
      </c>
      <c r="Q1073">
        <v>1</v>
      </c>
      <c r="R1073">
        <v>294.64304221999998</v>
      </c>
      <c r="S1073">
        <v>6853</v>
      </c>
      <c r="T1073">
        <v>1.54274770024807E-4</v>
      </c>
      <c r="U1073">
        <v>4707</v>
      </c>
      <c r="V1073">
        <v>0.47886174645065799</v>
      </c>
      <c r="W1073">
        <v>1</v>
      </c>
      <c r="X1073">
        <v>3021.9611019399999</v>
      </c>
      <c r="Y1073">
        <v>64078</v>
      </c>
      <c r="Z1073">
        <v>1.25022905298763E-3</v>
      </c>
      <c r="AA1073">
        <v>20</v>
      </c>
    </row>
    <row r="1074" spans="1:27" x14ac:dyDescent="0.2">
      <c r="A1074">
        <v>10</v>
      </c>
      <c r="B1074">
        <v>1</v>
      </c>
      <c r="C1074">
        <v>0.4</v>
      </c>
      <c r="D1074">
        <v>100</v>
      </c>
      <c r="E1074">
        <v>0.17865284080226601</v>
      </c>
      <c r="F1074">
        <v>1</v>
      </c>
      <c r="G1074">
        <v>36.205416812000003</v>
      </c>
      <c r="H1074">
        <v>7.5987858858196505E-2</v>
      </c>
      <c r="I1074">
        <v>1</v>
      </c>
      <c r="J1074">
        <v>0.170067781</v>
      </c>
      <c r="K1074">
        <v>7.5495083189478202E-2</v>
      </c>
      <c r="L1074">
        <v>1</v>
      </c>
      <c r="M1074">
        <v>3601.268307069</v>
      </c>
      <c r="N1074">
        <v>760782</v>
      </c>
      <c r="O1074">
        <v>5.3815502548495396E-3</v>
      </c>
      <c r="P1074">
        <v>0.23443129780293001</v>
      </c>
      <c r="Q1074">
        <v>1</v>
      </c>
      <c r="R1074">
        <v>354.16423855699998</v>
      </c>
      <c r="S1074">
        <v>8119</v>
      </c>
      <c r="T1074">
        <v>1.7028562978364801E-3</v>
      </c>
      <c r="U1074">
        <v>5296</v>
      </c>
      <c r="V1074">
        <v>0.24522040152035299</v>
      </c>
      <c r="W1074">
        <v>1</v>
      </c>
      <c r="X1074">
        <v>2679.8984884689999</v>
      </c>
      <c r="Y1074">
        <v>178152</v>
      </c>
      <c r="Z1074">
        <v>1.03715665620385E-3</v>
      </c>
      <c r="AA1074">
        <v>20</v>
      </c>
    </row>
    <row r="1075" spans="1:27" x14ac:dyDescent="0.2">
      <c r="A1075">
        <v>10</v>
      </c>
      <c r="B1075">
        <v>1</v>
      </c>
      <c r="C1075">
        <v>0.2</v>
      </c>
      <c r="D1075">
        <v>100</v>
      </c>
      <c r="E1075">
        <v>0.90790961069716303</v>
      </c>
      <c r="F1075">
        <v>1</v>
      </c>
      <c r="G1075">
        <v>31.405838137</v>
      </c>
      <c r="H1075">
        <v>0.87498977166719105</v>
      </c>
      <c r="I1075">
        <v>1</v>
      </c>
      <c r="J1075">
        <v>0.249665313</v>
      </c>
      <c r="K1075">
        <v>0.94208001236500905</v>
      </c>
      <c r="L1075">
        <v>1</v>
      </c>
      <c r="M1075">
        <v>3600.5311960280001</v>
      </c>
      <c r="N1075">
        <v>648354</v>
      </c>
      <c r="O1075">
        <v>9.2189607920056798E-3</v>
      </c>
      <c r="P1075">
        <v>0.93234865203647099</v>
      </c>
      <c r="Q1075">
        <v>1</v>
      </c>
      <c r="R1075">
        <v>3258.1348273210001</v>
      </c>
      <c r="S1075">
        <v>109311</v>
      </c>
      <c r="T1075" s="1">
        <v>8.1538661924049295E-5</v>
      </c>
      <c r="U1075">
        <v>58087</v>
      </c>
      <c r="V1075">
        <v>0.95621377975612798</v>
      </c>
      <c r="W1075">
        <v>1</v>
      </c>
      <c r="X1075">
        <v>121.135029242</v>
      </c>
      <c r="Y1075">
        <v>13218</v>
      </c>
      <c r="Z1075">
        <v>1.2268378363238099E-4</v>
      </c>
      <c r="AA1075">
        <v>7</v>
      </c>
    </row>
    <row r="1076" spans="1:27" x14ac:dyDescent="0.2">
      <c r="A1076">
        <v>10</v>
      </c>
      <c r="B1076">
        <v>1</v>
      </c>
      <c r="C1076">
        <v>0.2</v>
      </c>
      <c r="D1076">
        <v>100</v>
      </c>
      <c r="E1076">
        <v>0.64045880275931999</v>
      </c>
      <c r="F1076">
        <v>1</v>
      </c>
      <c r="G1076">
        <v>31.979591002999999</v>
      </c>
      <c r="H1076">
        <v>0.39018170205957903</v>
      </c>
      <c r="I1076">
        <v>1</v>
      </c>
      <c r="J1076">
        <v>0.22091286900000001</v>
      </c>
      <c r="K1076">
        <v>0.40515759285231101</v>
      </c>
      <c r="L1076">
        <v>1</v>
      </c>
      <c r="M1076">
        <v>3601.7446817330001</v>
      </c>
      <c r="N1076">
        <v>459267</v>
      </c>
      <c r="O1076">
        <v>2.3935852120540099E-2</v>
      </c>
      <c r="P1076">
        <v>0.82945222056771895</v>
      </c>
      <c r="Q1076">
        <v>1</v>
      </c>
      <c r="R1076">
        <v>691.02992556000004</v>
      </c>
      <c r="S1076">
        <v>15741</v>
      </c>
      <c r="T1076">
        <v>3.08924115712636E-4</v>
      </c>
      <c r="U1076">
        <v>10190</v>
      </c>
      <c r="V1076">
        <v>1.2348157234847501</v>
      </c>
      <c r="W1076">
        <v>1</v>
      </c>
      <c r="X1076">
        <v>2841.1358152060002</v>
      </c>
      <c r="Y1076">
        <v>103175</v>
      </c>
      <c r="Z1076">
        <v>9.4133024912448904E-4</v>
      </c>
      <c r="AA1076">
        <v>20</v>
      </c>
    </row>
    <row r="1077" spans="1:27" x14ac:dyDescent="0.2">
      <c r="A1077">
        <v>10</v>
      </c>
      <c r="B1077">
        <v>1</v>
      </c>
      <c r="C1077">
        <v>0.3</v>
      </c>
      <c r="D1077">
        <v>100</v>
      </c>
      <c r="E1077">
        <v>0.24326405004996199</v>
      </c>
      <c r="F1077">
        <v>1</v>
      </c>
      <c r="G1077">
        <v>32.344046636000002</v>
      </c>
      <c r="H1077">
        <v>0.150770896082532</v>
      </c>
      <c r="I1077">
        <v>1</v>
      </c>
      <c r="J1077">
        <v>0.32468242800000002</v>
      </c>
      <c r="K1077">
        <v>0.145931867700726</v>
      </c>
      <c r="L1077">
        <v>1</v>
      </c>
      <c r="M1077">
        <v>3600.5266677660002</v>
      </c>
      <c r="N1077">
        <v>729374</v>
      </c>
      <c r="O1077">
        <v>9.4881842858995907E-3</v>
      </c>
      <c r="P1077">
        <v>0.34563880916845602</v>
      </c>
      <c r="Q1077">
        <v>1</v>
      </c>
      <c r="R1077">
        <v>482.78954840300003</v>
      </c>
      <c r="S1077">
        <v>9529</v>
      </c>
      <c r="T1077">
        <v>1.56893792254658E-3</v>
      </c>
      <c r="U1077">
        <v>6015</v>
      </c>
      <c r="V1077">
        <v>6.5341986035546806E-2</v>
      </c>
      <c r="W1077">
        <v>1</v>
      </c>
      <c r="X1077">
        <v>2846.113886312</v>
      </c>
      <c r="Y1077">
        <v>98649</v>
      </c>
      <c r="Z1077">
        <v>5.9143544074345402E-3</v>
      </c>
      <c r="AA1077">
        <v>20</v>
      </c>
    </row>
    <row r="1078" spans="1:27" x14ac:dyDescent="0.2">
      <c r="A1078">
        <v>10</v>
      </c>
      <c r="B1078">
        <v>1</v>
      </c>
      <c r="C1078">
        <v>0.3</v>
      </c>
      <c r="D1078">
        <v>100</v>
      </c>
      <c r="E1078">
        <v>0.53646943004876002</v>
      </c>
      <c r="F1078">
        <v>1</v>
      </c>
      <c r="G1078">
        <v>39.395881832999997</v>
      </c>
      <c r="H1078">
        <v>0.21728425716305899</v>
      </c>
      <c r="I1078">
        <v>1</v>
      </c>
      <c r="J1078">
        <v>0.46727396799999998</v>
      </c>
      <c r="K1078">
        <v>0.217651282291941</v>
      </c>
      <c r="L1078">
        <v>1</v>
      </c>
      <c r="M1078">
        <v>3601.582345968</v>
      </c>
      <c r="N1078">
        <v>522383</v>
      </c>
      <c r="O1078">
        <v>8.7212140764130197E-3</v>
      </c>
      <c r="P1078">
        <v>0.415349037299586</v>
      </c>
      <c r="Q1078">
        <v>1</v>
      </c>
      <c r="R1078">
        <v>398.687213955</v>
      </c>
      <c r="S1078">
        <v>10504</v>
      </c>
      <c r="T1078">
        <v>1.34814635722541E-3</v>
      </c>
      <c r="U1078">
        <v>6784</v>
      </c>
      <c r="V1078">
        <v>0.31014981425226401</v>
      </c>
      <c r="W1078">
        <v>1</v>
      </c>
      <c r="X1078">
        <v>2921.1498389919998</v>
      </c>
      <c r="Y1078">
        <v>150905</v>
      </c>
      <c r="Z1078">
        <v>8.5715289972232902E-3</v>
      </c>
      <c r="AA1078">
        <v>20</v>
      </c>
    </row>
    <row r="1079" spans="1:27" x14ac:dyDescent="0.2">
      <c r="A1079">
        <v>10</v>
      </c>
      <c r="B1079">
        <v>1</v>
      </c>
      <c r="C1079">
        <v>0.4</v>
      </c>
      <c r="D1079">
        <v>100</v>
      </c>
      <c r="E1079">
        <v>0.35563053555660601</v>
      </c>
      <c r="F1079">
        <v>1</v>
      </c>
      <c r="G1079">
        <v>34.054155969999997</v>
      </c>
      <c r="H1079">
        <v>9.9239601844517703E-2</v>
      </c>
      <c r="I1079">
        <v>1</v>
      </c>
      <c r="J1079">
        <v>0.20450945100000001</v>
      </c>
      <c r="K1079">
        <v>9.8588419620595003E-2</v>
      </c>
      <c r="L1079">
        <v>1</v>
      </c>
      <c r="M1079">
        <v>3600.8355632409998</v>
      </c>
      <c r="N1079">
        <v>844258</v>
      </c>
      <c r="O1079">
        <v>5.5293583313975603E-3</v>
      </c>
      <c r="P1079">
        <v>0.39394698561003999</v>
      </c>
      <c r="Q1079">
        <v>1</v>
      </c>
      <c r="R1079">
        <v>439.15436383799999</v>
      </c>
      <c r="S1079">
        <v>16548</v>
      </c>
      <c r="T1079">
        <v>1.7652713524078901E-3</v>
      </c>
      <c r="U1079">
        <v>9660</v>
      </c>
      <c r="V1079">
        <v>0.28625805969712698</v>
      </c>
      <c r="W1079">
        <v>1</v>
      </c>
      <c r="X1079">
        <v>2912.8632810590002</v>
      </c>
      <c r="Y1079">
        <v>188750</v>
      </c>
      <c r="Z1079">
        <v>5.0990780527899399E-3</v>
      </c>
      <c r="AA1079">
        <v>20</v>
      </c>
    </row>
    <row r="1080" spans="1:27" x14ac:dyDescent="0.2">
      <c r="A1080">
        <v>10</v>
      </c>
      <c r="B1080">
        <v>1</v>
      </c>
      <c r="C1080">
        <v>0.2</v>
      </c>
      <c r="D1080">
        <v>100</v>
      </c>
      <c r="E1080">
        <v>0.561627032556685</v>
      </c>
      <c r="F1080">
        <v>1</v>
      </c>
      <c r="G1080">
        <v>31.720619351</v>
      </c>
      <c r="H1080">
        <v>0.34251212121019198</v>
      </c>
      <c r="I1080">
        <v>1</v>
      </c>
      <c r="J1080">
        <v>0.24475851300000001</v>
      </c>
      <c r="K1080">
        <v>0.34868467953036297</v>
      </c>
      <c r="L1080">
        <v>1</v>
      </c>
      <c r="M1080">
        <v>3600.6260491819999</v>
      </c>
      <c r="N1080">
        <v>513784</v>
      </c>
      <c r="O1080">
        <v>3.10730372853615E-2</v>
      </c>
      <c r="P1080">
        <v>0.85806078237799999</v>
      </c>
      <c r="Q1080">
        <v>1</v>
      </c>
      <c r="R1080">
        <v>750.66878186600002</v>
      </c>
      <c r="S1080">
        <v>15376</v>
      </c>
      <c r="T1080">
        <v>4.9583333783610696E-4</v>
      </c>
      <c r="U1080">
        <v>9634</v>
      </c>
      <c r="V1080">
        <v>0.48293557808116799</v>
      </c>
      <c r="W1080">
        <v>1</v>
      </c>
      <c r="X1080">
        <v>3007.122083104</v>
      </c>
      <c r="Y1080">
        <v>260814</v>
      </c>
      <c r="Z1080">
        <v>1.1986793650694101E-3</v>
      </c>
      <c r="AA1080">
        <v>20</v>
      </c>
    </row>
    <row r="1081" spans="1:27" x14ac:dyDescent="0.2">
      <c r="A1081">
        <v>10</v>
      </c>
      <c r="B1081">
        <v>1</v>
      </c>
      <c r="C1081">
        <v>0.4</v>
      </c>
      <c r="D1081">
        <v>100</v>
      </c>
      <c r="E1081">
        <v>0.12721547910971701</v>
      </c>
      <c r="F1081">
        <v>1</v>
      </c>
      <c r="G1081">
        <v>31.139410368</v>
      </c>
      <c r="H1081">
        <v>4.5311713807590699E-2</v>
      </c>
      <c r="I1081">
        <v>1</v>
      </c>
      <c r="J1081">
        <v>7.4438860999999995E-2</v>
      </c>
      <c r="K1081">
        <v>4.5106459237831603E-2</v>
      </c>
      <c r="L1081">
        <v>1</v>
      </c>
      <c r="M1081">
        <v>3572.0221959320002</v>
      </c>
      <c r="N1081">
        <v>1047958</v>
      </c>
      <c r="O1081">
        <v>1.9356204706646399E-3</v>
      </c>
      <c r="P1081">
        <v>0.139858537018554</v>
      </c>
      <c r="Q1081">
        <v>1</v>
      </c>
      <c r="R1081">
        <v>115.429949327</v>
      </c>
      <c r="S1081">
        <v>2593</v>
      </c>
      <c r="T1081">
        <v>1.7397468401322801E-3</v>
      </c>
      <c r="U1081">
        <v>2055</v>
      </c>
      <c r="V1081">
        <v>4.5637959774860203E-2</v>
      </c>
      <c r="W1081">
        <v>1</v>
      </c>
      <c r="X1081">
        <v>14.536215915</v>
      </c>
      <c r="Y1081">
        <v>1</v>
      </c>
      <c r="Z1081">
        <v>4.4190067612691897E-3</v>
      </c>
      <c r="AA1081">
        <v>2</v>
      </c>
    </row>
    <row r="1082" spans="1:27" x14ac:dyDescent="0.2">
      <c r="A1082">
        <v>10</v>
      </c>
      <c r="B1082">
        <v>1</v>
      </c>
      <c r="C1082">
        <v>0.1</v>
      </c>
      <c r="D1082">
        <v>100</v>
      </c>
      <c r="E1082">
        <v>0.91447218473374603</v>
      </c>
      <c r="F1082">
        <v>1</v>
      </c>
      <c r="G1082">
        <v>32.746790089999998</v>
      </c>
      <c r="H1082">
        <v>0.91447218473374603</v>
      </c>
      <c r="I1082">
        <v>1</v>
      </c>
      <c r="J1082">
        <v>4.1521668999999997E-2</v>
      </c>
      <c r="K1082">
        <v>1.1280290333430101</v>
      </c>
      <c r="L1082">
        <v>1</v>
      </c>
      <c r="M1082">
        <v>3600.6236373759998</v>
      </c>
      <c r="N1082">
        <v>1038505</v>
      </c>
      <c r="O1082">
        <v>2.9022663423745598E-3</v>
      </c>
      <c r="P1082">
        <v>1.2502096675455301</v>
      </c>
      <c r="Q1082">
        <v>1</v>
      </c>
      <c r="R1082">
        <v>156.32103520800001</v>
      </c>
      <c r="S1082">
        <v>2805</v>
      </c>
      <c r="T1082" s="1">
        <v>1.29723518315499E-6</v>
      </c>
      <c r="U1082">
        <v>2811</v>
      </c>
      <c r="V1082">
        <v>1.1255123471778099</v>
      </c>
      <c r="W1082">
        <v>1</v>
      </c>
      <c r="X1082">
        <v>7.4652913160000001</v>
      </c>
      <c r="Y1082">
        <v>2893</v>
      </c>
      <c r="Z1082" s="1">
        <v>2.3197879820128998E-5</v>
      </c>
      <c r="AA1082">
        <v>1</v>
      </c>
    </row>
    <row r="1083" spans="1:27" x14ac:dyDescent="0.2">
      <c r="A1083">
        <v>10</v>
      </c>
      <c r="B1083">
        <v>1</v>
      </c>
      <c r="C1083">
        <v>0.1</v>
      </c>
      <c r="D1083">
        <v>100</v>
      </c>
      <c r="E1083">
        <v>0.92575834321642303</v>
      </c>
      <c r="F1083">
        <v>1</v>
      </c>
      <c r="G1083">
        <v>33.597227834999998</v>
      </c>
      <c r="H1083">
        <v>0.90254543194039805</v>
      </c>
      <c r="I1083">
        <v>1</v>
      </c>
      <c r="J1083">
        <v>0.290441754</v>
      </c>
      <c r="K1083">
        <v>0.82421784493007699</v>
      </c>
      <c r="L1083">
        <v>1</v>
      </c>
      <c r="M1083">
        <v>3600.4960242480001</v>
      </c>
      <c r="N1083">
        <v>602536</v>
      </c>
      <c r="O1083">
        <v>6.7701075534935999E-3</v>
      </c>
      <c r="P1083">
        <v>1.0741639820067399</v>
      </c>
      <c r="Q1083">
        <v>1</v>
      </c>
      <c r="R1083">
        <v>252.71603528700001</v>
      </c>
      <c r="S1083">
        <v>4302</v>
      </c>
      <c r="T1083">
        <v>1.15004484377179E-4</v>
      </c>
      <c r="U1083">
        <v>3529</v>
      </c>
      <c r="V1083">
        <v>0.83604812557277297</v>
      </c>
      <c r="W1083">
        <v>1</v>
      </c>
      <c r="X1083">
        <v>70.089890448999995</v>
      </c>
      <c r="Y1083">
        <v>3593</v>
      </c>
      <c r="Z1083" s="1">
        <v>8.1052311447775402E-5</v>
      </c>
      <c r="AA1083">
        <v>20</v>
      </c>
    </row>
    <row r="1084" spans="1:27" x14ac:dyDescent="0.2">
      <c r="A1084">
        <v>10</v>
      </c>
      <c r="B1084">
        <v>1</v>
      </c>
      <c r="C1084">
        <v>0.4</v>
      </c>
      <c r="D1084">
        <v>100</v>
      </c>
      <c r="E1084">
        <v>0.52267786268404204</v>
      </c>
      <c r="F1084">
        <v>1</v>
      </c>
      <c r="G1084">
        <v>34.646187390999998</v>
      </c>
      <c r="H1084">
        <v>0.27277686583348199</v>
      </c>
      <c r="I1084">
        <v>1</v>
      </c>
      <c r="J1084">
        <v>0.37544987200000002</v>
      </c>
      <c r="K1084">
        <v>0.26624008851673098</v>
      </c>
      <c r="L1084">
        <v>1</v>
      </c>
      <c r="M1084">
        <v>3602.1830481699999</v>
      </c>
      <c r="N1084">
        <v>677449</v>
      </c>
      <c r="O1084">
        <v>3.8562606900751598E-2</v>
      </c>
      <c r="P1084">
        <v>0.77798797475952297</v>
      </c>
      <c r="Q1084">
        <v>1</v>
      </c>
      <c r="R1084">
        <v>880.72232484100005</v>
      </c>
      <c r="S1084">
        <v>18577</v>
      </c>
      <c r="T1084">
        <v>7.7371496275631304E-4</v>
      </c>
      <c r="U1084">
        <v>10974</v>
      </c>
      <c r="V1084">
        <v>0.44367223171964398</v>
      </c>
      <c r="W1084">
        <v>1</v>
      </c>
      <c r="X1084">
        <v>3104.8558929290002</v>
      </c>
      <c r="Y1084">
        <v>193432</v>
      </c>
      <c r="Z1084">
        <v>1.1116479696989499E-3</v>
      </c>
      <c r="AA1084">
        <v>20</v>
      </c>
    </row>
    <row r="1085" spans="1:27" x14ac:dyDescent="0.2">
      <c r="A1085">
        <v>10</v>
      </c>
      <c r="B1085">
        <v>1</v>
      </c>
      <c r="C1085">
        <v>0.2</v>
      </c>
      <c r="D1085">
        <v>100</v>
      </c>
      <c r="E1085">
        <v>0.57219512794868099</v>
      </c>
      <c r="F1085">
        <v>1</v>
      </c>
      <c r="G1085">
        <v>34.485144298999998</v>
      </c>
      <c r="H1085">
        <v>0.485822537112088</v>
      </c>
      <c r="I1085">
        <v>1</v>
      </c>
      <c r="J1085">
        <v>0.18425518099999999</v>
      </c>
      <c r="K1085">
        <v>0.48883143215601998</v>
      </c>
      <c r="L1085">
        <v>1</v>
      </c>
      <c r="M1085">
        <v>3600.6488570020001</v>
      </c>
      <c r="N1085">
        <v>760894</v>
      </c>
      <c r="O1085">
        <v>3.1794689188811703E-2</v>
      </c>
      <c r="P1085">
        <v>1.02033899612059</v>
      </c>
      <c r="Q1085">
        <v>1</v>
      </c>
      <c r="R1085">
        <v>492.94667191299999</v>
      </c>
      <c r="S1085">
        <v>9062</v>
      </c>
      <c r="T1085">
        <v>2.2664220507884799E-4</v>
      </c>
      <c r="U1085">
        <v>7274</v>
      </c>
      <c r="V1085">
        <v>0.602787824536543</v>
      </c>
      <c r="W1085">
        <v>1</v>
      </c>
      <c r="X1085">
        <v>296.04573399999998</v>
      </c>
      <c r="Y1085">
        <v>6973</v>
      </c>
      <c r="Z1085">
        <v>1.13824905700339E-4</v>
      </c>
      <c r="AA1085">
        <v>20</v>
      </c>
    </row>
    <row r="1086" spans="1:27" x14ac:dyDescent="0.2">
      <c r="A1086">
        <v>10</v>
      </c>
      <c r="B1086">
        <v>1</v>
      </c>
      <c r="C1086">
        <v>0.3</v>
      </c>
      <c r="D1086">
        <v>100</v>
      </c>
      <c r="E1086">
        <v>0.52771199949721403</v>
      </c>
      <c r="F1086">
        <v>1</v>
      </c>
      <c r="G1086">
        <v>35.402133607000003</v>
      </c>
      <c r="H1086">
        <v>0.52402945352201702</v>
      </c>
      <c r="I1086">
        <v>1</v>
      </c>
      <c r="J1086">
        <v>0.104822711</v>
      </c>
      <c r="K1086">
        <v>0.52394050566136396</v>
      </c>
      <c r="L1086">
        <v>1</v>
      </c>
      <c r="M1086">
        <v>3600.8841721489998</v>
      </c>
      <c r="N1086">
        <v>775450</v>
      </c>
      <c r="O1086">
        <v>2.6737566669829899E-3</v>
      </c>
      <c r="P1086">
        <v>0.55783628904028004</v>
      </c>
      <c r="Q1086">
        <v>1</v>
      </c>
      <c r="R1086">
        <v>369.93564983900001</v>
      </c>
      <c r="S1086">
        <v>8763</v>
      </c>
      <c r="T1086">
        <v>1.0064968434416301E-3</v>
      </c>
      <c r="U1086">
        <v>5779</v>
      </c>
      <c r="V1086">
        <v>0.54258266891852602</v>
      </c>
      <c r="W1086">
        <v>1</v>
      </c>
      <c r="X1086">
        <v>520.94650506000005</v>
      </c>
      <c r="Y1086">
        <v>21937</v>
      </c>
      <c r="Z1086">
        <v>5.3887366381541403E-4</v>
      </c>
      <c r="AA1086">
        <v>20</v>
      </c>
    </row>
    <row r="1087" spans="1:27" x14ac:dyDescent="0.2">
      <c r="A1087">
        <v>10</v>
      </c>
      <c r="B1087">
        <v>1</v>
      </c>
      <c r="C1087">
        <v>0.2</v>
      </c>
      <c r="D1087">
        <v>100</v>
      </c>
      <c r="E1087">
        <v>0.694520115381694</v>
      </c>
      <c r="F1087">
        <v>1</v>
      </c>
      <c r="G1087">
        <v>33.611880358999997</v>
      </c>
      <c r="H1087">
        <v>0.54234881326358697</v>
      </c>
      <c r="I1087">
        <v>1</v>
      </c>
      <c r="J1087">
        <v>0.27378441100000001</v>
      </c>
      <c r="K1087">
        <v>0.54213300008028298</v>
      </c>
      <c r="L1087">
        <v>1</v>
      </c>
      <c r="M1087">
        <v>3600.4695972190002</v>
      </c>
      <c r="N1087">
        <v>695277</v>
      </c>
      <c r="O1087">
        <v>5.0681599080357699E-3</v>
      </c>
      <c r="P1087">
        <v>0.86240538714721904</v>
      </c>
      <c r="Q1087">
        <v>1</v>
      </c>
      <c r="R1087">
        <v>650.17408622100004</v>
      </c>
      <c r="S1087">
        <v>15296</v>
      </c>
      <c r="T1087">
        <v>3.16254259656811E-4</v>
      </c>
      <c r="U1087">
        <v>10235</v>
      </c>
      <c r="V1087">
        <v>0.59548782727267902</v>
      </c>
      <c r="W1087">
        <v>1</v>
      </c>
      <c r="X1087">
        <v>213.74870483000001</v>
      </c>
      <c r="Y1087">
        <v>5676</v>
      </c>
      <c r="Z1087">
        <v>2.1058772558875299E-4</v>
      </c>
      <c r="AA1087">
        <v>20</v>
      </c>
    </row>
    <row r="1088" spans="1:27" x14ac:dyDescent="0.2">
      <c r="A1088">
        <v>10</v>
      </c>
      <c r="B1088">
        <v>1</v>
      </c>
      <c r="C1088">
        <v>0.3</v>
      </c>
      <c r="D1088">
        <v>100</v>
      </c>
      <c r="E1088">
        <v>0.22230782700462001</v>
      </c>
      <c r="F1088">
        <v>1</v>
      </c>
      <c r="G1088">
        <v>32.708178662000002</v>
      </c>
      <c r="H1088">
        <v>5.8532958910906499E-2</v>
      </c>
      <c r="I1088">
        <v>1</v>
      </c>
      <c r="J1088">
        <v>0.22966497499999999</v>
      </c>
      <c r="K1088">
        <v>5.5923449409290199E-2</v>
      </c>
      <c r="L1088">
        <v>1</v>
      </c>
      <c r="M1088">
        <v>3600.4510462120002</v>
      </c>
      <c r="N1088">
        <v>765211</v>
      </c>
      <c r="O1088">
        <v>2.9259258954965599E-3</v>
      </c>
      <c r="P1088">
        <v>0.34263122425764703</v>
      </c>
      <c r="Q1088">
        <v>1</v>
      </c>
      <c r="R1088">
        <v>877.12349019800001</v>
      </c>
      <c r="S1088">
        <v>28368</v>
      </c>
      <c r="T1088">
        <v>8.2404495977111904E-4</v>
      </c>
      <c r="U1088">
        <v>15843</v>
      </c>
      <c r="V1088">
        <v>7.5273776708788806E-2</v>
      </c>
      <c r="W1088">
        <v>1</v>
      </c>
      <c r="X1088">
        <v>2809.2183300930001</v>
      </c>
      <c r="Y1088">
        <v>139950</v>
      </c>
      <c r="Z1088">
        <v>1.92958292671607E-3</v>
      </c>
      <c r="AA1088">
        <v>20</v>
      </c>
    </row>
    <row r="1089" spans="1:27" x14ac:dyDescent="0.2">
      <c r="A1089">
        <v>10</v>
      </c>
      <c r="B1089">
        <v>1</v>
      </c>
      <c r="C1089">
        <v>0.3</v>
      </c>
      <c r="D1089">
        <v>100</v>
      </c>
      <c r="E1089">
        <v>0.293855702370385</v>
      </c>
      <c r="F1089">
        <v>1</v>
      </c>
      <c r="G1089">
        <v>33.462926930000002</v>
      </c>
      <c r="H1089">
        <v>8.4311726488147803E-2</v>
      </c>
      <c r="I1089">
        <v>1</v>
      </c>
      <c r="J1089">
        <v>9.2314643000000002E-2</v>
      </c>
      <c r="K1089">
        <v>8.6372040626707405E-2</v>
      </c>
      <c r="L1089">
        <v>1</v>
      </c>
      <c r="M1089">
        <v>3600.4565147329999</v>
      </c>
      <c r="N1089">
        <v>695982</v>
      </c>
      <c r="O1089">
        <v>2.7028568918918599E-3</v>
      </c>
      <c r="P1089">
        <v>0.66741879643633195</v>
      </c>
      <c r="Q1089">
        <v>1</v>
      </c>
      <c r="R1089">
        <v>339.01571086500002</v>
      </c>
      <c r="S1089">
        <v>9023</v>
      </c>
      <c r="T1089">
        <v>3.2006474294466499E-4</v>
      </c>
      <c r="U1089">
        <v>5518</v>
      </c>
      <c r="V1089">
        <v>0.66403753816109101</v>
      </c>
      <c r="W1089">
        <v>1</v>
      </c>
      <c r="X1089">
        <v>1372.1985639249999</v>
      </c>
      <c r="Y1089">
        <v>64399</v>
      </c>
      <c r="Z1089">
        <v>1.58342813641923E-4</v>
      </c>
      <c r="AA1089">
        <v>20</v>
      </c>
    </row>
    <row r="1090" spans="1:27" x14ac:dyDescent="0.2">
      <c r="A1090">
        <v>10</v>
      </c>
      <c r="B1090">
        <v>1</v>
      </c>
      <c r="C1090">
        <v>0.4</v>
      </c>
      <c r="D1090">
        <v>100</v>
      </c>
      <c r="E1090">
        <v>0.34083648542570799</v>
      </c>
      <c r="F1090">
        <v>1</v>
      </c>
      <c r="G1090">
        <v>35.611247108999997</v>
      </c>
      <c r="H1090">
        <v>8.9703511546350395E-2</v>
      </c>
      <c r="I1090">
        <v>1</v>
      </c>
      <c r="J1090">
        <v>0.21414199</v>
      </c>
      <c r="K1090">
        <v>8.8994242768639098E-2</v>
      </c>
      <c r="L1090">
        <v>1</v>
      </c>
      <c r="M1090">
        <v>3600.958071777</v>
      </c>
      <c r="N1090">
        <v>679286</v>
      </c>
      <c r="O1090">
        <v>6.2137006508553496E-3</v>
      </c>
      <c r="P1090">
        <v>0.29355314027399498</v>
      </c>
      <c r="Q1090">
        <v>1</v>
      </c>
      <c r="R1090">
        <v>707.99444414000004</v>
      </c>
      <c r="S1090">
        <v>12617</v>
      </c>
      <c r="T1090">
        <v>1.18347895187431E-3</v>
      </c>
      <c r="U1090">
        <v>8243</v>
      </c>
      <c r="V1090">
        <v>0.25801144079564597</v>
      </c>
      <c r="W1090">
        <v>1</v>
      </c>
      <c r="X1090">
        <v>2429.8101087159998</v>
      </c>
      <c r="Y1090">
        <v>246286</v>
      </c>
      <c r="Z1090">
        <v>9.3836236520650196E-4</v>
      </c>
      <c r="AA1090">
        <v>20</v>
      </c>
    </row>
    <row r="1091" spans="1:27" x14ac:dyDescent="0.2">
      <c r="A1091">
        <v>30</v>
      </c>
      <c r="B1091">
        <v>1</v>
      </c>
      <c r="C1091">
        <v>0.2</v>
      </c>
      <c r="D1091">
        <v>100</v>
      </c>
      <c r="E1091">
        <v>0.120684940067563</v>
      </c>
      <c r="F1091">
        <v>1</v>
      </c>
      <c r="G1091">
        <v>30.712324381999998</v>
      </c>
      <c r="H1091">
        <v>3.9149984892555799E-2</v>
      </c>
      <c r="I1091">
        <v>1</v>
      </c>
      <c r="J1091">
        <v>0.47374239899999998</v>
      </c>
      <c r="P1091"/>
      <c r="V1091">
        <v>3.5783934470178698E-2</v>
      </c>
      <c r="W1091">
        <v>1</v>
      </c>
      <c r="X1091">
        <v>15976.528193804999</v>
      </c>
      <c r="Y1091">
        <v>27678</v>
      </c>
      <c r="Z1091">
        <v>6.8971771939079704E-3</v>
      </c>
      <c r="AA1091">
        <v>34</v>
      </c>
    </row>
    <row r="1092" spans="1:27" x14ac:dyDescent="0.2">
      <c r="A1092">
        <v>40</v>
      </c>
      <c r="B1092">
        <v>1</v>
      </c>
      <c r="C1092">
        <v>0.4</v>
      </c>
      <c r="D1092">
        <v>100</v>
      </c>
      <c r="E1092">
        <v>1.0264242011409901E-2</v>
      </c>
      <c r="F1092">
        <v>1</v>
      </c>
      <c r="G1092">
        <v>40.323301264000001</v>
      </c>
      <c r="H1092">
        <v>1.41321218466563E-2</v>
      </c>
      <c r="I1092">
        <v>1</v>
      </c>
      <c r="J1092">
        <v>0.39717616</v>
      </c>
      <c r="P1092"/>
      <c r="V1092">
        <v>1.01002214725259E-2</v>
      </c>
      <c r="W1092">
        <v>1</v>
      </c>
      <c r="X1092">
        <v>2745.3378775649999</v>
      </c>
      <c r="Y1092">
        <v>103</v>
      </c>
      <c r="Z1092">
        <v>7.7727949119434899E-3</v>
      </c>
      <c r="AA1092">
        <v>14</v>
      </c>
    </row>
    <row r="1093" spans="1:27" x14ac:dyDescent="0.2">
      <c r="A1093">
        <v>40</v>
      </c>
      <c r="B1093">
        <v>1</v>
      </c>
      <c r="C1093">
        <v>0.4</v>
      </c>
      <c r="D1093">
        <v>100</v>
      </c>
      <c r="E1093">
        <v>1.40314017738819E-2</v>
      </c>
      <c r="F1093">
        <v>1</v>
      </c>
      <c r="G1093">
        <v>31.752415441</v>
      </c>
      <c r="H1093">
        <v>2.1144153691205599E-2</v>
      </c>
      <c r="I1093">
        <v>1</v>
      </c>
      <c r="J1093">
        <v>0.33825100899999999</v>
      </c>
      <c r="P1093"/>
      <c r="V1093">
        <v>1.58961766280412E-2</v>
      </c>
      <c r="W1093">
        <v>1</v>
      </c>
      <c r="X1093">
        <v>13874.695778468</v>
      </c>
      <c r="Y1093">
        <v>5940</v>
      </c>
      <c r="Z1093">
        <v>8.4121966930594799E-3</v>
      </c>
      <c r="AA1093">
        <v>31</v>
      </c>
    </row>
    <row r="1094" spans="1:27" x14ac:dyDescent="0.2">
      <c r="A1094">
        <v>30</v>
      </c>
      <c r="B1094">
        <v>1</v>
      </c>
      <c r="C1094">
        <v>0.4</v>
      </c>
      <c r="D1094">
        <v>100</v>
      </c>
      <c r="E1094">
        <v>1.07117246207776E-2</v>
      </c>
      <c r="F1094">
        <v>1</v>
      </c>
      <c r="G1094">
        <v>35.945517164000002</v>
      </c>
      <c r="H1094">
        <v>1.50513128462803E-2</v>
      </c>
      <c r="I1094">
        <v>1</v>
      </c>
      <c r="J1094">
        <v>0.15891170499999999</v>
      </c>
      <c r="P1094"/>
      <c r="V1094">
        <v>1.11020706659771E-2</v>
      </c>
      <c r="W1094">
        <v>1</v>
      </c>
      <c r="X1094">
        <v>148.92450190700001</v>
      </c>
      <c r="Y1094">
        <v>22</v>
      </c>
      <c r="Z1094">
        <v>9.0087626123791491E-3</v>
      </c>
      <c r="AA1094">
        <v>12</v>
      </c>
    </row>
    <row r="1095" spans="1:27" x14ac:dyDescent="0.2">
      <c r="A1095">
        <v>30</v>
      </c>
      <c r="B1095">
        <v>1</v>
      </c>
      <c r="C1095">
        <v>0.3</v>
      </c>
      <c r="D1095">
        <v>100</v>
      </c>
      <c r="E1095">
        <v>1.7251332584317301E-2</v>
      </c>
      <c r="F1095">
        <v>1</v>
      </c>
      <c r="G1095">
        <v>26.062185159999999</v>
      </c>
      <c r="H1095">
        <v>2.42331017817492E-2</v>
      </c>
      <c r="I1095">
        <v>1</v>
      </c>
      <c r="J1095">
        <v>0.132825896</v>
      </c>
      <c r="P1095"/>
      <c r="V1095">
        <v>1.74095727167673E-2</v>
      </c>
      <c r="W1095">
        <v>1</v>
      </c>
      <c r="X1095">
        <v>9454.2134506340008</v>
      </c>
      <c r="Y1095">
        <v>13754</v>
      </c>
      <c r="Z1095">
        <v>9.4455129483652592E-3</v>
      </c>
      <c r="AA1095">
        <v>25</v>
      </c>
    </row>
    <row r="1096" spans="1:27" x14ac:dyDescent="0.2">
      <c r="A1096">
        <v>30</v>
      </c>
      <c r="B1096">
        <v>1</v>
      </c>
      <c r="C1096">
        <v>0.4</v>
      </c>
      <c r="D1096">
        <v>100</v>
      </c>
      <c r="E1096">
        <v>1.0693572891011501E-2</v>
      </c>
      <c r="F1096">
        <v>1</v>
      </c>
      <c r="G1096">
        <v>26.177512667999999</v>
      </c>
      <c r="H1096">
        <v>1.56046132019969E-2</v>
      </c>
      <c r="I1096">
        <v>1</v>
      </c>
      <c r="J1096">
        <v>0.151150227</v>
      </c>
      <c r="P1096"/>
      <c r="V1096">
        <v>1.1390919404359901E-2</v>
      </c>
      <c r="W1096">
        <v>1</v>
      </c>
      <c r="X1096">
        <v>366.26431413</v>
      </c>
      <c r="Y1096">
        <v>882</v>
      </c>
      <c r="Z1096">
        <v>9.7559464303982307E-3</v>
      </c>
      <c r="AA1096">
        <v>21</v>
      </c>
    </row>
    <row r="1097" spans="1:27" x14ac:dyDescent="0.2">
      <c r="A1097">
        <v>30</v>
      </c>
      <c r="B1097">
        <v>1</v>
      </c>
      <c r="C1097">
        <v>0.3</v>
      </c>
      <c r="D1097">
        <v>100</v>
      </c>
      <c r="E1097">
        <v>2.95531559280563E-2</v>
      </c>
      <c r="F1097">
        <v>1</v>
      </c>
      <c r="G1097">
        <v>31.050678789999999</v>
      </c>
      <c r="H1097">
        <v>2.9921143790938499E-2</v>
      </c>
      <c r="I1097">
        <v>1</v>
      </c>
      <c r="J1097">
        <v>0.14416696000000001</v>
      </c>
      <c r="P1097"/>
      <c r="V1097">
        <v>2.1573159093334199E-2</v>
      </c>
      <c r="W1097">
        <v>1</v>
      </c>
      <c r="X1097">
        <v>23511.090783393</v>
      </c>
      <c r="Y1097">
        <v>62870</v>
      </c>
      <c r="Z1097">
        <v>6.9533771569235603E-3</v>
      </c>
      <c r="AA1097">
        <v>42</v>
      </c>
    </row>
    <row r="1098" spans="1:27" x14ac:dyDescent="0.2">
      <c r="A1098">
        <v>30</v>
      </c>
      <c r="B1098">
        <v>1</v>
      </c>
      <c r="C1098">
        <v>0.3</v>
      </c>
      <c r="D1098">
        <v>100</v>
      </c>
      <c r="E1098">
        <v>1.9955878820050101E-2</v>
      </c>
      <c r="F1098">
        <v>1</v>
      </c>
      <c r="G1098">
        <v>29.918419759999999</v>
      </c>
      <c r="H1098">
        <v>2.5055702990740399E-2</v>
      </c>
      <c r="I1098">
        <v>1</v>
      </c>
      <c r="J1098">
        <v>0.155668379</v>
      </c>
      <c r="P1098"/>
      <c r="V1098">
        <v>1.7851953548115002E-2</v>
      </c>
      <c r="W1098">
        <v>1</v>
      </c>
      <c r="X1098">
        <v>12107.039492066</v>
      </c>
      <c r="Y1098">
        <v>25208</v>
      </c>
      <c r="Z1098">
        <v>9.0073413448670207E-3</v>
      </c>
      <c r="AA1098">
        <v>28</v>
      </c>
    </row>
    <row r="1099" spans="1:27" x14ac:dyDescent="0.2">
      <c r="A1099">
        <v>30</v>
      </c>
      <c r="B1099">
        <v>1</v>
      </c>
      <c r="C1099">
        <v>0.4</v>
      </c>
      <c r="D1099">
        <v>100</v>
      </c>
      <c r="E1099">
        <v>1.2495000880525299E-2</v>
      </c>
      <c r="F1099">
        <v>1</v>
      </c>
      <c r="G1099">
        <v>33.227709318999999</v>
      </c>
      <c r="H1099">
        <v>1.4003029346754001E-2</v>
      </c>
      <c r="I1099">
        <v>1</v>
      </c>
      <c r="J1099">
        <v>0.14443782099999999</v>
      </c>
      <c r="P1099"/>
      <c r="V1099">
        <v>8.2287366089393507E-3</v>
      </c>
      <c r="W1099">
        <v>1</v>
      </c>
      <c r="X1099">
        <v>103.407880054</v>
      </c>
      <c r="Y1099">
        <v>43</v>
      </c>
      <c r="Z1099">
        <v>4.9570590304350796E-3</v>
      </c>
      <c r="AA1099">
        <v>1</v>
      </c>
    </row>
    <row r="1100" spans="1:27" x14ac:dyDescent="0.2">
      <c r="A1100">
        <v>30</v>
      </c>
      <c r="B1100">
        <v>1</v>
      </c>
      <c r="C1100">
        <v>0.4</v>
      </c>
      <c r="D1100">
        <v>100</v>
      </c>
      <c r="E1100">
        <v>3.3311294931877601E-2</v>
      </c>
      <c r="F1100">
        <v>1</v>
      </c>
      <c r="G1100">
        <v>41.408616965</v>
      </c>
      <c r="H1100">
        <v>2.46220999112634E-2</v>
      </c>
      <c r="I1100">
        <v>1</v>
      </c>
      <c r="J1100">
        <v>0.32973389199999997</v>
      </c>
      <c r="P1100"/>
      <c r="V1100">
        <v>1.7942570116630498E-2</v>
      </c>
      <c r="W1100">
        <v>1</v>
      </c>
      <c r="X1100">
        <v>263.24977858699998</v>
      </c>
      <c r="Y1100">
        <v>778</v>
      </c>
      <c r="Z1100">
        <v>7.3887473611764501E-3</v>
      </c>
      <c r="AA1100">
        <v>1</v>
      </c>
    </row>
    <row r="1101" spans="1:27" x14ac:dyDescent="0.2">
      <c r="A1101">
        <v>40</v>
      </c>
      <c r="B1101">
        <v>1</v>
      </c>
      <c r="C1101">
        <v>0.4</v>
      </c>
      <c r="D1101">
        <v>100</v>
      </c>
      <c r="E1101">
        <v>1.10230184758372E-2</v>
      </c>
      <c r="F1101">
        <v>1</v>
      </c>
      <c r="G1101">
        <v>37.862260358</v>
      </c>
      <c r="H1101">
        <v>1.3157323655125E-2</v>
      </c>
      <c r="I1101">
        <v>1</v>
      </c>
      <c r="J1101">
        <v>0.37019491300000001</v>
      </c>
      <c r="P1101"/>
      <c r="V1101">
        <v>8.2078012327505192E-3</v>
      </c>
      <c r="W1101">
        <v>1</v>
      </c>
      <c r="X1101">
        <v>263.071456184</v>
      </c>
      <c r="Y1101">
        <v>83</v>
      </c>
      <c r="Z1101">
        <v>7.2269699978497696E-3</v>
      </c>
      <c r="AA1101">
        <v>1</v>
      </c>
    </row>
    <row r="1102" spans="1:27" x14ac:dyDescent="0.2">
      <c r="A1102">
        <v>30</v>
      </c>
      <c r="B1102">
        <v>1</v>
      </c>
      <c r="C1102">
        <v>0.4</v>
      </c>
      <c r="D1102">
        <v>100</v>
      </c>
      <c r="E1102">
        <v>1.56241579938345E-2</v>
      </c>
      <c r="F1102">
        <v>1</v>
      </c>
      <c r="G1102">
        <v>30.010966981999999</v>
      </c>
      <c r="H1102">
        <v>1.94040320634703E-2</v>
      </c>
      <c r="I1102">
        <v>1</v>
      </c>
      <c r="J1102">
        <v>0.149726778</v>
      </c>
      <c r="P1102"/>
      <c r="V1102">
        <v>1.43196774341288E-2</v>
      </c>
      <c r="W1102">
        <v>1</v>
      </c>
      <c r="X1102">
        <v>742.79496612900004</v>
      </c>
      <c r="Y1102">
        <v>794</v>
      </c>
      <c r="Z1102">
        <v>8.8901551208862006E-3</v>
      </c>
      <c r="AA1102">
        <v>7</v>
      </c>
    </row>
    <row r="1103" spans="1:27" x14ac:dyDescent="0.2">
      <c r="A1103">
        <v>40</v>
      </c>
      <c r="B1103">
        <v>1</v>
      </c>
      <c r="C1103">
        <v>0.3</v>
      </c>
      <c r="D1103">
        <v>100</v>
      </c>
      <c r="E1103">
        <v>1.3135477563407201E-2</v>
      </c>
      <c r="F1103">
        <v>1</v>
      </c>
      <c r="G1103">
        <v>41.487236635000002</v>
      </c>
      <c r="H1103">
        <v>1.9804646814794699E-2</v>
      </c>
      <c r="I1103">
        <v>1</v>
      </c>
      <c r="J1103">
        <v>0.44034933199999998</v>
      </c>
      <c r="P1103"/>
      <c r="V1103">
        <v>1.49746200699763E-2</v>
      </c>
      <c r="W1103">
        <v>1</v>
      </c>
      <c r="X1103">
        <v>20157.827138691999</v>
      </c>
      <c r="Y1103">
        <v>1267</v>
      </c>
      <c r="Z1103">
        <v>7.0112721665775901E-3</v>
      </c>
      <c r="AA1103">
        <v>45</v>
      </c>
    </row>
    <row r="1104" spans="1:27" x14ac:dyDescent="0.2">
      <c r="A1104">
        <v>40</v>
      </c>
      <c r="B1104">
        <v>1</v>
      </c>
      <c r="C1104">
        <v>0.4</v>
      </c>
      <c r="D1104">
        <v>100</v>
      </c>
      <c r="E1104">
        <v>1.06104456039775E-2</v>
      </c>
      <c r="F1104">
        <v>1</v>
      </c>
      <c r="G1104">
        <v>33.512303086000003</v>
      </c>
      <c r="H1104">
        <v>1.1337324255505999E-2</v>
      </c>
      <c r="I1104">
        <v>1</v>
      </c>
      <c r="J1104">
        <v>0.296843142</v>
      </c>
      <c r="P1104"/>
      <c r="V1104">
        <v>6.3652469911322299E-3</v>
      </c>
      <c r="W1104">
        <v>1</v>
      </c>
      <c r="X1104">
        <v>326.25686756800002</v>
      </c>
      <c r="Y1104">
        <v>46</v>
      </c>
      <c r="Z1104">
        <v>4.6086710278978498E-3</v>
      </c>
      <c r="AA1104">
        <v>29</v>
      </c>
    </row>
    <row r="1105" spans="1:27" x14ac:dyDescent="0.2">
      <c r="A1105">
        <v>30</v>
      </c>
      <c r="B1105">
        <v>1</v>
      </c>
      <c r="C1105">
        <v>0.2</v>
      </c>
      <c r="D1105">
        <v>100</v>
      </c>
      <c r="E1105">
        <v>0.10089184576155701</v>
      </c>
      <c r="F1105">
        <v>1</v>
      </c>
      <c r="G1105">
        <v>33.093451530999999</v>
      </c>
      <c r="H1105">
        <v>9.1453552276458794E-2</v>
      </c>
      <c r="I1105">
        <v>1</v>
      </c>
      <c r="J1105">
        <v>0.202545377</v>
      </c>
      <c r="P1105"/>
      <c r="V1105">
        <v>9.0214548218653004E-2</v>
      </c>
      <c r="W1105">
        <v>1</v>
      </c>
      <c r="X1105">
        <v>14641.077301014</v>
      </c>
      <c r="Y1105">
        <v>20059</v>
      </c>
      <c r="Z1105">
        <v>8.5999281425789206E-3</v>
      </c>
      <c r="AA1105">
        <v>32</v>
      </c>
    </row>
    <row r="1106" spans="1:27" x14ac:dyDescent="0.2">
      <c r="A1106">
        <v>30</v>
      </c>
      <c r="B1106">
        <v>1</v>
      </c>
      <c r="C1106">
        <v>0.1</v>
      </c>
      <c r="D1106">
        <v>100</v>
      </c>
      <c r="E1106">
        <v>0.35719704110892098</v>
      </c>
      <c r="F1106">
        <v>1</v>
      </c>
      <c r="G1106">
        <v>26.339468556</v>
      </c>
      <c r="H1106">
        <v>0.22703490622019001</v>
      </c>
      <c r="I1106">
        <v>1</v>
      </c>
      <c r="J1106">
        <v>0.39819929900000001</v>
      </c>
      <c r="P1106"/>
      <c r="V1106">
        <v>1.11313357717443</v>
      </c>
      <c r="W1106">
        <v>1</v>
      </c>
      <c r="X1106">
        <v>30411.956792830999</v>
      </c>
      <c r="Y1106">
        <v>53696</v>
      </c>
      <c r="Z1106">
        <v>2.5801816838273501E-2</v>
      </c>
      <c r="AA1106">
        <v>50</v>
      </c>
    </row>
    <row r="1107" spans="1:27" x14ac:dyDescent="0.2">
      <c r="A1107">
        <v>30</v>
      </c>
      <c r="B1107">
        <v>1</v>
      </c>
      <c r="C1107">
        <v>0.1</v>
      </c>
      <c r="D1107">
        <v>100</v>
      </c>
      <c r="E1107">
        <v>0.30402233853310801</v>
      </c>
      <c r="F1107">
        <v>1</v>
      </c>
      <c r="G1107">
        <v>27.813704355999999</v>
      </c>
      <c r="H1107">
        <v>0.118536805302201</v>
      </c>
      <c r="I1107">
        <v>1</v>
      </c>
      <c r="J1107">
        <v>0.72737593</v>
      </c>
      <c r="P1107"/>
      <c r="V1107">
        <v>0.114778704672509</v>
      </c>
      <c r="W1107">
        <v>1</v>
      </c>
      <c r="X1107">
        <v>30101.550273635999</v>
      </c>
      <c r="Y1107">
        <v>92511</v>
      </c>
      <c r="Z1107">
        <v>8.7698847542232505E-2</v>
      </c>
      <c r="AA1107">
        <v>50</v>
      </c>
    </row>
    <row r="1108" spans="1:27" x14ac:dyDescent="0.2">
      <c r="A1108">
        <v>30</v>
      </c>
      <c r="B1108">
        <v>1</v>
      </c>
      <c r="C1108">
        <v>0.2</v>
      </c>
      <c r="D1108">
        <v>100</v>
      </c>
      <c r="E1108">
        <v>0.152228633596175</v>
      </c>
      <c r="F1108">
        <v>1</v>
      </c>
      <c r="G1108">
        <v>26.447356759000002</v>
      </c>
      <c r="H1108">
        <v>4.19374112580925E-2</v>
      </c>
      <c r="I1108">
        <v>1</v>
      </c>
      <c r="J1108">
        <v>0.28494718600000002</v>
      </c>
      <c r="P1108"/>
      <c r="V1108">
        <v>3.72682958280149E-2</v>
      </c>
      <c r="W1108">
        <v>1</v>
      </c>
      <c r="X1108">
        <v>30503.143321807001</v>
      </c>
      <c r="Y1108">
        <v>78766</v>
      </c>
      <c r="Z1108">
        <v>1.06440506122388E-2</v>
      </c>
      <c r="AA1108">
        <v>50</v>
      </c>
    </row>
    <row r="1109" spans="1:27" x14ac:dyDescent="0.2">
      <c r="A1109">
        <v>30</v>
      </c>
      <c r="B1109">
        <v>1</v>
      </c>
      <c r="C1109">
        <v>0.1</v>
      </c>
      <c r="D1109">
        <v>100</v>
      </c>
      <c r="E1109">
        <v>1.2145417044954701</v>
      </c>
      <c r="F1109">
        <v>1</v>
      </c>
      <c r="G1109">
        <v>26.698797925000001</v>
      </c>
      <c r="H1109">
        <v>0.44163603436412802</v>
      </c>
      <c r="I1109">
        <v>1</v>
      </c>
      <c r="J1109">
        <v>1.0523367699999999</v>
      </c>
      <c r="P1109"/>
      <c r="V1109">
        <v>1.1239849964970201</v>
      </c>
      <c r="W1109">
        <v>1</v>
      </c>
      <c r="X1109">
        <v>30134.942143656001</v>
      </c>
      <c r="Y1109">
        <v>63357</v>
      </c>
      <c r="Z1109">
        <v>2.22239595920272E-2</v>
      </c>
      <c r="AA1109">
        <v>50</v>
      </c>
    </row>
    <row r="1110" spans="1:27" x14ac:dyDescent="0.2">
      <c r="A1110">
        <v>30</v>
      </c>
      <c r="B1110">
        <v>1</v>
      </c>
      <c r="C1110">
        <v>0.2</v>
      </c>
      <c r="D1110">
        <v>100</v>
      </c>
      <c r="E1110">
        <v>0.17123421604570899</v>
      </c>
      <c r="F1110">
        <v>1</v>
      </c>
      <c r="G1110">
        <v>26.601474423999999</v>
      </c>
      <c r="H1110">
        <v>0.111724287665556</v>
      </c>
      <c r="I1110">
        <v>1</v>
      </c>
      <c r="J1110">
        <v>0.14989113600000001</v>
      </c>
      <c r="P1110"/>
      <c r="V1110">
        <v>0.110612010989842</v>
      </c>
      <c r="W1110">
        <v>1</v>
      </c>
      <c r="X1110">
        <v>30474.380235952001</v>
      </c>
      <c r="Y1110">
        <v>50132</v>
      </c>
      <c r="Z1110">
        <v>1.4501298261307499E-2</v>
      </c>
      <c r="AA1110">
        <v>50</v>
      </c>
    </row>
    <row r="1111" spans="1:27" x14ac:dyDescent="0.2">
      <c r="A1111">
        <v>30</v>
      </c>
      <c r="B1111">
        <v>1</v>
      </c>
      <c r="C1111">
        <v>0.2</v>
      </c>
      <c r="D1111">
        <v>100</v>
      </c>
      <c r="E1111">
        <v>0.16720884710641901</v>
      </c>
      <c r="F1111">
        <v>1</v>
      </c>
      <c r="G1111">
        <v>25.930968755999999</v>
      </c>
      <c r="H1111">
        <v>5.90103738578662E-2</v>
      </c>
      <c r="I1111">
        <v>1</v>
      </c>
      <c r="J1111">
        <v>0.28220942100000002</v>
      </c>
      <c r="P1111"/>
      <c r="V1111">
        <v>4.7905238168375899E-2</v>
      </c>
      <c r="W1111">
        <v>1</v>
      </c>
      <c r="X1111">
        <v>30609.941248078001</v>
      </c>
      <c r="Y1111">
        <v>42305</v>
      </c>
      <c r="Z1111">
        <v>0.13211035295041301</v>
      </c>
      <c r="AA1111">
        <v>50</v>
      </c>
    </row>
    <row r="1112" spans="1:27" x14ac:dyDescent="0.2">
      <c r="A1112">
        <v>40</v>
      </c>
      <c r="B1112">
        <v>1</v>
      </c>
      <c r="C1112">
        <v>0.1</v>
      </c>
      <c r="D1112">
        <v>100</v>
      </c>
      <c r="E1112">
        <v>0.18960438995833601</v>
      </c>
      <c r="F1112">
        <v>1</v>
      </c>
      <c r="G1112">
        <v>33.931162395999998</v>
      </c>
      <c r="H1112">
        <v>8.9736999438370199E-2</v>
      </c>
      <c r="I1112">
        <v>1</v>
      </c>
      <c r="J1112">
        <v>1.06191433</v>
      </c>
      <c r="P1112"/>
      <c r="V1112">
        <v>7.4986367365417403E-2</v>
      </c>
      <c r="W1112">
        <v>1</v>
      </c>
      <c r="X1112">
        <v>30240.875663278999</v>
      </c>
      <c r="Y1112">
        <v>36681</v>
      </c>
      <c r="Z1112">
        <v>0.10734932761165</v>
      </c>
      <c r="AA1112">
        <v>50</v>
      </c>
    </row>
    <row r="1113" spans="1:27" x14ac:dyDescent="0.2">
      <c r="A1113">
        <v>40</v>
      </c>
      <c r="B1113">
        <v>1</v>
      </c>
      <c r="C1113">
        <v>0.1</v>
      </c>
      <c r="D1113">
        <v>100</v>
      </c>
      <c r="E1113">
        <v>0.497861496521387</v>
      </c>
      <c r="F1113">
        <v>1</v>
      </c>
      <c r="G1113">
        <v>31.564152844999999</v>
      </c>
      <c r="H1113">
        <v>0.381629548282792</v>
      </c>
      <c r="I1113">
        <v>1</v>
      </c>
      <c r="J1113">
        <v>0.83925679500000006</v>
      </c>
      <c r="P1113"/>
      <c r="V1113">
        <v>0.37989010420437602</v>
      </c>
      <c r="W1113">
        <v>1</v>
      </c>
      <c r="X1113">
        <v>30252.936124340999</v>
      </c>
      <c r="Y1113">
        <v>30582</v>
      </c>
      <c r="Z1113">
        <v>6.14873648049718E-2</v>
      </c>
      <c r="AA1113">
        <v>50</v>
      </c>
    </row>
    <row r="1114" spans="1:27" x14ac:dyDescent="0.2">
      <c r="A1114">
        <v>40</v>
      </c>
      <c r="B1114">
        <v>1</v>
      </c>
      <c r="C1114">
        <v>0.2</v>
      </c>
      <c r="D1114">
        <v>100</v>
      </c>
      <c r="E1114">
        <v>0.13609063734990201</v>
      </c>
      <c r="F1114">
        <v>1</v>
      </c>
      <c r="G1114">
        <v>31.727864434000001</v>
      </c>
      <c r="H1114">
        <v>4.9867788809805698E-2</v>
      </c>
      <c r="I1114">
        <v>1</v>
      </c>
      <c r="J1114">
        <v>0.22530119600000001</v>
      </c>
      <c r="P1114"/>
      <c r="V1114">
        <v>4.3850838924499001E-2</v>
      </c>
      <c r="W1114">
        <v>1</v>
      </c>
      <c r="X1114">
        <v>30298.383969175</v>
      </c>
      <c r="Y1114">
        <v>15957</v>
      </c>
      <c r="Z1114">
        <v>1.9179654368684001E-2</v>
      </c>
      <c r="AA1114">
        <v>50</v>
      </c>
    </row>
    <row r="1115" spans="1:27" x14ac:dyDescent="0.2">
      <c r="A1115">
        <v>40</v>
      </c>
      <c r="B1115">
        <v>1</v>
      </c>
      <c r="C1115">
        <v>0.1</v>
      </c>
      <c r="D1115">
        <v>100</v>
      </c>
      <c r="E1115">
        <v>0.38642822346378802</v>
      </c>
      <c r="F1115">
        <v>1</v>
      </c>
      <c r="G1115">
        <v>30.505970451</v>
      </c>
      <c r="H1115">
        <v>0.35957918869769101</v>
      </c>
      <c r="I1115">
        <v>1</v>
      </c>
      <c r="J1115">
        <v>0.946306113</v>
      </c>
      <c r="P1115"/>
      <c r="V1115">
        <v>0.35905264211245203</v>
      </c>
      <c r="W1115">
        <v>1</v>
      </c>
      <c r="X1115">
        <v>30270.631222167998</v>
      </c>
      <c r="Y1115">
        <v>25110</v>
      </c>
      <c r="Z1115">
        <v>9.7793446010723706E-2</v>
      </c>
      <c r="AA1115">
        <v>50</v>
      </c>
    </row>
    <row r="1116" spans="1:27" x14ac:dyDescent="0.2">
      <c r="A1116">
        <v>30</v>
      </c>
      <c r="B1116">
        <v>1</v>
      </c>
      <c r="C1116">
        <v>0.1</v>
      </c>
      <c r="D1116">
        <v>100</v>
      </c>
      <c r="E1116">
        <v>0.449407479399763</v>
      </c>
      <c r="F1116">
        <v>1</v>
      </c>
      <c r="G1116">
        <v>27.026881769999999</v>
      </c>
      <c r="H1116">
        <v>0.44822227698479999</v>
      </c>
      <c r="I1116">
        <v>1</v>
      </c>
      <c r="J1116">
        <v>0.50589613200000005</v>
      </c>
      <c r="P1116"/>
      <c r="V1116">
        <v>0.44409978133443301</v>
      </c>
      <c r="W1116">
        <v>1</v>
      </c>
      <c r="X1116">
        <v>30105.164324540001</v>
      </c>
      <c r="Y1116">
        <v>120700</v>
      </c>
      <c r="Z1116">
        <v>3.1514967681965399E-2</v>
      </c>
      <c r="AA1116">
        <v>50</v>
      </c>
    </row>
    <row r="1117" spans="1:27" x14ac:dyDescent="0.2">
      <c r="A1117">
        <v>30</v>
      </c>
      <c r="B1117">
        <v>1</v>
      </c>
      <c r="C1117">
        <v>0.2</v>
      </c>
      <c r="D1117">
        <v>100</v>
      </c>
      <c r="E1117">
        <v>0.30046653590786898</v>
      </c>
      <c r="F1117">
        <v>1</v>
      </c>
      <c r="G1117">
        <v>26.774038131000001</v>
      </c>
      <c r="H1117">
        <v>9.8995199234453005E-2</v>
      </c>
      <c r="I1117">
        <v>1</v>
      </c>
      <c r="J1117">
        <v>0.38738603999999999</v>
      </c>
      <c r="P1117"/>
      <c r="V1117">
        <v>9.0702043712024394E-2</v>
      </c>
      <c r="W1117">
        <v>1</v>
      </c>
      <c r="X1117">
        <v>30107.387242248002</v>
      </c>
      <c r="Y1117">
        <v>31763</v>
      </c>
      <c r="Z1117">
        <v>0.114950404764737</v>
      </c>
      <c r="AA1117">
        <v>50</v>
      </c>
    </row>
    <row r="1118" spans="1:27" x14ac:dyDescent="0.2">
      <c r="A1118">
        <v>40</v>
      </c>
      <c r="B1118">
        <v>1</v>
      </c>
      <c r="C1118">
        <v>0.2</v>
      </c>
      <c r="D1118">
        <v>100</v>
      </c>
      <c r="E1118">
        <v>3.6113452895410098E-2</v>
      </c>
      <c r="F1118">
        <v>1</v>
      </c>
      <c r="G1118">
        <v>31.816375563000001</v>
      </c>
      <c r="H1118">
        <v>1.9703948402056699E-2</v>
      </c>
      <c r="I1118">
        <v>1</v>
      </c>
      <c r="J1118">
        <v>0.45288067300000001</v>
      </c>
      <c r="P1118"/>
      <c r="V1118">
        <v>1.4708697633495599E-2</v>
      </c>
      <c r="W1118">
        <v>1</v>
      </c>
      <c r="X1118">
        <v>30729.032709728999</v>
      </c>
      <c r="Y1118">
        <v>982</v>
      </c>
      <c r="Z1118">
        <v>3.3997392940364003E-2</v>
      </c>
      <c r="AA1118">
        <v>50</v>
      </c>
    </row>
    <row r="1119" spans="1:27" x14ac:dyDescent="0.2">
      <c r="A1119">
        <v>40</v>
      </c>
      <c r="B1119">
        <v>1</v>
      </c>
      <c r="C1119">
        <v>0.1</v>
      </c>
      <c r="D1119">
        <v>100</v>
      </c>
      <c r="E1119">
        <v>0.45269950297009498</v>
      </c>
      <c r="F1119">
        <v>1</v>
      </c>
      <c r="G1119">
        <v>32.654904399000003</v>
      </c>
      <c r="H1119">
        <v>0.27491261337443701</v>
      </c>
      <c r="I1119">
        <v>1</v>
      </c>
      <c r="J1119">
        <v>0.93852467699999997</v>
      </c>
      <c r="P1119"/>
      <c r="V1119">
        <v>0.27273413394735202</v>
      </c>
      <c r="W1119">
        <v>1</v>
      </c>
      <c r="X1119">
        <v>30270.221748414999</v>
      </c>
      <c r="Y1119">
        <v>36383</v>
      </c>
      <c r="Z1119">
        <v>0.20984549178907999</v>
      </c>
      <c r="AA1119">
        <v>50</v>
      </c>
    </row>
    <row r="1120" spans="1:27" x14ac:dyDescent="0.2">
      <c r="A1120">
        <v>30</v>
      </c>
      <c r="B1120">
        <v>1</v>
      </c>
      <c r="C1120">
        <v>0.2</v>
      </c>
      <c r="D1120">
        <v>100</v>
      </c>
      <c r="E1120">
        <v>3.6905496424713399E-2</v>
      </c>
      <c r="F1120">
        <v>1</v>
      </c>
      <c r="G1120">
        <v>29.623491574999999</v>
      </c>
      <c r="H1120">
        <v>3.9838000303384198E-2</v>
      </c>
      <c r="I1120">
        <v>1</v>
      </c>
      <c r="J1120">
        <v>0.107791834</v>
      </c>
      <c r="P1120"/>
      <c r="V1120">
        <v>3.7385905322686E-2</v>
      </c>
      <c r="W1120">
        <v>1</v>
      </c>
      <c r="X1120">
        <v>28424.145579561002</v>
      </c>
      <c r="Y1120">
        <v>43827</v>
      </c>
      <c r="Z1120">
        <v>9.0787462595431894E-3</v>
      </c>
      <c r="AA1120">
        <v>48</v>
      </c>
    </row>
    <row r="1121" spans="1:27" x14ac:dyDescent="0.2">
      <c r="A1121">
        <v>30</v>
      </c>
      <c r="B1121">
        <v>1</v>
      </c>
      <c r="C1121">
        <v>0.4</v>
      </c>
      <c r="D1121">
        <v>100</v>
      </c>
      <c r="E1121">
        <v>0.12108243141997301</v>
      </c>
      <c r="F1121">
        <v>1</v>
      </c>
      <c r="G1121">
        <v>30.234795056999999</v>
      </c>
      <c r="H1121">
        <v>2.4634104504223299E-2</v>
      </c>
      <c r="I1121">
        <v>1</v>
      </c>
      <c r="J1121">
        <v>0.29276514999999997</v>
      </c>
      <c r="P1121"/>
      <c r="V1121">
        <v>1.89501106265344E-2</v>
      </c>
      <c r="W1121">
        <v>1</v>
      </c>
      <c r="X1121">
        <v>28354.084437354999</v>
      </c>
      <c r="Y1121">
        <v>113737</v>
      </c>
      <c r="Z1121">
        <v>1.0994107731411001E-2</v>
      </c>
      <c r="AA1121">
        <v>50</v>
      </c>
    </row>
    <row r="1122" spans="1:27" x14ac:dyDescent="0.2">
      <c r="A1122">
        <v>40</v>
      </c>
      <c r="B1122">
        <v>1</v>
      </c>
      <c r="C1122">
        <v>0.1</v>
      </c>
      <c r="D1122">
        <v>100</v>
      </c>
      <c r="E1122">
        <v>0.35843182163412901</v>
      </c>
      <c r="F1122">
        <v>1</v>
      </c>
      <c r="G1122">
        <v>33.303757910999998</v>
      </c>
      <c r="H1122">
        <v>0.1260434943423</v>
      </c>
      <c r="I1122">
        <v>1</v>
      </c>
      <c r="J1122">
        <v>1.610859515</v>
      </c>
      <c r="P1122"/>
      <c r="V1122">
        <v>0.12041252192084199</v>
      </c>
      <c r="W1122">
        <v>1</v>
      </c>
      <c r="X1122">
        <v>30274.977647397001</v>
      </c>
      <c r="Y1122">
        <v>23341</v>
      </c>
      <c r="Z1122">
        <v>0.13296555927818601</v>
      </c>
      <c r="AA1122">
        <v>50</v>
      </c>
    </row>
    <row r="1123" spans="1:27" x14ac:dyDescent="0.2">
      <c r="A1123">
        <v>40</v>
      </c>
      <c r="B1123">
        <v>1</v>
      </c>
      <c r="C1123">
        <v>0.1</v>
      </c>
      <c r="D1123">
        <v>100</v>
      </c>
      <c r="E1123">
        <v>0.45174727323250402</v>
      </c>
      <c r="F1123">
        <v>1</v>
      </c>
      <c r="G1123">
        <v>33.860180253999999</v>
      </c>
      <c r="H1123">
        <v>0.38155320199953702</v>
      </c>
      <c r="I1123">
        <v>1</v>
      </c>
      <c r="J1123">
        <v>0.99471225100000005</v>
      </c>
      <c r="P1123"/>
      <c r="V1123">
        <v>0.36983493899658898</v>
      </c>
      <c r="W1123">
        <v>1</v>
      </c>
      <c r="X1123">
        <v>30701.182471708998</v>
      </c>
      <c r="Y1123">
        <v>37832</v>
      </c>
      <c r="Z1123">
        <v>8.2530965493691502E-2</v>
      </c>
      <c r="AA1123">
        <v>50</v>
      </c>
    </row>
    <row r="1124" spans="1:27" x14ac:dyDescent="0.2">
      <c r="A1124">
        <v>40</v>
      </c>
      <c r="B1124">
        <v>1</v>
      </c>
      <c r="C1124">
        <v>0.1</v>
      </c>
      <c r="D1124">
        <v>100</v>
      </c>
      <c r="E1124">
        <v>0.36804153291150599</v>
      </c>
      <c r="F1124">
        <v>1</v>
      </c>
      <c r="G1124">
        <v>31.890217653000001</v>
      </c>
      <c r="H1124">
        <v>0.124792337773784</v>
      </c>
      <c r="I1124">
        <v>1</v>
      </c>
      <c r="J1124">
        <v>1.435927087</v>
      </c>
      <c r="P1124"/>
      <c r="V1124">
        <v>0.121880393702773</v>
      </c>
      <c r="W1124">
        <v>1</v>
      </c>
      <c r="X1124">
        <v>30269.845882795998</v>
      </c>
      <c r="Y1124">
        <v>47876</v>
      </c>
      <c r="Z1124">
        <v>0.17241248077152699</v>
      </c>
      <c r="AA1124">
        <v>50</v>
      </c>
    </row>
    <row r="1125" spans="1:27" x14ac:dyDescent="0.2">
      <c r="A1125">
        <v>30</v>
      </c>
      <c r="B1125">
        <v>1</v>
      </c>
      <c r="C1125">
        <v>0.3</v>
      </c>
      <c r="D1125">
        <v>100</v>
      </c>
      <c r="E1125">
        <v>8.2877098843674599E-2</v>
      </c>
      <c r="F1125">
        <v>1</v>
      </c>
      <c r="G1125">
        <v>28.958036887999999</v>
      </c>
      <c r="H1125">
        <v>2.98680213843492E-2</v>
      </c>
      <c r="I1125">
        <v>1</v>
      </c>
      <c r="J1125">
        <v>0.300380551</v>
      </c>
      <c r="P1125"/>
      <c r="V1125">
        <v>2.1550703155359199E-2</v>
      </c>
      <c r="W1125">
        <v>1</v>
      </c>
      <c r="X1125">
        <v>30366.847224656001</v>
      </c>
      <c r="Y1125">
        <v>23765</v>
      </c>
      <c r="Z1125">
        <v>1.25989780874894E-2</v>
      </c>
      <c r="AA1125">
        <v>50</v>
      </c>
    </row>
    <row r="1126" spans="1:27" x14ac:dyDescent="0.2">
      <c r="A1126">
        <v>40</v>
      </c>
      <c r="B1126">
        <v>1</v>
      </c>
      <c r="C1126">
        <v>0.2</v>
      </c>
      <c r="D1126">
        <v>100</v>
      </c>
      <c r="E1126">
        <v>0.205295800710669</v>
      </c>
      <c r="F1126">
        <v>1</v>
      </c>
      <c r="G1126">
        <v>34.321882035000002</v>
      </c>
      <c r="H1126">
        <v>3.4947072147512602E-2</v>
      </c>
      <c r="I1126">
        <v>1</v>
      </c>
      <c r="J1126">
        <v>0.57592987600000001</v>
      </c>
      <c r="P1126"/>
      <c r="V1126">
        <v>3.21205827439799E-2</v>
      </c>
      <c r="W1126">
        <v>1</v>
      </c>
      <c r="X1126">
        <v>30877.018828583001</v>
      </c>
      <c r="Y1126">
        <v>16304</v>
      </c>
      <c r="Z1126">
        <v>9.4560455189328804E-2</v>
      </c>
      <c r="AA1126">
        <v>50</v>
      </c>
    </row>
    <row r="1127" spans="1:27" x14ac:dyDescent="0.2">
      <c r="A1127">
        <v>40</v>
      </c>
      <c r="B1127">
        <v>1</v>
      </c>
      <c r="C1127">
        <v>0.1</v>
      </c>
      <c r="D1127">
        <v>100</v>
      </c>
      <c r="E1127">
        <v>0.40083646129953898</v>
      </c>
      <c r="F1127">
        <v>1</v>
      </c>
      <c r="G1127">
        <v>33.283359601999997</v>
      </c>
      <c r="H1127">
        <v>0.29399562905784099</v>
      </c>
      <c r="I1127">
        <v>1</v>
      </c>
      <c r="J1127">
        <v>1.504802631</v>
      </c>
      <c r="P1127"/>
      <c r="V1127">
        <v>0.27743448390745901</v>
      </c>
      <c r="W1127">
        <v>1</v>
      </c>
      <c r="X1127">
        <v>30880.853782209</v>
      </c>
      <c r="Y1127">
        <v>55586</v>
      </c>
      <c r="Z1127">
        <v>0.171817276143998</v>
      </c>
      <c r="AA1127">
        <v>50</v>
      </c>
    </row>
    <row r="1128" spans="1:27" x14ac:dyDescent="0.2">
      <c r="A1128">
        <v>40</v>
      </c>
      <c r="B1128">
        <v>1</v>
      </c>
      <c r="C1128">
        <v>0.3</v>
      </c>
      <c r="D1128">
        <v>100</v>
      </c>
      <c r="E1128">
        <v>1.2559012347018001E-2</v>
      </c>
      <c r="F1128">
        <v>1</v>
      </c>
      <c r="G1128">
        <v>33.193253403</v>
      </c>
      <c r="H1128">
        <v>2.0227592493457701E-2</v>
      </c>
      <c r="I1128">
        <v>1</v>
      </c>
      <c r="J1128">
        <v>0.33466822000000002</v>
      </c>
      <c r="P1128"/>
      <c r="V1128">
        <v>1.56141914035483E-2</v>
      </c>
      <c r="W1128">
        <v>1</v>
      </c>
      <c r="X1128">
        <v>30823.815081904999</v>
      </c>
      <c r="Y1128">
        <v>8597</v>
      </c>
      <c r="Z1128">
        <v>5.0532452259802497E-2</v>
      </c>
      <c r="AA1128">
        <v>50</v>
      </c>
    </row>
    <row r="1129" spans="1:27" x14ac:dyDescent="0.2">
      <c r="A1129">
        <v>40</v>
      </c>
      <c r="B1129">
        <v>1</v>
      </c>
      <c r="C1129">
        <v>0.3</v>
      </c>
      <c r="D1129">
        <v>100</v>
      </c>
      <c r="E1129">
        <v>0.114485463122252</v>
      </c>
      <c r="F1129">
        <v>1</v>
      </c>
      <c r="G1129">
        <v>31.520096491</v>
      </c>
      <c r="H1129">
        <v>6.1489982737951497E-2</v>
      </c>
      <c r="I1129">
        <v>1</v>
      </c>
      <c r="J1129">
        <v>0.279540856</v>
      </c>
      <c r="P1129"/>
      <c r="V1129">
        <v>6.0060134815946999E-2</v>
      </c>
      <c r="W1129">
        <v>1</v>
      </c>
      <c r="X1129">
        <v>30929.502343388001</v>
      </c>
      <c r="Y1129">
        <v>38688</v>
      </c>
      <c r="Z1129">
        <v>1.01029778713823E-2</v>
      </c>
      <c r="AA1129">
        <v>50</v>
      </c>
    </row>
    <row r="1130" spans="1:27" x14ac:dyDescent="0.2">
      <c r="A1130">
        <v>40</v>
      </c>
      <c r="B1130">
        <v>1</v>
      </c>
      <c r="C1130">
        <v>0.1</v>
      </c>
      <c r="D1130">
        <v>100</v>
      </c>
      <c r="E1130">
        <v>0.55142804358762498</v>
      </c>
      <c r="F1130">
        <v>1</v>
      </c>
      <c r="G1130">
        <v>36.176541538000002</v>
      </c>
      <c r="H1130">
        <v>0.407369823958045</v>
      </c>
      <c r="I1130">
        <v>1</v>
      </c>
      <c r="J1130">
        <v>0.90050763599999994</v>
      </c>
      <c r="P1130"/>
      <c r="V1130">
        <v>0.40306290423012298</v>
      </c>
      <c r="W1130">
        <v>1</v>
      </c>
      <c r="X1130">
        <v>30271.788088616999</v>
      </c>
      <c r="Y1130">
        <v>36856</v>
      </c>
      <c r="Z1130">
        <v>0.139285893818445</v>
      </c>
      <c r="AA1130">
        <v>50</v>
      </c>
    </row>
    <row r="1131" spans="1:27" x14ac:dyDescent="0.2">
      <c r="A1131">
        <v>40</v>
      </c>
      <c r="B1131">
        <v>1</v>
      </c>
      <c r="C1131">
        <v>0.1</v>
      </c>
      <c r="D1131">
        <v>100</v>
      </c>
      <c r="E1131">
        <v>0.34689693684332501</v>
      </c>
      <c r="F1131">
        <v>1</v>
      </c>
      <c r="G1131">
        <v>34.870903409</v>
      </c>
      <c r="H1131">
        <v>0.17918512605605799</v>
      </c>
      <c r="I1131">
        <v>1</v>
      </c>
      <c r="J1131">
        <v>1.2353070779999999</v>
      </c>
      <c r="P1131"/>
      <c r="V1131">
        <v>0.17113311811697399</v>
      </c>
      <c r="W1131">
        <v>1</v>
      </c>
      <c r="X1131">
        <v>30275.916471634999</v>
      </c>
      <c r="Y1131">
        <v>40734</v>
      </c>
      <c r="Z1131">
        <v>8.5953209055634694E-2</v>
      </c>
      <c r="AA1131">
        <v>50</v>
      </c>
    </row>
    <row r="1132" spans="1:27" x14ac:dyDescent="0.2">
      <c r="A1132">
        <v>40</v>
      </c>
      <c r="B1132">
        <v>1</v>
      </c>
      <c r="C1132">
        <v>0.1</v>
      </c>
      <c r="D1132">
        <v>100</v>
      </c>
      <c r="E1132">
        <v>0.51377530338975996</v>
      </c>
      <c r="F1132">
        <v>1</v>
      </c>
      <c r="G1132">
        <v>32.246490461</v>
      </c>
      <c r="H1132">
        <v>0.43321285819167499</v>
      </c>
      <c r="I1132">
        <v>1</v>
      </c>
      <c r="J1132">
        <v>1.1750331270000001</v>
      </c>
      <c r="P1132"/>
      <c r="V1132">
        <v>0.41427468376057303</v>
      </c>
      <c r="W1132">
        <v>1</v>
      </c>
      <c r="X1132">
        <v>30650.160542699999</v>
      </c>
      <c r="Y1132">
        <v>39310</v>
      </c>
      <c r="Z1132">
        <v>0.12581056021116199</v>
      </c>
      <c r="AA1132">
        <v>50</v>
      </c>
    </row>
    <row r="1133" spans="1:27" x14ac:dyDescent="0.2">
      <c r="A1133">
        <v>40</v>
      </c>
      <c r="B1133">
        <v>1</v>
      </c>
      <c r="C1133">
        <v>0.1</v>
      </c>
      <c r="D1133">
        <v>100</v>
      </c>
      <c r="E1133">
        <v>0.28624703593109702</v>
      </c>
      <c r="F1133">
        <v>1</v>
      </c>
      <c r="G1133">
        <v>35.435052742000003</v>
      </c>
      <c r="H1133">
        <v>0.12545412459069299</v>
      </c>
      <c r="I1133">
        <v>1</v>
      </c>
      <c r="J1133">
        <v>0.81634064299999998</v>
      </c>
      <c r="P1133"/>
      <c r="V1133">
        <v>0.119794916720234</v>
      </c>
      <c r="W1133">
        <v>1</v>
      </c>
      <c r="X1133">
        <v>30297.346692200001</v>
      </c>
      <c r="Y1133">
        <v>34484</v>
      </c>
      <c r="Z1133">
        <v>6.4478238492561596E-2</v>
      </c>
      <c r="AA1133">
        <v>50</v>
      </c>
    </row>
    <row r="1134" spans="1:27" x14ac:dyDescent="0.2">
      <c r="A1134">
        <v>40</v>
      </c>
      <c r="B1134">
        <v>1</v>
      </c>
      <c r="C1134">
        <v>0.4</v>
      </c>
      <c r="D1134">
        <v>100</v>
      </c>
      <c r="E1134">
        <v>1.27487631096321E-2</v>
      </c>
      <c r="F1134">
        <v>1</v>
      </c>
      <c r="G1134">
        <v>33.372050250999997</v>
      </c>
      <c r="H1134">
        <v>2.0745918060319699E-2</v>
      </c>
      <c r="I1134">
        <v>1</v>
      </c>
      <c r="J1134">
        <v>0.40572427999999999</v>
      </c>
      <c r="P1134"/>
      <c r="V1134">
        <v>1.60904058630565E-2</v>
      </c>
      <c r="W1134">
        <v>1</v>
      </c>
      <c r="X1134">
        <v>30508.195104453</v>
      </c>
      <c r="Y1134">
        <v>22377</v>
      </c>
      <c r="Z1134">
        <v>5.01939158376805E-2</v>
      </c>
      <c r="AA1134">
        <v>50</v>
      </c>
    </row>
    <row r="1135" spans="1:27" x14ac:dyDescent="0.2">
      <c r="A1135">
        <v>40</v>
      </c>
      <c r="B1135">
        <v>1</v>
      </c>
      <c r="C1135">
        <v>0.2</v>
      </c>
      <c r="D1135">
        <v>100</v>
      </c>
      <c r="E1135">
        <v>4.7116125125772901E-2</v>
      </c>
      <c r="F1135">
        <v>1</v>
      </c>
      <c r="G1135">
        <v>30.188093361</v>
      </c>
      <c r="H1135">
        <v>3.0125705190715599E-2</v>
      </c>
      <c r="I1135">
        <v>1</v>
      </c>
      <c r="J1135">
        <v>0.286733348</v>
      </c>
      <c r="P1135"/>
      <c r="V1135">
        <v>2.7490191441356199E-2</v>
      </c>
      <c r="W1135">
        <v>1</v>
      </c>
      <c r="X1135">
        <v>23529.445991801</v>
      </c>
      <c r="Y1135">
        <v>10696</v>
      </c>
      <c r="Z1135">
        <v>9.5064988951094592E-3</v>
      </c>
      <c r="AA1135">
        <v>42</v>
      </c>
    </row>
    <row r="1136" spans="1:27" x14ac:dyDescent="0.2">
      <c r="A1136">
        <v>30</v>
      </c>
      <c r="B1136">
        <v>1</v>
      </c>
      <c r="C1136">
        <v>0.3</v>
      </c>
      <c r="D1136">
        <v>100</v>
      </c>
      <c r="E1136">
        <v>1.19766784468058E-2</v>
      </c>
      <c r="F1136">
        <v>1</v>
      </c>
      <c r="G1136">
        <v>33.953629757999998</v>
      </c>
      <c r="H1136">
        <v>2.1349822840475902E-2</v>
      </c>
      <c r="I1136">
        <v>1</v>
      </c>
      <c r="J1136">
        <v>0.21455935700000001</v>
      </c>
      <c r="P1136"/>
      <c r="V1136">
        <v>1.7019097257487899E-2</v>
      </c>
      <c r="W1136">
        <v>1</v>
      </c>
      <c r="X1136">
        <v>28726.328265700002</v>
      </c>
      <c r="Y1136">
        <v>34427</v>
      </c>
      <c r="Z1136">
        <v>9.7905769215849096E-3</v>
      </c>
      <c r="AA1136">
        <v>48</v>
      </c>
    </row>
    <row r="1137" spans="1:27" x14ac:dyDescent="0.2">
      <c r="A1137">
        <v>40</v>
      </c>
      <c r="B1137">
        <v>1</v>
      </c>
      <c r="C1137">
        <v>0.1</v>
      </c>
      <c r="D1137">
        <v>100</v>
      </c>
      <c r="E1137">
        <v>0.34685833221418599</v>
      </c>
      <c r="F1137">
        <v>1</v>
      </c>
      <c r="G1137">
        <v>35.234864578</v>
      </c>
      <c r="H1137">
        <v>0.24393454811259799</v>
      </c>
      <c r="I1137">
        <v>1</v>
      </c>
      <c r="J1137">
        <v>1.1386587210000001</v>
      </c>
      <c r="P1137"/>
      <c r="V1137">
        <v>0.24090353369241099</v>
      </c>
      <c r="W1137">
        <v>1</v>
      </c>
      <c r="X1137">
        <v>30271.427439278999</v>
      </c>
      <c r="Y1137">
        <v>50908</v>
      </c>
      <c r="Z1137">
        <v>0.11069109418843701</v>
      </c>
      <c r="AA1137">
        <v>50</v>
      </c>
    </row>
    <row r="1138" spans="1:27" x14ac:dyDescent="0.2">
      <c r="A1138">
        <v>30</v>
      </c>
      <c r="B1138">
        <v>1</v>
      </c>
      <c r="C1138">
        <v>0.1</v>
      </c>
      <c r="D1138">
        <v>100</v>
      </c>
      <c r="E1138">
        <v>0.47947724071595699</v>
      </c>
      <c r="F1138">
        <v>1</v>
      </c>
      <c r="G1138">
        <v>28.950765231999998</v>
      </c>
      <c r="H1138">
        <v>0.29009948338721298</v>
      </c>
      <c r="I1138">
        <v>1</v>
      </c>
      <c r="J1138">
        <v>1.180445959</v>
      </c>
      <c r="P1138"/>
      <c r="V1138">
        <v>0.28667647492361698</v>
      </c>
      <c r="W1138">
        <v>1</v>
      </c>
      <c r="X1138">
        <v>30112.211201464001</v>
      </c>
      <c r="Y1138">
        <v>75895</v>
      </c>
      <c r="Z1138">
        <v>5.1111796906229599E-2</v>
      </c>
      <c r="AA1138">
        <v>50</v>
      </c>
    </row>
    <row r="1139" spans="1:27" x14ac:dyDescent="0.2">
      <c r="A1139">
        <v>40</v>
      </c>
      <c r="B1139">
        <v>1</v>
      </c>
      <c r="C1139">
        <v>0.3</v>
      </c>
      <c r="D1139">
        <v>100</v>
      </c>
      <c r="E1139">
        <v>3.6218383300352999E-2</v>
      </c>
      <c r="F1139">
        <v>1</v>
      </c>
      <c r="G1139">
        <v>32.998913356999999</v>
      </c>
      <c r="H1139">
        <v>1.9911031403920799E-2</v>
      </c>
      <c r="I1139">
        <v>1</v>
      </c>
      <c r="J1139">
        <v>0.51280891200000001</v>
      </c>
      <c r="P1139"/>
      <c r="V1139">
        <v>1.58933599758861E-2</v>
      </c>
      <c r="W1139">
        <v>1</v>
      </c>
      <c r="X1139">
        <v>30684.153018550998</v>
      </c>
      <c r="Y1139">
        <v>20138</v>
      </c>
      <c r="Z1139">
        <v>9.58928764180755E-3</v>
      </c>
      <c r="AA1139">
        <v>50</v>
      </c>
    </row>
    <row r="1140" spans="1:27" x14ac:dyDescent="0.2">
      <c r="A1140">
        <v>40</v>
      </c>
      <c r="B1140">
        <v>1</v>
      </c>
      <c r="C1140">
        <v>0.3</v>
      </c>
      <c r="D1140">
        <v>100</v>
      </c>
      <c r="E1140">
        <v>9.5846502111688395E-2</v>
      </c>
      <c r="F1140">
        <v>1</v>
      </c>
      <c r="G1140">
        <v>33.489581334</v>
      </c>
      <c r="H1140">
        <v>3.2103724244133901E-2</v>
      </c>
      <c r="I1140">
        <v>1</v>
      </c>
      <c r="J1140">
        <v>0.29263173999999997</v>
      </c>
      <c r="P1140"/>
      <c r="V1140">
        <v>2.7480132675370299E-2</v>
      </c>
      <c r="W1140">
        <v>1</v>
      </c>
      <c r="X1140">
        <v>31413.402227535</v>
      </c>
      <c r="Y1140">
        <v>31235</v>
      </c>
      <c r="Z1140">
        <v>1.6207071232631799E-2</v>
      </c>
      <c r="AA1140">
        <v>50</v>
      </c>
    </row>
    <row r="1141" spans="1:27" x14ac:dyDescent="0.2">
      <c r="A1141">
        <v>40</v>
      </c>
      <c r="B1141">
        <v>1</v>
      </c>
      <c r="C1141">
        <v>0.2</v>
      </c>
      <c r="D1141">
        <v>100</v>
      </c>
      <c r="E1141">
        <v>0.117164059248754</v>
      </c>
      <c r="F1141">
        <v>1</v>
      </c>
      <c r="G1141">
        <v>31.536801062999999</v>
      </c>
      <c r="H1141">
        <v>4.3284001279534703E-2</v>
      </c>
      <c r="I1141">
        <v>1</v>
      </c>
      <c r="J1141">
        <v>0.73301972500000001</v>
      </c>
      <c r="P1141"/>
      <c r="V1141">
        <v>3.8228830112469199E-2</v>
      </c>
      <c r="W1141">
        <v>1</v>
      </c>
      <c r="X1141">
        <v>30850.705739433</v>
      </c>
      <c r="Y1141">
        <v>10826</v>
      </c>
      <c r="Z1141">
        <v>0.18533437070950401</v>
      </c>
      <c r="AA1141">
        <v>50</v>
      </c>
    </row>
    <row r="1142" spans="1:27" x14ac:dyDescent="0.2">
      <c r="A1142">
        <v>40</v>
      </c>
      <c r="B1142">
        <v>1</v>
      </c>
      <c r="C1142">
        <v>0.4</v>
      </c>
      <c r="D1142">
        <v>100</v>
      </c>
      <c r="E1142">
        <v>1.38966545818048E-2</v>
      </c>
      <c r="F1142">
        <v>1</v>
      </c>
      <c r="G1142">
        <v>31.977442918000001</v>
      </c>
      <c r="H1142">
        <v>1.85257173755322E-2</v>
      </c>
      <c r="I1142">
        <v>1</v>
      </c>
      <c r="J1142">
        <v>0.29553069199999998</v>
      </c>
      <c r="P1142"/>
      <c r="V1142">
        <v>1.2496269396999E-2</v>
      </c>
      <c r="W1142">
        <v>1</v>
      </c>
      <c r="X1142">
        <v>30921.946403690999</v>
      </c>
      <c r="Y1142">
        <v>15295</v>
      </c>
      <c r="Z1142">
        <v>2.9793963011384102E-2</v>
      </c>
      <c r="AA1142">
        <v>50</v>
      </c>
    </row>
    <row r="1143" spans="1:27" x14ac:dyDescent="0.2">
      <c r="A1143">
        <v>40</v>
      </c>
      <c r="B1143">
        <v>1</v>
      </c>
      <c r="C1143">
        <v>0.2</v>
      </c>
      <c r="D1143">
        <v>100</v>
      </c>
      <c r="E1143">
        <v>5.0914939153222503E-2</v>
      </c>
      <c r="F1143">
        <v>1</v>
      </c>
      <c r="G1143">
        <v>34.381616299000001</v>
      </c>
      <c r="H1143">
        <v>2.73063977552735E-2</v>
      </c>
      <c r="I1143">
        <v>1</v>
      </c>
      <c r="J1143">
        <v>0.60125252699999998</v>
      </c>
      <c r="P1143"/>
      <c r="V1143">
        <v>2.3485648169086E-2</v>
      </c>
      <c r="W1143">
        <v>1</v>
      </c>
      <c r="X1143">
        <v>30899.095317141</v>
      </c>
      <c r="Y1143">
        <v>7795</v>
      </c>
      <c r="Z1143">
        <v>4.0070709131157602E-2</v>
      </c>
      <c r="AA1143">
        <v>50</v>
      </c>
    </row>
    <row r="1144" spans="1:27" x14ac:dyDescent="0.2">
      <c r="A1144">
        <v>40</v>
      </c>
      <c r="B1144">
        <v>1</v>
      </c>
      <c r="C1144">
        <v>0.2</v>
      </c>
      <c r="D1144">
        <v>100</v>
      </c>
      <c r="E1144">
        <v>1.1098779782612899E-2</v>
      </c>
      <c r="F1144">
        <v>1</v>
      </c>
      <c r="G1144">
        <v>33.463053217999999</v>
      </c>
      <c r="H1144">
        <v>1.87019194561703E-2</v>
      </c>
      <c r="I1144">
        <v>1</v>
      </c>
      <c r="J1144">
        <v>0.35459075400000001</v>
      </c>
      <c r="P1144"/>
      <c r="V1144">
        <v>1.47684277046188E-2</v>
      </c>
      <c r="W1144">
        <v>1</v>
      </c>
      <c r="X1144">
        <v>31723.541281801001</v>
      </c>
      <c r="Y1144">
        <v>1988</v>
      </c>
      <c r="Z1144">
        <v>0.129826451671191</v>
      </c>
      <c r="AA1144">
        <v>50</v>
      </c>
    </row>
    <row r="1145" spans="1:27" x14ac:dyDescent="0.2">
      <c r="A1145">
        <v>40</v>
      </c>
      <c r="B1145">
        <v>1</v>
      </c>
      <c r="C1145">
        <v>0.2</v>
      </c>
      <c r="D1145">
        <v>100</v>
      </c>
      <c r="E1145">
        <v>2.4944843628208101E-2</v>
      </c>
      <c r="F1145">
        <v>1</v>
      </c>
      <c r="G1145">
        <v>33.369051614999997</v>
      </c>
      <c r="H1145">
        <v>2.69060910792005E-2</v>
      </c>
      <c r="I1145">
        <v>1</v>
      </c>
      <c r="J1145">
        <v>0.219934348</v>
      </c>
      <c r="P1145"/>
      <c r="V1145">
        <v>1.9705807151330999E-2</v>
      </c>
      <c r="W1145">
        <v>1</v>
      </c>
      <c r="X1145">
        <v>31061.166195960999</v>
      </c>
      <c r="Y1145">
        <v>29161</v>
      </c>
      <c r="Z1145">
        <v>1.36433314107478E-2</v>
      </c>
      <c r="AA1145">
        <v>50</v>
      </c>
    </row>
    <row r="1146" spans="1:27" x14ac:dyDescent="0.2">
      <c r="A1146">
        <v>40</v>
      </c>
      <c r="B1146">
        <v>1</v>
      </c>
      <c r="C1146">
        <v>0.4</v>
      </c>
      <c r="D1146">
        <v>100</v>
      </c>
      <c r="E1146">
        <v>7.2804283287369403E-2</v>
      </c>
      <c r="F1146">
        <v>1</v>
      </c>
      <c r="G1146">
        <v>35.933819315000001</v>
      </c>
      <c r="H1146">
        <v>3.6662893178063601E-2</v>
      </c>
      <c r="I1146">
        <v>1</v>
      </c>
      <c r="J1146">
        <v>0.64560257499999996</v>
      </c>
      <c r="P1146"/>
      <c r="V1146">
        <v>2.8685516600072999E-2</v>
      </c>
      <c r="W1146">
        <v>1</v>
      </c>
      <c r="X1146">
        <v>31493.430739362</v>
      </c>
      <c r="Y1146">
        <v>2043</v>
      </c>
      <c r="Z1146">
        <v>4.2714274008997098E-2</v>
      </c>
      <c r="AA1146">
        <v>50</v>
      </c>
    </row>
    <row r="1147" spans="1:27" x14ac:dyDescent="0.2">
      <c r="A1147">
        <v>40</v>
      </c>
      <c r="B1147">
        <v>1</v>
      </c>
      <c r="C1147">
        <v>0.1</v>
      </c>
      <c r="D1147">
        <v>100</v>
      </c>
      <c r="E1147">
        <v>0.58057944281737195</v>
      </c>
      <c r="F1147">
        <v>1</v>
      </c>
      <c r="G1147">
        <v>45.067489201999997</v>
      </c>
      <c r="H1147">
        <v>0.57606407074310995</v>
      </c>
      <c r="I1147">
        <v>1</v>
      </c>
      <c r="J1147">
        <v>0.88121096600000004</v>
      </c>
      <c r="P1147"/>
      <c r="V1147">
        <v>0.57194510894017203</v>
      </c>
      <c r="W1147">
        <v>1</v>
      </c>
      <c r="X1147">
        <v>30841.985434835002</v>
      </c>
      <c r="Y1147">
        <v>34690</v>
      </c>
      <c r="Z1147">
        <v>0.12257045552020999</v>
      </c>
      <c r="AA1147">
        <v>50</v>
      </c>
    </row>
    <row r="1148" spans="1:27" x14ac:dyDescent="0.2">
      <c r="A1148">
        <v>30</v>
      </c>
      <c r="B1148">
        <v>1</v>
      </c>
      <c r="C1148">
        <v>0.1</v>
      </c>
      <c r="D1148">
        <v>100</v>
      </c>
      <c r="E1148">
        <v>0.48005502334711198</v>
      </c>
      <c r="F1148">
        <v>1</v>
      </c>
      <c r="G1148">
        <v>28.578448511000001</v>
      </c>
      <c r="H1148">
        <v>0.29672447143486103</v>
      </c>
      <c r="I1148">
        <v>1</v>
      </c>
      <c r="J1148">
        <v>1.342450879</v>
      </c>
      <c r="P1148"/>
      <c r="V1148">
        <v>0.29492309090391999</v>
      </c>
      <c r="W1148">
        <v>1</v>
      </c>
      <c r="X1148">
        <v>30115.594819262998</v>
      </c>
      <c r="Y1148">
        <v>91595</v>
      </c>
      <c r="Z1148">
        <v>6.0547825827541098E-2</v>
      </c>
      <c r="AA1148">
        <v>50</v>
      </c>
    </row>
    <row r="1149" spans="1:27" x14ac:dyDescent="0.2">
      <c r="A1149">
        <v>40</v>
      </c>
      <c r="B1149">
        <v>1</v>
      </c>
      <c r="C1149">
        <v>0.3</v>
      </c>
      <c r="D1149">
        <v>100</v>
      </c>
      <c r="E1149">
        <v>7.9138908897286406E-2</v>
      </c>
      <c r="F1149">
        <v>1</v>
      </c>
      <c r="G1149">
        <v>31.600420486000001</v>
      </c>
      <c r="H1149">
        <v>2.6471613677338E-2</v>
      </c>
      <c r="I1149">
        <v>1</v>
      </c>
      <c r="J1149">
        <v>0.340767932</v>
      </c>
      <c r="P1149"/>
      <c r="V1149">
        <v>2.0086663900399902E-2</v>
      </c>
      <c r="W1149">
        <v>1</v>
      </c>
      <c r="X1149">
        <v>31358.485443465001</v>
      </c>
      <c r="Y1149">
        <v>8556</v>
      </c>
      <c r="Z1149">
        <v>7.3603731530162003E-2</v>
      </c>
      <c r="AA1149">
        <v>50</v>
      </c>
    </row>
    <row r="1150" spans="1:27" x14ac:dyDescent="0.2">
      <c r="A1150">
        <v>40</v>
      </c>
      <c r="B1150">
        <v>1</v>
      </c>
      <c r="C1150">
        <v>0.2</v>
      </c>
      <c r="D1150">
        <v>100</v>
      </c>
      <c r="E1150">
        <v>0.31161237536299002</v>
      </c>
      <c r="F1150">
        <v>1</v>
      </c>
      <c r="G1150">
        <v>33.29584011</v>
      </c>
      <c r="H1150">
        <v>5.7427209153857899E-2</v>
      </c>
      <c r="I1150">
        <v>1</v>
      </c>
      <c r="J1150">
        <v>0.64408454900000001</v>
      </c>
      <c r="P1150"/>
      <c r="V1150">
        <v>5.2067178426286102E-2</v>
      </c>
      <c r="W1150">
        <v>1</v>
      </c>
      <c r="X1150">
        <v>31338.253914829998</v>
      </c>
      <c r="Y1150">
        <v>12969</v>
      </c>
      <c r="Z1150">
        <v>7.4645726232496601E-2</v>
      </c>
      <c r="AA1150">
        <v>50</v>
      </c>
    </row>
    <row r="1151" spans="1:27" x14ac:dyDescent="0.2">
      <c r="A1151">
        <v>30</v>
      </c>
      <c r="B1151">
        <v>1</v>
      </c>
      <c r="C1151">
        <v>0.2</v>
      </c>
      <c r="D1151">
        <v>100</v>
      </c>
      <c r="E1151">
        <v>0.113015224436879</v>
      </c>
      <c r="F1151">
        <v>1</v>
      </c>
      <c r="G1151">
        <v>29.500224586000002</v>
      </c>
      <c r="H1151">
        <v>5.1147844440569697E-2</v>
      </c>
      <c r="I1151">
        <v>1</v>
      </c>
      <c r="J1151">
        <v>0.19165434200000001</v>
      </c>
      <c r="P1151"/>
      <c r="V1151">
        <v>4.1749109230605798E-2</v>
      </c>
      <c r="W1151">
        <v>1</v>
      </c>
      <c r="X1151">
        <v>30478.27196867</v>
      </c>
      <c r="Y1151">
        <v>41898</v>
      </c>
      <c r="Z1151">
        <v>1.1655613588267199E-2</v>
      </c>
      <c r="AA1151">
        <v>50</v>
      </c>
    </row>
    <row r="1152" spans="1:27" x14ac:dyDescent="0.2">
      <c r="A1152">
        <v>40</v>
      </c>
      <c r="B1152">
        <v>1</v>
      </c>
      <c r="C1152">
        <v>0.3</v>
      </c>
      <c r="D1152">
        <v>100</v>
      </c>
      <c r="E1152">
        <v>2.3331975937423401E-2</v>
      </c>
      <c r="F1152">
        <v>1</v>
      </c>
      <c r="G1152">
        <v>38.004007420999997</v>
      </c>
      <c r="H1152">
        <v>3.3645196514485297E-2</v>
      </c>
      <c r="I1152">
        <v>1</v>
      </c>
      <c r="J1152">
        <v>0.62491033200000001</v>
      </c>
      <c r="P1152"/>
      <c r="V1152">
        <v>2.8542984012228101E-2</v>
      </c>
      <c r="W1152">
        <v>1</v>
      </c>
      <c r="X1152">
        <v>31500.227047658998</v>
      </c>
      <c r="Y1152">
        <v>3513</v>
      </c>
      <c r="Z1152">
        <v>8.7186186937157295E-2</v>
      </c>
      <c r="AA1152">
        <v>50</v>
      </c>
    </row>
    <row r="1153" spans="1:27" x14ac:dyDescent="0.2">
      <c r="A1153">
        <v>40</v>
      </c>
      <c r="B1153">
        <v>1</v>
      </c>
      <c r="C1153">
        <v>0.2</v>
      </c>
      <c r="D1153">
        <v>100</v>
      </c>
      <c r="E1153">
        <v>0.107561561539625</v>
      </c>
      <c r="F1153">
        <v>1</v>
      </c>
      <c r="G1153">
        <v>33.374743719000001</v>
      </c>
      <c r="H1153">
        <v>3.3864539415749198E-2</v>
      </c>
      <c r="I1153">
        <v>1</v>
      </c>
      <c r="J1153">
        <v>0.58659150699999996</v>
      </c>
      <c r="P1153"/>
      <c r="V1153">
        <v>2.8954753773852399E-2</v>
      </c>
      <c r="W1153">
        <v>1</v>
      </c>
      <c r="X1153">
        <v>31238.783991646</v>
      </c>
      <c r="Y1153">
        <v>978</v>
      </c>
      <c r="Z1153">
        <v>6.5292757465825496E-2</v>
      </c>
      <c r="AA1153">
        <v>50</v>
      </c>
    </row>
    <row r="1154" spans="1:27" x14ac:dyDescent="0.2">
      <c r="A1154">
        <v>40</v>
      </c>
      <c r="B1154">
        <v>1</v>
      </c>
      <c r="C1154">
        <v>0.2</v>
      </c>
      <c r="D1154">
        <v>100</v>
      </c>
      <c r="E1154">
        <v>8.1506541698681698E-2</v>
      </c>
      <c r="F1154">
        <v>1</v>
      </c>
      <c r="G1154">
        <v>44.923564722000002</v>
      </c>
      <c r="H1154">
        <v>4.2188377351475903E-2</v>
      </c>
      <c r="I1154">
        <v>1</v>
      </c>
      <c r="J1154">
        <v>1.1676327609999999</v>
      </c>
      <c r="P1154"/>
      <c r="V1154">
        <v>3.8618278829296603E-2</v>
      </c>
      <c r="W1154">
        <v>1</v>
      </c>
      <c r="X1154">
        <v>31109.965471413001</v>
      </c>
      <c r="Y1154">
        <v>957</v>
      </c>
      <c r="Z1154">
        <v>5.3468186384154397E-2</v>
      </c>
      <c r="AA1154">
        <v>50</v>
      </c>
    </row>
    <row r="1155" spans="1:27" x14ac:dyDescent="0.2">
      <c r="A1155">
        <v>40</v>
      </c>
      <c r="B1155">
        <v>1</v>
      </c>
      <c r="C1155">
        <v>0.3</v>
      </c>
      <c r="D1155">
        <v>100</v>
      </c>
      <c r="E1155">
        <v>1.18590091454674E-2</v>
      </c>
      <c r="F1155">
        <v>1</v>
      </c>
      <c r="G1155">
        <v>33.177174940999997</v>
      </c>
      <c r="H1155">
        <v>1.9409962015152899E-2</v>
      </c>
      <c r="I1155">
        <v>1</v>
      </c>
      <c r="J1155">
        <v>0.405082106</v>
      </c>
      <c r="P1155"/>
      <c r="V1155">
        <v>1.53839943272504E-2</v>
      </c>
      <c r="W1155">
        <v>1</v>
      </c>
      <c r="X1155">
        <v>31273.757690980001</v>
      </c>
      <c r="Y1155">
        <v>20114</v>
      </c>
      <c r="Z1155">
        <v>2.3020525409602699E-2</v>
      </c>
      <c r="AA1155">
        <v>50</v>
      </c>
    </row>
    <row r="1156" spans="1:27" x14ac:dyDescent="0.2">
      <c r="A1156">
        <v>40</v>
      </c>
      <c r="B1156">
        <v>1</v>
      </c>
      <c r="C1156">
        <v>0.3</v>
      </c>
      <c r="D1156">
        <v>100</v>
      </c>
      <c r="E1156">
        <v>7.12099818810836E-2</v>
      </c>
      <c r="F1156">
        <v>1</v>
      </c>
      <c r="G1156">
        <v>45.550383472999997</v>
      </c>
      <c r="H1156">
        <v>2.3334399214509902E-2</v>
      </c>
      <c r="I1156">
        <v>1</v>
      </c>
      <c r="J1156">
        <v>0.47491679199999998</v>
      </c>
      <c r="P1156"/>
      <c r="V1156">
        <v>1.95491257823018E-2</v>
      </c>
      <c r="W1156">
        <v>1</v>
      </c>
      <c r="X1156">
        <v>30642.485238159999</v>
      </c>
      <c r="Y1156">
        <v>33874</v>
      </c>
      <c r="Z1156">
        <v>9.2352746630326409E-3</v>
      </c>
      <c r="AA1156">
        <v>50</v>
      </c>
    </row>
    <row r="1157" spans="1:27" x14ac:dyDescent="0.2">
      <c r="A1157">
        <v>40</v>
      </c>
      <c r="B1157">
        <v>1</v>
      </c>
      <c r="C1157">
        <v>0.3</v>
      </c>
      <c r="D1157">
        <v>100</v>
      </c>
      <c r="E1157">
        <v>6.1216855632939798E-2</v>
      </c>
      <c r="F1157">
        <v>1</v>
      </c>
      <c r="G1157">
        <v>31.155682804000001</v>
      </c>
      <c r="H1157">
        <v>2.8663461650067199E-2</v>
      </c>
      <c r="I1157">
        <v>1</v>
      </c>
      <c r="J1157">
        <v>0.55067426399999997</v>
      </c>
      <c r="P1157"/>
      <c r="V1157">
        <v>2.3935336705829001E-2</v>
      </c>
      <c r="W1157">
        <v>1</v>
      </c>
      <c r="X1157">
        <v>31452.536222949999</v>
      </c>
      <c r="Y1157">
        <v>9189</v>
      </c>
      <c r="Z1157">
        <v>3.02086816205746E-2</v>
      </c>
      <c r="AA1157">
        <v>50</v>
      </c>
    </row>
    <row r="1158" spans="1:27" x14ac:dyDescent="0.2">
      <c r="A1158">
        <v>30</v>
      </c>
      <c r="B1158">
        <v>1</v>
      </c>
      <c r="C1158">
        <v>0.1</v>
      </c>
      <c r="D1158">
        <v>100</v>
      </c>
      <c r="E1158">
        <v>0.48749088911490601</v>
      </c>
      <c r="F1158">
        <v>1</v>
      </c>
      <c r="G1158">
        <v>30.083606327999998</v>
      </c>
      <c r="H1158">
        <v>0.36047871666811598</v>
      </c>
      <c r="I1158">
        <v>1</v>
      </c>
      <c r="J1158">
        <v>0.42983300800000002</v>
      </c>
      <c r="P1158"/>
      <c r="V1158">
        <v>0.82532286501464502</v>
      </c>
      <c r="W1158">
        <v>1</v>
      </c>
      <c r="X1158">
        <v>30146.160407443</v>
      </c>
      <c r="Y1158">
        <v>65804</v>
      </c>
      <c r="Z1158">
        <v>3.5836746332725399E-2</v>
      </c>
      <c r="AA1158">
        <v>50</v>
      </c>
    </row>
    <row r="1159" spans="1:27" x14ac:dyDescent="0.2">
      <c r="A1159">
        <v>40</v>
      </c>
      <c r="B1159">
        <v>1</v>
      </c>
      <c r="C1159">
        <v>0.3</v>
      </c>
      <c r="D1159">
        <v>100</v>
      </c>
      <c r="E1159">
        <v>1.4089655284571401E-2</v>
      </c>
      <c r="F1159">
        <v>1</v>
      </c>
      <c r="G1159">
        <v>36.298157963999998</v>
      </c>
      <c r="H1159">
        <v>1.7975761259422299E-2</v>
      </c>
      <c r="I1159">
        <v>1</v>
      </c>
      <c r="J1159">
        <v>0.33494015300000002</v>
      </c>
      <c r="P1159"/>
      <c r="V1159">
        <v>1.1828353487199799E-2</v>
      </c>
      <c r="W1159">
        <v>1</v>
      </c>
      <c r="X1159">
        <v>31355.334198226999</v>
      </c>
      <c r="Y1159">
        <v>12250</v>
      </c>
      <c r="Z1159">
        <v>1.90209168160391E-2</v>
      </c>
      <c r="AA1159">
        <v>50</v>
      </c>
    </row>
    <row r="1160" spans="1:27" x14ac:dyDescent="0.2">
      <c r="A1160">
        <v>30</v>
      </c>
      <c r="B1160">
        <v>1</v>
      </c>
      <c r="C1160">
        <v>0.1</v>
      </c>
      <c r="D1160">
        <v>100</v>
      </c>
      <c r="E1160">
        <v>0.39993661461839097</v>
      </c>
      <c r="F1160">
        <v>1</v>
      </c>
      <c r="G1160">
        <v>29.976451204</v>
      </c>
      <c r="H1160">
        <v>0.37063525111614698</v>
      </c>
      <c r="I1160">
        <v>1</v>
      </c>
      <c r="J1160">
        <v>0.47174801100000002</v>
      </c>
      <c r="P1160"/>
      <c r="V1160">
        <v>0.36028965929013501</v>
      </c>
      <c r="W1160">
        <v>1</v>
      </c>
      <c r="X1160">
        <v>30110.25844061</v>
      </c>
      <c r="Y1160">
        <v>71737</v>
      </c>
      <c r="Z1160">
        <v>8.8780417830572195E-2</v>
      </c>
      <c r="AA1160">
        <v>50</v>
      </c>
    </row>
    <row r="1161" spans="1:27" x14ac:dyDescent="0.2">
      <c r="A1161">
        <v>40</v>
      </c>
      <c r="B1161">
        <v>1</v>
      </c>
      <c r="C1161">
        <v>0.1</v>
      </c>
      <c r="D1161">
        <v>100</v>
      </c>
      <c r="E1161">
        <v>0.24904586569950701</v>
      </c>
      <c r="F1161">
        <v>1</v>
      </c>
      <c r="G1161">
        <v>30.224756554999999</v>
      </c>
      <c r="H1161">
        <v>0.128809815628872</v>
      </c>
      <c r="I1161">
        <v>1</v>
      </c>
      <c r="J1161">
        <v>1.041213009</v>
      </c>
      <c r="P1161"/>
      <c r="V1161">
        <v>0.110101296268852</v>
      </c>
      <c r="W1161">
        <v>1</v>
      </c>
      <c r="X1161">
        <v>30249.547067660002</v>
      </c>
      <c r="Y1161">
        <v>48422</v>
      </c>
      <c r="Z1161">
        <v>0.24464160466846099</v>
      </c>
      <c r="AA1161">
        <v>50</v>
      </c>
    </row>
    <row r="1162" spans="1:27" x14ac:dyDescent="0.2">
      <c r="A1162">
        <v>30</v>
      </c>
      <c r="B1162">
        <v>1</v>
      </c>
      <c r="C1162">
        <v>0.2</v>
      </c>
      <c r="D1162">
        <v>100</v>
      </c>
      <c r="E1162">
        <v>0.28867147219923001</v>
      </c>
      <c r="F1162">
        <v>1</v>
      </c>
      <c r="G1162">
        <v>25.172171801000001</v>
      </c>
      <c r="H1162">
        <v>5.3757656540668802E-2</v>
      </c>
      <c r="I1162">
        <v>1</v>
      </c>
      <c r="J1162">
        <v>0.29214936699999999</v>
      </c>
      <c r="P1162"/>
      <c r="V1162">
        <v>4.9482386524506899E-2</v>
      </c>
      <c r="W1162">
        <v>1</v>
      </c>
      <c r="X1162">
        <v>30232.384044775001</v>
      </c>
      <c r="Y1162">
        <v>50658</v>
      </c>
      <c r="Z1162">
        <v>6.9980388740074001E-3</v>
      </c>
      <c r="AA1162">
        <v>50</v>
      </c>
    </row>
    <row r="1163" spans="1:27" x14ac:dyDescent="0.2">
      <c r="A1163">
        <v>40</v>
      </c>
      <c r="B1163">
        <v>1</v>
      </c>
      <c r="C1163">
        <v>0.4</v>
      </c>
      <c r="D1163">
        <v>100</v>
      </c>
      <c r="E1163">
        <v>1.0683294006497099E-2</v>
      </c>
      <c r="F1163">
        <v>1</v>
      </c>
      <c r="G1163">
        <v>37.139054686999998</v>
      </c>
      <c r="H1163">
        <v>1.85018145337583E-2</v>
      </c>
      <c r="I1163">
        <v>1</v>
      </c>
      <c r="J1163">
        <v>0.42524743999999998</v>
      </c>
      <c r="P1163"/>
      <c r="V1163">
        <v>1.46202568260566E-2</v>
      </c>
      <c r="W1163">
        <v>1</v>
      </c>
      <c r="X1163">
        <v>31753.228458506001</v>
      </c>
      <c r="Y1163">
        <v>1912</v>
      </c>
      <c r="Z1163">
        <v>5.2493865791373301E-2</v>
      </c>
      <c r="AA1163">
        <v>50</v>
      </c>
    </row>
    <row r="1164" spans="1:27" x14ac:dyDescent="0.2">
      <c r="A1164">
        <v>40</v>
      </c>
      <c r="B1164">
        <v>1</v>
      </c>
      <c r="C1164">
        <v>0.2</v>
      </c>
      <c r="D1164">
        <v>100</v>
      </c>
      <c r="E1164">
        <v>0.21270737219997901</v>
      </c>
      <c r="F1164">
        <v>1</v>
      </c>
      <c r="G1164">
        <v>33.316860480999999</v>
      </c>
      <c r="H1164">
        <v>9.4851782983407407E-2</v>
      </c>
      <c r="I1164">
        <v>1</v>
      </c>
      <c r="J1164">
        <v>0.79203369199999996</v>
      </c>
      <c r="P1164"/>
      <c r="V1164">
        <v>6.99860754100666E-2</v>
      </c>
      <c r="W1164">
        <v>1</v>
      </c>
      <c r="X1164">
        <v>32841.039266888998</v>
      </c>
      <c r="Y1164">
        <v>16130</v>
      </c>
      <c r="Z1164">
        <v>0.38438391761124802</v>
      </c>
      <c r="AA1164">
        <v>50</v>
      </c>
    </row>
    <row r="1165" spans="1:27" x14ac:dyDescent="0.2">
      <c r="A1165">
        <v>40</v>
      </c>
      <c r="B1165">
        <v>1</v>
      </c>
      <c r="C1165">
        <v>0.3</v>
      </c>
      <c r="D1165">
        <v>100</v>
      </c>
      <c r="E1165">
        <v>1.4209969667016001E-2</v>
      </c>
      <c r="F1165">
        <v>1</v>
      </c>
      <c r="G1165">
        <v>33.511348585</v>
      </c>
      <c r="H1165">
        <v>2.32724948579691E-2</v>
      </c>
      <c r="I1165">
        <v>1</v>
      </c>
      <c r="J1165">
        <v>0.336437551</v>
      </c>
      <c r="P1165"/>
      <c r="V1165">
        <v>1.7844787552423701E-2</v>
      </c>
      <c r="W1165">
        <v>1</v>
      </c>
      <c r="X1165">
        <v>33215.323067076002</v>
      </c>
      <c r="Y1165">
        <v>8356</v>
      </c>
      <c r="Z1165">
        <v>7.5927433484028306E-2</v>
      </c>
      <c r="AA1165">
        <v>50</v>
      </c>
    </row>
    <row r="1166" spans="1:27" x14ac:dyDescent="0.2">
      <c r="A1166">
        <v>30</v>
      </c>
      <c r="B1166">
        <v>1</v>
      </c>
      <c r="C1166">
        <v>0.3</v>
      </c>
      <c r="D1166">
        <v>100</v>
      </c>
      <c r="E1166">
        <v>4.4828722409623399E-2</v>
      </c>
      <c r="F1166">
        <v>1</v>
      </c>
      <c r="G1166">
        <v>24.897262499</v>
      </c>
      <c r="H1166">
        <v>2.28893134809088E-2</v>
      </c>
      <c r="I1166">
        <v>1</v>
      </c>
      <c r="J1166">
        <v>0.187058789</v>
      </c>
      <c r="P1166"/>
      <c r="V1166">
        <v>1.71046890198529E-2</v>
      </c>
      <c r="W1166">
        <v>1</v>
      </c>
      <c r="X1166">
        <v>30934.242379035</v>
      </c>
      <c r="Y1166">
        <v>43945</v>
      </c>
      <c r="Z1166">
        <v>1.2760878824447999E-2</v>
      </c>
      <c r="AA1166">
        <v>50</v>
      </c>
    </row>
    <row r="1167" spans="1:27" x14ac:dyDescent="0.2">
      <c r="A1167">
        <v>40</v>
      </c>
      <c r="B1167">
        <v>1</v>
      </c>
      <c r="C1167">
        <v>0.2</v>
      </c>
      <c r="D1167">
        <v>100</v>
      </c>
      <c r="E1167">
        <v>0.28223148233811401</v>
      </c>
      <c r="F1167">
        <v>1</v>
      </c>
      <c r="G1167">
        <v>37.579194964000003</v>
      </c>
      <c r="H1167">
        <v>0.124047921595274</v>
      </c>
      <c r="I1167">
        <v>1</v>
      </c>
      <c r="J1167">
        <v>0.59359588500000005</v>
      </c>
      <c r="P1167"/>
      <c r="V1167">
        <v>0.119750410194108</v>
      </c>
      <c r="W1167">
        <v>1</v>
      </c>
      <c r="X1167">
        <v>32673.600854078999</v>
      </c>
      <c r="Y1167">
        <v>8899</v>
      </c>
      <c r="Z1167">
        <v>0.27213249061242101</v>
      </c>
      <c r="AA1167">
        <v>50</v>
      </c>
    </row>
    <row r="1168" spans="1:27" x14ac:dyDescent="0.2">
      <c r="A1168">
        <v>30</v>
      </c>
      <c r="B1168">
        <v>1</v>
      </c>
      <c r="C1168">
        <v>0.4</v>
      </c>
      <c r="D1168">
        <v>100</v>
      </c>
      <c r="E1168">
        <v>3.6887140213504997E-2</v>
      </c>
      <c r="F1168">
        <v>1</v>
      </c>
      <c r="G1168">
        <v>33.567719584000002</v>
      </c>
      <c r="H1168">
        <v>2.9707540616244501E-2</v>
      </c>
      <c r="I1168">
        <v>1</v>
      </c>
      <c r="J1168">
        <v>0.32269888699999999</v>
      </c>
      <c r="P1168"/>
      <c r="V1168">
        <v>2.42030841022698E-2</v>
      </c>
      <c r="W1168">
        <v>1</v>
      </c>
      <c r="X1168">
        <v>30542.728550700002</v>
      </c>
      <c r="Y1168">
        <v>47683</v>
      </c>
      <c r="Z1168">
        <v>2.1079415033916998E-2</v>
      </c>
      <c r="AA1168">
        <v>50</v>
      </c>
    </row>
    <row r="1169" spans="1:27" x14ac:dyDescent="0.2">
      <c r="A1169">
        <v>30</v>
      </c>
      <c r="B1169">
        <v>1</v>
      </c>
      <c r="C1169">
        <v>0.1</v>
      </c>
      <c r="D1169">
        <v>100</v>
      </c>
      <c r="E1169">
        <v>0.36737488076038399</v>
      </c>
      <c r="F1169">
        <v>1</v>
      </c>
      <c r="G1169">
        <v>26.777060732999999</v>
      </c>
      <c r="H1169">
        <v>0.29181449869265602</v>
      </c>
      <c r="I1169">
        <v>1</v>
      </c>
      <c r="J1169">
        <v>0.21672635100000001</v>
      </c>
      <c r="P1169"/>
      <c r="V1169">
        <v>0.66396834608196698</v>
      </c>
      <c r="W1169">
        <v>1</v>
      </c>
      <c r="X1169">
        <v>30441.773780980999</v>
      </c>
      <c r="Y1169">
        <v>40752</v>
      </c>
      <c r="Z1169">
        <v>3.79876686473846E-2</v>
      </c>
      <c r="AA1169">
        <v>50</v>
      </c>
    </row>
    <row r="1170" spans="1:27" x14ac:dyDescent="0.2">
      <c r="A1170">
        <v>30</v>
      </c>
      <c r="B1170">
        <v>1</v>
      </c>
      <c r="C1170">
        <v>0.4</v>
      </c>
      <c r="D1170">
        <v>100</v>
      </c>
      <c r="E1170">
        <v>1.34565590730232E-2</v>
      </c>
      <c r="F1170">
        <v>1</v>
      </c>
      <c r="G1170">
        <v>38.291851538000003</v>
      </c>
      <c r="H1170">
        <v>2.0399075393671699E-2</v>
      </c>
      <c r="I1170">
        <v>1</v>
      </c>
      <c r="J1170">
        <v>0.247567545</v>
      </c>
      <c r="P1170"/>
      <c r="V1170">
        <v>1.50967578156009E-2</v>
      </c>
      <c r="W1170">
        <v>1</v>
      </c>
      <c r="X1170">
        <v>8859.3523108879999</v>
      </c>
      <c r="Y1170">
        <v>23574</v>
      </c>
      <c r="Z1170">
        <v>8.5954116242141707E-3</v>
      </c>
      <c r="AA1170">
        <v>24</v>
      </c>
    </row>
    <row r="1171" spans="1:27" x14ac:dyDescent="0.2">
      <c r="A1171">
        <v>40</v>
      </c>
      <c r="B1171">
        <v>1</v>
      </c>
      <c r="C1171">
        <v>0.1</v>
      </c>
      <c r="D1171">
        <v>100</v>
      </c>
      <c r="E1171">
        <v>0.23615015383656901</v>
      </c>
      <c r="F1171">
        <v>1</v>
      </c>
      <c r="G1171">
        <v>33.460793105</v>
      </c>
      <c r="H1171">
        <v>0.12626138722053001</v>
      </c>
      <c r="I1171">
        <v>1</v>
      </c>
      <c r="J1171">
        <v>0.81520755899999997</v>
      </c>
      <c r="P1171"/>
      <c r="V1171">
        <v>0.11567436080576</v>
      </c>
      <c r="W1171">
        <v>1</v>
      </c>
      <c r="X1171">
        <v>30293.048075049999</v>
      </c>
      <c r="Y1171">
        <v>38220</v>
      </c>
      <c r="Z1171">
        <v>5.7712866768772797E-2</v>
      </c>
      <c r="AA1171">
        <v>50</v>
      </c>
    </row>
    <row r="1172" spans="1:27" x14ac:dyDescent="0.2">
      <c r="A1172">
        <v>30</v>
      </c>
      <c r="B1172">
        <v>1</v>
      </c>
      <c r="C1172">
        <v>0.1</v>
      </c>
      <c r="D1172">
        <v>100</v>
      </c>
      <c r="E1172">
        <v>0.485179940534957</v>
      </c>
      <c r="F1172">
        <v>1</v>
      </c>
      <c r="G1172">
        <v>30.584715822</v>
      </c>
      <c r="H1172">
        <v>0.43039632979456899</v>
      </c>
      <c r="I1172">
        <v>1</v>
      </c>
      <c r="J1172">
        <v>0.46137411499999997</v>
      </c>
      <c r="P1172"/>
      <c r="V1172">
        <v>1.21141593862952</v>
      </c>
      <c r="W1172">
        <v>1</v>
      </c>
      <c r="X1172">
        <v>30154.429960287001</v>
      </c>
      <c r="Y1172">
        <v>59967</v>
      </c>
      <c r="Z1172">
        <v>4.4213722457237398E-2</v>
      </c>
      <c r="AA1172">
        <v>50</v>
      </c>
    </row>
    <row r="1173" spans="1:27" x14ac:dyDescent="0.2">
      <c r="A1173">
        <v>30</v>
      </c>
      <c r="B1173">
        <v>1</v>
      </c>
      <c r="C1173">
        <v>0.2</v>
      </c>
      <c r="D1173">
        <v>100</v>
      </c>
      <c r="E1173">
        <v>0.19171461214806099</v>
      </c>
      <c r="F1173">
        <v>1</v>
      </c>
      <c r="G1173">
        <v>29.136465504</v>
      </c>
      <c r="H1173">
        <v>6.1959911773770901E-2</v>
      </c>
      <c r="I1173">
        <v>1</v>
      </c>
      <c r="J1173">
        <v>0.489622316</v>
      </c>
      <c r="P1173"/>
      <c r="V1173">
        <v>5.7357626983055403E-2</v>
      </c>
      <c r="W1173">
        <v>1</v>
      </c>
      <c r="X1173">
        <v>30278.106563085999</v>
      </c>
      <c r="Y1173">
        <v>35446</v>
      </c>
      <c r="Z1173">
        <v>7.2711506812794799E-2</v>
      </c>
      <c r="AA1173">
        <v>50</v>
      </c>
    </row>
    <row r="1174" spans="1:27" x14ac:dyDescent="0.2">
      <c r="A1174">
        <v>40</v>
      </c>
      <c r="B1174">
        <v>1</v>
      </c>
      <c r="C1174">
        <v>0.4</v>
      </c>
      <c r="D1174">
        <v>100</v>
      </c>
      <c r="E1174">
        <v>1.2499338356038401E-2</v>
      </c>
      <c r="F1174">
        <v>1</v>
      </c>
      <c r="G1174">
        <v>33.251367074999997</v>
      </c>
      <c r="H1174">
        <v>1.71376091941427E-2</v>
      </c>
      <c r="I1174">
        <v>1</v>
      </c>
      <c r="J1174">
        <v>0.44306820000000002</v>
      </c>
      <c r="P1174"/>
      <c r="V1174">
        <v>1.2022982372878599E-2</v>
      </c>
      <c r="W1174">
        <v>1</v>
      </c>
      <c r="X1174">
        <v>30659.213186536999</v>
      </c>
      <c r="Y1174">
        <v>25242</v>
      </c>
      <c r="Z1174">
        <v>2.60212356832605E-2</v>
      </c>
      <c r="AA1174">
        <v>50</v>
      </c>
    </row>
    <row r="1175" spans="1:27" x14ac:dyDescent="0.2">
      <c r="A1175">
        <v>30</v>
      </c>
      <c r="B1175">
        <v>1</v>
      </c>
      <c r="C1175">
        <v>0.1</v>
      </c>
      <c r="D1175">
        <v>100</v>
      </c>
      <c r="E1175">
        <v>0.29898933433517699</v>
      </c>
      <c r="F1175">
        <v>1</v>
      </c>
      <c r="G1175">
        <v>30.744197171</v>
      </c>
      <c r="H1175">
        <v>0.19101727041637201</v>
      </c>
      <c r="I1175">
        <v>1</v>
      </c>
      <c r="J1175">
        <v>0.497022409</v>
      </c>
      <c r="P1175"/>
      <c r="V1175">
        <v>0.86160602278392395</v>
      </c>
      <c r="W1175">
        <v>1</v>
      </c>
      <c r="X1175">
        <v>30118.190787238</v>
      </c>
      <c r="Y1175">
        <v>74165</v>
      </c>
      <c r="Z1175">
        <v>2.7461795648077401E-2</v>
      </c>
      <c r="AA1175">
        <v>50</v>
      </c>
    </row>
    <row r="1176" spans="1:27" x14ac:dyDescent="0.2">
      <c r="A1176">
        <v>30</v>
      </c>
      <c r="B1176">
        <v>1</v>
      </c>
      <c r="C1176">
        <v>0.2</v>
      </c>
      <c r="D1176">
        <v>100</v>
      </c>
      <c r="E1176">
        <v>9.4771770148135107E-2</v>
      </c>
      <c r="F1176">
        <v>1</v>
      </c>
      <c r="G1176">
        <v>30.679134956999999</v>
      </c>
      <c r="H1176">
        <v>5.1138597309662803E-2</v>
      </c>
      <c r="I1176">
        <v>1</v>
      </c>
      <c r="J1176">
        <v>0.23627109199999999</v>
      </c>
      <c r="P1176"/>
      <c r="V1176">
        <v>4.2305415015447899E-2</v>
      </c>
      <c r="W1176">
        <v>1</v>
      </c>
      <c r="X1176">
        <v>30120.185981863</v>
      </c>
      <c r="Y1176">
        <v>28557</v>
      </c>
      <c r="Z1176">
        <v>3.31135780201227E-2</v>
      </c>
      <c r="AA1176">
        <v>50</v>
      </c>
    </row>
    <row r="1177" spans="1:27" x14ac:dyDescent="0.2">
      <c r="A1177">
        <v>30</v>
      </c>
      <c r="B1177">
        <v>1</v>
      </c>
      <c r="C1177">
        <v>0.3</v>
      </c>
      <c r="D1177">
        <v>100</v>
      </c>
      <c r="E1177">
        <v>6.5970368024084694E-2</v>
      </c>
      <c r="F1177">
        <v>1</v>
      </c>
      <c r="G1177">
        <v>28.913216240000001</v>
      </c>
      <c r="H1177">
        <v>5.68207910977159E-2</v>
      </c>
      <c r="I1177">
        <v>1</v>
      </c>
      <c r="J1177">
        <v>0.325148098</v>
      </c>
      <c r="P1177"/>
      <c r="V1177">
        <v>4.8206585338470602E-2</v>
      </c>
      <c r="W1177">
        <v>1</v>
      </c>
      <c r="X1177">
        <v>30424.356847722</v>
      </c>
      <c r="Y1177">
        <v>48554</v>
      </c>
      <c r="Z1177">
        <v>3.5929924160288999E-2</v>
      </c>
      <c r="AA1177">
        <v>50</v>
      </c>
    </row>
    <row r="1178" spans="1:27" x14ac:dyDescent="0.2">
      <c r="A1178">
        <v>40</v>
      </c>
      <c r="B1178">
        <v>1</v>
      </c>
      <c r="C1178">
        <v>0.2</v>
      </c>
      <c r="D1178">
        <v>100</v>
      </c>
      <c r="E1178">
        <v>1.48244174424509E-2</v>
      </c>
      <c r="F1178">
        <v>1</v>
      </c>
      <c r="G1178">
        <v>32.834442473000003</v>
      </c>
      <c r="H1178">
        <v>1.9955826264044799E-2</v>
      </c>
      <c r="I1178">
        <v>1</v>
      </c>
      <c r="J1178">
        <v>0.32656772099999998</v>
      </c>
      <c r="P1178"/>
      <c r="V1178">
        <v>1.36257933840262E-2</v>
      </c>
      <c r="W1178">
        <v>1</v>
      </c>
      <c r="X1178">
        <v>30861.815227302999</v>
      </c>
      <c r="Y1178">
        <v>7525</v>
      </c>
      <c r="Z1178">
        <v>3.9797198194949597E-2</v>
      </c>
      <c r="AA1178">
        <v>50</v>
      </c>
    </row>
    <row r="1179" spans="1:27" x14ac:dyDescent="0.2">
      <c r="A1179">
        <v>30</v>
      </c>
      <c r="B1179">
        <v>1</v>
      </c>
      <c r="C1179">
        <v>0.3</v>
      </c>
      <c r="D1179">
        <v>100</v>
      </c>
      <c r="E1179">
        <v>0.13103967952309001</v>
      </c>
      <c r="F1179">
        <v>1</v>
      </c>
      <c r="G1179">
        <v>31.398361156</v>
      </c>
      <c r="H1179">
        <v>3.52419763195264E-2</v>
      </c>
      <c r="I1179">
        <v>1</v>
      </c>
      <c r="J1179">
        <v>0.30389232700000002</v>
      </c>
      <c r="P1179"/>
      <c r="V1179">
        <v>2.7775864432418501E-2</v>
      </c>
      <c r="W1179">
        <v>1</v>
      </c>
      <c r="X1179">
        <v>30320.311206311999</v>
      </c>
      <c r="Y1179">
        <v>30907</v>
      </c>
      <c r="Z1179">
        <v>1.6316266768203799E-2</v>
      </c>
      <c r="AA1179">
        <v>50</v>
      </c>
    </row>
    <row r="1180" spans="1:27" x14ac:dyDescent="0.2">
      <c r="A1180">
        <v>30</v>
      </c>
      <c r="B1180">
        <v>1</v>
      </c>
      <c r="C1180">
        <v>0.1</v>
      </c>
      <c r="D1180">
        <v>100</v>
      </c>
      <c r="E1180">
        <v>0.52068186793148696</v>
      </c>
      <c r="F1180">
        <v>1</v>
      </c>
      <c r="G1180">
        <v>30.971374478000001</v>
      </c>
      <c r="H1180">
        <v>0.28078295528985298</v>
      </c>
      <c r="I1180">
        <v>1</v>
      </c>
      <c r="J1180">
        <v>1.0754978639999999</v>
      </c>
      <c r="P1180"/>
      <c r="V1180">
        <v>1.1977283642140899</v>
      </c>
      <c r="W1180">
        <v>1</v>
      </c>
      <c r="X1180">
        <v>30433.042836446999</v>
      </c>
      <c r="Y1180">
        <v>69994</v>
      </c>
      <c r="Z1180">
        <v>3.7176915307816603E-2</v>
      </c>
      <c r="AA1180">
        <v>50</v>
      </c>
    </row>
    <row r="1181" spans="1:27" x14ac:dyDescent="0.2">
      <c r="A1181">
        <v>30</v>
      </c>
      <c r="B1181">
        <v>1</v>
      </c>
      <c r="C1181">
        <v>0.3</v>
      </c>
      <c r="D1181">
        <v>100</v>
      </c>
      <c r="E1181">
        <v>5.8044388215636199E-2</v>
      </c>
      <c r="F1181">
        <v>1</v>
      </c>
      <c r="G1181">
        <v>25.669169417999999</v>
      </c>
      <c r="H1181">
        <v>2.7341765475479399E-2</v>
      </c>
      <c r="I1181">
        <v>1</v>
      </c>
      <c r="J1181">
        <v>0.13748850800000001</v>
      </c>
      <c r="P1181"/>
      <c r="V1181">
        <v>2.3120613453996498E-2</v>
      </c>
      <c r="W1181">
        <v>1</v>
      </c>
      <c r="X1181">
        <v>29809.837543393998</v>
      </c>
      <c r="Y1181">
        <v>107105</v>
      </c>
      <c r="Z1181">
        <v>9.1139434826390496E-3</v>
      </c>
      <c r="AA1181">
        <v>50</v>
      </c>
    </row>
    <row r="1182" spans="1:27" x14ac:dyDescent="0.2">
      <c r="A1182">
        <v>30</v>
      </c>
      <c r="B1182">
        <v>1</v>
      </c>
      <c r="C1182">
        <v>0.1</v>
      </c>
      <c r="D1182">
        <v>100</v>
      </c>
      <c r="E1182">
        <v>0.35235692904912402</v>
      </c>
      <c r="F1182">
        <v>1</v>
      </c>
      <c r="G1182">
        <v>30.256543617999998</v>
      </c>
      <c r="H1182">
        <v>0.20326284101742001</v>
      </c>
      <c r="I1182">
        <v>1</v>
      </c>
      <c r="J1182">
        <v>1.1726229260000001</v>
      </c>
      <c r="P1182"/>
      <c r="V1182">
        <v>0.198358985464716</v>
      </c>
      <c r="W1182">
        <v>1</v>
      </c>
      <c r="X1182">
        <v>30105.751562370999</v>
      </c>
      <c r="Y1182">
        <v>123741</v>
      </c>
      <c r="Z1182">
        <v>6.1789517666452298E-2</v>
      </c>
      <c r="AA1182">
        <v>50</v>
      </c>
    </row>
    <row r="1183" spans="1:27" x14ac:dyDescent="0.2">
      <c r="A1183">
        <v>30</v>
      </c>
      <c r="B1183">
        <v>1</v>
      </c>
      <c r="C1183">
        <v>0.4</v>
      </c>
      <c r="D1183">
        <v>100</v>
      </c>
      <c r="E1183">
        <v>2.2449447057316399E-2</v>
      </c>
      <c r="F1183">
        <v>1</v>
      </c>
      <c r="G1183">
        <v>29.099484632999999</v>
      </c>
      <c r="H1183">
        <v>2.57661678165708E-2</v>
      </c>
      <c r="I1183">
        <v>1</v>
      </c>
      <c r="J1183">
        <v>0.15656724999999999</v>
      </c>
      <c r="P1183"/>
      <c r="V1183">
        <v>2.04109304715092E-2</v>
      </c>
      <c r="W1183">
        <v>1</v>
      </c>
      <c r="X1183">
        <v>30089.539761960001</v>
      </c>
      <c r="Y1183">
        <v>36734</v>
      </c>
      <c r="Z1183">
        <v>1.9991478337678802E-2</v>
      </c>
      <c r="AA1183">
        <v>50</v>
      </c>
    </row>
    <row r="1184" spans="1:27" x14ac:dyDescent="0.2">
      <c r="A1184">
        <v>30</v>
      </c>
      <c r="B1184">
        <v>1</v>
      </c>
      <c r="C1184">
        <v>0.1</v>
      </c>
      <c r="D1184">
        <v>100</v>
      </c>
      <c r="E1184">
        <v>0.59389754894846003</v>
      </c>
      <c r="F1184">
        <v>1</v>
      </c>
      <c r="G1184">
        <v>28.567565198</v>
      </c>
      <c r="H1184">
        <v>0.39875228915065702</v>
      </c>
      <c r="I1184">
        <v>1</v>
      </c>
      <c r="J1184">
        <v>0.65116471799999998</v>
      </c>
      <c r="P1184"/>
      <c r="V1184">
        <v>1.0059350000264999</v>
      </c>
      <c r="W1184">
        <v>1</v>
      </c>
      <c r="X1184">
        <v>30154.911357778001</v>
      </c>
      <c r="Y1184">
        <v>63730</v>
      </c>
      <c r="Z1184">
        <v>2.2015338529249799E-2</v>
      </c>
      <c r="AA1184">
        <v>50</v>
      </c>
    </row>
    <row r="1185" spans="1:27" x14ac:dyDescent="0.2">
      <c r="A1185">
        <v>30</v>
      </c>
      <c r="B1185">
        <v>1</v>
      </c>
      <c r="C1185">
        <v>0.4</v>
      </c>
      <c r="D1185">
        <v>100</v>
      </c>
      <c r="E1185">
        <v>0.100221734381815</v>
      </c>
      <c r="F1185">
        <v>1</v>
      </c>
      <c r="G1185">
        <v>29.893393757999998</v>
      </c>
      <c r="H1185">
        <v>2.8473672891892801E-2</v>
      </c>
      <c r="I1185">
        <v>1</v>
      </c>
      <c r="J1185">
        <v>0.26712277200000001</v>
      </c>
      <c r="P1185"/>
      <c r="V1185">
        <v>2.31154746389606E-2</v>
      </c>
      <c r="W1185">
        <v>1</v>
      </c>
      <c r="X1185">
        <v>30484.563810849999</v>
      </c>
      <c r="Y1185">
        <v>34134</v>
      </c>
      <c r="Z1185">
        <v>4.0972559701569301E-2</v>
      </c>
      <c r="AA1185">
        <v>50</v>
      </c>
    </row>
    <row r="1186" spans="1:27" x14ac:dyDescent="0.2">
      <c r="A1186">
        <v>30</v>
      </c>
      <c r="B1186">
        <v>1</v>
      </c>
      <c r="C1186">
        <v>0.2</v>
      </c>
      <c r="D1186">
        <v>100</v>
      </c>
      <c r="E1186">
        <v>0.23337949803153599</v>
      </c>
      <c r="F1186">
        <v>1</v>
      </c>
      <c r="G1186">
        <v>26.244849241000001</v>
      </c>
      <c r="H1186">
        <v>7.4207186398988906E-2</v>
      </c>
      <c r="I1186">
        <v>1</v>
      </c>
      <c r="J1186">
        <v>0.63512146400000002</v>
      </c>
      <c r="P1186"/>
      <c r="V1186">
        <v>6.6482202412565694E-2</v>
      </c>
      <c r="W1186">
        <v>1</v>
      </c>
      <c r="X1186">
        <v>30103.890467312001</v>
      </c>
      <c r="Y1186">
        <v>42962</v>
      </c>
      <c r="Z1186">
        <v>3.2122341688591398E-2</v>
      </c>
      <c r="AA1186">
        <v>50</v>
      </c>
    </row>
    <row r="1187" spans="1:27" x14ac:dyDescent="0.2">
      <c r="A1187">
        <v>30</v>
      </c>
      <c r="B1187">
        <v>1</v>
      </c>
      <c r="C1187">
        <v>0.1</v>
      </c>
      <c r="D1187">
        <v>100</v>
      </c>
      <c r="E1187">
        <v>0.62933012793329601</v>
      </c>
      <c r="F1187">
        <v>1</v>
      </c>
      <c r="G1187">
        <v>25.431960452999999</v>
      </c>
      <c r="H1187">
        <v>0.627014182068384</v>
      </c>
      <c r="I1187">
        <v>1</v>
      </c>
      <c r="J1187">
        <v>0.33947768499999997</v>
      </c>
      <c r="P1187"/>
      <c r="V1187">
        <v>0.62128619121056305</v>
      </c>
      <c r="W1187">
        <v>1</v>
      </c>
      <c r="X1187">
        <v>30108.042106911002</v>
      </c>
      <c r="Y1187">
        <v>116069</v>
      </c>
      <c r="Z1187">
        <v>3.7730961014635897E-2</v>
      </c>
      <c r="AA1187">
        <v>50</v>
      </c>
    </row>
    <row r="1188" spans="1:27" x14ac:dyDescent="0.2">
      <c r="A1188">
        <v>30</v>
      </c>
      <c r="B1188">
        <v>1</v>
      </c>
      <c r="C1188">
        <v>0.2</v>
      </c>
      <c r="D1188">
        <v>100</v>
      </c>
      <c r="E1188">
        <v>8.9426477407376706E-2</v>
      </c>
      <c r="F1188">
        <v>1</v>
      </c>
      <c r="G1188">
        <v>31.510184729999999</v>
      </c>
      <c r="H1188">
        <v>8.2073166789056295E-2</v>
      </c>
      <c r="I1188">
        <v>1</v>
      </c>
      <c r="J1188">
        <v>0.26408569199999998</v>
      </c>
      <c r="P1188"/>
      <c r="V1188">
        <v>5.59300029515944E-2</v>
      </c>
      <c r="W1188">
        <v>1</v>
      </c>
      <c r="X1188">
        <v>31028.161659092999</v>
      </c>
      <c r="Y1188">
        <v>36828</v>
      </c>
      <c r="Z1188">
        <v>3.0206015961965701E-2</v>
      </c>
      <c r="AA1188">
        <v>50</v>
      </c>
    </row>
    <row r="1189" spans="1:27" x14ac:dyDescent="0.2">
      <c r="A1189">
        <v>30</v>
      </c>
      <c r="B1189">
        <v>1</v>
      </c>
      <c r="C1189">
        <v>0.2</v>
      </c>
      <c r="D1189">
        <v>100</v>
      </c>
      <c r="E1189">
        <v>1.7470804170472799E-2</v>
      </c>
      <c r="F1189">
        <v>1</v>
      </c>
      <c r="G1189">
        <v>30.435314375000001</v>
      </c>
      <c r="H1189">
        <v>2.23775927543533E-2</v>
      </c>
      <c r="I1189">
        <v>1</v>
      </c>
      <c r="J1189">
        <v>0.11747771799999999</v>
      </c>
      <c r="P1189"/>
      <c r="V1189">
        <v>1.9270983150956499E-2</v>
      </c>
      <c r="W1189">
        <v>1</v>
      </c>
      <c r="X1189">
        <v>30740.581543772001</v>
      </c>
      <c r="Y1189">
        <v>74644</v>
      </c>
      <c r="Z1189">
        <v>1.44058099169233E-2</v>
      </c>
      <c r="AA1189">
        <v>50</v>
      </c>
    </row>
    <row r="1190" spans="1:27" x14ac:dyDescent="0.2">
      <c r="A1190">
        <v>40</v>
      </c>
      <c r="B1190">
        <v>1</v>
      </c>
      <c r="C1190">
        <v>0.3</v>
      </c>
      <c r="D1190">
        <v>100</v>
      </c>
      <c r="E1190">
        <v>1.1851846541118099E-2</v>
      </c>
      <c r="F1190">
        <v>1</v>
      </c>
      <c r="G1190">
        <v>42.974037602000003</v>
      </c>
      <c r="H1190">
        <v>1.7560656192399601E-2</v>
      </c>
      <c r="I1190">
        <v>1</v>
      </c>
      <c r="J1190">
        <v>0.54514974299999996</v>
      </c>
      <c r="P1190"/>
      <c r="V1190">
        <v>1.3172206911631099E-2</v>
      </c>
      <c r="W1190">
        <v>1</v>
      </c>
      <c r="X1190">
        <v>31192.121651920999</v>
      </c>
      <c r="Y1190">
        <v>17169</v>
      </c>
      <c r="Z1190">
        <v>1.05267212666704E-2</v>
      </c>
      <c r="AA1190">
        <v>50</v>
      </c>
    </row>
    <row r="1191" spans="1:27" x14ac:dyDescent="0.2">
      <c r="A1191">
        <v>30</v>
      </c>
      <c r="B1191">
        <v>1</v>
      </c>
      <c r="C1191">
        <v>0.2</v>
      </c>
      <c r="D1191">
        <v>100</v>
      </c>
      <c r="E1191">
        <v>0.119265206210494</v>
      </c>
      <c r="F1191">
        <v>1</v>
      </c>
      <c r="G1191">
        <v>31.529646210999999</v>
      </c>
      <c r="H1191">
        <v>3.5378136611012502E-2</v>
      </c>
      <c r="I1191">
        <v>1</v>
      </c>
      <c r="J1191">
        <v>0.341335269</v>
      </c>
      <c r="P1191"/>
      <c r="V1191">
        <v>2.9483769269643099E-2</v>
      </c>
      <c r="W1191">
        <v>1</v>
      </c>
      <c r="X1191">
        <v>30122.883341782999</v>
      </c>
      <c r="Y1191">
        <v>31279</v>
      </c>
      <c r="Z1191">
        <v>1.9823051040540201E-2</v>
      </c>
      <c r="AA1191">
        <v>50</v>
      </c>
    </row>
    <row r="1192" spans="1:27" x14ac:dyDescent="0.2">
      <c r="A1192">
        <v>40</v>
      </c>
      <c r="B1192">
        <v>1</v>
      </c>
      <c r="C1192">
        <v>0.1</v>
      </c>
      <c r="D1192">
        <v>100</v>
      </c>
      <c r="E1192">
        <v>0.49078451098380999</v>
      </c>
      <c r="F1192">
        <v>1</v>
      </c>
      <c r="G1192">
        <v>30.219897001</v>
      </c>
      <c r="H1192">
        <v>0.429144064505249</v>
      </c>
      <c r="I1192">
        <v>1</v>
      </c>
      <c r="J1192">
        <v>1.025753347</v>
      </c>
      <c r="P1192"/>
      <c r="V1192">
        <v>0.42617099747346698</v>
      </c>
      <c r="W1192">
        <v>1</v>
      </c>
      <c r="X1192">
        <v>30243.587350229001</v>
      </c>
      <c r="Y1192">
        <v>40498</v>
      </c>
      <c r="Z1192">
        <v>0.111170962907005</v>
      </c>
      <c r="AA1192">
        <v>50</v>
      </c>
    </row>
    <row r="1193" spans="1:27" x14ac:dyDescent="0.2">
      <c r="A1193">
        <v>40</v>
      </c>
      <c r="B1193">
        <v>1</v>
      </c>
      <c r="C1193">
        <v>0.1</v>
      </c>
      <c r="D1193">
        <v>100</v>
      </c>
      <c r="E1193">
        <v>0.487938161981193</v>
      </c>
      <c r="F1193">
        <v>1</v>
      </c>
      <c r="G1193">
        <v>30.80329386</v>
      </c>
      <c r="H1193">
        <v>0.42768309845279201</v>
      </c>
      <c r="I1193">
        <v>1</v>
      </c>
      <c r="J1193">
        <v>1.466915964</v>
      </c>
      <c r="P1193"/>
      <c r="V1193">
        <v>0.42637484835328299</v>
      </c>
      <c r="W1193">
        <v>1</v>
      </c>
      <c r="X1193">
        <v>30251.091005226001</v>
      </c>
      <c r="Y1193">
        <v>36805</v>
      </c>
      <c r="Z1193">
        <v>0.111875266339672</v>
      </c>
      <c r="AA1193">
        <v>50</v>
      </c>
    </row>
    <row r="1194" spans="1:27" x14ac:dyDescent="0.2">
      <c r="A1194">
        <v>40</v>
      </c>
      <c r="B1194">
        <v>1</v>
      </c>
      <c r="C1194">
        <v>0.1</v>
      </c>
      <c r="D1194">
        <v>100</v>
      </c>
      <c r="E1194">
        <v>0.43808499030418901</v>
      </c>
      <c r="F1194">
        <v>1</v>
      </c>
      <c r="G1194">
        <v>40.433092817000002</v>
      </c>
      <c r="H1194">
        <v>0.26347397176012499</v>
      </c>
      <c r="I1194">
        <v>1</v>
      </c>
      <c r="J1194">
        <v>1.3917260410000001</v>
      </c>
      <c r="P1194"/>
      <c r="V1194">
        <v>0.25874598749810401</v>
      </c>
      <c r="W1194">
        <v>1</v>
      </c>
      <c r="X1194">
        <v>30411.886788535001</v>
      </c>
      <c r="Y1194">
        <v>25975</v>
      </c>
      <c r="Z1194">
        <v>0.124857123474752</v>
      </c>
      <c r="AA1194">
        <v>50</v>
      </c>
    </row>
    <row r="1195" spans="1:27" x14ac:dyDescent="0.2">
      <c r="A1195">
        <v>40</v>
      </c>
      <c r="B1195">
        <v>1</v>
      </c>
      <c r="C1195">
        <v>0.1</v>
      </c>
      <c r="D1195">
        <v>100</v>
      </c>
      <c r="E1195">
        <v>0.15900685902734699</v>
      </c>
      <c r="F1195">
        <v>1</v>
      </c>
      <c r="G1195">
        <v>23.794704934999999</v>
      </c>
      <c r="H1195">
        <v>6.7846906025432405E-2</v>
      </c>
      <c r="I1195">
        <v>1</v>
      </c>
      <c r="J1195">
        <v>0.66614125999999996</v>
      </c>
      <c r="P1195"/>
      <c r="V1195">
        <v>6.2445296926153901E-2</v>
      </c>
      <c r="W1195">
        <v>1</v>
      </c>
      <c r="X1195">
        <v>30228.071644549</v>
      </c>
      <c r="Y1195">
        <v>65847</v>
      </c>
      <c r="Z1195">
        <v>9.7317126896299497E-2</v>
      </c>
      <c r="AA1195">
        <v>50</v>
      </c>
    </row>
    <row r="1196" spans="1:27" x14ac:dyDescent="0.2">
      <c r="A1196">
        <v>40</v>
      </c>
      <c r="B1196">
        <v>1</v>
      </c>
      <c r="C1196">
        <v>0.1</v>
      </c>
      <c r="D1196">
        <v>100</v>
      </c>
      <c r="E1196">
        <v>0.27361856244099902</v>
      </c>
      <c r="F1196">
        <v>1</v>
      </c>
      <c r="G1196">
        <v>30.682058646000002</v>
      </c>
      <c r="H1196">
        <v>0.18083134339347701</v>
      </c>
      <c r="I1196">
        <v>1</v>
      </c>
      <c r="J1196">
        <v>1.1272422</v>
      </c>
      <c r="P1196"/>
      <c r="V1196">
        <v>0.170931228065798</v>
      </c>
      <c r="W1196">
        <v>1</v>
      </c>
      <c r="X1196">
        <v>30256.220479233001</v>
      </c>
      <c r="Y1196">
        <v>36614</v>
      </c>
      <c r="Z1196">
        <v>9.9376382576043004E-2</v>
      </c>
      <c r="AA1196">
        <v>50</v>
      </c>
    </row>
    <row r="1197" spans="1:27" x14ac:dyDescent="0.2">
      <c r="A1197">
        <v>40</v>
      </c>
      <c r="B1197">
        <v>1</v>
      </c>
      <c r="C1197">
        <v>0.1</v>
      </c>
      <c r="D1197">
        <v>100</v>
      </c>
      <c r="E1197">
        <v>0.45354320154581501</v>
      </c>
      <c r="F1197">
        <v>1</v>
      </c>
      <c r="G1197">
        <v>30.001579831000001</v>
      </c>
      <c r="H1197">
        <v>0.33548457381087499</v>
      </c>
      <c r="I1197">
        <v>1</v>
      </c>
      <c r="J1197">
        <v>0.71866723399999999</v>
      </c>
      <c r="P1197"/>
      <c r="V1197">
        <v>0.32954028541189501</v>
      </c>
      <c r="W1197">
        <v>1</v>
      </c>
      <c r="X1197">
        <v>30263.824988232998</v>
      </c>
      <c r="Y1197">
        <v>25216</v>
      </c>
      <c r="Z1197">
        <v>7.1369864576684205E-2</v>
      </c>
      <c r="AA1197">
        <v>50</v>
      </c>
    </row>
    <row r="1198" spans="1:27" x14ac:dyDescent="0.2">
      <c r="A1198">
        <v>40</v>
      </c>
      <c r="B1198">
        <v>1</v>
      </c>
      <c r="C1198">
        <v>0.1</v>
      </c>
      <c r="D1198">
        <v>100</v>
      </c>
      <c r="E1198">
        <v>0.36248144889788603</v>
      </c>
      <c r="F1198">
        <v>1</v>
      </c>
      <c r="G1198">
        <v>32.238850735</v>
      </c>
      <c r="H1198">
        <v>0.32719774667860901</v>
      </c>
      <c r="I1198">
        <v>1</v>
      </c>
      <c r="J1198">
        <v>1.073909454</v>
      </c>
      <c r="P1198"/>
      <c r="V1198">
        <v>0.32517549214827501</v>
      </c>
      <c r="W1198">
        <v>1</v>
      </c>
      <c r="X1198">
        <v>30262.557366966001</v>
      </c>
      <c r="Y1198">
        <v>32360</v>
      </c>
      <c r="Z1198">
        <v>0.122340736274083</v>
      </c>
      <c r="AA1198">
        <v>50</v>
      </c>
    </row>
    <row r="1199" spans="1:27" x14ac:dyDescent="0.2">
      <c r="A1199">
        <v>40</v>
      </c>
      <c r="B1199">
        <v>1</v>
      </c>
      <c r="C1199">
        <v>0.4</v>
      </c>
      <c r="D1199">
        <v>100</v>
      </c>
      <c r="E1199">
        <v>1.24593281272714E-2</v>
      </c>
      <c r="F1199">
        <v>1</v>
      </c>
      <c r="G1199">
        <v>40.377424458999997</v>
      </c>
      <c r="H1199">
        <v>1.9414244778810302E-2</v>
      </c>
      <c r="I1199">
        <v>1</v>
      </c>
      <c r="J1199">
        <v>0.60215331400000005</v>
      </c>
      <c r="P1199"/>
      <c r="V1199">
        <v>1.44588773935082E-2</v>
      </c>
      <c r="W1199">
        <v>1</v>
      </c>
      <c r="X1199">
        <v>32119.466664894</v>
      </c>
      <c r="Y1199">
        <v>7172</v>
      </c>
      <c r="Z1199">
        <v>5.7791824783696301E-2</v>
      </c>
      <c r="AA1199">
        <v>50</v>
      </c>
    </row>
    <row r="1200" spans="1:27" x14ac:dyDescent="0.2">
      <c r="A1200">
        <v>40</v>
      </c>
      <c r="B1200">
        <v>1</v>
      </c>
      <c r="C1200">
        <v>0.1</v>
      </c>
      <c r="D1200">
        <v>100</v>
      </c>
      <c r="E1200">
        <v>0.24029816289982001</v>
      </c>
      <c r="F1200">
        <v>1</v>
      </c>
      <c r="G1200">
        <v>31.963540301999998</v>
      </c>
      <c r="H1200">
        <v>0.185455357588585</v>
      </c>
      <c r="I1200">
        <v>1</v>
      </c>
      <c r="J1200">
        <v>0.69884623099999998</v>
      </c>
      <c r="P1200"/>
      <c r="V1200">
        <v>0.14460875429933401</v>
      </c>
      <c r="W1200">
        <v>1</v>
      </c>
      <c r="X1200">
        <v>30299.187172174999</v>
      </c>
      <c r="Y1200">
        <v>34472</v>
      </c>
      <c r="Z1200">
        <v>6.19161020448315E-2</v>
      </c>
      <c r="AA1200">
        <v>50</v>
      </c>
    </row>
    <row r="1201" spans="1:27" x14ac:dyDescent="0.2">
      <c r="A1201">
        <v>40</v>
      </c>
      <c r="B1201">
        <v>1</v>
      </c>
      <c r="C1201">
        <v>0.2</v>
      </c>
      <c r="D1201">
        <v>100</v>
      </c>
      <c r="E1201">
        <v>0.1237353379467</v>
      </c>
      <c r="F1201">
        <v>1</v>
      </c>
      <c r="G1201">
        <v>31.443958192</v>
      </c>
      <c r="H1201">
        <v>6.3731402821750799E-2</v>
      </c>
      <c r="I1201">
        <v>1</v>
      </c>
      <c r="J1201">
        <v>0.424362674</v>
      </c>
      <c r="P1201"/>
      <c r="V1201">
        <v>5.3574009768910399E-2</v>
      </c>
      <c r="W1201">
        <v>1</v>
      </c>
      <c r="X1201">
        <v>30568.117385463</v>
      </c>
      <c r="Y1201">
        <v>25128</v>
      </c>
      <c r="Z1201">
        <v>2.0098556801969099E-2</v>
      </c>
      <c r="AA1201">
        <v>50</v>
      </c>
    </row>
    <row r="1202" spans="1:27" x14ac:dyDescent="0.2">
      <c r="A1202">
        <v>40</v>
      </c>
      <c r="B1202">
        <v>1</v>
      </c>
      <c r="C1202">
        <v>0.3</v>
      </c>
      <c r="D1202">
        <v>100</v>
      </c>
      <c r="E1202">
        <v>1.5583124339289101E-2</v>
      </c>
      <c r="F1202">
        <v>1</v>
      </c>
      <c r="G1202">
        <v>29.994966941000001</v>
      </c>
      <c r="H1202">
        <v>1.9402844450902901E-2</v>
      </c>
      <c r="I1202">
        <v>1</v>
      </c>
      <c r="J1202">
        <v>0.26790931800000001</v>
      </c>
      <c r="P1202"/>
      <c r="V1202">
        <v>1.3485671503858E-2</v>
      </c>
      <c r="W1202">
        <v>1</v>
      </c>
      <c r="X1202">
        <v>30873.845138134999</v>
      </c>
      <c r="Y1202">
        <v>8819</v>
      </c>
      <c r="Z1202">
        <v>2.2814283257620801E-2</v>
      </c>
      <c r="AA1202">
        <v>50</v>
      </c>
    </row>
    <row r="1203" spans="1:27" x14ac:dyDescent="0.2">
      <c r="A1203">
        <v>40</v>
      </c>
      <c r="B1203">
        <v>1</v>
      </c>
      <c r="C1203">
        <v>0.2</v>
      </c>
      <c r="D1203">
        <v>100</v>
      </c>
      <c r="E1203">
        <v>2.2402170042973801E-2</v>
      </c>
      <c r="F1203">
        <v>1</v>
      </c>
      <c r="G1203">
        <v>30.083075315999999</v>
      </c>
      <c r="H1203">
        <v>2.4099597504656001E-2</v>
      </c>
      <c r="I1203">
        <v>1</v>
      </c>
      <c r="J1203">
        <v>0.17054412599999999</v>
      </c>
      <c r="P1203"/>
      <c r="V1203">
        <v>1.8862563347069001E-2</v>
      </c>
      <c r="W1203">
        <v>1</v>
      </c>
      <c r="X1203">
        <v>31472.967771693999</v>
      </c>
      <c r="Y1203">
        <v>9428</v>
      </c>
      <c r="Z1203">
        <v>4.9482548406019497E-2</v>
      </c>
      <c r="AA1203">
        <v>50</v>
      </c>
    </row>
    <row r="1204" spans="1:27" x14ac:dyDescent="0.2">
      <c r="A1204">
        <v>40</v>
      </c>
      <c r="B1204">
        <v>1</v>
      </c>
      <c r="C1204">
        <v>0.1</v>
      </c>
      <c r="D1204">
        <v>100</v>
      </c>
      <c r="E1204">
        <v>0.449089610069491</v>
      </c>
      <c r="F1204">
        <v>1</v>
      </c>
      <c r="G1204">
        <v>39.236077487000003</v>
      </c>
      <c r="H1204">
        <v>0.28621939167037502</v>
      </c>
      <c r="I1204">
        <v>1</v>
      </c>
      <c r="J1204">
        <v>2.5565860300000001</v>
      </c>
      <c r="P1204"/>
      <c r="V1204">
        <v>0.279999636615824</v>
      </c>
      <c r="W1204">
        <v>1</v>
      </c>
      <c r="X1204">
        <v>30712.049137287999</v>
      </c>
      <c r="Y1204">
        <v>25832</v>
      </c>
      <c r="Z1204">
        <v>0.185895611520627</v>
      </c>
      <c r="AA1204">
        <v>50</v>
      </c>
    </row>
    <row r="1205" spans="1:27" x14ac:dyDescent="0.2">
      <c r="A1205">
        <v>40</v>
      </c>
      <c r="B1205">
        <v>1</v>
      </c>
      <c r="C1205">
        <v>0.3</v>
      </c>
      <c r="D1205">
        <v>100</v>
      </c>
      <c r="E1205">
        <v>1.16447454365474E-2</v>
      </c>
      <c r="F1205">
        <v>1</v>
      </c>
      <c r="G1205">
        <v>34.033397215999997</v>
      </c>
      <c r="H1205">
        <v>1.70190158332598E-2</v>
      </c>
      <c r="I1205">
        <v>1</v>
      </c>
      <c r="J1205">
        <v>0.15566461500000001</v>
      </c>
      <c r="P1205"/>
      <c r="V1205">
        <v>1.27690011194665E-2</v>
      </c>
      <c r="W1205">
        <v>1</v>
      </c>
      <c r="X1205">
        <v>31465.325017701001</v>
      </c>
      <c r="Y1205">
        <v>8799</v>
      </c>
      <c r="Z1205">
        <v>1.40068666884407E-2</v>
      </c>
      <c r="AA1205">
        <v>50</v>
      </c>
    </row>
    <row r="1206" spans="1:27" x14ac:dyDescent="0.2">
      <c r="A1206">
        <v>40</v>
      </c>
      <c r="B1206">
        <v>1</v>
      </c>
      <c r="C1206">
        <v>0.1</v>
      </c>
      <c r="D1206">
        <v>100</v>
      </c>
      <c r="E1206">
        <v>0.322669485967162</v>
      </c>
      <c r="F1206">
        <v>1</v>
      </c>
      <c r="G1206">
        <v>35.083284851999998</v>
      </c>
      <c r="H1206">
        <v>0.166770766198406</v>
      </c>
      <c r="I1206">
        <v>1</v>
      </c>
      <c r="J1206">
        <v>1.0160836499999999</v>
      </c>
      <c r="P1206"/>
      <c r="V1206">
        <v>1.2390165550896799</v>
      </c>
      <c r="W1206">
        <v>1</v>
      </c>
      <c r="X1206">
        <v>30280.591446621002</v>
      </c>
      <c r="Y1206">
        <v>56765</v>
      </c>
      <c r="Z1206">
        <v>0.187572832241059</v>
      </c>
      <c r="AA1206">
        <v>50</v>
      </c>
    </row>
    <row r="1207" spans="1:27" x14ac:dyDescent="0.2">
      <c r="A1207">
        <v>40</v>
      </c>
      <c r="B1207">
        <v>1</v>
      </c>
      <c r="C1207">
        <v>0.2</v>
      </c>
      <c r="D1207">
        <v>100</v>
      </c>
      <c r="E1207">
        <v>0.12873203150636101</v>
      </c>
      <c r="F1207">
        <v>1</v>
      </c>
      <c r="G1207">
        <v>31.048494230999999</v>
      </c>
      <c r="H1207">
        <v>5.3235393299589699E-2</v>
      </c>
      <c r="I1207">
        <v>1</v>
      </c>
      <c r="J1207">
        <v>0.43160049</v>
      </c>
      <c r="P1207"/>
      <c r="V1207">
        <v>4.1332498868159102E-2</v>
      </c>
      <c r="W1207">
        <v>1</v>
      </c>
      <c r="X1207">
        <v>30868.614314348</v>
      </c>
      <c r="Y1207">
        <v>4820</v>
      </c>
      <c r="Z1207">
        <v>0.15054667995021301</v>
      </c>
      <c r="AA1207">
        <v>50</v>
      </c>
    </row>
    <row r="1208" spans="1:27" x14ac:dyDescent="0.2">
      <c r="A1208">
        <v>40</v>
      </c>
      <c r="B1208">
        <v>1</v>
      </c>
      <c r="C1208">
        <v>0.3</v>
      </c>
      <c r="D1208">
        <v>100</v>
      </c>
      <c r="E1208">
        <v>5.1091508078283498E-2</v>
      </c>
      <c r="F1208">
        <v>1</v>
      </c>
      <c r="G1208">
        <v>33.394134653999998</v>
      </c>
      <c r="H1208">
        <v>3.7466844055902303E-2</v>
      </c>
      <c r="I1208">
        <v>1</v>
      </c>
      <c r="J1208">
        <v>0.40103206200000002</v>
      </c>
      <c r="P1208"/>
      <c r="V1208">
        <v>2.9868359079801E-2</v>
      </c>
      <c r="W1208">
        <v>1</v>
      </c>
      <c r="X1208">
        <v>30875.133140950998</v>
      </c>
      <c r="Y1208">
        <v>982</v>
      </c>
      <c r="Z1208">
        <v>0.10573706220085401</v>
      </c>
      <c r="AA1208">
        <v>50</v>
      </c>
    </row>
    <row r="1209" spans="1:27" x14ac:dyDescent="0.2">
      <c r="A1209">
        <v>40</v>
      </c>
      <c r="B1209">
        <v>1</v>
      </c>
      <c r="C1209">
        <v>0.1</v>
      </c>
      <c r="D1209">
        <v>100</v>
      </c>
      <c r="E1209">
        <v>0.43123684315644301</v>
      </c>
      <c r="F1209">
        <v>1</v>
      </c>
      <c r="G1209">
        <v>30.936347527999999</v>
      </c>
      <c r="H1209">
        <v>0.213591332618078</v>
      </c>
      <c r="I1209">
        <v>1</v>
      </c>
      <c r="J1209">
        <v>1.432311951</v>
      </c>
      <c r="P1209"/>
      <c r="V1209">
        <v>0.19986571132162501</v>
      </c>
      <c r="W1209">
        <v>1</v>
      </c>
      <c r="X1209">
        <v>30241.190054654999</v>
      </c>
      <c r="Y1209">
        <v>26593</v>
      </c>
      <c r="Z1209">
        <v>5.2929219722241197E-2</v>
      </c>
      <c r="AA1209">
        <v>50</v>
      </c>
    </row>
    <row r="1210" spans="1:27" x14ac:dyDescent="0.2">
      <c r="A1210">
        <v>40</v>
      </c>
      <c r="B1210">
        <v>1</v>
      </c>
      <c r="C1210">
        <v>0.1</v>
      </c>
      <c r="D1210">
        <v>100</v>
      </c>
      <c r="E1210">
        <v>0.40215154906072997</v>
      </c>
      <c r="F1210">
        <v>1</v>
      </c>
      <c r="G1210">
        <v>32.138208147999997</v>
      </c>
      <c r="H1210">
        <v>0.228150769445045</v>
      </c>
      <c r="I1210">
        <v>1</v>
      </c>
      <c r="J1210">
        <v>1.215301322</v>
      </c>
      <c r="P1210"/>
      <c r="V1210">
        <v>0.186579500642198</v>
      </c>
      <c r="W1210">
        <v>1</v>
      </c>
      <c r="X1210">
        <v>30271.837478963</v>
      </c>
      <c r="Y1210">
        <v>29542</v>
      </c>
      <c r="Z1210">
        <v>9.7208313641576505E-2</v>
      </c>
      <c r="AA1210">
        <v>50</v>
      </c>
    </row>
    <row r="1211" spans="1:27" x14ac:dyDescent="0.2">
      <c r="A1211">
        <v>40</v>
      </c>
      <c r="B1211">
        <v>1</v>
      </c>
      <c r="C1211">
        <v>0.3</v>
      </c>
      <c r="D1211">
        <v>100</v>
      </c>
      <c r="E1211">
        <v>1.29383483276786E-2</v>
      </c>
      <c r="F1211">
        <v>1</v>
      </c>
      <c r="G1211">
        <v>33.529625473000003</v>
      </c>
      <c r="H1211">
        <v>1.9583345100080501E-2</v>
      </c>
      <c r="I1211">
        <v>1</v>
      </c>
      <c r="J1211">
        <v>0.42760622599999998</v>
      </c>
      <c r="P1211"/>
      <c r="V1211">
        <v>1.4319422046728E-2</v>
      </c>
      <c r="W1211">
        <v>1</v>
      </c>
      <c r="X1211">
        <v>31831.202703453</v>
      </c>
      <c r="Y1211">
        <v>11867</v>
      </c>
      <c r="Z1211">
        <v>5.7954796414214999E-2</v>
      </c>
      <c r="AA1211">
        <v>50</v>
      </c>
    </row>
    <row r="1212" spans="1:27" x14ac:dyDescent="0.2">
      <c r="A1212">
        <v>40</v>
      </c>
      <c r="B1212">
        <v>1</v>
      </c>
      <c r="C1212">
        <v>0.2</v>
      </c>
      <c r="D1212">
        <v>100</v>
      </c>
      <c r="E1212">
        <v>8.2300081477570494E-2</v>
      </c>
      <c r="F1212">
        <v>1</v>
      </c>
      <c r="G1212">
        <v>23.826061671000001</v>
      </c>
      <c r="H1212">
        <v>3.3009877510870901E-2</v>
      </c>
      <c r="I1212">
        <v>1</v>
      </c>
      <c r="J1212">
        <v>0.46347405000000003</v>
      </c>
      <c r="P1212"/>
      <c r="V1212">
        <v>2.7083845152293898E-2</v>
      </c>
      <c r="W1212">
        <v>1</v>
      </c>
      <c r="X1212">
        <v>32027.966460169999</v>
      </c>
      <c r="Y1212">
        <v>9062</v>
      </c>
      <c r="Z1212">
        <v>0.19034091309336601</v>
      </c>
      <c r="AA1212">
        <v>50</v>
      </c>
    </row>
    <row r="1213" spans="1:27" x14ac:dyDescent="0.2">
      <c r="A1213">
        <v>40</v>
      </c>
      <c r="B1213">
        <v>1</v>
      </c>
      <c r="C1213">
        <v>0.3</v>
      </c>
      <c r="D1213">
        <v>100</v>
      </c>
      <c r="E1213">
        <v>0.111883852888593</v>
      </c>
      <c r="F1213">
        <v>1</v>
      </c>
      <c r="G1213">
        <v>31.406994069</v>
      </c>
      <c r="H1213">
        <v>3.4995199499464398E-2</v>
      </c>
      <c r="I1213">
        <v>1</v>
      </c>
      <c r="J1213">
        <v>0.34893892799999998</v>
      </c>
      <c r="P1213"/>
      <c r="V1213">
        <v>3.0294995361801101E-2</v>
      </c>
      <c r="W1213">
        <v>1</v>
      </c>
      <c r="X1213">
        <v>31342.195934625001</v>
      </c>
      <c r="Y1213">
        <v>2170</v>
      </c>
      <c r="Z1213">
        <v>2.18355592268481E-2</v>
      </c>
      <c r="AA1213">
        <v>50</v>
      </c>
    </row>
    <row r="1214" spans="1:27" x14ac:dyDescent="0.2">
      <c r="A1214">
        <v>40</v>
      </c>
      <c r="B1214">
        <v>1</v>
      </c>
      <c r="C1214">
        <v>0.1</v>
      </c>
      <c r="D1214">
        <v>100</v>
      </c>
      <c r="E1214">
        <v>0.57323254181373895</v>
      </c>
      <c r="F1214">
        <v>1</v>
      </c>
      <c r="G1214">
        <v>34.354770401000003</v>
      </c>
      <c r="H1214">
        <v>0.34760332259607901</v>
      </c>
      <c r="I1214">
        <v>1</v>
      </c>
      <c r="J1214">
        <v>1.464187838</v>
      </c>
      <c r="P1214"/>
      <c r="V1214">
        <v>0.33597424837466799</v>
      </c>
      <c r="W1214">
        <v>1</v>
      </c>
      <c r="X1214">
        <v>30252.014912693001</v>
      </c>
      <c r="Y1214">
        <v>38889</v>
      </c>
      <c r="Z1214">
        <v>0.113572603826723</v>
      </c>
      <c r="AA1214">
        <v>50</v>
      </c>
    </row>
    <row r="1215" spans="1:27" x14ac:dyDescent="0.2">
      <c r="A1215">
        <v>40</v>
      </c>
      <c r="B1215">
        <v>1</v>
      </c>
      <c r="C1215">
        <v>0.2</v>
      </c>
      <c r="D1215">
        <v>100</v>
      </c>
      <c r="E1215">
        <v>0.15992983423201401</v>
      </c>
      <c r="F1215">
        <v>1</v>
      </c>
      <c r="G1215">
        <v>33.856049614</v>
      </c>
      <c r="H1215">
        <v>8.2866303447050899E-2</v>
      </c>
      <c r="I1215">
        <v>1</v>
      </c>
      <c r="J1215">
        <v>0.58999345400000003</v>
      </c>
      <c r="P1215"/>
      <c r="V1215">
        <v>6.9351393154592697E-2</v>
      </c>
      <c r="W1215">
        <v>1</v>
      </c>
      <c r="X1215">
        <v>30838.945353992</v>
      </c>
      <c r="Y1215">
        <v>11190</v>
      </c>
      <c r="Z1215">
        <v>0.11549983021348</v>
      </c>
      <c r="AA1215">
        <v>50</v>
      </c>
    </row>
    <row r="1216" spans="1:27" x14ac:dyDescent="0.2">
      <c r="A1216">
        <v>40</v>
      </c>
      <c r="B1216">
        <v>1</v>
      </c>
      <c r="C1216">
        <v>0.1</v>
      </c>
      <c r="D1216">
        <v>100</v>
      </c>
      <c r="E1216">
        <v>0.40570127580996501</v>
      </c>
      <c r="F1216">
        <v>1</v>
      </c>
      <c r="G1216">
        <v>43.425832460000002</v>
      </c>
      <c r="H1216">
        <v>0.25523208171808998</v>
      </c>
      <c r="I1216">
        <v>1</v>
      </c>
      <c r="J1216">
        <v>1.2668081069999999</v>
      </c>
      <c r="P1216"/>
      <c r="V1216">
        <v>0.24655806254683901</v>
      </c>
      <c r="W1216">
        <v>1</v>
      </c>
      <c r="X1216">
        <v>30815.776778005002</v>
      </c>
      <c r="Y1216">
        <v>23337</v>
      </c>
      <c r="Z1216">
        <v>0.13923473004761699</v>
      </c>
      <c r="AA1216">
        <v>50</v>
      </c>
    </row>
    <row r="1217" spans="1:27" x14ac:dyDescent="0.2">
      <c r="A1217">
        <v>40</v>
      </c>
      <c r="B1217">
        <v>1</v>
      </c>
      <c r="C1217">
        <v>0.1</v>
      </c>
      <c r="D1217">
        <v>100</v>
      </c>
      <c r="E1217">
        <v>0.40066522493365098</v>
      </c>
      <c r="F1217">
        <v>1</v>
      </c>
      <c r="G1217">
        <v>36.422854700000002</v>
      </c>
      <c r="H1217">
        <v>0.27069881328610801</v>
      </c>
      <c r="I1217">
        <v>1</v>
      </c>
      <c r="J1217">
        <v>1.791265103</v>
      </c>
      <c r="P1217"/>
      <c r="V1217">
        <v>0.26303054204207299</v>
      </c>
      <c r="W1217">
        <v>1</v>
      </c>
      <c r="X1217">
        <v>30300.604136049002</v>
      </c>
      <c r="Y1217">
        <v>27308</v>
      </c>
      <c r="Z1217">
        <v>0.13148655599738801</v>
      </c>
      <c r="AA1217">
        <v>50</v>
      </c>
    </row>
    <row r="1218" spans="1:27" x14ac:dyDescent="0.2">
      <c r="A1218">
        <v>40</v>
      </c>
      <c r="B1218">
        <v>1</v>
      </c>
      <c r="C1218">
        <v>0.2</v>
      </c>
      <c r="D1218">
        <v>100</v>
      </c>
      <c r="E1218">
        <v>0.120727918300327</v>
      </c>
      <c r="F1218">
        <v>1</v>
      </c>
      <c r="G1218">
        <v>31.148547943000001</v>
      </c>
      <c r="H1218">
        <v>4.84852167495246E-2</v>
      </c>
      <c r="I1218">
        <v>1</v>
      </c>
      <c r="J1218">
        <v>0.71885299000000003</v>
      </c>
      <c r="P1218"/>
      <c r="V1218">
        <v>4.1041080555329297E-2</v>
      </c>
      <c r="W1218">
        <v>1</v>
      </c>
      <c r="X1218">
        <v>32393.290245756001</v>
      </c>
      <c r="Y1218">
        <v>14755</v>
      </c>
      <c r="Z1218">
        <v>0.17376051930585501</v>
      </c>
      <c r="AA1218">
        <v>50</v>
      </c>
    </row>
    <row r="1219" spans="1:27" x14ac:dyDescent="0.2">
      <c r="A1219">
        <v>40</v>
      </c>
      <c r="B1219">
        <v>1</v>
      </c>
      <c r="C1219">
        <v>0.2</v>
      </c>
      <c r="D1219">
        <v>100</v>
      </c>
      <c r="E1219">
        <v>9.6840632489512801E-2</v>
      </c>
      <c r="F1219">
        <v>1</v>
      </c>
      <c r="G1219">
        <v>33.964329841000001</v>
      </c>
      <c r="H1219">
        <v>3.1236985806826299E-2</v>
      </c>
      <c r="I1219">
        <v>1</v>
      </c>
      <c r="J1219">
        <v>0.39727273099999999</v>
      </c>
      <c r="P1219"/>
      <c r="V1219">
        <v>2.79652145067554E-2</v>
      </c>
      <c r="W1219">
        <v>1</v>
      </c>
      <c r="X1219">
        <v>31560.145749415002</v>
      </c>
      <c r="Y1219">
        <v>6538</v>
      </c>
      <c r="Z1219">
        <v>4.7742046631448397E-2</v>
      </c>
      <c r="AA1219">
        <v>50</v>
      </c>
    </row>
    <row r="1220" spans="1:27" x14ac:dyDescent="0.2">
      <c r="A1220">
        <v>40</v>
      </c>
      <c r="B1220">
        <v>1</v>
      </c>
      <c r="C1220">
        <v>0.2</v>
      </c>
      <c r="D1220">
        <v>100</v>
      </c>
      <c r="E1220">
        <v>5.5868332142204102E-2</v>
      </c>
      <c r="F1220">
        <v>1</v>
      </c>
      <c r="G1220">
        <v>32.232735159999997</v>
      </c>
      <c r="H1220">
        <v>3.5450528766106902E-2</v>
      </c>
      <c r="I1220">
        <v>1</v>
      </c>
      <c r="J1220">
        <v>0.333068898</v>
      </c>
      <c r="P1220"/>
      <c r="V1220">
        <v>3.1236769667318701E-2</v>
      </c>
      <c r="W1220">
        <v>1</v>
      </c>
      <c r="X1220">
        <v>31031.540272937</v>
      </c>
      <c r="Y1220">
        <v>13428</v>
      </c>
      <c r="Z1220">
        <v>3.3819709079197402E-2</v>
      </c>
      <c r="AA1220">
        <v>50</v>
      </c>
    </row>
    <row r="1221" spans="1:27" x14ac:dyDescent="0.2">
      <c r="A1221">
        <v>40</v>
      </c>
      <c r="B1221">
        <v>1</v>
      </c>
      <c r="C1221">
        <v>0.3</v>
      </c>
      <c r="D1221">
        <v>100</v>
      </c>
      <c r="E1221">
        <v>1.21112654749207E-2</v>
      </c>
      <c r="F1221">
        <v>1</v>
      </c>
      <c r="G1221">
        <v>34.002002281000003</v>
      </c>
      <c r="H1221">
        <v>1.7624179350910998E-2</v>
      </c>
      <c r="I1221">
        <v>1</v>
      </c>
      <c r="J1221">
        <v>0.15715427600000001</v>
      </c>
      <c r="P1221"/>
      <c r="V1221">
        <v>1.3025612985293601E-2</v>
      </c>
      <c r="W1221">
        <v>1</v>
      </c>
      <c r="X1221">
        <v>30768.951945649998</v>
      </c>
      <c r="Y1221">
        <v>15271</v>
      </c>
      <c r="Z1221">
        <v>1.4721706706588501E-2</v>
      </c>
      <c r="AA1221">
        <v>50</v>
      </c>
    </row>
    <row r="1222" spans="1:27" x14ac:dyDescent="0.2">
      <c r="A1222">
        <v>40</v>
      </c>
      <c r="B1222">
        <v>1</v>
      </c>
      <c r="C1222">
        <v>0.4</v>
      </c>
      <c r="D1222">
        <v>100</v>
      </c>
      <c r="E1222">
        <v>1.30043663867995E-2</v>
      </c>
      <c r="F1222">
        <v>1</v>
      </c>
      <c r="G1222">
        <v>30.726142429999999</v>
      </c>
      <c r="H1222">
        <v>1.9464775805061701E-2</v>
      </c>
      <c r="I1222">
        <v>1</v>
      </c>
      <c r="J1222">
        <v>0.375277517</v>
      </c>
      <c r="P1222"/>
      <c r="V1222">
        <v>1.44241968466143E-2</v>
      </c>
      <c r="W1222">
        <v>1</v>
      </c>
      <c r="X1222">
        <v>30024.31627218</v>
      </c>
      <c r="Y1222">
        <v>23645</v>
      </c>
      <c r="Z1222">
        <v>2.9651309603633699E-2</v>
      </c>
      <c r="AA1222">
        <v>50</v>
      </c>
    </row>
    <row r="1223" spans="1:27" x14ac:dyDescent="0.2">
      <c r="A1223">
        <v>40</v>
      </c>
      <c r="B1223">
        <v>1</v>
      </c>
      <c r="C1223">
        <v>0.2</v>
      </c>
      <c r="D1223">
        <v>100</v>
      </c>
      <c r="E1223">
        <v>0.25488767386341499</v>
      </c>
      <c r="F1223">
        <v>1</v>
      </c>
      <c r="G1223">
        <v>32.669516907000002</v>
      </c>
      <c r="H1223">
        <v>5.93148602736411E-2</v>
      </c>
      <c r="I1223">
        <v>1</v>
      </c>
      <c r="J1223">
        <v>0.79004975499999996</v>
      </c>
      <c r="P1223"/>
      <c r="V1223">
        <v>5.1941119017900897E-2</v>
      </c>
      <c r="W1223">
        <v>1</v>
      </c>
      <c r="X1223">
        <v>30864.562100627001</v>
      </c>
      <c r="Y1223">
        <v>4693</v>
      </c>
      <c r="Z1223">
        <v>0.33071555992131502</v>
      </c>
      <c r="AA1223">
        <v>50</v>
      </c>
    </row>
    <row r="1224" spans="1:27" x14ac:dyDescent="0.2">
      <c r="A1224">
        <v>40</v>
      </c>
      <c r="B1224">
        <v>1</v>
      </c>
      <c r="C1224">
        <v>0.3</v>
      </c>
      <c r="D1224">
        <v>100</v>
      </c>
      <c r="E1224">
        <v>1.3088801746108601E-2</v>
      </c>
      <c r="F1224">
        <v>1</v>
      </c>
      <c r="G1224">
        <v>32.232411069999998</v>
      </c>
      <c r="H1224">
        <v>1.8938357553813099E-2</v>
      </c>
      <c r="I1224">
        <v>1</v>
      </c>
      <c r="J1224">
        <v>0.336429109</v>
      </c>
      <c r="P1224"/>
      <c r="V1224">
        <v>1.36190933736595E-2</v>
      </c>
      <c r="W1224">
        <v>1</v>
      </c>
      <c r="X1224">
        <v>31998.957636743999</v>
      </c>
      <c r="Y1224">
        <v>10844</v>
      </c>
      <c r="Z1224">
        <v>4.0980114346230903E-2</v>
      </c>
      <c r="AA1224">
        <v>50</v>
      </c>
    </row>
    <row r="1225" spans="1:27" x14ac:dyDescent="0.2">
      <c r="A1225">
        <v>40</v>
      </c>
      <c r="B1225">
        <v>1</v>
      </c>
      <c r="C1225">
        <v>0.2</v>
      </c>
      <c r="D1225">
        <v>100</v>
      </c>
      <c r="E1225">
        <v>0.249994576252241</v>
      </c>
      <c r="F1225">
        <v>1</v>
      </c>
      <c r="G1225">
        <v>36.383030728000001</v>
      </c>
      <c r="H1225">
        <v>5.5012810400140999E-2</v>
      </c>
      <c r="I1225">
        <v>1</v>
      </c>
      <c r="J1225">
        <v>0.67876820800000004</v>
      </c>
      <c r="P1225"/>
      <c r="V1225">
        <v>5.15202538091869E-2</v>
      </c>
      <c r="W1225">
        <v>1</v>
      </c>
      <c r="X1225">
        <v>31403.640534508999</v>
      </c>
      <c r="Y1225">
        <v>15655</v>
      </c>
      <c r="Z1225">
        <v>9.6642741435656404E-2</v>
      </c>
      <c r="AA1225">
        <v>50</v>
      </c>
    </row>
    <row r="1226" spans="1:27" x14ac:dyDescent="0.2">
      <c r="A1226">
        <v>40</v>
      </c>
      <c r="B1226">
        <v>1</v>
      </c>
      <c r="C1226">
        <v>0.3</v>
      </c>
      <c r="D1226">
        <v>100</v>
      </c>
      <c r="E1226">
        <v>1.39151319540015E-2</v>
      </c>
      <c r="F1226">
        <v>1</v>
      </c>
      <c r="G1226">
        <v>33.826583919000001</v>
      </c>
      <c r="H1226">
        <v>1.8441411066669799E-2</v>
      </c>
      <c r="I1226">
        <v>1</v>
      </c>
      <c r="J1226">
        <v>0.57304799900000003</v>
      </c>
      <c r="P1226"/>
      <c r="V1226">
        <v>1.24824160132091E-2</v>
      </c>
      <c r="W1226">
        <v>1</v>
      </c>
      <c r="X1226">
        <v>31236.925490938</v>
      </c>
      <c r="Y1226">
        <v>19243</v>
      </c>
      <c r="Z1226">
        <v>2.3813536678360499E-2</v>
      </c>
      <c r="AA1226">
        <v>50</v>
      </c>
    </row>
    <row r="1227" spans="1:27" x14ac:dyDescent="0.2">
      <c r="A1227">
        <v>40</v>
      </c>
      <c r="B1227">
        <v>1</v>
      </c>
      <c r="C1227">
        <v>0.1</v>
      </c>
      <c r="D1227">
        <v>100</v>
      </c>
      <c r="E1227">
        <v>0.34000536008166199</v>
      </c>
      <c r="F1227">
        <v>1</v>
      </c>
      <c r="G1227">
        <v>31.961095284999999</v>
      </c>
      <c r="H1227">
        <v>0.31216849288210002</v>
      </c>
      <c r="I1227">
        <v>1</v>
      </c>
      <c r="J1227">
        <v>0.68296142400000004</v>
      </c>
      <c r="P1227"/>
      <c r="V1227">
        <v>1.00963714300076</v>
      </c>
      <c r="W1227">
        <v>1</v>
      </c>
      <c r="X1227">
        <v>30629.741125864999</v>
      </c>
      <c r="Y1227">
        <v>40523</v>
      </c>
      <c r="Z1227">
        <v>0.101176867322621</v>
      </c>
      <c r="AA1227">
        <v>50</v>
      </c>
    </row>
    <row r="1228" spans="1:27" x14ac:dyDescent="0.2">
      <c r="A1228">
        <v>40</v>
      </c>
      <c r="B1228">
        <v>1</v>
      </c>
      <c r="C1228">
        <v>0.2</v>
      </c>
      <c r="D1228">
        <v>100</v>
      </c>
      <c r="E1228">
        <v>1.4469073747104599E-2</v>
      </c>
      <c r="F1228">
        <v>1</v>
      </c>
      <c r="G1228">
        <v>31.737773759</v>
      </c>
      <c r="H1228">
        <v>2.35844464507553E-2</v>
      </c>
      <c r="I1228">
        <v>1</v>
      </c>
      <c r="J1228">
        <v>0.53614178300000004</v>
      </c>
      <c r="P1228"/>
      <c r="V1228">
        <v>1.8441246006898698E-2</v>
      </c>
      <c r="W1228">
        <v>1</v>
      </c>
      <c r="X1228">
        <v>30882.984601003001</v>
      </c>
      <c r="Y1228">
        <v>7571</v>
      </c>
      <c r="Z1228">
        <v>3.2198576575451998E-2</v>
      </c>
      <c r="AA1228">
        <v>50</v>
      </c>
    </row>
    <row r="1229" spans="1:27" x14ac:dyDescent="0.2">
      <c r="A1229">
        <v>40</v>
      </c>
      <c r="B1229">
        <v>1</v>
      </c>
      <c r="C1229">
        <v>0.3</v>
      </c>
      <c r="D1229">
        <v>100</v>
      </c>
      <c r="E1229">
        <v>1.52025546763336E-2</v>
      </c>
      <c r="F1229">
        <v>1</v>
      </c>
      <c r="G1229">
        <v>30.667443071000001</v>
      </c>
      <c r="H1229">
        <v>2.12541414506047E-2</v>
      </c>
      <c r="I1229">
        <v>1</v>
      </c>
      <c r="J1229">
        <v>0.30152639399999998</v>
      </c>
      <c r="P1229"/>
      <c r="V1229">
        <v>1.49951950766212E-2</v>
      </c>
      <c r="W1229">
        <v>1</v>
      </c>
      <c r="X1229">
        <v>32135.330818386999</v>
      </c>
      <c r="Y1229">
        <v>16607</v>
      </c>
      <c r="Z1229">
        <v>4.0236120446446297E-2</v>
      </c>
      <c r="AA1229">
        <v>50</v>
      </c>
    </row>
    <row r="1230" spans="1:27" x14ac:dyDescent="0.2">
      <c r="A1230">
        <v>30</v>
      </c>
      <c r="B1230">
        <v>1</v>
      </c>
      <c r="C1230">
        <v>0.3</v>
      </c>
      <c r="D1230">
        <v>100</v>
      </c>
      <c r="E1230">
        <v>1.48734102470774E-2</v>
      </c>
      <c r="F1230">
        <v>1</v>
      </c>
      <c r="G1230">
        <v>26.762382562999999</v>
      </c>
      <c r="H1230">
        <v>2.0776039192158001E-2</v>
      </c>
      <c r="I1230">
        <v>1</v>
      </c>
      <c r="J1230">
        <v>0.14706176900000001</v>
      </c>
      <c r="P1230"/>
      <c r="V1230">
        <v>1.50744629512666E-2</v>
      </c>
      <c r="W1230">
        <v>1</v>
      </c>
      <c r="X1230">
        <v>27727.174496878</v>
      </c>
      <c r="Y1230">
        <v>84882</v>
      </c>
      <c r="Z1230">
        <v>9.7548800917861504E-3</v>
      </c>
      <c r="AA1230">
        <v>47</v>
      </c>
    </row>
    <row r="1231" spans="1:27" x14ac:dyDescent="0.2">
      <c r="A1231">
        <v>40</v>
      </c>
      <c r="B1231">
        <v>1</v>
      </c>
      <c r="C1231">
        <v>0.3</v>
      </c>
      <c r="D1231">
        <v>100</v>
      </c>
      <c r="E1231">
        <v>3.06643980194207E-2</v>
      </c>
      <c r="F1231">
        <v>1</v>
      </c>
      <c r="G1231">
        <v>31.970600458</v>
      </c>
      <c r="H1231">
        <v>2.3941746441667699E-2</v>
      </c>
      <c r="I1231">
        <v>1</v>
      </c>
      <c r="J1231">
        <v>0.40060712900000001</v>
      </c>
      <c r="P1231"/>
      <c r="V1231">
        <v>1.9268122909799099E-2</v>
      </c>
      <c r="W1231">
        <v>1</v>
      </c>
      <c r="X1231">
        <v>32476.321167402999</v>
      </c>
      <c r="Y1231">
        <v>12076</v>
      </c>
      <c r="Z1231">
        <v>4.1866299617369297E-2</v>
      </c>
      <c r="AA1231">
        <v>50</v>
      </c>
    </row>
    <row r="1232" spans="1:27" x14ac:dyDescent="0.2">
      <c r="A1232">
        <v>30</v>
      </c>
      <c r="B1232">
        <v>1</v>
      </c>
      <c r="C1232">
        <v>0.2</v>
      </c>
      <c r="D1232">
        <v>100</v>
      </c>
      <c r="E1232">
        <v>0.16769588341641201</v>
      </c>
      <c r="F1232">
        <v>1</v>
      </c>
      <c r="G1232">
        <v>30.517661018999998</v>
      </c>
      <c r="H1232">
        <v>0.124220058599592</v>
      </c>
      <c r="I1232">
        <v>1</v>
      </c>
      <c r="J1232">
        <v>0.31152714199999998</v>
      </c>
      <c r="P1232"/>
      <c r="V1232">
        <v>8.9030434662879798E-2</v>
      </c>
      <c r="W1232">
        <v>1</v>
      </c>
      <c r="X1232">
        <v>30066.337352070001</v>
      </c>
      <c r="Y1232">
        <v>96595</v>
      </c>
      <c r="Z1232">
        <v>5.9179492260041898E-3</v>
      </c>
      <c r="AA1232">
        <v>50</v>
      </c>
    </row>
    <row r="1233" spans="1:27" x14ac:dyDescent="0.2">
      <c r="A1233">
        <v>30</v>
      </c>
      <c r="B1233">
        <v>1</v>
      </c>
      <c r="C1233">
        <v>0.1</v>
      </c>
      <c r="D1233">
        <v>100</v>
      </c>
      <c r="E1233">
        <v>0.67485948154928099</v>
      </c>
      <c r="F1233">
        <v>1</v>
      </c>
      <c r="G1233">
        <v>29.963055959999998</v>
      </c>
      <c r="H1233">
        <v>0.57248060052055805</v>
      </c>
      <c r="I1233">
        <v>1</v>
      </c>
      <c r="J1233">
        <v>0.759158</v>
      </c>
      <c r="P1233"/>
      <c r="V1233">
        <v>0.75312553295998697</v>
      </c>
      <c r="W1233">
        <v>1</v>
      </c>
      <c r="X1233">
        <v>30114.487670138999</v>
      </c>
      <c r="Y1233">
        <v>81703</v>
      </c>
      <c r="Z1233">
        <v>6.8893399415103597E-3</v>
      </c>
      <c r="AA1233">
        <v>50</v>
      </c>
    </row>
    <row r="1234" spans="1:27" x14ac:dyDescent="0.2">
      <c r="A1234">
        <v>30</v>
      </c>
      <c r="B1234">
        <v>1</v>
      </c>
      <c r="C1234">
        <v>0.1</v>
      </c>
      <c r="D1234">
        <v>100</v>
      </c>
      <c r="E1234">
        <v>0.48210684047016999</v>
      </c>
      <c r="F1234">
        <v>1</v>
      </c>
      <c r="G1234">
        <v>35.875989982</v>
      </c>
      <c r="H1234">
        <v>0.44492800004125499</v>
      </c>
      <c r="I1234">
        <v>1</v>
      </c>
      <c r="J1234">
        <v>0.54121576199999999</v>
      </c>
      <c r="P1234"/>
      <c r="V1234">
        <v>0.98766506597847004</v>
      </c>
      <c r="W1234">
        <v>1</v>
      </c>
      <c r="X1234">
        <v>30161.522982408002</v>
      </c>
      <c r="Y1234">
        <v>80634</v>
      </c>
      <c r="Z1234">
        <v>2.27149282250943E-2</v>
      </c>
      <c r="AA1234">
        <v>50</v>
      </c>
    </row>
    <row r="1235" spans="1:27" x14ac:dyDescent="0.2">
      <c r="A1235">
        <v>30</v>
      </c>
      <c r="B1235">
        <v>1</v>
      </c>
      <c r="C1235">
        <v>0.1</v>
      </c>
      <c r="D1235">
        <v>100</v>
      </c>
      <c r="E1235">
        <v>0.37405500980857898</v>
      </c>
      <c r="F1235">
        <v>1</v>
      </c>
      <c r="G1235">
        <v>32.863462587000001</v>
      </c>
      <c r="H1235">
        <v>0.28015729925403399</v>
      </c>
      <c r="I1235">
        <v>1</v>
      </c>
      <c r="J1235">
        <v>0.65141316400000004</v>
      </c>
      <c r="P1235"/>
      <c r="V1235">
        <v>1.1793692669940099</v>
      </c>
      <c r="W1235">
        <v>1</v>
      </c>
      <c r="X1235">
        <v>30436.573870912001</v>
      </c>
      <c r="Y1235">
        <v>73012</v>
      </c>
      <c r="Z1235">
        <v>5.8902537123655202E-2</v>
      </c>
      <c r="AA1235">
        <v>50</v>
      </c>
    </row>
    <row r="1236" spans="1:27" x14ac:dyDescent="0.2">
      <c r="A1236">
        <v>30</v>
      </c>
      <c r="B1236">
        <v>1</v>
      </c>
      <c r="C1236">
        <v>0.3</v>
      </c>
      <c r="D1236">
        <v>100</v>
      </c>
      <c r="E1236">
        <v>0.123927648767859</v>
      </c>
      <c r="F1236">
        <v>1</v>
      </c>
      <c r="G1236">
        <v>35.718208075</v>
      </c>
      <c r="H1236">
        <v>5.2203073164177501E-2</v>
      </c>
      <c r="I1236">
        <v>1</v>
      </c>
      <c r="J1236">
        <v>0.32484099700000002</v>
      </c>
      <c r="P1236"/>
      <c r="V1236">
        <v>3.8699378246467998E-2</v>
      </c>
      <c r="W1236">
        <v>1</v>
      </c>
      <c r="X1236">
        <v>30135.945730201001</v>
      </c>
      <c r="Y1236">
        <v>28045</v>
      </c>
      <c r="Z1236">
        <v>1.7622129137604099E-2</v>
      </c>
      <c r="AA1236">
        <v>50</v>
      </c>
    </row>
    <row r="1237" spans="1:27" x14ac:dyDescent="0.2">
      <c r="A1237">
        <v>30</v>
      </c>
      <c r="B1237">
        <v>1</v>
      </c>
      <c r="C1237">
        <v>0.2</v>
      </c>
      <c r="D1237">
        <v>100</v>
      </c>
      <c r="E1237">
        <v>0.14962948678129401</v>
      </c>
      <c r="F1237">
        <v>1</v>
      </c>
      <c r="G1237">
        <v>29.501219906999999</v>
      </c>
      <c r="H1237">
        <v>3.9938720262920203E-2</v>
      </c>
      <c r="I1237">
        <v>1</v>
      </c>
      <c r="J1237">
        <v>0.299788112</v>
      </c>
      <c r="P1237"/>
      <c r="V1237">
        <v>3.4995024037975199E-2</v>
      </c>
      <c r="W1237">
        <v>1</v>
      </c>
      <c r="X1237">
        <v>30513.591022028999</v>
      </c>
      <c r="Y1237">
        <v>45111</v>
      </c>
      <c r="Z1237">
        <v>1.2927839057980801E-2</v>
      </c>
      <c r="AA1237">
        <v>50</v>
      </c>
    </row>
    <row r="1238" spans="1:27" x14ac:dyDescent="0.2">
      <c r="A1238">
        <v>30</v>
      </c>
      <c r="B1238">
        <v>1</v>
      </c>
      <c r="C1238">
        <v>0.1</v>
      </c>
      <c r="D1238">
        <v>100</v>
      </c>
      <c r="E1238">
        <v>0.32467039145131799</v>
      </c>
      <c r="F1238">
        <v>1</v>
      </c>
      <c r="G1238">
        <v>28.880699229000001</v>
      </c>
      <c r="H1238">
        <v>0.15464626255595201</v>
      </c>
      <c r="I1238">
        <v>1</v>
      </c>
      <c r="J1238">
        <v>0.42513210499999998</v>
      </c>
      <c r="P1238"/>
      <c r="V1238">
        <v>0.14786756941263099</v>
      </c>
      <c r="W1238">
        <v>1</v>
      </c>
      <c r="X1238">
        <v>30110.356565927999</v>
      </c>
      <c r="Y1238">
        <v>76798</v>
      </c>
      <c r="Z1238">
        <v>1.2596633111313E-2</v>
      </c>
      <c r="AA1238">
        <v>50</v>
      </c>
    </row>
    <row r="1239" spans="1:27" x14ac:dyDescent="0.2">
      <c r="A1239">
        <v>30</v>
      </c>
      <c r="B1239">
        <v>1</v>
      </c>
      <c r="C1239">
        <v>0.2</v>
      </c>
      <c r="D1239">
        <v>100</v>
      </c>
      <c r="E1239">
        <v>0.24668418857323901</v>
      </c>
      <c r="F1239">
        <v>1</v>
      </c>
      <c r="G1239">
        <v>37.744334031999998</v>
      </c>
      <c r="H1239">
        <v>0.126877460671803</v>
      </c>
      <c r="I1239">
        <v>1</v>
      </c>
      <c r="J1239">
        <v>0.46036061</v>
      </c>
      <c r="P1239"/>
      <c r="V1239">
        <v>0.123191805926127</v>
      </c>
      <c r="W1239">
        <v>1</v>
      </c>
      <c r="X1239">
        <v>30134.006445925999</v>
      </c>
      <c r="Y1239">
        <v>30481</v>
      </c>
      <c r="Z1239">
        <v>4.1880245311032703E-2</v>
      </c>
      <c r="AA1239">
        <v>50</v>
      </c>
    </row>
    <row r="1240" spans="1:27" x14ac:dyDescent="0.2">
      <c r="A1240">
        <v>30</v>
      </c>
      <c r="B1240">
        <v>1</v>
      </c>
      <c r="C1240">
        <v>0.1</v>
      </c>
      <c r="D1240">
        <v>100</v>
      </c>
      <c r="E1240">
        <v>0.48988062973153002</v>
      </c>
      <c r="F1240">
        <v>1</v>
      </c>
      <c r="G1240">
        <v>33.999558032000003</v>
      </c>
      <c r="H1240">
        <v>0.307662722164951</v>
      </c>
      <c r="I1240">
        <v>1</v>
      </c>
      <c r="J1240">
        <v>0.44121781999999998</v>
      </c>
      <c r="P1240"/>
      <c r="V1240">
        <v>0.84189080621831203</v>
      </c>
      <c r="W1240">
        <v>1</v>
      </c>
      <c r="X1240">
        <v>30440.682943275999</v>
      </c>
      <c r="Y1240">
        <v>86415</v>
      </c>
      <c r="Z1240">
        <v>7.8724750316842396E-2</v>
      </c>
      <c r="AA1240">
        <v>50</v>
      </c>
    </row>
    <row r="1241" spans="1:27" x14ac:dyDescent="0.2">
      <c r="A1241">
        <v>30</v>
      </c>
      <c r="B1241">
        <v>1</v>
      </c>
      <c r="C1241">
        <v>0.2</v>
      </c>
      <c r="D1241">
        <v>100</v>
      </c>
      <c r="E1241">
        <v>0.21419137253565401</v>
      </c>
      <c r="F1241">
        <v>1</v>
      </c>
      <c r="G1241">
        <v>36.47711271</v>
      </c>
      <c r="H1241">
        <v>0.13081333294735101</v>
      </c>
      <c r="I1241">
        <v>1</v>
      </c>
      <c r="J1241">
        <v>0.60271462799999997</v>
      </c>
      <c r="P1241"/>
      <c r="V1241">
        <v>0.130080146863291</v>
      </c>
      <c r="W1241">
        <v>1</v>
      </c>
      <c r="X1241">
        <v>30439.591941776001</v>
      </c>
      <c r="Y1241">
        <v>52032</v>
      </c>
      <c r="Z1241">
        <v>4.3409362688279201E-3</v>
      </c>
      <c r="AA1241">
        <v>50</v>
      </c>
    </row>
    <row r="1242" spans="1:27" x14ac:dyDescent="0.2">
      <c r="A1242">
        <v>30</v>
      </c>
      <c r="B1242">
        <v>1</v>
      </c>
      <c r="C1242">
        <v>0.1</v>
      </c>
      <c r="D1242">
        <v>100</v>
      </c>
      <c r="E1242">
        <v>0.33578503316768399</v>
      </c>
      <c r="F1242">
        <v>1</v>
      </c>
      <c r="G1242">
        <v>33.605717685000002</v>
      </c>
      <c r="H1242">
        <v>0.31162885224911202</v>
      </c>
      <c r="I1242">
        <v>1</v>
      </c>
      <c r="J1242">
        <v>0.51237182999999997</v>
      </c>
      <c r="P1242"/>
      <c r="V1242">
        <v>0.30882615518186601</v>
      </c>
      <c r="W1242">
        <v>1</v>
      </c>
      <c r="X1242">
        <v>30120.063565748998</v>
      </c>
      <c r="Y1242">
        <v>71919</v>
      </c>
      <c r="Z1242">
        <v>3.9234825919250003E-2</v>
      </c>
      <c r="AA1242">
        <v>50</v>
      </c>
    </row>
    <row r="1243" spans="1:27" x14ac:dyDescent="0.2">
      <c r="A1243">
        <v>30</v>
      </c>
      <c r="B1243">
        <v>1</v>
      </c>
      <c r="C1243">
        <v>0.2</v>
      </c>
      <c r="D1243">
        <v>100</v>
      </c>
      <c r="E1243">
        <v>6.8834636840393107E-2</v>
      </c>
      <c r="F1243">
        <v>1</v>
      </c>
      <c r="G1243">
        <v>29.470528696999999</v>
      </c>
      <c r="H1243">
        <v>3.94965937782496E-2</v>
      </c>
      <c r="I1243">
        <v>1</v>
      </c>
      <c r="J1243">
        <v>0.33952534600000001</v>
      </c>
      <c r="P1243"/>
      <c r="V1243">
        <v>3.4961465705237602E-2</v>
      </c>
      <c r="W1243">
        <v>1</v>
      </c>
      <c r="X1243">
        <v>30131.842896533999</v>
      </c>
      <c r="Y1243">
        <v>37620</v>
      </c>
      <c r="Z1243">
        <v>1.8007718612970399E-2</v>
      </c>
      <c r="AA1243">
        <v>50</v>
      </c>
    </row>
    <row r="1244" spans="1:27" x14ac:dyDescent="0.2">
      <c r="A1244">
        <v>40</v>
      </c>
      <c r="B1244">
        <v>1</v>
      </c>
      <c r="C1244">
        <v>0.1</v>
      </c>
      <c r="D1244">
        <v>100</v>
      </c>
      <c r="E1244">
        <v>0.330103542944093</v>
      </c>
      <c r="F1244">
        <v>1</v>
      </c>
      <c r="G1244">
        <v>36.613765031</v>
      </c>
      <c r="H1244">
        <v>0.23916221456133599</v>
      </c>
      <c r="I1244">
        <v>1</v>
      </c>
      <c r="J1244">
        <v>1.780578612</v>
      </c>
      <c r="P1244"/>
      <c r="V1244">
        <v>0.23779537751216201</v>
      </c>
      <c r="W1244">
        <v>1</v>
      </c>
      <c r="X1244">
        <v>30328.285206673001</v>
      </c>
      <c r="Y1244">
        <v>31733</v>
      </c>
      <c r="Z1244">
        <v>6.8949430041509205E-2</v>
      </c>
      <c r="AA1244">
        <v>50</v>
      </c>
    </row>
    <row r="1245" spans="1:27" x14ac:dyDescent="0.2">
      <c r="A1245">
        <v>30</v>
      </c>
      <c r="B1245">
        <v>1</v>
      </c>
      <c r="C1245">
        <v>0.3</v>
      </c>
      <c r="D1245">
        <v>100</v>
      </c>
      <c r="E1245">
        <v>0.16115470746836399</v>
      </c>
      <c r="F1245">
        <v>1</v>
      </c>
      <c r="G1245">
        <v>39.384909055000001</v>
      </c>
      <c r="H1245">
        <v>4.44766180315323E-2</v>
      </c>
      <c r="I1245">
        <v>1</v>
      </c>
      <c r="J1245">
        <v>0.410343291</v>
      </c>
      <c r="P1245"/>
      <c r="V1245">
        <v>3.9658222834114701E-2</v>
      </c>
      <c r="W1245">
        <v>1</v>
      </c>
      <c r="X1245">
        <v>30770.075929829</v>
      </c>
      <c r="Y1245">
        <v>27088</v>
      </c>
      <c r="Z1245">
        <v>1.6339855759340799E-2</v>
      </c>
      <c r="AA1245">
        <v>50</v>
      </c>
    </row>
    <row r="1246" spans="1:27" x14ac:dyDescent="0.2">
      <c r="A1246">
        <v>30</v>
      </c>
      <c r="B1246">
        <v>1</v>
      </c>
      <c r="C1246">
        <v>0.4</v>
      </c>
      <c r="D1246">
        <v>100</v>
      </c>
      <c r="E1246">
        <v>4.3130285530490198E-2</v>
      </c>
      <c r="F1246">
        <v>1</v>
      </c>
      <c r="G1246">
        <v>25.9637712</v>
      </c>
      <c r="H1246">
        <v>3.1274584047993E-2</v>
      </c>
      <c r="I1246">
        <v>1</v>
      </c>
      <c r="J1246">
        <v>0.25478740300000002</v>
      </c>
      <c r="P1246"/>
      <c r="V1246">
        <v>2.4802746630414499E-2</v>
      </c>
      <c r="W1246">
        <v>1</v>
      </c>
      <c r="X1246">
        <v>30666.760999915001</v>
      </c>
      <c r="Y1246">
        <v>78361</v>
      </c>
      <c r="Z1246">
        <v>2.6326654906883899E-2</v>
      </c>
      <c r="AA1246">
        <v>50</v>
      </c>
    </row>
    <row r="1247" spans="1:27" x14ac:dyDescent="0.2">
      <c r="A1247">
        <v>30</v>
      </c>
      <c r="B1247">
        <v>1</v>
      </c>
      <c r="C1247">
        <v>0.1</v>
      </c>
      <c r="D1247">
        <v>100</v>
      </c>
      <c r="E1247">
        <v>0.36122006115585598</v>
      </c>
      <c r="F1247">
        <v>1</v>
      </c>
      <c r="G1247">
        <v>27.744556228</v>
      </c>
      <c r="H1247">
        <v>0.37835532566046498</v>
      </c>
      <c r="I1247">
        <v>1</v>
      </c>
      <c r="J1247">
        <v>0.63330038799999999</v>
      </c>
      <c r="P1247"/>
      <c r="V1247">
        <v>0.84130060563255904</v>
      </c>
      <c r="W1247">
        <v>1</v>
      </c>
      <c r="X1247">
        <v>30420.067296353001</v>
      </c>
      <c r="Y1247">
        <v>63653</v>
      </c>
      <c r="Z1247">
        <v>4.8088455421010701E-2</v>
      </c>
      <c r="AA1247">
        <v>50</v>
      </c>
    </row>
    <row r="1248" spans="1:27" x14ac:dyDescent="0.2">
      <c r="A1248">
        <v>30</v>
      </c>
      <c r="B1248">
        <v>1</v>
      </c>
      <c r="C1248">
        <v>0.2</v>
      </c>
      <c r="D1248">
        <v>100</v>
      </c>
      <c r="E1248">
        <v>0.10140983451336801</v>
      </c>
      <c r="F1248">
        <v>1</v>
      </c>
      <c r="G1248">
        <v>27.210367440999999</v>
      </c>
      <c r="H1248">
        <v>2.87178330201311E-2</v>
      </c>
      <c r="I1248">
        <v>1</v>
      </c>
      <c r="J1248">
        <v>0.330329029</v>
      </c>
      <c r="P1248"/>
      <c r="V1248">
        <v>2.3081663610508001E-2</v>
      </c>
      <c r="W1248">
        <v>1</v>
      </c>
      <c r="X1248">
        <v>30493.099034651001</v>
      </c>
      <c r="Y1248">
        <v>48066</v>
      </c>
      <c r="Z1248">
        <v>3.26135990314977E-2</v>
      </c>
      <c r="AA1248">
        <v>50</v>
      </c>
    </row>
    <row r="1249" spans="1:27" x14ac:dyDescent="0.2">
      <c r="A1249">
        <v>30</v>
      </c>
      <c r="B1249">
        <v>1</v>
      </c>
      <c r="C1249">
        <v>0.3</v>
      </c>
      <c r="D1249">
        <v>100</v>
      </c>
      <c r="E1249">
        <v>3.8793597617251201E-2</v>
      </c>
      <c r="F1249">
        <v>1</v>
      </c>
      <c r="G1249">
        <v>36.161946108000002</v>
      </c>
      <c r="H1249">
        <v>3.3039310533484398E-2</v>
      </c>
      <c r="I1249">
        <v>1</v>
      </c>
      <c r="J1249">
        <v>0.297991379</v>
      </c>
      <c r="P1249"/>
      <c r="V1249">
        <v>2.58581645836286E-2</v>
      </c>
      <c r="W1249">
        <v>1</v>
      </c>
      <c r="X1249">
        <v>31113.642454958001</v>
      </c>
      <c r="Y1249">
        <v>34839</v>
      </c>
      <c r="Z1249">
        <v>1.72268189781896E-2</v>
      </c>
      <c r="AA1249">
        <v>50</v>
      </c>
    </row>
    <row r="1250" spans="1:27" x14ac:dyDescent="0.2">
      <c r="A1250">
        <v>30</v>
      </c>
      <c r="B1250">
        <v>1</v>
      </c>
      <c r="C1250">
        <v>0.1</v>
      </c>
      <c r="D1250">
        <v>100</v>
      </c>
      <c r="E1250">
        <v>0.63330516651352098</v>
      </c>
      <c r="F1250">
        <v>1</v>
      </c>
      <c r="G1250">
        <v>37.053088258999999</v>
      </c>
      <c r="H1250">
        <v>0.52176981837306502</v>
      </c>
      <c r="I1250">
        <v>1</v>
      </c>
      <c r="J1250">
        <v>1.36538085</v>
      </c>
      <c r="P1250"/>
      <c r="V1250">
        <v>1.1479015598803399</v>
      </c>
      <c r="W1250">
        <v>1</v>
      </c>
      <c r="X1250">
        <v>30452.536198280999</v>
      </c>
      <c r="Y1250">
        <v>78936</v>
      </c>
      <c r="Z1250">
        <v>3.5841523634623403E-2</v>
      </c>
      <c r="AA1250">
        <v>50</v>
      </c>
    </row>
    <row r="1251" spans="1:27" x14ac:dyDescent="0.2">
      <c r="A1251">
        <v>40</v>
      </c>
      <c r="B1251">
        <v>1</v>
      </c>
      <c r="C1251">
        <v>0.3</v>
      </c>
      <c r="D1251">
        <v>100</v>
      </c>
      <c r="E1251">
        <v>1.41957409877135E-2</v>
      </c>
      <c r="F1251">
        <v>1</v>
      </c>
      <c r="G1251">
        <v>34.252563111000001</v>
      </c>
      <c r="H1251">
        <v>1.7628020451459898E-2</v>
      </c>
      <c r="I1251">
        <v>1</v>
      </c>
      <c r="J1251">
        <v>0.30249303599999999</v>
      </c>
      <c r="P1251"/>
      <c r="V1251">
        <v>1.14193575150131E-2</v>
      </c>
      <c r="W1251">
        <v>1</v>
      </c>
      <c r="X1251">
        <v>30631.345518746999</v>
      </c>
      <c r="Y1251">
        <v>35267</v>
      </c>
      <c r="Z1251">
        <v>1.43298461407539E-2</v>
      </c>
      <c r="AA1251">
        <v>50</v>
      </c>
    </row>
    <row r="1252" spans="1:27" x14ac:dyDescent="0.2">
      <c r="A1252">
        <v>30</v>
      </c>
      <c r="B1252">
        <v>1</v>
      </c>
      <c r="C1252">
        <v>0.2</v>
      </c>
      <c r="D1252">
        <v>100</v>
      </c>
      <c r="E1252">
        <v>0.119419546241421</v>
      </c>
      <c r="F1252">
        <v>1</v>
      </c>
      <c r="G1252">
        <v>26.162083349</v>
      </c>
      <c r="H1252">
        <v>6.9680801206052606E-2</v>
      </c>
      <c r="I1252">
        <v>1</v>
      </c>
      <c r="J1252">
        <v>0.40645462999999998</v>
      </c>
      <c r="P1252"/>
      <c r="V1252">
        <v>6.4996730584850698E-2</v>
      </c>
      <c r="W1252">
        <v>1</v>
      </c>
      <c r="X1252">
        <v>30490.52744252</v>
      </c>
      <c r="Y1252">
        <v>43909</v>
      </c>
      <c r="Z1252">
        <v>1.6938057344060599E-2</v>
      </c>
      <c r="AA1252">
        <v>50</v>
      </c>
    </row>
    <row r="1253" spans="1:27" x14ac:dyDescent="0.2">
      <c r="A1253">
        <v>30</v>
      </c>
      <c r="B1253">
        <v>1</v>
      </c>
      <c r="C1253">
        <v>0.3</v>
      </c>
      <c r="D1253">
        <v>100</v>
      </c>
      <c r="E1253">
        <v>0.15406943030974901</v>
      </c>
      <c r="F1253">
        <v>1</v>
      </c>
      <c r="G1253">
        <v>36.679826900000002</v>
      </c>
      <c r="H1253">
        <v>8.4033462653179805E-2</v>
      </c>
      <c r="I1253">
        <v>1</v>
      </c>
      <c r="J1253">
        <v>0.28040281900000003</v>
      </c>
      <c r="P1253"/>
      <c r="V1253">
        <v>6.3167840735322903E-2</v>
      </c>
      <c r="W1253">
        <v>1</v>
      </c>
      <c r="X1253">
        <v>30796.470965754001</v>
      </c>
      <c r="Y1253">
        <v>32406</v>
      </c>
      <c r="Z1253">
        <v>1.58125886926716E-2</v>
      </c>
      <c r="AA1253">
        <v>50</v>
      </c>
    </row>
    <row r="1254" spans="1:27" x14ac:dyDescent="0.2">
      <c r="A1254">
        <v>30</v>
      </c>
      <c r="B1254">
        <v>1</v>
      </c>
      <c r="C1254">
        <v>0.1</v>
      </c>
      <c r="D1254">
        <v>100</v>
      </c>
      <c r="E1254">
        <v>0.51658479117724598</v>
      </c>
      <c r="F1254">
        <v>1</v>
      </c>
      <c r="G1254">
        <v>26.068083752</v>
      </c>
      <c r="H1254">
        <v>0.46496264197285098</v>
      </c>
      <c r="I1254">
        <v>1</v>
      </c>
      <c r="J1254">
        <v>0.31578616100000001</v>
      </c>
      <c r="P1254"/>
      <c r="V1254">
        <v>0.45465907187766702</v>
      </c>
      <c r="W1254">
        <v>1</v>
      </c>
      <c r="X1254">
        <v>30107.378957678</v>
      </c>
      <c r="Y1254">
        <v>105435</v>
      </c>
      <c r="Z1254">
        <v>2.4636786332288899E-2</v>
      </c>
      <c r="AA1254">
        <v>50</v>
      </c>
    </row>
    <row r="1255" spans="1:27" x14ac:dyDescent="0.2">
      <c r="A1255">
        <v>30</v>
      </c>
      <c r="B1255">
        <v>1</v>
      </c>
      <c r="C1255">
        <v>0.2</v>
      </c>
      <c r="D1255">
        <v>100</v>
      </c>
      <c r="E1255">
        <v>0.147479648699095</v>
      </c>
      <c r="F1255">
        <v>1</v>
      </c>
      <c r="G1255">
        <v>29.532537734999998</v>
      </c>
      <c r="H1255">
        <v>7.7317968177918597E-2</v>
      </c>
      <c r="I1255">
        <v>1</v>
      </c>
      <c r="J1255">
        <v>0.479834496</v>
      </c>
      <c r="P1255"/>
      <c r="V1255">
        <v>0.19899777192809101</v>
      </c>
      <c r="W1255">
        <v>1</v>
      </c>
      <c r="X1255">
        <v>30307.337385710001</v>
      </c>
      <c r="Y1255">
        <v>47283</v>
      </c>
      <c r="Z1255">
        <v>1.7096414786386401E-2</v>
      </c>
      <c r="AA1255">
        <v>50</v>
      </c>
    </row>
    <row r="1256" spans="1:27" x14ac:dyDescent="0.2">
      <c r="A1256">
        <v>30</v>
      </c>
      <c r="B1256">
        <v>1</v>
      </c>
      <c r="C1256">
        <v>0.3</v>
      </c>
      <c r="D1256">
        <v>100</v>
      </c>
      <c r="E1256">
        <v>7.0077819646570394E-2</v>
      </c>
      <c r="F1256">
        <v>1</v>
      </c>
      <c r="G1256">
        <v>24.952190861999998</v>
      </c>
      <c r="H1256">
        <v>3.3520209756149298E-2</v>
      </c>
      <c r="I1256">
        <v>1</v>
      </c>
      <c r="J1256">
        <v>0.25766334000000002</v>
      </c>
      <c r="P1256"/>
      <c r="V1256">
        <v>2.7992484535067801E-2</v>
      </c>
      <c r="W1256">
        <v>1</v>
      </c>
      <c r="X1256">
        <v>30890.672699636001</v>
      </c>
      <c r="Y1256">
        <v>38670</v>
      </c>
      <c r="Z1256">
        <v>4.2234162261610898E-2</v>
      </c>
      <c r="AA1256">
        <v>50</v>
      </c>
    </row>
    <row r="1257" spans="1:27" x14ac:dyDescent="0.2">
      <c r="A1257">
        <v>30</v>
      </c>
      <c r="B1257">
        <v>1</v>
      </c>
      <c r="C1257">
        <v>0.1</v>
      </c>
      <c r="D1257">
        <v>100</v>
      </c>
      <c r="E1257">
        <v>0.28231396104554102</v>
      </c>
      <c r="F1257">
        <v>1</v>
      </c>
      <c r="G1257">
        <v>35.415322756000002</v>
      </c>
      <c r="H1257">
        <v>0.19719839336505901</v>
      </c>
      <c r="I1257">
        <v>1</v>
      </c>
      <c r="J1257">
        <v>0.66975236400000004</v>
      </c>
      <c r="P1257"/>
      <c r="V1257">
        <v>0.88536925174784897</v>
      </c>
      <c r="W1257">
        <v>1</v>
      </c>
      <c r="X1257">
        <v>30165.304358363999</v>
      </c>
      <c r="Y1257">
        <v>73694</v>
      </c>
      <c r="Z1257">
        <v>4.8492746604512499E-2</v>
      </c>
      <c r="AA1257">
        <v>50</v>
      </c>
    </row>
    <row r="1258" spans="1:27" x14ac:dyDescent="0.2">
      <c r="A1258">
        <v>30</v>
      </c>
      <c r="B1258">
        <v>1</v>
      </c>
      <c r="C1258">
        <v>0.1</v>
      </c>
      <c r="D1258">
        <v>100</v>
      </c>
      <c r="E1258">
        <v>0.47015789108669898</v>
      </c>
      <c r="F1258">
        <v>1</v>
      </c>
      <c r="G1258">
        <v>28.563881905999999</v>
      </c>
      <c r="H1258">
        <v>0.25070050162903401</v>
      </c>
      <c r="I1258">
        <v>1</v>
      </c>
      <c r="J1258">
        <v>0.78259708699999997</v>
      </c>
      <c r="P1258"/>
      <c r="V1258">
        <v>0.24980250418129599</v>
      </c>
      <c r="W1258">
        <v>1</v>
      </c>
      <c r="X1258">
        <v>30103.407088977001</v>
      </c>
      <c r="Y1258">
        <v>115051</v>
      </c>
      <c r="Z1258">
        <v>3.7519103683063097E-2</v>
      </c>
      <c r="AA1258">
        <v>50</v>
      </c>
    </row>
    <row r="1259" spans="1:27" x14ac:dyDescent="0.2">
      <c r="A1259">
        <v>30</v>
      </c>
      <c r="B1259">
        <v>1</v>
      </c>
      <c r="C1259">
        <v>0.2</v>
      </c>
      <c r="D1259">
        <v>100</v>
      </c>
      <c r="E1259">
        <v>0.18672040906537099</v>
      </c>
      <c r="F1259">
        <v>1</v>
      </c>
      <c r="G1259">
        <v>35.430337868000002</v>
      </c>
      <c r="H1259">
        <v>5.6010781801198797E-2</v>
      </c>
      <c r="I1259">
        <v>1</v>
      </c>
      <c r="J1259">
        <v>0.47461479899999998</v>
      </c>
      <c r="P1259"/>
      <c r="V1259">
        <v>4.4598309778332797E-2</v>
      </c>
      <c r="W1259">
        <v>1</v>
      </c>
      <c r="X1259">
        <v>30136.801976938001</v>
      </c>
      <c r="Y1259">
        <v>38674</v>
      </c>
      <c r="Z1259">
        <v>2.1668186430074399E-2</v>
      </c>
      <c r="AA1259">
        <v>50</v>
      </c>
    </row>
    <row r="1260" spans="1:27" x14ac:dyDescent="0.2">
      <c r="A1260">
        <v>30</v>
      </c>
      <c r="B1260">
        <v>1</v>
      </c>
      <c r="C1260">
        <v>0.3</v>
      </c>
      <c r="D1260">
        <v>100</v>
      </c>
      <c r="E1260">
        <v>2.7644496764118801E-2</v>
      </c>
      <c r="F1260">
        <v>1</v>
      </c>
      <c r="G1260">
        <v>37.407340650999998</v>
      </c>
      <c r="H1260">
        <v>2.8358529125590001E-2</v>
      </c>
      <c r="I1260">
        <v>1</v>
      </c>
      <c r="J1260">
        <v>8.6720608000000005E-2</v>
      </c>
      <c r="P1260"/>
      <c r="V1260">
        <v>2.17663241670061E-2</v>
      </c>
      <c r="W1260">
        <v>1</v>
      </c>
      <c r="X1260">
        <v>30553.695695827999</v>
      </c>
      <c r="Y1260">
        <v>24535</v>
      </c>
      <c r="Z1260">
        <v>1.1665773719639699E-2</v>
      </c>
      <c r="AA1260">
        <v>50</v>
      </c>
    </row>
    <row r="1261" spans="1:27" x14ac:dyDescent="0.2">
      <c r="A1261">
        <v>30</v>
      </c>
      <c r="B1261">
        <v>1</v>
      </c>
      <c r="C1261">
        <v>0.3</v>
      </c>
      <c r="D1261">
        <v>100</v>
      </c>
      <c r="E1261">
        <v>0.14670824662250501</v>
      </c>
      <c r="F1261">
        <v>1</v>
      </c>
      <c r="G1261">
        <v>29.594785057999999</v>
      </c>
      <c r="H1261">
        <v>4.26147352989266E-2</v>
      </c>
      <c r="I1261">
        <v>1</v>
      </c>
      <c r="J1261">
        <v>0.29571139699999999</v>
      </c>
      <c r="P1261"/>
      <c r="V1261">
        <v>3.6343345356844602E-2</v>
      </c>
      <c r="W1261">
        <v>1</v>
      </c>
      <c r="X1261">
        <v>30329.693511726</v>
      </c>
      <c r="Y1261">
        <v>48013</v>
      </c>
      <c r="Z1261">
        <v>5.70224607773128E-3</v>
      </c>
      <c r="AA1261">
        <v>50</v>
      </c>
    </row>
    <row r="1262" spans="1:27" x14ac:dyDescent="0.2">
      <c r="A1262">
        <v>30</v>
      </c>
      <c r="B1262">
        <v>1</v>
      </c>
      <c r="C1262">
        <v>0.2</v>
      </c>
      <c r="D1262">
        <v>100</v>
      </c>
      <c r="E1262">
        <v>0.17699129615803699</v>
      </c>
      <c r="F1262">
        <v>1</v>
      </c>
      <c r="G1262">
        <v>43.410301881999999</v>
      </c>
      <c r="H1262">
        <v>4.9658162555682603E-2</v>
      </c>
      <c r="I1262">
        <v>1</v>
      </c>
      <c r="J1262">
        <v>0.77942878500000001</v>
      </c>
      <c r="P1262"/>
      <c r="V1262">
        <v>4.6789426540633797E-2</v>
      </c>
      <c r="W1262">
        <v>1</v>
      </c>
      <c r="X1262">
        <v>30725.131978286001</v>
      </c>
      <c r="Y1262">
        <v>55387</v>
      </c>
      <c r="Z1262">
        <v>5.9478297831729804E-3</v>
      </c>
      <c r="AA1262">
        <v>50</v>
      </c>
    </row>
    <row r="1263" spans="1:27" x14ac:dyDescent="0.2">
      <c r="A1263">
        <v>30</v>
      </c>
      <c r="B1263">
        <v>1</v>
      </c>
      <c r="C1263">
        <v>0.1</v>
      </c>
      <c r="D1263">
        <v>100</v>
      </c>
      <c r="E1263">
        <v>0.50483758192294503</v>
      </c>
      <c r="F1263">
        <v>1</v>
      </c>
      <c r="G1263">
        <v>33.709460233000001</v>
      </c>
      <c r="H1263">
        <v>0.278413210507722</v>
      </c>
      <c r="I1263">
        <v>1</v>
      </c>
      <c r="J1263">
        <v>0.75050416099999995</v>
      </c>
      <c r="P1263"/>
      <c r="V1263">
        <v>0.91419835565400898</v>
      </c>
      <c r="W1263">
        <v>1</v>
      </c>
      <c r="X1263">
        <v>30165.191751075999</v>
      </c>
      <c r="Y1263">
        <v>66822</v>
      </c>
      <c r="Z1263">
        <v>3.2720840176648898E-2</v>
      </c>
      <c r="AA1263">
        <v>50</v>
      </c>
    </row>
    <row r="1264" spans="1:27" x14ac:dyDescent="0.2">
      <c r="A1264">
        <v>30</v>
      </c>
      <c r="B1264">
        <v>1</v>
      </c>
      <c r="C1264">
        <v>0.2</v>
      </c>
      <c r="D1264">
        <v>100</v>
      </c>
      <c r="E1264">
        <v>0.126153550007748</v>
      </c>
      <c r="F1264">
        <v>1</v>
      </c>
      <c r="G1264">
        <v>29.545221988000002</v>
      </c>
      <c r="H1264">
        <v>6.5132122684167001E-2</v>
      </c>
      <c r="I1264">
        <v>1</v>
      </c>
      <c r="J1264">
        <v>0.40286632999999999</v>
      </c>
      <c r="P1264"/>
      <c r="V1264">
        <v>5.7678431266135803E-2</v>
      </c>
      <c r="W1264">
        <v>1</v>
      </c>
      <c r="X1264">
        <v>30116.322318885999</v>
      </c>
      <c r="Y1264">
        <v>38472</v>
      </c>
      <c r="Z1264">
        <v>4.9072982741238801E-2</v>
      </c>
      <c r="AA1264">
        <v>50</v>
      </c>
    </row>
    <row r="1265" spans="1:27" x14ac:dyDescent="0.2">
      <c r="A1265">
        <v>30</v>
      </c>
      <c r="B1265">
        <v>1</v>
      </c>
      <c r="C1265">
        <v>0.1</v>
      </c>
      <c r="D1265">
        <v>100</v>
      </c>
      <c r="E1265">
        <v>0.44747531196943002</v>
      </c>
      <c r="F1265">
        <v>1</v>
      </c>
      <c r="G1265">
        <v>29.546999303</v>
      </c>
      <c r="H1265">
        <v>0.31412365810388898</v>
      </c>
      <c r="I1265">
        <v>1</v>
      </c>
      <c r="J1265">
        <v>0.86053966699999995</v>
      </c>
      <c r="P1265"/>
      <c r="V1265">
        <v>0.309811088276149</v>
      </c>
      <c r="W1265">
        <v>1</v>
      </c>
      <c r="X1265">
        <v>30120.466679132998</v>
      </c>
      <c r="Y1265">
        <v>89340</v>
      </c>
      <c r="Z1265">
        <v>4.8316347874534503E-2</v>
      </c>
      <c r="AA1265">
        <v>50</v>
      </c>
    </row>
    <row r="1266" spans="1:27" x14ac:dyDescent="0.2">
      <c r="A1266">
        <v>30</v>
      </c>
      <c r="B1266">
        <v>1</v>
      </c>
      <c r="C1266">
        <v>0.2</v>
      </c>
      <c r="D1266">
        <v>100</v>
      </c>
      <c r="E1266">
        <v>0.207899077586082</v>
      </c>
      <c r="F1266">
        <v>1</v>
      </c>
      <c r="G1266">
        <v>31.305956338000001</v>
      </c>
      <c r="H1266">
        <v>7.1172365976496996E-2</v>
      </c>
      <c r="I1266">
        <v>1</v>
      </c>
      <c r="J1266">
        <v>0.66024878499999995</v>
      </c>
      <c r="P1266"/>
      <c r="V1266">
        <v>5.9233444685033797E-2</v>
      </c>
      <c r="W1266">
        <v>1</v>
      </c>
      <c r="X1266">
        <v>30357.981916732999</v>
      </c>
      <c r="Y1266">
        <v>30190</v>
      </c>
      <c r="Z1266">
        <v>6.3611008345003203E-2</v>
      </c>
      <c r="AA1266">
        <v>50</v>
      </c>
    </row>
    <row r="1267" spans="1:27" x14ac:dyDescent="0.2">
      <c r="A1267">
        <v>30</v>
      </c>
      <c r="B1267">
        <v>1</v>
      </c>
      <c r="C1267">
        <v>0.4</v>
      </c>
      <c r="D1267">
        <v>100</v>
      </c>
      <c r="E1267">
        <v>6.81676906247181E-2</v>
      </c>
      <c r="F1267">
        <v>1</v>
      </c>
      <c r="G1267">
        <v>29.399153709</v>
      </c>
      <c r="H1267">
        <v>3.4604976661099997E-2</v>
      </c>
      <c r="I1267">
        <v>1</v>
      </c>
      <c r="J1267">
        <v>0.27845328400000002</v>
      </c>
      <c r="P1267"/>
      <c r="V1267">
        <v>2.9827134014994601E-2</v>
      </c>
      <c r="W1267">
        <v>1</v>
      </c>
      <c r="X1267">
        <v>30839.048560753999</v>
      </c>
      <c r="Y1267">
        <v>35023</v>
      </c>
      <c r="Z1267">
        <v>1.7986708375047299E-2</v>
      </c>
      <c r="AA1267">
        <v>50</v>
      </c>
    </row>
    <row r="1268" spans="1:27" x14ac:dyDescent="0.2">
      <c r="A1268">
        <v>40</v>
      </c>
      <c r="B1268">
        <v>1</v>
      </c>
      <c r="C1268">
        <v>0.1</v>
      </c>
      <c r="D1268">
        <v>100</v>
      </c>
      <c r="E1268">
        <v>0.14597320770531999</v>
      </c>
      <c r="F1268">
        <v>1</v>
      </c>
      <c r="G1268">
        <v>41.065105389000003</v>
      </c>
      <c r="H1268">
        <v>9.8518402846676303E-2</v>
      </c>
      <c r="I1268">
        <v>1</v>
      </c>
      <c r="J1268">
        <v>0.94916234799999999</v>
      </c>
      <c r="P1268"/>
      <c r="V1268">
        <v>7.9779265295202698E-2</v>
      </c>
      <c r="W1268">
        <v>1</v>
      </c>
      <c r="X1268">
        <v>30316.644734893998</v>
      </c>
      <c r="Y1268">
        <v>35913</v>
      </c>
      <c r="Z1268">
        <v>5.89343609021096E-2</v>
      </c>
      <c r="AA1268">
        <v>50</v>
      </c>
    </row>
    <row r="1269" spans="1:27" x14ac:dyDescent="0.2">
      <c r="A1269">
        <v>30</v>
      </c>
      <c r="B1269">
        <v>1</v>
      </c>
      <c r="C1269">
        <v>0.3</v>
      </c>
      <c r="D1269">
        <v>100</v>
      </c>
      <c r="E1269">
        <v>1.9346996192738299E-2</v>
      </c>
      <c r="F1269">
        <v>1</v>
      </c>
      <c r="G1269">
        <v>28.903024932000001</v>
      </c>
      <c r="H1269">
        <v>2.6326129621052099E-2</v>
      </c>
      <c r="I1269">
        <v>1</v>
      </c>
      <c r="J1269">
        <v>0.18560263199999999</v>
      </c>
      <c r="P1269"/>
      <c r="V1269">
        <v>2.1756965760613301E-2</v>
      </c>
      <c r="W1269">
        <v>1</v>
      </c>
      <c r="X1269">
        <v>30924.270579233002</v>
      </c>
      <c r="Y1269">
        <v>40284</v>
      </c>
      <c r="Z1269">
        <v>1.6625851332002301E-2</v>
      </c>
      <c r="AA1269">
        <v>50</v>
      </c>
    </row>
    <row r="1270" spans="1:27" x14ac:dyDescent="0.2">
      <c r="A1270">
        <v>40</v>
      </c>
      <c r="B1270">
        <v>1</v>
      </c>
      <c r="C1270">
        <v>0.3</v>
      </c>
      <c r="D1270">
        <v>100</v>
      </c>
      <c r="E1270">
        <v>0.16164737454359701</v>
      </c>
      <c r="F1270">
        <v>1</v>
      </c>
      <c r="G1270">
        <v>30.9533117</v>
      </c>
      <c r="H1270">
        <v>3.6240127329762201E-2</v>
      </c>
      <c r="I1270">
        <v>1</v>
      </c>
      <c r="J1270">
        <v>0.46107082799999999</v>
      </c>
      <c r="P1270"/>
      <c r="V1270">
        <v>3.1049841350511399E-2</v>
      </c>
      <c r="W1270">
        <v>1</v>
      </c>
      <c r="X1270">
        <v>31292.473402862001</v>
      </c>
      <c r="Y1270">
        <v>970</v>
      </c>
      <c r="Z1270">
        <v>8.5468332960346505E-2</v>
      </c>
      <c r="AA1270">
        <v>50</v>
      </c>
    </row>
    <row r="1271" spans="1:27" x14ac:dyDescent="0.2">
      <c r="A1271">
        <v>30</v>
      </c>
      <c r="B1271">
        <v>1</v>
      </c>
      <c r="C1271">
        <v>0.3</v>
      </c>
      <c r="D1271">
        <v>100</v>
      </c>
      <c r="E1271">
        <v>9.8846852692407894E-2</v>
      </c>
      <c r="F1271">
        <v>1</v>
      </c>
      <c r="G1271">
        <v>29.932948945</v>
      </c>
      <c r="H1271">
        <v>5.2626401727740198E-2</v>
      </c>
      <c r="I1271">
        <v>1</v>
      </c>
      <c r="J1271">
        <v>0.244792275</v>
      </c>
      <c r="P1271"/>
      <c r="V1271">
        <v>4.1073438801025298E-2</v>
      </c>
      <c r="W1271">
        <v>1</v>
      </c>
      <c r="X1271">
        <v>31913.222680878</v>
      </c>
      <c r="Y1271">
        <v>39401</v>
      </c>
      <c r="Z1271">
        <v>5.6322244509923097E-2</v>
      </c>
      <c r="AA1271">
        <v>50</v>
      </c>
    </row>
    <row r="1272" spans="1:27" x14ac:dyDescent="0.2">
      <c r="A1272">
        <v>40</v>
      </c>
      <c r="B1272">
        <v>1</v>
      </c>
      <c r="C1272">
        <v>0.3</v>
      </c>
      <c r="D1272">
        <v>100</v>
      </c>
      <c r="E1272">
        <v>8.8688192853512302E-2</v>
      </c>
      <c r="F1272">
        <v>1</v>
      </c>
      <c r="G1272">
        <v>42.518882882</v>
      </c>
      <c r="H1272">
        <v>2.6491469794937501E-2</v>
      </c>
      <c r="I1272">
        <v>1</v>
      </c>
      <c r="J1272">
        <v>0.419283774</v>
      </c>
      <c r="P1272"/>
      <c r="V1272">
        <v>2.05062501948758E-2</v>
      </c>
      <c r="W1272">
        <v>1</v>
      </c>
      <c r="X1272">
        <v>31074.311777062001</v>
      </c>
      <c r="Y1272">
        <v>8006</v>
      </c>
      <c r="Z1272">
        <v>4.4275695507640603E-3</v>
      </c>
      <c r="AA1272">
        <v>50</v>
      </c>
    </row>
    <row r="1273" spans="1:27" x14ac:dyDescent="0.2">
      <c r="A1273">
        <v>10</v>
      </c>
      <c r="B1273">
        <v>2</v>
      </c>
      <c r="C1273">
        <v>0.1</v>
      </c>
      <c r="D1273">
        <v>20</v>
      </c>
      <c r="E1273">
        <v>0.96285724404152295</v>
      </c>
      <c r="F1273">
        <v>2</v>
      </c>
      <c r="G1273">
        <v>41.464299001999997</v>
      </c>
      <c r="H1273">
        <v>0.96251772753058495</v>
      </c>
      <c r="I1273">
        <v>2</v>
      </c>
      <c r="J1273">
        <v>6.5080000999999998E-2</v>
      </c>
      <c r="P1273"/>
      <c r="V1273">
        <v>0.98319794060767796</v>
      </c>
      <c r="W1273">
        <v>2</v>
      </c>
      <c r="X1273">
        <v>1224.9447871750001</v>
      </c>
      <c r="Y1273">
        <v>53861</v>
      </c>
      <c r="Z1273">
        <v>5.3061835340418402E-3</v>
      </c>
      <c r="AA1273">
        <v>1</v>
      </c>
    </row>
    <row r="1274" spans="1:27" x14ac:dyDescent="0.2">
      <c r="A1274">
        <v>10</v>
      </c>
      <c r="B1274">
        <v>2</v>
      </c>
      <c r="C1274">
        <v>0.1</v>
      </c>
      <c r="D1274">
        <v>20</v>
      </c>
      <c r="E1274">
        <v>0.992152794719944</v>
      </c>
      <c r="F1274">
        <v>2</v>
      </c>
      <c r="G1274">
        <v>32.498485848000001</v>
      </c>
      <c r="H1274">
        <v>0.992152794719944</v>
      </c>
      <c r="I1274">
        <v>2</v>
      </c>
      <c r="J1274">
        <v>4.0388880000000002E-2</v>
      </c>
      <c r="P1274"/>
      <c r="V1274">
        <v>0.98743885265656794</v>
      </c>
      <c r="W1274">
        <v>2</v>
      </c>
      <c r="X1274">
        <v>112.39826423300001</v>
      </c>
      <c r="Y1274">
        <v>23839</v>
      </c>
      <c r="Z1274">
        <v>1.2728262241180199E-4</v>
      </c>
      <c r="AA1274">
        <v>1</v>
      </c>
    </row>
    <row r="1275" spans="1:27" x14ac:dyDescent="0.2">
      <c r="A1275">
        <v>10</v>
      </c>
      <c r="B1275">
        <v>2</v>
      </c>
      <c r="C1275">
        <v>0.1</v>
      </c>
      <c r="D1275">
        <v>20</v>
      </c>
      <c r="E1275">
        <v>0.97087114416661802</v>
      </c>
      <c r="F1275">
        <v>2</v>
      </c>
      <c r="G1275">
        <v>36.085250670999997</v>
      </c>
      <c r="H1275">
        <v>0.97087114416661802</v>
      </c>
      <c r="I1275">
        <v>2</v>
      </c>
      <c r="J1275">
        <v>7.4219375000000004E-2</v>
      </c>
      <c r="P1275"/>
      <c r="V1275">
        <v>1.10243973271632</v>
      </c>
      <c r="W1275">
        <v>2</v>
      </c>
      <c r="X1275">
        <v>81.288858637000004</v>
      </c>
      <c r="Y1275">
        <v>6105</v>
      </c>
      <c r="Z1275">
        <v>1.10087604868297E-3</v>
      </c>
      <c r="AA1275">
        <v>1</v>
      </c>
    </row>
    <row r="1276" spans="1:27" x14ac:dyDescent="0.2">
      <c r="A1276">
        <v>10</v>
      </c>
      <c r="B1276">
        <v>2</v>
      </c>
      <c r="C1276">
        <v>0.1</v>
      </c>
      <c r="D1276">
        <v>20</v>
      </c>
      <c r="E1276">
        <v>0.99661160318047304</v>
      </c>
      <c r="F1276">
        <v>2</v>
      </c>
      <c r="G1276">
        <v>32.886541803999997</v>
      </c>
      <c r="H1276">
        <v>0.99736546294089301</v>
      </c>
      <c r="I1276">
        <v>2</v>
      </c>
      <c r="J1276">
        <v>9.7280700999999997E-2</v>
      </c>
      <c r="P1276"/>
      <c r="V1276">
        <v>1.0159695476327499</v>
      </c>
      <c r="W1276">
        <v>2</v>
      </c>
      <c r="X1276">
        <v>397.20755615399997</v>
      </c>
      <c r="Y1276">
        <v>23951</v>
      </c>
      <c r="Z1276">
        <v>2.2518152744893601E-4</v>
      </c>
      <c r="AA1276">
        <v>17</v>
      </c>
    </row>
    <row r="1277" spans="1:27" x14ac:dyDescent="0.2">
      <c r="A1277">
        <v>10</v>
      </c>
      <c r="B1277">
        <v>2</v>
      </c>
      <c r="C1277">
        <v>0.1</v>
      </c>
      <c r="D1277">
        <v>20</v>
      </c>
      <c r="E1277">
        <v>1.08020089567527</v>
      </c>
      <c r="F1277">
        <v>2</v>
      </c>
      <c r="G1277">
        <v>33.419015600000002</v>
      </c>
      <c r="H1277">
        <v>0.986162547723613</v>
      </c>
      <c r="I1277">
        <v>2</v>
      </c>
      <c r="J1277">
        <v>0.19409878999999999</v>
      </c>
      <c r="P1277"/>
      <c r="V1277">
        <v>0.98733356286201901</v>
      </c>
      <c r="W1277">
        <v>2</v>
      </c>
      <c r="X1277">
        <v>1222.2819493330001</v>
      </c>
      <c r="Y1277">
        <v>41498</v>
      </c>
      <c r="Z1277">
        <v>2.3043023393256499E-3</v>
      </c>
      <c r="AA1277">
        <v>1</v>
      </c>
    </row>
    <row r="1278" spans="1:27" x14ac:dyDescent="0.2">
      <c r="A1278">
        <v>10</v>
      </c>
      <c r="B1278">
        <v>2</v>
      </c>
      <c r="C1278">
        <v>0.1</v>
      </c>
      <c r="D1278">
        <v>20</v>
      </c>
      <c r="E1278">
        <v>0.99109594597999895</v>
      </c>
      <c r="F1278">
        <v>2</v>
      </c>
      <c r="G1278">
        <v>33.384372489</v>
      </c>
      <c r="H1278">
        <v>1.0162942807593101</v>
      </c>
      <c r="I1278">
        <v>2</v>
      </c>
      <c r="J1278">
        <v>0.16281074500000001</v>
      </c>
      <c r="P1278"/>
      <c r="V1278">
        <v>1.0037610177396901</v>
      </c>
      <c r="W1278">
        <v>2</v>
      </c>
      <c r="X1278">
        <v>59.531153056999997</v>
      </c>
      <c r="Y1278">
        <v>5808</v>
      </c>
      <c r="Z1278" s="1">
        <v>8.5784892696890507E-5</v>
      </c>
      <c r="AA1278">
        <v>1</v>
      </c>
    </row>
    <row r="1279" spans="1:27" x14ac:dyDescent="0.2">
      <c r="A1279">
        <v>10</v>
      </c>
      <c r="B1279">
        <v>2</v>
      </c>
      <c r="C1279">
        <v>0.1</v>
      </c>
      <c r="D1279">
        <v>20</v>
      </c>
      <c r="E1279">
        <v>0.96372665664417301</v>
      </c>
      <c r="F1279">
        <v>2</v>
      </c>
      <c r="G1279">
        <v>34.240322300000003</v>
      </c>
      <c r="H1279">
        <v>0.97415678530485905</v>
      </c>
      <c r="I1279">
        <v>2</v>
      </c>
      <c r="J1279">
        <v>0.15885282000000001</v>
      </c>
      <c r="P1279"/>
      <c r="V1279">
        <v>0.94575891267759105</v>
      </c>
      <c r="W1279">
        <v>2</v>
      </c>
      <c r="X1279">
        <v>256.17542265399999</v>
      </c>
      <c r="Y1279">
        <v>23266</v>
      </c>
      <c r="Z1279">
        <v>5.2063684651743698E-4</v>
      </c>
      <c r="AA1279">
        <v>1</v>
      </c>
    </row>
    <row r="1280" spans="1:27" x14ac:dyDescent="0.2">
      <c r="A1280">
        <v>10</v>
      </c>
      <c r="B1280">
        <v>2</v>
      </c>
      <c r="C1280">
        <v>0.1</v>
      </c>
      <c r="D1280">
        <v>20</v>
      </c>
      <c r="E1280">
        <v>0.96331931784063696</v>
      </c>
      <c r="F1280">
        <v>2</v>
      </c>
      <c r="G1280">
        <v>49.312850865000001</v>
      </c>
      <c r="H1280">
        <v>0.96331919640322194</v>
      </c>
      <c r="I1280">
        <v>2</v>
      </c>
      <c r="J1280">
        <v>0.100053031</v>
      </c>
      <c r="P1280"/>
      <c r="V1280">
        <v>0.92476853277895699</v>
      </c>
      <c r="W1280">
        <v>2</v>
      </c>
      <c r="X1280">
        <v>61.266584354000003</v>
      </c>
      <c r="Y1280">
        <v>1056</v>
      </c>
      <c r="Z1280" s="1">
        <v>6.5492221547475097E-5</v>
      </c>
      <c r="AA1280">
        <v>1</v>
      </c>
    </row>
    <row r="1281" spans="1:27" x14ac:dyDescent="0.2">
      <c r="A1281">
        <v>10</v>
      </c>
      <c r="B1281">
        <v>2</v>
      </c>
      <c r="C1281">
        <v>0.1</v>
      </c>
      <c r="D1281">
        <v>20</v>
      </c>
      <c r="E1281">
        <v>0.94362829923268299</v>
      </c>
      <c r="F1281">
        <v>2</v>
      </c>
      <c r="G1281">
        <v>37.885791224000002</v>
      </c>
      <c r="H1281">
        <v>0.94446013080839497</v>
      </c>
      <c r="I1281">
        <v>2</v>
      </c>
      <c r="J1281">
        <v>5.4342741999999999E-2</v>
      </c>
      <c r="P1281"/>
      <c r="V1281">
        <v>0.86850123238601895</v>
      </c>
      <c r="W1281">
        <v>2</v>
      </c>
      <c r="X1281">
        <v>1225.4458327909999</v>
      </c>
      <c r="Y1281">
        <v>42315</v>
      </c>
      <c r="Z1281">
        <v>6.4529210240387297E-3</v>
      </c>
      <c r="AA1281">
        <v>1</v>
      </c>
    </row>
    <row r="1282" spans="1:27" x14ac:dyDescent="0.2">
      <c r="A1282">
        <v>10</v>
      </c>
      <c r="B1282">
        <v>2</v>
      </c>
      <c r="C1282">
        <v>0.1</v>
      </c>
      <c r="D1282">
        <v>20</v>
      </c>
      <c r="E1282">
        <v>1.2717454755544899</v>
      </c>
      <c r="F1282">
        <v>2</v>
      </c>
      <c r="G1282">
        <v>34.984098523999997</v>
      </c>
      <c r="H1282">
        <v>1.1181016127238601</v>
      </c>
      <c r="I1282">
        <v>2</v>
      </c>
      <c r="J1282">
        <v>0.64380281900000003</v>
      </c>
      <c r="P1282"/>
      <c r="V1282">
        <v>0.96461059155079099</v>
      </c>
      <c r="W1282">
        <v>2</v>
      </c>
      <c r="X1282">
        <v>1221.5955547399999</v>
      </c>
      <c r="Y1282">
        <v>121953</v>
      </c>
      <c r="Z1282">
        <v>5.1435456114674498E-3</v>
      </c>
      <c r="AA1282">
        <v>1</v>
      </c>
    </row>
    <row r="1283" spans="1:27" x14ac:dyDescent="0.2">
      <c r="A1283">
        <v>10</v>
      </c>
      <c r="B1283">
        <v>2</v>
      </c>
      <c r="C1283">
        <v>0.1</v>
      </c>
      <c r="D1283">
        <v>20</v>
      </c>
      <c r="E1283">
        <v>0.91516567294486295</v>
      </c>
      <c r="F1283">
        <v>2</v>
      </c>
      <c r="G1283">
        <v>39.020272052999999</v>
      </c>
      <c r="H1283">
        <v>0.91270850747954901</v>
      </c>
      <c r="I1283">
        <v>2</v>
      </c>
      <c r="J1283">
        <v>0.14327384100000001</v>
      </c>
      <c r="P1283"/>
      <c r="V1283">
        <v>0.97415101286925498</v>
      </c>
      <c r="W1283">
        <v>2</v>
      </c>
      <c r="X1283">
        <v>55.843609239000003</v>
      </c>
      <c r="Y1283">
        <v>7858</v>
      </c>
      <c r="Z1283" s="1">
        <v>1.6175136152499201E-5</v>
      </c>
      <c r="AA1283">
        <v>1</v>
      </c>
    </row>
    <row r="1284" spans="1:27" x14ac:dyDescent="0.2">
      <c r="A1284">
        <v>10</v>
      </c>
      <c r="B1284">
        <v>2</v>
      </c>
      <c r="C1284">
        <v>0.1</v>
      </c>
      <c r="D1284">
        <v>20</v>
      </c>
      <c r="E1284">
        <v>0.94837274911710701</v>
      </c>
      <c r="F1284">
        <v>2</v>
      </c>
      <c r="G1284">
        <v>33.149293118000003</v>
      </c>
      <c r="H1284">
        <v>0.94496757833175704</v>
      </c>
      <c r="I1284">
        <v>2</v>
      </c>
      <c r="J1284">
        <v>0.111004057</v>
      </c>
      <c r="P1284"/>
      <c r="V1284">
        <v>0.92199851332916005</v>
      </c>
      <c r="W1284">
        <v>2</v>
      </c>
      <c r="X1284">
        <v>38.394615584</v>
      </c>
      <c r="Y1284">
        <v>616</v>
      </c>
      <c r="Z1284">
        <v>3.2164926556187102E-4</v>
      </c>
      <c r="AA1284">
        <v>1</v>
      </c>
    </row>
    <row r="1285" spans="1:27" x14ac:dyDescent="0.2">
      <c r="A1285">
        <v>10</v>
      </c>
      <c r="B1285">
        <v>2</v>
      </c>
      <c r="C1285">
        <v>0.1</v>
      </c>
      <c r="D1285">
        <v>20</v>
      </c>
      <c r="E1285">
        <v>1.1622831377540901</v>
      </c>
      <c r="F1285">
        <v>2</v>
      </c>
      <c r="G1285">
        <v>32.025244348000001</v>
      </c>
      <c r="H1285">
        <v>1.2172704884315</v>
      </c>
      <c r="I1285">
        <v>2</v>
      </c>
      <c r="J1285">
        <v>0.27014727100000002</v>
      </c>
      <c r="P1285"/>
      <c r="V1285">
        <v>1.1137534287936199</v>
      </c>
      <c r="W1285">
        <v>2</v>
      </c>
      <c r="X1285">
        <v>72.009986659999996</v>
      </c>
      <c r="Y1285">
        <v>8993</v>
      </c>
      <c r="Z1285">
        <v>4.8293357840646601E-4</v>
      </c>
      <c r="AA1285">
        <v>1</v>
      </c>
    </row>
    <row r="1286" spans="1:27" x14ac:dyDescent="0.2">
      <c r="A1286">
        <v>10</v>
      </c>
      <c r="B1286">
        <v>2</v>
      </c>
      <c r="C1286">
        <v>0.1</v>
      </c>
      <c r="D1286">
        <v>20</v>
      </c>
      <c r="E1286">
        <v>0.94410202645585595</v>
      </c>
      <c r="F1286">
        <v>2</v>
      </c>
      <c r="G1286">
        <v>34.296434636000001</v>
      </c>
      <c r="H1286">
        <v>0.96246224921335199</v>
      </c>
      <c r="I1286">
        <v>2</v>
      </c>
      <c r="J1286">
        <v>0.27982610099999999</v>
      </c>
      <c r="P1286"/>
      <c r="V1286">
        <v>0.91474266829940998</v>
      </c>
      <c r="W1286">
        <v>2</v>
      </c>
      <c r="X1286">
        <v>427.18582159800002</v>
      </c>
      <c r="Y1286">
        <v>29767</v>
      </c>
      <c r="Z1286">
        <v>1.46457653048598E-3</v>
      </c>
      <c r="AA1286">
        <v>22</v>
      </c>
    </row>
    <row r="1287" spans="1:27" x14ac:dyDescent="0.2">
      <c r="A1287">
        <v>10</v>
      </c>
      <c r="B1287">
        <v>2</v>
      </c>
      <c r="C1287">
        <v>0.1</v>
      </c>
      <c r="D1287">
        <v>20</v>
      </c>
      <c r="E1287">
        <v>0.96664459215350995</v>
      </c>
      <c r="F1287">
        <v>2</v>
      </c>
      <c r="G1287">
        <v>36.256811962999997</v>
      </c>
      <c r="H1287">
        <v>0.97441581605973404</v>
      </c>
      <c r="I1287">
        <v>2</v>
      </c>
      <c r="J1287">
        <v>0.27197421100000002</v>
      </c>
      <c r="P1287"/>
      <c r="V1287">
        <v>0.87790312240532098</v>
      </c>
      <c r="W1287">
        <v>2</v>
      </c>
      <c r="X1287">
        <v>86.866887234000004</v>
      </c>
      <c r="Y1287">
        <v>7990</v>
      </c>
      <c r="Z1287">
        <v>1.91444826457859E-4</v>
      </c>
      <c r="AA1287">
        <v>1</v>
      </c>
    </row>
    <row r="1288" spans="1:27" x14ac:dyDescent="0.2">
      <c r="A1288">
        <v>10</v>
      </c>
      <c r="B1288">
        <v>2</v>
      </c>
      <c r="C1288">
        <v>0.1</v>
      </c>
      <c r="D1288">
        <v>20</v>
      </c>
      <c r="E1288">
        <v>0.96996986472230595</v>
      </c>
      <c r="F1288">
        <v>2</v>
      </c>
      <c r="G1288">
        <v>34.449397793000003</v>
      </c>
      <c r="H1288">
        <v>0.96996986472230695</v>
      </c>
      <c r="I1288">
        <v>2</v>
      </c>
      <c r="J1288">
        <v>6.5018145999999999E-2</v>
      </c>
      <c r="P1288"/>
      <c r="V1288">
        <v>1.03571977841292</v>
      </c>
      <c r="W1288">
        <v>2</v>
      </c>
      <c r="X1288">
        <v>49.857756004000002</v>
      </c>
      <c r="Y1288">
        <v>1245</v>
      </c>
      <c r="Z1288">
        <v>1.6339415818258899E-4</v>
      </c>
      <c r="AA1288">
        <v>1</v>
      </c>
    </row>
    <row r="1289" spans="1:27" x14ac:dyDescent="0.2">
      <c r="A1289">
        <v>10</v>
      </c>
      <c r="B1289">
        <v>2</v>
      </c>
      <c r="C1289">
        <v>0.1</v>
      </c>
      <c r="D1289">
        <v>20</v>
      </c>
      <c r="E1289">
        <v>0.92261488172875805</v>
      </c>
      <c r="F1289">
        <v>2</v>
      </c>
      <c r="G1289">
        <v>36.627911470999997</v>
      </c>
      <c r="H1289">
        <v>0.92261488173099004</v>
      </c>
      <c r="I1289">
        <v>2</v>
      </c>
      <c r="J1289">
        <v>7.8812490999999998E-2</v>
      </c>
      <c r="P1289"/>
      <c r="V1289">
        <v>0.99926984921892303</v>
      </c>
      <c r="W1289">
        <v>2</v>
      </c>
      <c r="X1289">
        <v>338.08714278500003</v>
      </c>
      <c r="Y1289">
        <v>46890</v>
      </c>
      <c r="Z1289" s="1">
        <v>6.3497345434704302E-6</v>
      </c>
      <c r="AA1289">
        <v>1</v>
      </c>
    </row>
    <row r="1290" spans="1:27" x14ac:dyDescent="0.2">
      <c r="A1290">
        <v>10</v>
      </c>
      <c r="B1290">
        <v>2</v>
      </c>
      <c r="C1290">
        <v>0.1</v>
      </c>
      <c r="D1290">
        <v>20</v>
      </c>
      <c r="E1290">
        <v>0.96850150080141895</v>
      </c>
      <c r="F1290">
        <v>2</v>
      </c>
      <c r="G1290">
        <v>35.542616205000002</v>
      </c>
      <c r="H1290">
        <v>0.96254607862820096</v>
      </c>
      <c r="I1290">
        <v>2</v>
      </c>
      <c r="J1290">
        <v>0.20531756400000001</v>
      </c>
      <c r="P1290"/>
      <c r="V1290">
        <v>0.988377066705736</v>
      </c>
      <c r="W1290">
        <v>2</v>
      </c>
      <c r="X1290">
        <v>83.814269640999996</v>
      </c>
      <c r="Y1290">
        <v>8214</v>
      </c>
      <c r="Z1290" s="1">
        <v>7.8021967749725107E-6</v>
      </c>
      <c r="AA1290">
        <v>1</v>
      </c>
    </row>
    <row r="1291" spans="1:27" x14ac:dyDescent="0.2">
      <c r="A1291">
        <v>10</v>
      </c>
      <c r="B1291">
        <v>2</v>
      </c>
      <c r="C1291">
        <v>0.1</v>
      </c>
      <c r="D1291">
        <v>20</v>
      </c>
      <c r="E1291">
        <v>0.95943511432543405</v>
      </c>
      <c r="F1291">
        <v>2</v>
      </c>
      <c r="G1291">
        <v>42.542667403999999</v>
      </c>
      <c r="H1291">
        <v>0.96014575663742896</v>
      </c>
      <c r="I1291">
        <v>2</v>
      </c>
      <c r="J1291">
        <v>0.233669355</v>
      </c>
      <c r="P1291"/>
      <c r="V1291">
        <v>0.92502648371781604</v>
      </c>
      <c r="W1291">
        <v>2</v>
      </c>
      <c r="X1291">
        <v>94.638381718000005</v>
      </c>
      <c r="Y1291">
        <v>5852</v>
      </c>
      <c r="Z1291">
        <v>6.8555442122596102E-4</v>
      </c>
      <c r="AA1291">
        <v>1</v>
      </c>
    </row>
    <row r="1292" spans="1:27" x14ac:dyDescent="0.2">
      <c r="A1292">
        <v>10</v>
      </c>
      <c r="B1292">
        <v>2</v>
      </c>
      <c r="C1292">
        <v>0.1</v>
      </c>
      <c r="D1292">
        <v>20</v>
      </c>
      <c r="E1292">
        <v>0.93566119546594695</v>
      </c>
      <c r="F1292">
        <v>2</v>
      </c>
      <c r="G1292">
        <v>40.079846699000001</v>
      </c>
      <c r="H1292">
        <v>0.93567670341814402</v>
      </c>
      <c r="I1292">
        <v>2</v>
      </c>
      <c r="J1292">
        <v>0.26118893100000001</v>
      </c>
      <c r="P1292"/>
      <c r="V1292">
        <v>0.93765734729884898</v>
      </c>
      <c r="W1292">
        <v>2</v>
      </c>
      <c r="X1292">
        <v>265.062179673</v>
      </c>
      <c r="Y1292">
        <v>14545</v>
      </c>
      <c r="Z1292">
        <v>1.2337737906770101E-4</v>
      </c>
      <c r="AA1292">
        <v>1</v>
      </c>
    </row>
    <row r="1293" spans="1:27" x14ac:dyDescent="0.2">
      <c r="A1293">
        <v>10</v>
      </c>
      <c r="B1293">
        <v>2</v>
      </c>
      <c r="C1293">
        <v>0.1</v>
      </c>
      <c r="D1293">
        <v>20</v>
      </c>
      <c r="E1293">
        <v>0.94752874769164497</v>
      </c>
      <c r="F1293">
        <v>2</v>
      </c>
      <c r="G1293">
        <v>32.110495268999998</v>
      </c>
      <c r="H1293">
        <v>0.94752874769241502</v>
      </c>
      <c r="I1293">
        <v>2</v>
      </c>
      <c r="J1293">
        <v>3.8318572000000002E-2</v>
      </c>
      <c r="P1293"/>
      <c r="V1293">
        <v>1.0125619193686899</v>
      </c>
      <c r="W1293">
        <v>2</v>
      </c>
      <c r="X1293">
        <v>52.437117057000002</v>
      </c>
      <c r="Y1293">
        <v>8234</v>
      </c>
      <c r="Z1293">
        <v>2.0952216253990099E-4</v>
      </c>
      <c r="AA1293">
        <v>1</v>
      </c>
    </row>
    <row r="1294" spans="1:27" x14ac:dyDescent="0.2">
      <c r="A1294">
        <v>10</v>
      </c>
      <c r="B1294">
        <v>2</v>
      </c>
      <c r="C1294">
        <v>0.1</v>
      </c>
      <c r="D1294">
        <v>20</v>
      </c>
      <c r="E1294">
        <v>0.98475937494875898</v>
      </c>
      <c r="F1294">
        <v>2</v>
      </c>
      <c r="G1294">
        <v>34.256992420000003</v>
      </c>
      <c r="H1294">
        <v>0.99220575805753997</v>
      </c>
      <c r="I1294">
        <v>2</v>
      </c>
      <c r="J1294">
        <v>0.11871987000000001</v>
      </c>
      <c r="P1294"/>
      <c r="V1294">
        <v>1.0453864591491799</v>
      </c>
      <c r="W1294">
        <v>2</v>
      </c>
      <c r="X1294">
        <v>112.241656811</v>
      </c>
      <c r="Y1294">
        <v>8906</v>
      </c>
      <c r="Z1294" s="1">
        <v>2.2712741550773198E-5</v>
      </c>
      <c r="AA1294">
        <v>1</v>
      </c>
    </row>
    <row r="1295" spans="1:27" x14ac:dyDescent="0.2">
      <c r="A1295">
        <v>30</v>
      </c>
      <c r="B1295">
        <v>1</v>
      </c>
      <c r="C1295">
        <v>0.4</v>
      </c>
      <c r="D1295">
        <v>20</v>
      </c>
      <c r="E1295">
        <v>4.7837903576797201E-2</v>
      </c>
      <c r="F1295">
        <v>1</v>
      </c>
      <c r="G1295">
        <v>31.261024114000001</v>
      </c>
      <c r="H1295">
        <v>7.5613027151634205E-2</v>
      </c>
      <c r="I1295">
        <v>1</v>
      </c>
      <c r="J1295">
        <v>0.195679995</v>
      </c>
      <c r="P1295"/>
      <c r="V1295">
        <v>6.0710843179188102E-2</v>
      </c>
      <c r="W1295">
        <v>1</v>
      </c>
      <c r="X1295">
        <v>82.767040952000002</v>
      </c>
      <c r="Y1295">
        <v>71</v>
      </c>
      <c r="Z1295">
        <v>9.5359128062106804E-3</v>
      </c>
      <c r="AA1295">
        <v>32</v>
      </c>
    </row>
    <row r="1296" spans="1:27" x14ac:dyDescent="0.2">
      <c r="A1296">
        <v>30</v>
      </c>
      <c r="B1296">
        <v>1</v>
      </c>
      <c r="C1296">
        <v>0.3</v>
      </c>
      <c r="D1296">
        <v>20</v>
      </c>
      <c r="E1296">
        <v>5.3407533426600699E-2</v>
      </c>
      <c r="F1296">
        <v>1</v>
      </c>
      <c r="G1296">
        <v>33.645064235</v>
      </c>
      <c r="H1296">
        <v>6.3626130739771705E-2</v>
      </c>
      <c r="I1296">
        <v>1</v>
      </c>
      <c r="J1296">
        <v>0.17960780500000001</v>
      </c>
      <c r="P1296"/>
      <c r="V1296">
        <v>4.2373996806897601E-2</v>
      </c>
      <c r="W1296">
        <v>1</v>
      </c>
      <c r="X1296">
        <v>110.268974071</v>
      </c>
      <c r="Y1296">
        <v>417</v>
      </c>
      <c r="Z1296">
        <v>2.8278603042508599E-4</v>
      </c>
      <c r="AA1296">
        <v>1</v>
      </c>
    </row>
    <row r="1297" spans="1:27" x14ac:dyDescent="0.2">
      <c r="A1297">
        <v>30</v>
      </c>
      <c r="B1297">
        <v>1</v>
      </c>
      <c r="C1297">
        <v>0.4</v>
      </c>
      <c r="D1297">
        <v>20</v>
      </c>
      <c r="E1297">
        <v>5.7750408387440499E-2</v>
      </c>
      <c r="F1297">
        <v>1</v>
      </c>
      <c r="G1297">
        <v>29.969795033</v>
      </c>
      <c r="H1297">
        <v>6.8009212862331997E-2</v>
      </c>
      <c r="I1297">
        <v>1</v>
      </c>
      <c r="J1297">
        <v>0.15551532100000001</v>
      </c>
      <c r="P1297"/>
      <c r="V1297">
        <v>4.4218333865589099E-2</v>
      </c>
      <c r="W1297">
        <v>1</v>
      </c>
      <c r="X1297">
        <v>60.425766682000003</v>
      </c>
      <c r="Y1297">
        <v>87</v>
      </c>
      <c r="Z1297">
        <v>7.2614437995865899E-3</v>
      </c>
      <c r="AA1297">
        <v>1</v>
      </c>
    </row>
    <row r="1298" spans="1:27" x14ac:dyDescent="0.2">
      <c r="A1298">
        <v>30</v>
      </c>
      <c r="B1298">
        <v>1</v>
      </c>
      <c r="C1298">
        <v>0.3</v>
      </c>
      <c r="D1298">
        <v>20</v>
      </c>
      <c r="E1298">
        <v>6.5254525778552994E-2</v>
      </c>
      <c r="F1298">
        <v>1</v>
      </c>
      <c r="G1298">
        <v>34.280754526999999</v>
      </c>
      <c r="H1298">
        <v>7.0952552796510707E-2</v>
      </c>
      <c r="I1298">
        <v>1</v>
      </c>
      <c r="J1298">
        <v>0.26807281900000002</v>
      </c>
      <c r="P1298"/>
      <c r="V1298">
        <v>4.2601683467592001E-2</v>
      </c>
      <c r="W1298">
        <v>1</v>
      </c>
      <c r="X1298">
        <v>106.238687767</v>
      </c>
      <c r="Y1298">
        <v>327</v>
      </c>
      <c r="Z1298">
        <v>3.15857366223548E-3</v>
      </c>
      <c r="AA1298">
        <v>1</v>
      </c>
    </row>
    <row r="1299" spans="1:27" x14ac:dyDescent="0.2">
      <c r="A1299">
        <v>30</v>
      </c>
      <c r="B1299">
        <v>1</v>
      </c>
      <c r="C1299">
        <v>0.4</v>
      </c>
      <c r="D1299">
        <v>20</v>
      </c>
      <c r="E1299">
        <v>5.3943069410796997E-2</v>
      </c>
      <c r="F1299">
        <v>1</v>
      </c>
      <c r="G1299">
        <v>39.459935264000002</v>
      </c>
      <c r="H1299">
        <v>6.3862036758413898E-2</v>
      </c>
      <c r="I1299">
        <v>1</v>
      </c>
      <c r="J1299">
        <v>0.231653517</v>
      </c>
      <c r="P1299"/>
      <c r="V1299">
        <v>4.1721082893161399E-2</v>
      </c>
      <c r="W1299">
        <v>1</v>
      </c>
      <c r="X1299">
        <v>122.818634718</v>
      </c>
      <c r="Y1299">
        <v>51</v>
      </c>
      <c r="Z1299">
        <v>8.6094108065033394E-3</v>
      </c>
      <c r="AA1299">
        <v>46</v>
      </c>
    </row>
    <row r="1300" spans="1:27" x14ac:dyDescent="0.2">
      <c r="A1300">
        <v>20</v>
      </c>
      <c r="B1300">
        <v>2</v>
      </c>
      <c r="C1300">
        <v>0.1</v>
      </c>
      <c r="D1300">
        <v>20</v>
      </c>
      <c r="E1300">
        <v>1.0738973572028701</v>
      </c>
      <c r="F1300">
        <v>2</v>
      </c>
      <c r="G1300">
        <v>27.6373438</v>
      </c>
      <c r="H1300">
        <v>1.0605247946010501</v>
      </c>
      <c r="I1300">
        <v>2</v>
      </c>
      <c r="J1300">
        <v>0.75025383599999995</v>
      </c>
      <c r="P1300"/>
      <c r="V1300">
        <v>1.1386524261478601</v>
      </c>
      <c r="W1300">
        <v>2</v>
      </c>
      <c r="X1300">
        <v>75443.542074188998</v>
      </c>
      <c r="Y1300">
        <v>206258</v>
      </c>
      <c r="Z1300">
        <v>9.27007020008975E-2</v>
      </c>
      <c r="AA1300">
        <v>100</v>
      </c>
    </row>
    <row r="1301" spans="1:27" x14ac:dyDescent="0.2">
      <c r="A1301">
        <v>20</v>
      </c>
      <c r="B1301">
        <v>2</v>
      </c>
      <c r="C1301">
        <v>0.2</v>
      </c>
      <c r="D1301">
        <v>20</v>
      </c>
      <c r="E1301">
        <v>0.67698692307433594</v>
      </c>
      <c r="F1301">
        <v>2</v>
      </c>
      <c r="G1301">
        <v>25.942135014000002</v>
      </c>
      <c r="H1301">
        <v>0.63336761585545798</v>
      </c>
      <c r="I1301">
        <v>2</v>
      </c>
      <c r="J1301">
        <v>0.29868364600000002</v>
      </c>
      <c r="P1301"/>
      <c r="V1301">
        <v>0.63738950011220297</v>
      </c>
      <c r="W1301">
        <v>2</v>
      </c>
      <c r="X1301">
        <v>75446.360423891005</v>
      </c>
      <c r="Y1301">
        <v>169208</v>
      </c>
      <c r="Z1301">
        <v>0.29738309119238598</v>
      </c>
      <c r="AA1301">
        <v>100</v>
      </c>
    </row>
    <row r="1302" spans="1:27" x14ac:dyDescent="0.2">
      <c r="A1302">
        <v>20</v>
      </c>
      <c r="B1302">
        <v>2</v>
      </c>
      <c r="C1302">
        <v>0.4</v>
      </c>
      <c r="D1302">
        <v>20</v>
      </c>
      <c r="E1302">
        <v>0.25209103735911098</v>
      </c>
      <c r="F1302">
        <v>2</v>
      </c>
      <c r="G1302">
        <v>26.177769703999999</v>
      </c>
      <c r="H1302">
        <v>0.184717452088108</v>
      </c>
      <c r="I1302">
        <v>2</v>
      </c>
      <c r="J1302">
        <v>0.122324448</v>
      </c>
      <c r="P1302"/>
      <c r="V1302">
        <v>0.162083035080854</v>
      </c>
      <c r="W1302">
        <v>2</v>
      </c>
      <c r="X1302">
        <v>82649.938984031003</v>
      </c>
      <c r="Y1302">
        <v>141672</v>
      </c>
      <c r="Z1302">
        <v>0.60260621496131195</v>
      </c>
      <c r="AA1302">
        <v>100</v>
      </c>
    </row>
    <row r="1303" spans="1:27" x14ac:dyDescent="0.2">
      <c r="A1303">
        <v>20</v>
      </c>
      <c r="B1303">
        <v>2</v>
      </c>
      <c r="C1303">
        <v>0.1</v>
      </c>
      <c r="D1303">
        <v>20</v>
      </c>
      <c r="E1303">
        <v>0.99165355613546702</v>
      </c>
      <c r="F1303">
        <v>2</v>
      </c>
      <c r="G1303">
        <v>22.007109613000001</v>
      </c>
      <c r="H1303">
        <v>1.0262391106756501</v>
      </c>
      <c r="I1303">
        <v>2</v>
      </c>
      <c r="J1303">
        <v>0.29426191400000001</v>
      </c>
      <c r="P1303"/>
      <c r="V1303">
        <v>1.03009767117375</v>
      </c>
      <c r="W1303">
        <v>2</v>
      </c>
      <c r="X1303">
        <v>75107.424706981998</v>
      </c>
      <c r="Y1303">
        <v>122251</v>
      </c>
      <c r="Z1303">
        <v>1.12617627722585E-2</v>
      </c>
      <c r="AA1303">
        <v>100</v>
      </c>
    </row>
    <row r="1304" spans="1:27" x14ac:dyDescent="0.2">
      <c r="A1304">
        <v>20</v>
      </c>
      <c r="B1304">
        <v>2</v>
      </c>
      <c r="C1304">
        <v>0.2</v>
      </c>
      <c r="D1304">
        <v>20</v>
      </c>
      <c r="E1304">
        <v>0.72716138113865403</v>
      </c>
      <c r="F1304">
        <v>2</v>
      </c>
      <c r="G1304">
        <v>26.866504540000001</v>
      </c>
      <c r="H1304">
        <v>0.59172896854272705</v>
      </c>
      <c r="I1304">
        <v>2</v>
      </c>
      <c r="J1304">
        <v>0.71238909500000003</v>
      </c>
      <c r="P1304"/>
      <c r="V1304">
        <v>0.581024756106573</v>
      </c>
      <c r="W1304">
        <v>2</v>
      </c>
      <c r="X1304">
        <v>75152.927200596998</v>
      </c>
      <c r="Y1304">
        <v>127179</v>
      </c>
      <c r="Z1304">
        <v>0.34121505438281202</v>
      </c>
      <c r="AA1304">
        <v>100</v>
      </c>
    </row>
    <row r="1305" spans="1:27" x14ac:dyDescent="0.2">
      <c r="A1305">
        <v>10</v>
      </c>
      <c r="B1305">
        <v>2</v>
      </c>
      <c r="C1305">
        <v>0.1</v>
      </c>
      <c r="D1305">
        <v>100</v>
      </c>
      <c r="E1305">
        <v>0.94908689634619203</v>
      </c>
      <c r="F1305">
        <v>2</v>
      </c>
      <c r="G1305">
        <v>33.105550981999997</v>
      </c>
      <c r="H1305">
        <v>0.94076675731050896</v>
      </c>
      <c r="I1305">
        <v>2</v>
      </c>
      <c r="J1305">
        <v>8.9778394999999997E-2</v>
      </c>
      <c r="P1305"/>
      <c r="V1305">
        <v>0.95946370011824</v>
      </c>
      <c r="W1305">
        <v>2</v>
      </c>
      <c r="X1305">
        <v>67.783512290999994</v>
      </c>
      <c r="Y1305">
        <v>8214</v>
      </c>
      <c r="Z1305" s="1">
        <v>5.0878991801313599E-5</v>
      </c>
      <c r="AA1305">
        <v>1</v>
      </c>
    </row>
    <row r="1306" spans="1:27" x14ac:dyDescent="0.2">
      <c r="A1306">
        <v>10</v>
      </c>
      <c r="B1306">
        <v>2</v>
      </c>
      <c r="C1306">
        <v>0.1</v>
      </c>
      <c r="D1306">
        <v>100</v>
      </c>
      <c r="E1306">
        <v>0.92913274012205604</v>
      </c>
      <c r="F1306">
        <v>2</v>
      </c>
      <c r="G1306">
        <v>33.259576140999997</v>
      </c>
      <c r="H1306">
        <v>0.91475282676732095</v>
      </c>
      <c r="I1306">
        <v>2</v>
      </c>
      <c r="J1306">
        <v>0.41263022100000002</v>
      </c>
      <c r="P1306"/>
      <c r="V1306">
        <v>0.96492131589246699</v>
      </c>
      <c r="W1306">
        <v>2</v>
      </c>
      <c r="X1306">
        <v>193.60581556599999</v>
      </c>
      <c r="Y1306">
        <v>20372</v>
      </c>
      <c r="Z1306" s="1">
        <v>5.2681532572117201E-6</v>
      </c>
      <c r="AA1306">
        <v>1</v>
      </c>
    </row>
    <row r="1307" spans="1:27" x14ac:dyDescent="0.2">
      <c r="A1307">
        <v>10</v>
      </c>
      <c r="B1307">
        <v>2</v>
      </c>
      <c r="C1307">
        <v>0.1</v>
      </c>
      <c r="D1307">
        <v>100</v>
      </c>
      <c r="E1307">
        <v>0.89630746755836599</v>
      </c>
      <c r="F1307">
        <v>2</v>
      </c>
      <c r="G1307">
        <v>32.444319438999997</v>
      </c>
      <c r="H1307">
        <v>0.89152966984264403</v>
      </c>
      <c r="I1307">
        <v>2</v>
      </c>
      <c r="J1307">
        <v>0.28188949699999999</v>
      </c>
      <c r="P1307"/>
      <c r="V1307">
        <v>0.91926455398367202</v>
      </c>
      <c r="W1307">
        <v>2</v>
      </c>
      <c r="X1307">
        <v>341.89758633700001</v>
      </c>
      <c r="Y1307">
        <v>43707</v>
      </c>
      <c r="Z1307" s="1">
        <v>2.5296769288068299E-5</v>
      </c>
      <c r="AA1307">
        <v>1</v>
      </c>
    </row>
    <row r="1308" spans="1:27" x14ac:dyDescent="0.2">
      <c r="A1308">
        <v>10</v>
      </c>
      <c r="B1308">
        <v>2</v>
      </c>
      <c r="C1308">
        <v>0.1</v>
      </c>
      <c r="D1308">
        <v>100</v>
      </c>
      <c r="E1308">
        <v>0.98050792797491704</v>
      </c>
      <c r="F1308">
        <v>2</v>
      </c>
      <c r="G1308">
        <v>23.858923265000001</v>
      </c>
      <c r="H1308">
        <v>0.980512690532366</v>
      </c>
      <c r="I1308">
        <v>2</v>
      </c>
      <c r="J1308">
        <v>3.0463936E-2</v>
      </c>
      <c r="P1308"/>
      <c r="V1308">
        <v>0.94810172362406697</v>
      </c>
      <c r="W1308">
        <v>2</v>
      </c>
      <c r="X1308">
        <v>42.28613283</v>
      </c>
      <c r="Y1308">
        <v>6331</v>
      </c>
      <c r="Z1308" s="1">
        <v>1.5871032323002501E-5</v>
      </c>
      <c r="AA1308">
        <v>1</v>
      </c>
    </row>
    <row r="1309" spans="1:27" x14ac:dyDescent="0.2">
      <c r="A1309">
        <v>10</v>
      </c>
      <c r="B1309">
        <v>2</v>
      </c>
      <c r="C1309">
        <v>0.2</v>
      </c>
      <c r="D1309">
        <v>100</v>
      </c>
      <c r="E1309">
        <v>0.95903820198812295</v>
      </c>
      <c r="F1309">
        <v>2</v>
      </c>
      <c r="G1309">
        <v>32.040399676</v>
      </c>
      <c r="H1309">
        <v>0.96619474049271103</v>
      </c>
      <c r="I1309">
        <v>2</v>
      </c>
      <c r="J1309">
        <v>8.1499298999999997E-2</v>
      </c>
      <c r="P1309"/>
      <c r="V1309">
        <v>1.0265762269715299</v>
      </c>
      <c r="W1309">
        <v>2</v>
      </c>
      <c r="X1309">
        <v>1221.5004076289999</v>
      </c>
      <c r="Y1309">
        <v>25686</v>
      </c>
      <c r="Z1309">
        <v>1.81692076850848E-3</v>
      </c>
      <c r="AA1309">
        <v>1</v>
      </c>
    </row>
    <row r="1310" spans="1:27" x14ac:dyDescent="0.2">
      <c r="A1310">
        <v>10</v>
      </c>
      <c r="B1310">
        <v>2</v>
      </c>
      <c r="C1310">
        <v>0.1</v>
      </c>
      <c r="D1310">
        <v>100</v>
      </c>
      <c r="E1310">
        <v>0.95320292404573403</v>
      </c>
      <c r="F1310">
        <v>2</v>
      </c>
      <c r="G1310">
        <v>26.614090353000002</v>
      </c>
      <c r="H1310">
        <v>0.94700226603054705</v>
      </c>
      <c r="I1310">
        <v>2</v>
      </c>
      <c r="J1310">
        <v>4.0486223000000002E-2</v>
      </c>
      <c r="P1310"/>
      <c r="V1310">
        <v>0.95086346563447699</v>
      </c>
      <c r="W1310">
        <v>2</v>
      </c>
      <c r="X1310">
        <v>1927.8399175009999</v>
      </c>
      <c r="Y1310">
        <v>73829</v>
      </c>
      <c r="Z1310">
        <v>6.8600759229209599E-4</v>
      </c>
      <c r="AA1310">
        <v>7</v>
      </c>
    </row>
    <row r="1311" spans="1:27" x14ac:dyDescent="0.2">
      <c r="A1311">
        <v>10</v>
      </c>
      <c r="B1311">
        <v>2</v>
      </c>
      <c r="C1311">
        <v>0.1</v>
      </c>
      <c r="D1311">
        <v>100</v>
      </c>
      <c r="E1311">
        <v>0.91709079611123601</v>
      </c>
      <c r="F1311">
        <v>2</v>
      </c>
      <c r="G1311">
        <v>34.738939221000003</v>
      </c>
      <c r="H1311">
        <v>0.91709081231964495</v>
      </c>
      <c r="I1311">
        <v>2</v>
      </c>
      <c r="J1311">
        <v>4.8123946000000001E-2</v>
      </c>
      <c r="P1311"/>
      <c r="V1311">
        <v>0.929091890077688</v>
      </c>
      <c r="W1311">
        <v>2</v>
      </c>
      <c r="X1311">
        <v>1222.314052834</v>
      </c>
      <c r="Y1311">
        <v>50704</v>
      </c>
      <c r="Z1311">
        <v>2.38613029613156E-3</v>
      </c>
      <c r="AA1311">
        <v>1</v>
      </c>
    </row>
    <row r="1312" spans="1:27" x14ac:dyDescent="0.2">
      <c r="A1312">
        <v>10</v>
      </c>
      <c r="B1312">
        <v>2</v>
      </c>
      <c r="C1312">
        <v>0.2</v>
      </c>
      <c r="D1312">
        <v>100</v>
      </c>
      <c r="E1312">
        <v>1.0399686061556199</v>
      </c>
      <c r="F1312">
        <v>2</v>
      </c>
      <c r="G1312">
        <v>35.870311897000001</v>
      </c>
      <c r="H1312">
        <v>1.00945345538509</v>
      </c>
      <c r="I1312">
        <v>2</v>
      </c>
      <c r="J1312">
        <v>0.59228603499999999</v>
      </c>
      <c r="P1312"/>
      <c r="V1312">
        <v>0.95902293856288801</v>
      </c>
      <c r="W1312">
        <v>2</v>
      </c>
      <c r="X1312">
        <v>4716.6800290319998</v>
      </c>
      <c r="Y1312">
        <v>138937</v>
      </c>
      <c r="Z1312">
        <v>5.3218005198904495E-4</v>
      </c>
      <c r="AA1312">
        <v>17</v>
      </c>
    </row>
    <row r="1313" spans="1:27" x14ac:dyDescent="0.2">
      <c r="A1313">
        <v>10</v>
      </c>
      <c r="B1313">
        <v>2</v>
      </c>
      <c r="C1313">
        <v>0.1</v>
      </c>
      <c r="D1313">
        <v>100</v>
      </c>
      <c r="E1313">
        <v>0.93777025852604601</v>
      </c>
      <c r="F1313">
        <v>2</v>
      </c>
      <c r="G1313">
        <v>31.870322731000002</v>
      </c>
      <c r="H1313">
        <v>0.95378027243461605</v>
      </c>
      <c r="I1313">
        <v>2</v>
      </c>
      <c r="J1313">
        <v>0.23072379400000001</v>
      </c>
      <c r="P1313"/>
      <c r="V1313">
        <v>0.977064031381216</v>
      </c>
      <c r="W1313">
        <v>2</v>
      </c>
      <c r="X1313">
        <v>76.466930892999997</v>
      </c>
      <c r="Y1313">
        <v>14631</v>
      </c>
      <c r="Z1313" s="1">
        <v>4.8239784135144205E-7</v>
      </c>
      <c r="AA1313">
        <v>1</v>
      </c>
    </row>
    <row r="1314" spans="1:27" x14ac:dyDescent="0.2">
      <c r="A1314">
        <v>10</v>
      </c>
      <c r="B1314">
        <v>2</v>
      </c>
      <c r="C1314">
        <v>0.2</v>
      </c>
      <c r="D1314">
        <v>100</v>
      </c>
      <c r="E1314">
        <v>1.0453395053152501</v>
      </c>
      <c r="F1314">
        <v>2</v>
      </c>
      <c r="G1314">
        <v>32.226209892999996</v>
      </c>
      <c r="H1314">
        <v>1.01658028767121</v>
      </c>
      <c r="I1314">
        <v>2</v>
      </c>
      <c r="J1314">
        <v>0.242222884</v>
      </c>
      <c r="P1314"/>
      <c r="V1314">
        <v>0.92329032230530494</v>
      </c>
      <c r="W1314">
        <v>2</v>
      </c>
      <c r="X1314">
        <v>1222.836685691</v>
      </c>
      <c r="Y1314">
        <v>27286</v>
      </c>
      <c r="Z1314">
        <v>7.2335507671344296E-4</v>
      </c>
      <c r="AA1314">
        <v>1</v>
      </c>
    </row>
    <row r="1315" spans="1:27" x14ac:dyDescent="0.2">
      <c r="A1315">
        <v>10</v>
      </c>
      <c r="B1315">
        <v>2</v>
      </c>
      <c r="C1315">
        <v>0.1</v>
      </c>
      <c r="D1315">
        <v>100</v>
      </c>
      <c r="E1315">
        <v>0.98933313991942395</v>
      </c>
      <c r="F1315">
        <v>2</v>
      </c>
      <c r="G1315">
        <v>33.646334912999997</v>
      </c>
      <c r="H1315">
        <v>0.98936952499330499</v>
      </c>
      <c r="I1315">
        <v>2</v>
      </c>
      <c r="J1315">
        <v>4.7788523999999999E-2</v>
      </c>
      <c r="P1315"/>
      <c r="V1315">
        <v>0.98943607388195298</v>
      </c>
      <c r="W1315">
        <v>2</v>
      </c>
      <c r="X1315">
        <v>1220.6560348089999</v>
      </c>
      <c r="Y1315">
        <v>23720</v>
      </c>
      <c r="Z1315">
        <v>1.5962235204769501E-3</v>
      </c>
      <c r="AA1315">
        <v>1</v>
      </c>
    </row>
    <row r="1316" spans="1:27" x14ac:dyDescent="0.2">
      <c r="A1316">
        <v>10</v>
      </c>
      <c r="B1316">
        <v>2</v>
      </c>
      <c r="C1316">
        <v>0.2</v>
      </c>
      <c r="D1316">
        <v>100</v>
      </c>
      <c r="E1316">
        <v>0.83295652748375804</v>
      </c>
      <c r="F1316">
        <v>2</v>
      </c>
      <c r="G1316">
        <v>34.353122378999998</v>
      </c>
      <c r="H1316">
        <v>0.82435608252008497</v>
      </c>
      <c r="I1316">
        <v>2</v>
      </c>
      <c r="J1316">
        <v>0.111636527</v>
      </c>
      <c r="P1316"/>
      <c r="V1316">
        <v>0.82456823820748004</v>
      </c>
      <c r="W1316">
        <v>2</v>
      </c>
      <c r="X1316">
        <v>1224.881790442</v>
      </c>
      <c r="Y1316">
        <v>70696</v>
      </c>
      <c r="Z1316">
        <v>3.8849865377414898E-3</v>
      </c>
      <c r="AA1316">
        <v>1</v>
      </c>
    </row>
    <row r="1317" spans="1:27" x14ac:dyDescent="0.2">
      <c r="A1317">
        <v>10</v>
      </c>
      <c r="B1317">
        <v>2</v>
      </c>
      <c r="C1317">
        <v>0.1</v>
      </c>
      <c r="D1317">
        <v>100</v>
      </c>
      <c r="E1317">
        <v>0.97446965912170302</v>
      </c>
      <c r="F1317">
        <v>2</v>
      </c>
      <c r="G1317">
        <v>33.262937162999997</v>
      </c>
      <c r="H1317">
        <v>1.0443891780368999</v>
      </c>
      <c r="I1317">
        <v>2</v>
      </c>
      <c r="J1317">
        <v>0.15709289300000001</v>
      </c>
      <c r="P1317"/>
      <c r="V1317">
        <v>1.0263232136226399</v>
      </c>
      <c r="W1317">
        <v>2</v>
      </c>
      <c r="X1317">
        <v>670.51383512899997</v>
      </c>
      <c r="Y1317">
        <v>65850</v>
      </c>
      <c r="Z1317" s="1">
        <v>3.1546878167292701E-5</v>
      </c>
      <c r="AA1317">
        <v>1</v>
      </c>
    </row>
    <row r="1318" spans="1:27" x14ac:dyDescent="0.2">
      <c r="A1318">
        <v>10</v>
      </c>
      <c r="B1318">
        <v>2</v>
      </c>
      <c r="C1318">
        <v>0.1</v>
      </c>
      <c r="D1318">
        <v>100</v>
      </c>
      <c r="E1318">
        <v>0.96993763853662296</v>
      </c>
      <c r="F1318">
        <v>2</v>
      </c>
      <c r="G1318">
        <v>33.639655392999998</v>
      </c>
      <c r="H1318">
        <v>0.96993952834236097</v>
      </c>
      <c r="I1318">
        <v>2</v>
      </c>
      <c r="J1318">
        <v>4.2816982000000003E-2</v>
      </c>
      <c r="P1318"/>
      <c r="V1318">
        <v>1.0342077123548501</v>
      </c>
      <c r="W1318">
        <v>2</v>
      </c>
      <c r="X1318">
        <v>117.63446249899999</v>
      </c>
      <c r="Y1318">
        <v>15157</v>
      </c>
      <c r="Z1318" s="1">
        <v>2.9274159353640599E-6</v>
      </c>
      <c r="AA1318">
        <v>1</v>
      </c>
    </row>
    <row r="1319" spans="1:27" x14ac:dyDescent="0.2">
      <c r="A1319">
        <v>10</v>
      </c>
      <c r="B1319">
        <v>2</v>
      </c>
      <c r="C1319">
        <v>0.2</v>
      </c>
      <c r="D1319">
        <v>100</v>
      </c>
      <c r="E1319">
        <v>1.00346908380668</v>
      </c>
      <c r="F1319">
        <v>2</v>
      </c>
      <c r="G1319">
        <v>33.024055248000003</v>
      </c>
      <c r="H1319">
        <v>1.12838176419363</v>
      </c>
      <c r="I1319">
        <v>2</v>
      </c>
      <c r="J1319">
        <v>0.42688162600000001</v>
      </c>
      <c r="P1319"/>
      <c r="V1319">
        <v>1.1026822989741401</v>
      </c>
      <c r="W1319">
        <v>2</v>
      </c>
      <c r="X1319">
        <v>184.271114238</v>
      </c>
      <c r="Y1319">
        <v>6430</v>
      </c>
      <c r="Z1319">
        <v>2.4075331441571801E-4</v>
      </c>
      <c r="AA1319">
        <v>1</v>
      </c>
    </row>
    <row r="1320" spans="1:27" x14ac:dyDescent="0.2">
      <c r="A1320">
        <v>10</v>
      </c>
      <c r="B1320">
        <v>2</v>
      </c>
      <c r="C1320">
        <v>0.1</v>
      </c>
      <c r="D1320">
        <v>100</v>
      </c>
      <c r="E1320">
        <v>1.0042810606055901</v>
      </c>
      <c r="F1320">
        <v>2</v>
      </c>
      <c r="G1320">
        <v>34.973002135999998</v>
      </c>
      <c r="H1320">
        <v>1.0873700891176801</v>
      </c>
      <c r="I1320">
        <v>2</v>
      </c>
      <c r="J1320">
        <v>0.36356688700000001</v>
      </c>
      <c r="P1320"/>
      <c r="V1320">
        <v>1.0146700166848399</v>
      </c>
      <c r="W1320">
        <v>2</v>
      </c>
      <c r="X1320">
        <v>56.838277816999998</v>
      </c>
      <c r="Y1320">
        <v>6422</v>
      </c>
      <c r="Z1320" s="1">
        <v>9.1325743900236204E-6</v>
      </c>
      <c r="AA1320">
        <v>1</v>
      </c>
    </row>
    <row r="1321" spans="1:27" x14ac:dyDescent="0.2">
      <c r="A1321">
        <v>10</v>
      </c>
      <c r="B1321">
        <v>2</v>
      </c>
      <c r="C1321">
        <v>0.3</v>
      </c>
      <c r="D1321">
        <v>100</v>
      </c>
      <c r="E1321">
        <v>0.47276392302303799</v>
      </c>
      <c r="F1321">
        <v>2</v>
      </c>
      <c r="G1321">
        <v>34.119976817000001</v>
      </c>
      <c r="H1321">
        <v>0.50175672932138404</v>
      </c>
      <c r="I1321">
        <v>2</v>
      </c>
      <c r="J1321">
        <v>0.13815370699999999</v>
      </c>
      <c r="P1321"/>
      <c r="V1321">
        <v>0.49992476072925601</v>
      </c>
      <c r="W1321">
        <v>2</v>
      </c>
      <c r="X1321">
        <v>1463.6045977230001</v>
      </c>
      <c r="Y1321">
        <v>5881</v>
      </c>
      <c r="Z1321">
        <v>7.8254656873468706E-3</v>
      </c>
      <c r="AA1321">
        <v>4</v>
      </c>
    </row>
    <row r="1322" spans="1:27" x14ac:dyDescent="0.2">
      <c r="A1322">
        <v>10</v>
      </c>
      <c r="B1322">
        <v>2</v>
      </c>
      <c r="C1322">
        <v>0.1</v>
      </c>
      <c r="D1322">
        <v>100</v>
      </c>
      <c r="E1322">
        <v>0.902840377320274</v>
      </c>
      <c r="F1322">
        <v>2</v>
      </c>
      <c r="G1322">
        <v>35.396753480000001</v>
      </c>
      <c r="H1322">
        <v>0.90284035506944005</v>
      </c>
      <c r="I1322">
        <v>2</v>
      </c>
      <c r="J1322">
        <v>4.5265223E-2</v>
      </c>
      <c r="P1322"/>
      <c r="V1322">
        <v>1.02115143450399</v>
      </c>
      <c r="W1322">
        <v>2</v>
      </c>
      <c r="X1322">
        <v>239.919348619</v>
      </c>
      <c r="Y1322">
        <v>40647</v>
      </c>
      <c r="Z1322" s="1">
        <v>3.9404412548352899E-5</v>
      </c>
      <c r="AA1322">
        <v>1</v>
      </c>
    </row>
    <row r="1323" spans="1:27" x14ac:dyDescent="0.2">
      <c r="A1323">
        <v>10</v>
      </c>
      <c r="B1323">
        <v>2</v>
      </c>
      <c r="C1323">
        <v>0.1</v>
      </c>
      <c r="D1323">
        <v>100</v>
      </c>
      <c r="E1323">
        <v>0.98181459157867501</v>
      </c>
      <c r="F1323">
        <v>2</v>
      </c>
      <c r="G1323">
        <v>40.614913252000001</v>
      </c>
      <c r="H1323">
        <v>0.99218471728145297</v>
      </c>
      <c r="I1323">
        <v>2</v>
      </c>
      <c r="J1323">
        <v>0.18458930200000001</v>
      </c>
      <c r="P1323"/>
      <c r="V1323">
        <v>0.95487805110583301</v>
      </c>
      <c r="W1323">
        <v>2</v>
      </c>
      <c r="X1323">
        <v>67.124407024000007</v>
      </c>
      <c r="Y1323">
        <v>7833</v>
      </c>
      <c r="Z1323" s="1">
        <v>9.6695867946920006E-5</v>
      </c>
      <c r="AA1323">
        <v>1</v>
      </c>
    </row>
    <row r="1324" spans="1:27" x14ac:dyDescent="0.2">
      <c r="A1324">
        <v>10</v>
      </c>
      <c r="B1324">
        <v>2</v>
      </c>
      <c r="C1324">
        <v>0.1</v>
      </c>
      <c r="D1324">
        <v>100</v>
      </c>
      <c r="E1324">
        <v>0.94371517924566095</v>
      </c>
      <c r="F1324">
        <v>2</v>
      </c>
      <c r="G1324">
        <v>33.921428229999997</v>
      </c>
      <c r="H1324">
        <v>0.94884579411866699</v>
      </c>
      <c r="I1324">
        <v>2</v>
      </c>
      <c r="J1324">
        <v>6.3031251999999996E-2</v>
      </c>
      <c r="P1324"/>
      <c r="V1324">
        <v>0.91504948393947505</v>
      </c>
      <c r="W1324">
        <v>2</v>
      </c>
      <c r="X1324">
        <v>75.792962158999998</v>
      </c>
      <c r="Y1324">
        <v>12731</v>
      </c>
      <c r="Z1324">
        <v>3.3377906779442901E-4</v>
      </c>
      <c r="AA1324">
        <v>1</v>
      </c>
    </row>
    <row r="1325" spans="1:27" x14ac:dyDescent="0.2">
      <c r="A1325">
        <v>10</v>
      </c>
      <c r="B1325">
        <v>2</v>
      </c>
      <c r="C1325">
        <v>0.1</v>
      </c>
      <c r="D1325">
        <v>100</v>
      </c>
      <c r="E1325">
        <v>0.93675980922848201</v>
      </c>
      <c r="F1325">
        <v>2</v>
      </c>
      <c r="G1325">
        <v>34.456386111</v>
      </c>
      <c r="H1325">
        <v>0.92309731319144295</v>
      </c>
      <c r="I1325">
        <v>2</v>
      </c>
      <c r="J1325">
        <v>0.21202231199999999</v>
      </c>
      <c r="P1325"/>
      <c r="V1325">
        <v>0.89571300482507699</v>
      </c>
      <c r="W1325">
        <v>2</v>
      </c>
      <c r="X1325">
        <v>79.506314830999997</v>
      </c>
      <c r="Y1325">
        <v>12695</v>
      </c>
      <c r="Z1325">
        <v>1.1745853314463999E-4</v>
      </c>
      <c r="AA1325">
        <v>1</v>
      </c>
    </row>
    <row r="1326" spans="1:27" x14ac:dyDescent="0.2">
      <c r="A1326">
        <v>10</v>
      </c>
      <c r="B1326">
        <v>2</v>
      </c>
      <c r="C1326">
        <v>0.1</v>
      </c>
      <c r="D1326">
        <v>100</v>
      </c>
      <c r="E1326">
        <v>1.0001935165201099</v>
      </c>
      <c r="F1326">
        <v>2</v>
      </c>
      <c r="G1326">
        <v>31.115805844</v>
      </c>
      <c r="H1326">
        <v>0.99248335311913904</v>
      </c>
      <c r="I1326">
        <v>2</v>
      </c>
      <c r="J1326">
        <v>9.3086446000000003E-2</v>
      </c>
      <c r="P1326"/>
      <c r="V1326">
        <v>0.99429721981846597</v>
      </c>
      <c r="W1326">
        <v>2</v>
      </c>
      <c r="X1326">
        <v>48.713063456</v>
      </c>
      <c r="Y1326">
        <v>11916</v>
      </c>
      <c r="Z1326" s="1">
        <v>1.6756382615473699E-7</v>
      </c>
      <c r="AA1326">
        <v>1</v>
      </c>
    </row>
    <row r="1327" spans="1:27" x14ac:dyDescent="0.2">
      <c r="A1327">
        <v>20</v>
      </c>
      <c r="B1327">
        <v>2</v>
      </c>
      <c r="C1327">
        <v>0.1</v>
      </c>
      <c r="D1327">
        <v>20</v>
      </c>
      <c r="E1327">
        <v>1.0700243441206601</v>
      </c>
      <c r="F1327">
        <v>2</v>
      </c>
      <c r="G1327">
        <v>26.425538254999999</v>
      </c>
      <c r="H1327">
        <v>1.0518216261631199</v>
      </c>
      <c r="I1327">
        <v>2</v>
      </c>
      <c r="J1327">
        <v>0.33901998799999999</v>
      </c>
      <c r="P1327"/>
      <c r="V1327">
        <v>1.1291734508390501</v>
      </c>
      <c r="W1327">
        <v>2</v>
      </c>
      <c r="X1327">
        <v>74981.800940329995</v>
      </c>
      <c r="Y1327">
        <v>226680</v>
      </c>
      <c r="Z1327">
        <v>1.9528345709865301E-2</v>
      </c>
      <c r="AA1327">
        <v>100</v>
      </c>
    </row>
    <row r="1328" spans="1:27" x14ac:dyDescent="0.2">
      <c r="A1328">
        <v>20</v>
      </c>
      <c r="B1328">
        <v>2</v>
      </c>
      <c r="C1328">
        <v>0.2</v>
      </c>
      <c r="D1328">
        <v>20</v>
      </c>
      <c r="E1328">
        <v>0.58703331700455297</v>
      </c>
      <c r="F1328">
        <v>2</v>
      </c>
      <c r="G1328">
        <v>26.865333471</v>
      </c>
      <c r="H1328">
        <v>0.48203891099461199</v>
      </c>
      <c r="I1328">
        <v>2</v>
      </c>
      <c r="J1328">
        <v>0.360129537</v>
      </c>
      <c r="P1328"/>
      <c r="V1328">
        <v>0.470831661137464</v>
      </c>
      <c r="W1328">
        <v>2</v>
      </c>
      <c r="X1328">
        <v>75444.266397261003</v>
      </c>
      <c r="Y1328">
        <v>6613</v>
      </c>
      <c r="Z1328">
        <v>0.27447791375980102</v>
      </c>
      <c r="AA1328">
        <v>100</v>
      </c>
    </row>
    <row r="1329" spans="1:27" x14ac:dyDescent="0.2">
      <c r="A1329">
        <v>20</v>
      </c>
      <c r="B1329">
        <v>2</v>
      </c>
      <c r="C1329">
        <v>0.1</v>
      </c>
      <c r="D1329">
        <v>20</v>
      </c>
      <c r="E1329">
        <v>0.97783346148500205</v>
      </c>
      <c r="F1329">
        <v>2</v>
      </c>
      <c r="G1329">
        <v>27.713653913999998</v>
      </c>
      <c r="H1329">
        <v>1.0065075744432901</v>
      </c>
      <c r="I1329">
        <v>2</v>
      </c>
      <c r="J1329">
        <v>0.36175093000000003</v>
      </c>
      <c r="P1329"/>
      <c r="V1329">
        <v>1.0078100987907901</v>
      </c>
      <c r="W1329">
        <v>2</v>
      </c>
      <c r="X1329">
        <v>75024.749738601007</v>
      </c>
      <c r="Y1329">
        <v>91966</v>
      </c>
      <c r="Z1329">
        <v>6.4546849275516297E-3</v>
      </c>
      <c r="AA1329">
        <v>100</v>
      </c>
    </row>
    <row r="1330" spans="1:27" x14ac:dyDescent="0.2">
      <c r="A1330">
        <v>20</v>
      </c>
      <c r="B1330">
        <v>2</v>
      </c>
      <c r="C1330">
        <v>0.1</v>
      </c>
      <c r="D1330">
        <v>20</v>
      </c>
      <c r="E1330">
        <v>1.02171748849281</v>
      </c>
      <c r="F1330">
        <v>2</v>
      </c>
      <c r="G1330">
        <v>26.365655683</v>
      </c>
      <c r="H1330">
        <v>0.979451767450355</v>
      </c>
      <c r="I1330">
        <v>2</v>
      </c>
      <c r="J1330">
        <v>0.74113505300000004</v>
      </c>
      <c r="P1330"/>
      <c r="V1330">
        <v>0.98102827888904998</v>
      </c>
      <c r="W1330">
        <v>2</v>
      </c>
      <c r="X1330">
        <v>75464.690619296001</v>
      </c>
      <c r="Y1330">
        <v>77829</v>
      </c>
      <c r="Z1330">
        <v>3.67443952645857E-2</v>
      </c>
      <c r="AA1330">
        <v>100</v>
      </c>
    </row>
    <row r="1331" spans="1:27" x14ac:dyDescent="0.2">
      <c r="A1331">
        <v>20</v>
      </c>
      <c r="B1331">
        <v>2</v>
      </c>
      <c r="C1331">
        <v>0.1</v>
      </c>
      <c r="D1331">
        <v>20</v>
      </c>
      <c r="E1331">
        <v>1.0351271303163401</v>
      </c>
      <c r="F1331">
        <v>2</v>
      </c>
      <c r="G1331">
        <v>27.876977304</v>
      </c>
      <c r="H1331">
        <v>1.0213795117031901</v>
      </c>
      <c r="I1331">
        <v>2</v>
      </c>
      <c r="J1331">
        <v>0.56779643400000002</v>
      </c>
      <c r="P1331"/>
      <c r="V1331">
        <v>1.024318137771</v>
      </c>
      <c r="W1331">
        <v>2</v>
      </c>
      <c r="X1331">
        <v>75106.647697491004</v>
      </c>
      <c r="Y1331">
        <v>147732</v>
      </c>
      <c r="Z1331">
        <v>2.5935019793905601E-2</v>
      </c>
      <c r="AA1331">
        <v>100</v>
      </c>
    </row>
    <row r="1332" spans="1:27" x14ac:dyDescent="0.2">
      <c r="A1332">
        <v>20</v>
      </c>
      <c r="B1332">
        <v>2</v>
      </c>
      <c r="C1332">
        <v>0.3</v>
      </c>
      <c r="D1332">
        <v>20</v>
      </c>
      <c r="E1332">
        <v>0.207265549128688</v>
      </c>
      <c r="F1332">
        <v>2</v>
      </c>
      <c r="G1332">
        <v>22.185057469</v>
      </c>
      <c r="H1332">
        <v>0.152693982410154</v>
      </c>
      <c r="I1332">
        <v>2</v>
      </c>
      <c r="J1332">
        <v>0.19451923199999999</v>
      </c>
      <c r="P1332"/>
      <c r="V1332">
        <v>0.13890087217602401</v>
      </c>
      <c r="W1332">
        <v>2</v>
      </c>
      <c r="X1332">
        <v>83925.235692903007</v>
      </c>
      <c r="Y1332">
        <v>176142</v>
      </c>
      <c r="Z1332">
        <v>0.29481551337808298</v>
      </c>
      <c r="AA1332">
        <v>100</v>
      </c>
    </row>
    <row r="1333" spans="1:27" x14ac:dyDescent="0.2">
      <c r="A1333">
        <v>20</v>
      </c>
      <c r="B1333">
        <v>2</v>
      </c>
      <c r="C1333">
        <v>0.1</v>
      </c>
      <c r="D1333">
        <v>20</v>
      </c>
      <c r="E1333">
        <v>1.06970579486192</v>
      </c>
      <c r="F1333">
        <v>2</v>
      </c>
      <c r="G1333">
        <v>29.611857868000001</v>
      </c>
      <c r="H1333">
        <v>1.02689110718586</v>
      </c>
      <c r="I1333">
        <v>2</v>
      </c>
      <c r="J1333">
        <v>0.86765906299999995</v>
      </c>
      <c r="P1333"/>
      <c r="V1333">
        <v>1.03007936835895</v>
      </c>
      <c r="W1333">
        <v>2</v>
      </c>
      <c r="X1333">
        <v>75505.309673401993</v>
      </c>
      <c r="Y1333">
        <v>133746</v>
      </c>
      <c r="Z1333">
        <v>2.23478966363472E-2</v>
      </c>
      <c r="AA1333">
        <v>100</v>
      </c>
    </row>
    <row r="1334" spans="1:27" x14ac:dyDescent="0.2">
      <c r="A1334">
        <v>20</v>
      </c>
      <c r="B1334">
        <v>2</v>
      </c>
      <c r="C1334">
        <v>0.2</v>
      </c>
      <c r="D1334">
        <v>20</v>
      </c>
      <c r="E1334">
        <v>0.68598553292208597</v>
      </c>
      <c r="F1334">
        <v>2</v>
      </c>
      <c r="G1334">
        <v>29.663285852000001</v>
      </c>
      <c r="H1334">
        <v>0.58246010190382802</v>
      </c>
      <c r="I1334">
        <v>2</v>
      </c>
      <c r="J1334">
        <v>0.85451167299999997</v>
      </c>
      <c r="P1334"/>
      <c r="V1334">
        <v>0.57842669852703998</v>
      </c>
      <c r="W1334">
        <v>2</v>
      </c>
      <c r="X1334">
        <v>75750.056755801997</v>
      </c>
      <c r="Y1334">
        <v>7187</v>
      </c>
      <c r="Z1334">
        <v>0.18489871067491001</v>
      </c>
      <c r="AA1334">
        <v>100</v>
      </c>
    </row>
    <row r="1335" spans="1:27" x14ac:dyDescent="0.2">
      <c r="A1335">
        <v>20</v>
      </c>
      <c r="B1335">
        <v>2</v>
      </c>
      <c r="C1335">
        <v>0.1</v>
      </c>
      <c r="D1335">
        <v>20</v>
      </c>
      <c r="E1335">
        <v>1.15676257793296</v>
      </c>
      <c r="F1335">
        <v>2</v>
      </c>
      <c r="G1335">
        <v>28.984420498999999</v>
      </c>
      <c r="H1335">
        <v>0.96372162781272097</v>
      </c>
      <c r="I1335">
        <v>2</v>
      </c>
      <c r="J1335">
        <v>0.76949852500000004</v>
      </c>
      <c r="P1335"/>
      <c r="V1335">
        <v>1.0544700024954701</v>
      </c>
      <c r="W1335">
        <v>2</v>
      </c>
      <c r="X1335">
        <v>75725.633595884996</v>
      </c>
      <c r="Y1335">
        <v>83315</v>
      </c>
      <c r="Z1335">
        <v>2.8524338148929101E-2</v>
      </c>
      <c r="AA1335">
        <v>100</v>
      </c>
    </row>
    <row r="1336" spans="1:27" x14ac:dyDescent="0.2">
      <c r="A1336">
        <v>20</v>
      </c>
      <c r="B1336">
        <v>2</v>
      </c>
      <c r="C1336">
        <v>0.1</v>
      </c>
      <c r="D1336">
        <v>20</v>
      </c>
      <c r="E1336">
        <v>0.95810543834024497</v>
      </c>
      <c r="F1336">
        <v>2</v>
      </c>
      <c r="G1336">
        <v>29.707888950000001</v>
      </c>
      <c r="H1336">
        <v>0.94363364420613804</v>
      </c>
      <c r="I1336">
        <v>2</v>
      </c>
      <c r="J1336">
        <v>0.766220872</v>
      </c>
      <c r="P1336"/>
      <c r="V1336">
        <v>0.94568549844557404</v>
      </c>
      <c r="W1336">
        <v>2</v>
      </c>
      <c r="X1336">
        <v>75727.557675117001</v>
      </c>
      <c r="Y1336">
        <v>135963</v>
      </c>
      <c r="Z1336">
        <v>1.2009307835218501E-2</v>
      </c>
      <c r="AA1336">
        <v>100</v>
      </c>
    </row>
    <row r="1337" spans="1:27" x14ac:dyDescent="0.2">
      <c r="A1337">
        <v>20</v>
      </c>
      <c r="B1337">
        <v>2</v>
      </c>
      <c r="C1337">
        <v>0.1</v>
      </c>
      <c r="D1337">
        <v>20</v>
      </c>
      <c r="E1337">
        <v>0.91681877791785804</v>
      </c>
      <c r="F1337">
        <v>2</v>
      </c>
      <c r="G1337">
        <v>28.709550244999999</v>
      </c>
      <c r="H1337">
        <v>0.91479654975564395</v>
      </c>
      <c r="I1337">
        <v>2</v>
      </c>
      <c r="J1337">
        <v>0.33320777899999998</v>
      </c>
      <c r="P1337"/>
      <c r="V1337">
        <v>0.91982646056303596</v>
      </c>
      <c r="W1337">
        <v>2</v>
      </c>
      <c r="X1337">
        <v>75288.309995578005</v>
      </c>
      <c r="Y1337">
        <v>84140</v>
      </c>
      <c r="Z1337">
        <v>2.0262719011952798E-2</v>
      </c>
      <c r="AA1337">
        <v>100</v>
      </c>
    </row>
    <row r="1338" spans="1:27" x14ac:dyDescent="0.2">
      <c r="A1338">
        <v>20</v>
      </c>
      <c r="B1338">
        <v>2</v>
      </c>
      <c r="C1338">
        <v>0.2</v>
      </c>
      <c r="D1338">
        <v>20</v>
      </c>
      <c r="E1338">
        <v>0.54967473642459597</v>
      </c>
      <c r="F1338">
        <v>2</v>
      </c>
      <c r="G1338">
        <v>30.403325766999998</v>
      </c>
      <c r="H1338">
        <v>0.56253700708302201</v>
      </c>
      <c r="I1338">
        <v>2</v>
      </c>
      <c r="J1338">
        <v>0.50278702500000005</v>
      </c>
      <c r="P1338"/>
      <c r="V1338">
        <v>0.562299599616501</v>
      </c>
      <c r="W1338">
        <v>2</v>
      </c>
      <c r="X1338">
        <v>75715.695833006001</v>
      </c>
      <c r="Y1338">
        <v>143805</v>
      </c>
      <c r="Z1338">
        <v>0.388633272760603</v>
      </c>
      <c r="AA1338">
        <v>100</v>
      </c>
    </row>
    <row r="1339" spans="1:27" x14ac:dyDescent="0.2">
      <c r="A1339">
        <v>20</v>
      </c>
      <c r="B1339">
        <v>2</v>
      </c>
      <c r="C1339">
        <v>0.1</v>
      </c>
      <c r="D1339">
        <v>20</v>
      </c>
      <c r="E1339">
        <v>0.89205175662686997</v>
      </c>
      <c r="F1339">
        <v>2</v>
      </c>
      <c r="G1339">
        <v>30.066914532999998</v>
      </c>
      <c r="H1339">
        <v>0.83311245642226095</v>
      </c>
      <c r="I1339">
        <v>2</v>
      </c>
      <c r="J1339">
        <v>0.89211449300000001</v>
      </c>
      <c r="P1339"/>
      <c r="V1339">
        <v>0.83409784184468105</v>
      </c>
      <c r="W1339">
        <v>2</v>
      </c>
      <c r="X1339">
        <v>75463.405055409006</v>
      </c>
      <c r="Y1339">
        <v>164055</v>
      </c>
      <c r="Z1339">
        <v>9.9032765911905199E-2</v>
      </c>
      <c r="AA1339">
        <v>100</v>
      </c>
    </row>
    <row r="1340" spans="1:27" x14ac:dyDescent="0.2">
      <c r="A1340">
        <v>20</v>
      </c>
      <c r="B1340">
        <v>2</v>
      </c>
      <c r="C1340">
        <v>0.1</v>
      </c>
      <c r="D1340">
        <v>20</v>
      </c>
      <c r="E1340">
        <v>0.89821031604420498</v>
      </c>
      <c r="F1340">
        <v>2</v>
      </c>
      <c r="G1340">
        <v>29.573565657</v>
      </c>
      <c r="H1340">
        <v>0.92713623588900795</v>
      </c>
      <c r="I1340">
        <v>2</v>
      </c>
      <c r="J1340">
        <v>0.47948639999999998</v>
      </c>
      <c r="P1340"/>
      <c r="V1340">
        <v>1.14415478156466</v>
      </c>
      <c r="W1340">
        <v>2</v>
      </c>
      <c r="X1340">
        <v>75153.595965232002</v>
      </c>
      <c r="Y1340">
        <v>185489</v>
      </c>
      <c r="Z1340">
        <v>4.8276226520202498E-2</v>
      </c>
      <c r="AA1340">
        <v>100</v>
      </c>
    </row>
    <row r="1341" spans="1:27" x14ac:dyDescent="0.2">
      <c r="A1341">
        <v>20</v>
      </c>
      <c r="B1341">
        <v>2</v>
      </c>
      <c r="C1341">
        <v>0.3</v>
      </c>
      <c r="D1341">
        <v>20</v>
      </c>
      <c r="E1341">
        <v>0.20521296118915999</v>
      </c>
      <c r="F1341">
        <v>2</v>
      </c>
      <c r="G1341">
        <v>25.609665244999999</v>
      </c>
      <c r="H1341">
        <v>0.13246852721549801</v>
      </c>
      <c r="I1341">
        <v>2</v>
      </c>
      <c r="J1341">
        <v>0.203863506</v>
      </c>
      <c r="P1341"/>
      <c r="V1341">
        <v>0.11031584775167801</v>
      </c>
      <c r="W1341">
        <v>2</v>
      </c>
      <c r="X1341">
        <v>78259.316861101994</v>
      </c>
      <c r="Y1341">
        <v>157484</v>
      </c>
      <c r="Z1341">
        <v>0.51038370696551205</v>
      </c>
      <c r="AA1341">
        <v>100</v>
      </c>
    </row>
    <row r="1342" spans="1:27" x14ac:dyDescent="0.2">
      <c r="A1342">
        <v>20</v>
      </c>
      <c r="B1342">
        <v>2</v>
      </c>
      <c r="C1342">
        <v>0.2</v>
      </c>
      <c r="D1342">
        <v>20</v>
      </c>
      <c r="E1342">
        <v>0.56170871411285705</v>
      </c>
      <c r="F1342">
        <v>2</v>
      </c>
      <c r="G1342">
        <v>30.284812930000001</v>
      </c>
      <c r="H1342">
        <v>0.54474657127551296</v>
      </c>
      <c r="I1342">
        <v>2</v>
      </c>
      <c r="J1342">
        <v>0.40121509700000002</v>
      </c>
      <c r="P1342"/>
      <c r="V1342">
        <v>0.51977548183351896</v>
      </c>
      <c r="W1342">
        <v>2</v>
      </c>
      <c r="X1342">
        <v>75436.734106912001</v>
      </c>
      <c r="Y1342">
        <v>7598</v>
      </c>
      <c r="Z1342">
        <v>0.53634657865040902</v>
      </c>
      <c r="AA1342">
        <v>100</v>
      </c>
    </row>
    <row r="1343" spans="1:27" x14ac:dyDescent="0.2">
      <c r="A1343">
        <v>20</v>
      </c>
      <c r="B1343">
        <v>2</v>
      </c>
      <c r="C1343">
        <v>0.3</v>
      </c>
      <c r="D1343">
        <v>20</v>
      </c>
      <c r="E1343">
        <v>0.30995608040558897</v>
      </c>
      <c r="F1343">
        <v>2</v>
      </c>
      <c r="G1343">
        <v>29.493089367</v>
      </c>
      <c r="H1343">
        <v>0.25210362986030899</v>
      </c>
      <c r="I1343">
        <v>2</v>
      </c>
      <c r="J1343">
        <v>0.21811620900000001</v>
      </c>
      <c r="P1343"/>
      <c r="V1343">
        <v>0.23783949874445701</v>
      </c>
      <c r="W1343">
        <v>2</v>
      </c>
      <c r="X1343">
        <v>75165.992257488004</v>
      </c>
      <c r="Y1343">
        <v>120737</v>
      </c>
      <c r="Z1343">
        <v>0.63782490847275597</v>
      </c>
      <c r="AA1343">
        <v>100</v>
      </c>
    </row>
    <row r="1344" spans="1:27" x14ac:dyDescent="0.2">
      <c r="A1344">
        <v>20</v>
      </c>
      <c r="B1344">
        <v>2</v>
      </c>
      <c r="C1344">
        <v>0.3</v>
      </c>
      <c r="D1344">
        <v>20</v>
      </c>
      <c r="E1344">
        <v>0.37391542828479601</v>
      </c>
      <c r="F1344">
        <v>2</v>
      </c>
      <c r="G1344">
        <v>30.494066938</v>
      </c>
      <c r="H1344">
        <v>0.21733997616613199</v>
      </c>
      <c r="I1344">
        <v>2</v>
      </c>
      <c r="J1344">
        <v>0.27388072499999999</v>
      </c>
      <c r="P1344"/>
      <c r="V1344">
        <v>0.197982767471549</v>
      </c>
      <c r="W1344">
        <v>2</v>
      </c>
      <c r="X1344">
        <v>75924.246579019993</v>
      </c>
      <c r="Y1344">
        <v>44310</v>
      </c>
      <c r="Z1344">
        <v>0.61230234629862301</v>
      </c>
      <c r="AA1344">
        <v>100</v>
      </c>
    </row>
    <row r="1345" spans="1:27" x14ac:dyDescent="0.2">
      <c r="A1345">
        <v>20</v>
      </c>
      <c r="B1345">
        <v>2</v>
      </c>
      <c r="C1345">
        <v>0.2</v>
      </c>
      <c r="D1345">
        <v>20</v>
      </c>
      <c r="E1345">
        <v>0.80840229607733405</v>
      </c>
      <c r="F1345">
        <v>2</v>
      </c>
      <c r="G1345">
        <v>29.794974782000001</v>
      </c>
      <c r="H1345">
        <v>0.88297267097988097</v>
      </c>
      <c r="I1345">
        <v>2</v>
      </c>
      <c r="J1345">
        <v>0.70518261999999998</v>
      </c>
      <c r="P1345"/>
      <c r="V1345">
        <v>0.89351702956420698</v>
      </c>
      <c r="W1345">
        <v>2</v>
      </c>
      <c r="X1345">
        <v>75450.379750644002</v>
      </c>
      <c r="Y1345">
        <v>7520</v>
      </c>
      <c r="Z1345">
        <v>0.60470647393366805</v>
      </c>
      <c r="AA1345">
        <v>100</v>
      </c>
    </row>
    <row r="1346" spans="1:27" x14ac:dyDescent="0.2">
      <c r="A1346">
        <v>20</v>
      </c>
      <c r="B1346">
        <v>2</v>
      </c>
      <c r="C1346">
        <v>0.1</v>
      </c>
      <c r="D1346">
        <v>20</v>
      </c>
      <c r="E1346">
        <v>0.903923443775145</v>
      </c>
      <c r="F1346">
        <v>2</v>
      </c>
      <c r="G1346">
        <v>29.651395423</v>
      </c>
      <c r="H1346">
        <v>0.904738854167082</v>
      </c>
      <c r="I1346">
        <v>2</v>
      </c>
      <c r="J1346">
        <v>0.35176471300000001</v>
      </c>
      <c r="P1346"/>
      <c r="V1346">
        <v>1.12597579343118</v>
      </c>
      <c r="W1346">
        <v>2</v>
      </c>
      <c r="X1346">
        <v>75185.299004015003</v>
      </c>
      <c r="Y1346">
        <v>190844</v>
      </c>
      <c r="Z1346">
        <v>4.0630616194796E-2</v>
      </c>
      <c r="AA1346">
        <v>100</v>
      </c>
    </row>
    <row r="1347" spans="1:27" x14ac:dyDescent="0.2">
      <c r="A1347">
        <v>20</v>
      </c>
      <c r="B1347">
        <v>2</v>
      </c>
      <c r="C1347">
        <v>0.2</v>
      </c>
      <c r="D1347">
        <v>20</v>
      </c>
      <c r="E1347">
        <v>0.63961158823845399</v>
      </c>
      <c r="F1347">
        <v>2</v>
      </c>
      <c r="G1347">
        <v>28.618747685999999</v>
      </c>
      <c r="H1347">
        <v>0.53230412526100102</v>
      </c>
      <c r="I1347">
        <v>2</v>
      </c>
      <c r="J1347">
        <v>0.38244583500000001</v>
      </c>
      <c r="P1347"/>
      <c r="V1347">
        <v>0.52821481815745297</v>
      </c>
      <c r="W1347">
        <v>2</v>
      </c>
      <c r="X1347">
        <v>75442.755930033003</v>
      </c>
      <c r="Y1347">
        <v>6976</v>
      </c>
      <c r="Z1347">
        <v>0.60663055545691302</v>
      </c>
      <c r="AA1347">
        <v>100</v>
      </c>
    </row>
    <row r="1348" spans="1:27" x14ac:dyDescent="0.2">
      <c r="A1348">
        <v>20</v>
      </c>
      <c r="B1348">
        <v>2</v>
      </c>
      <c r="C1348">
        <v>0.3</v>
      </c>
      <c r="D1348">
        <v>20</v>
      </c>
      <c r="E1348">
        <v>0.18688551637363501</v>
      </c>
      <c r="F1348">
        <v>2</v>
      </c>
      <c r="G1348">
        <v>26.342811511000001</v>
      </c>
      <c r="H1348">
        <v>0.192387894697958</v>
      </c>
      <c r="I1348">
        <v>2</v>
      </c>
      <c r="J1348">
        <v>7.4321851999999994E-2</v>
      </c>
      <c r="P1348"/>
      <c r="V1348">
        <v>0.157061324397548</v>
      </c>
      <c r="W1348">
        <v>2</v>
      </c>
      <c r="X1348">
        <v>84760.335969947002</v>
      </c>
      <c r="Y1348">
        <v>147606</v>
      </c>
      <c r="Z1348">
        <v>0.20040127226509699</v>
      </c>
      <c r="AA1348">
        <v>100</v>
      </c>
    </row>
    <row r="1349" spans="1:27" x14ac:dyDescent="0.2">
      <c r="A1349">
        <v>20</v>
      </c>
      <c r="B1349">
        <v>2</v>
      </c>
      <c r="C1349">
        <v>0.1</v>
      </c>
      <c r="D1349">
        <v>20</v>
      </c>
      <c r="E1349">
        <v>0.94800997643413298</v>
      </c>
      <c r="F1349">
        <v>2</v>
      </c>
      <c r="G1349">
        <v>29.534338617</v>
      </c>
      <c r="H1349">
        <v>0.97298890235827695</v>
      </c>
      <c r="I1349">
        <v>2</v>
      </c>
      <c r="J1349">
        <v>0.52068094499999995</v>
      </c>
      <c r="P1349"/>
      <c r="V1349">
        <v>0.97489760183212604</v>
      </c>
      <c r="W1349">
        <v>2</v>
      </c>
      <c r="X1349">
        <v>75459.002028279006</v>
      </c>
      <c r="Y1349">
        <v>92133</v>
      </c>
      <c r="Z1349">
        <v>1.2589115432024201E-2</v>
      </c>
      <c r="AA1349">
        <v>100</v>
      </c>
    </row>
    <row r="1350" spans="1:27" x14ac:dyDescent="0.2">
      <c r="A1350">
        <v>20</v>
      </c>
      <c r="B1350">
        <v>2</v>
      </c>
      <c r="C1350">
        <v>0.2</v>
      </c>
      <c r="D1350">
        <v>20</v>
      </c>
      <c r="E1350">
        <v>0.68304957011873702</v>
      </c>
      <c r="F1350">
        <v>2</v>
      </c>
      <c r="G1350">
        <v>32.302923280000002</v>
      </c>
      <c r="H1350">
        <v>0.683058284778018</v>
      </c>
      <c r="I1350">
        <v>2</v>
      </c>
      <c r="J1350">
        <v>0.50396441700000005</v>
      </c>
      <c r="P1350"/>
      <c r="V1350">
        <v>0.68089042811919398</v>
      </c>
      <c r="W1350">
        <v>2</v>
      </c>
      <c r="X1350">
        <v>75302.194107364994</v>
      </c>
      <c r="Y1350">
        <v>128922</v>
      </c>
      <c r="Z1350">
        <v>0.320734123931952</v>
      </c>
      <c r="AA1350">
        <v>100</v>
      </c>
    </row>
    <row r="1351" spans="1:27" x14ac:dyDescent="0.2">
      <c r="A1351">
        <v>10</v>
      </c>
      <c r="B1351">
        <v>2</v>
      </c>
      <c r="C1351">
        <v>0.2</v>
      </c>
      <c r="D1351">
        <v>100</v>
      </c>
      <c r="E1351">
        <v>1.0362339548569599</v>
      </c>
      <c r="F1351">
        <v>2</v>
      </c>
      <c r="G1351">
        <v>28.813383672000001</v>
      </c>
      <c r="H1351">
        <v>0.88909743724270296</v>
      </c>
      <c r="I1351">
        <v>2</v>
      </c>
      <c r="J1351">
        <v>0.38133706099999998</v>
      </c>
      <c r="P1351"/>
      <c r="V1351">
        <v>0.88906023792565603</v>
      </c>
      <c r="W1351">
        <v>2</v>
      </c>
      <c r="X1351">
        <v>1219.108407833</v>
      </c>
      <c r="Y1351">
        <v>41446</v>
      </c>
      <c r="Z1351">
        <v>1.20416916615795E-3</v>
      </c>
      <c r="AA1351">
        <v>1</v>
      </c>
    </row>
    <row r="1352" spans="1:27" x14ac:dyDescent="0.2">
      <c r="A1352">
        <v>10</v>
      </c>
      <c r="B1352">
        <v>2</v>
      </c>
      <c r="C1352">
        <v>0.2</v>
      </c>
      <c r="D1352">
        <v>100</v>
      </c>
      <c r="E1352">
        <v>0.83694110364461605</v>
      </c>
      <c r="F1352">
        <v>2</v>
      </c>
      <c r="G1352">
        <v>33.234275850000003</v>
      </c>
      <c r="H1352">
        <v>0.85010091098187501</v>
      </c>
      <c r="I1352">
        <v>2</v>
      </c>
      <c r="J1352">
        <v>5.2990095000000001E-2</v>
      </c>
      <c r="P1352"/>
      <c r="V1352">
        <v>0.90521327537543095</v>
      </c>
      <c r="W1352">
        <v>2</v>
      </c>
      <c r="X1352">
        <v>1220.947037442</v>
      </c>
      <c r="Y1352">
        <v>37842</v>
      </c>
      <c r="Z1352">
        <v>2.5226525748005399E-4</v>
      </c>
      <c r="AA1352">
        <v>1</v>
      </c>
    </row>
    <row r="1353" spans="1:27" x14ac:dyDescent="0.2">
      <c r="A1353">
        <v>10</v>
      </c>
      <c r="B1353">
        <v>2</v>
      </c>
      <c r="C1353">
        <v>0.2</v>
      </c>
      <c r="D1353">
        <v>100</v>
      </c>
      <c r="E1353">
        <v>0.70359108232812695</v>
      </c>
      <c r="F1353">
        <v>2</v>
      </c>
      <c r="G1353">
        <v>43.214407371999997</v>
      </c>
      <c r="H1353">
        <v>0.71361581953469899</v>
      </c>
      <c r="I1353">
        <v>2</v>
      </c>
      <c r="J1353">
        <v>0.30296885699999998</v>
      </c>
      <c r="P1353"/>
      <c r="V1353">
        <v>0.71322678484563995</v>
      </c>
      <c r="W1353">
        <v>2</v>
      </c>
      <c r="X1353">
        <v>44.690354184</v>
      </c>
      <c r="Y1353">
        <v>1</v>
      </c>
      <c r="Z1353">
        <v>1.6251068609562901E-3</v>
      </c>
      <c r="AA1353">
        <v>1</v>
      </c>
    </row>
    <row r="1354" spans="1:27" x14ac:dyDescent="0.2">
      <c r="A1354">
        <v>10</v>
      </c>
      <c r="B1354">
        <v>2</v>
      </c>
      <c r="C1354">
        <v>0.1</v>
      </c>
      <c r="D1354">
        <v>100</v>
      </c>
      <c r="E1354">
        <v>0.96909008296313903</v>
      </c>
      <c r="F1354">
        <v>2</v>
      </c>
      <c r="G1354">
        <v>41.041205384999998</v>
      </c>
      <c r="H1354">
        <v>0.96908191768722496</v>
      </c>
      <c r="I1354">
        <v>2</v>
      </c>
      <c r="J1354">
        <v>0.14725608600000001</v>
      </c>
      <c r="P1354"/>
      <c r="V1354">
        <v>0.93626139773474903</v>
      </c>
      <c r="W1354">
        <v>2</v>
      </c>
      <c r="X1354">
        <v>83.992306083000003</v>
      </c>
      <c r="Y1354">
        <v>14681</v>
      </c>
      <c r="Z1354" s="1">
        <v>5.7298166211694405E-7</v>
      </c>
      <c r="AA1354">
        <v>1</v>
      </c>
    </row>
    <row r="1355" spans="1:27" x14ac:dyDescent="0.2">
      <c r="A1355">
        <v>10</v>
      </c>
      <c r="B1355">
        <v>2</v>
      </c>
      <c r="C1355">
        <v>0.1</v>
      </c>
      <c r="D1355">
        <v>100</v>
      </c>
      <c r="E1355">
        <v>0.94635188993042296</v>
      </c>
      <c r="F1355">
        <v>2</v>
      </c>
      <c r="G1355">
        <v>28.623108579</v>
      </c>
      <c r="H1355">
        <v>0.946458369295333</v>
      </c>
      <c r="I1355">
        <v>2</v>
      </c>
      <c r="J1355">
        <v>4.1489985E-2</v>
      </c>
      <c r="P1355"/>
      <c r="V1355">
        <v>0.98712448512111695</v>
      </c>
      <c r="W1355">
        <v>2</v>
      </c>
      <c r="X1355">
        <v>1218.274342808</v>
      </c>
      <c r="Y1355">
        <v>114340</v>
      </c>
      <c r="Z1355">
        <v>1.81067435120559E-3</v>
      </c>
      <c r="AA1355">
        <v>1</v>
      </c>
    </row>
    <row r="1356" spans="1:27" x14ac:dyDescent="0.2">
      <c r="A1356">
        <v>10</v>
      </c>
      <c r="B1356">
        <v>2</v>
      </c>
      <c r="C1356">
        <v>0.1</v>
      </c>
      <c r="D1356">
        <v>100</v>
      </c>
      <c r="E1356">
        <v>0.983389581398464</v>
      </c>
      <c r="F1356">
        <v>2</v>
      </c>
      <c r="G1356">
        <v>37.192909251000003</v>
      </c>
      <c r="H1356">
        <v>0.98347960667842005</v>
      </c>
      <c r="I1356">
        <v>2</v>
      </c>
      <c r="J1356">
        <v>4.7641076999999997E-2</v>
      </c>
      <c r="P1356"/>
      <c r="V1356">
        <v>0.89842586615405895</v>
      </c>
      <c r="W1356">
        <v>2</v>
      </c>
      <c r="X1356">
        <v>55.033571752999997</v>
      </c>
      <c r="Y1356">
        <v>5682</v>
      </c>
      <c r="Z1356" s="1">
        <v>7.4696725128785906E-5</v>
      </c>
      <c r="AA1356">
        <v>1</v>
      </c>
    </row>
    <row r="1357" spans="1:27" x14ac:dyDescent="0.2">
      <c r="A1357">
        <v>10</v>
      </c>
      <c r="B1357">
        <v>2</v>
      </c>
      <c r="C1357">
        <v>0.2</v>
      </c>
      <c r="D1357">
        <v>100</v>
      </c>
      <c r="E1357">
        <v>1.0058022579753101</v>
      </c>
      <c r="F1357">
        <v>2</v>
      </c>
      <c r="G1357">
        <v>46.067491173999997</v>
      </c>
      <c r="H1357">
        <v>0.99601450159863203</v>
      </c>
      <c r="I1357">
        <v>2</v>
      </c>
      <c r="J1357">
        <v>0.306750668</v>
      </c>
      <c r="P1357"/>
      <c r="V1357">
        <v>0.996279146997882</v>
      </c>
      <c r="W1357">
        <v>2</v>
      </c>
      <c r="X1357">
        <v>1237.9790245029999</v>
      </c>
      <c r="Y1357">
        <v>0</v>
      </c>
      <c r="Z1357">
        <v>2.3856427778809999E-3</v>
      </c>
      <c r="AA1357">
        <v>2</v>
      </c>
    </row>
    <row r="1358" spans="1:27" x14ac:dyDescent="0.2">
      <c r="A1358">
        <v>10</v>
      </c>
      <c r="B1358">
        <v>2</v>
      </c>
      <c r="C1358">
        <v>0.1</v>
      </c>
      <c r="D1358">
        <v>100</v>
      </c>
      <c r="E1358">
        <v>0.90348752897315399</v>
      </c>
      <c r="F1358">
        <v>2</v>
      </c>
      <c r="G1358">
        <v>42.62709298</v>
      </c>
      <c r="H1358">
        <v>0.92611683817330503</v>
      </c>
      <c r="I1358">
        <v>2</v>
      </c>
      <c r="J1358">
        <v>0.53958460600000002</v>
      </c>
      <c r="P1358"/>
      <c r="V1358">
        <v>1.02023120414043</v>
      </c>
      <c r="W1358">
        <v>2</v>
      </c>
      <c r="X1358">
        <v>185.69271092599999</v>
      </c>
      <c r="Y1358">
        <v>29692</v>
      </c>
      <c r="Z1358" s="1">
        <v>2.3458488838107601E-5</v>
      </c>
      <c r="AA1358">
        <v>1</v>
      </c>
    </row>
    <row r="1359" spans="1:27" x14ac:dyDescent="0.2">
      <c r="A1359">
        <v>10</v>
      </c>
      <c r="B1359">
        <v>2</v>
      </c>
      <c r="C1359">
        <v>0.1</v>
      </c>
      <c r="D1359">
        <v>100</v>
      </c>
      <c r="E1359">
        <v>0.98547772135251699</v>
      </c>
      <c r="F1359">
        <v>2</v>
      </c>
      <c r="G1359">
        <v>31.479046784000001</v>
      </c>
      <c r="H1359">
        <v>0.98547772135251699</v>
      </c>
      <c r="I1359">
        <v>2</v>
      </c>
      <c r="J1359">
        <v>5.6935289E-2</v>
      </c>
      <c r="P1359"/>
      <c r="V1359">
        <v>1.0101661466936001</v>
      </c>
      <c r="W1359">
        <v>2</v>
      </c>
      <c r="X1359">
        <v>98.354497469999998</v>
      </c>
      <c r="Y1359">
        <v>19515</v>
      </c>
      <c r="Z1359">
        <v>0</v>
      </c>
      <c r="AA1359">
        <v>1</v>
      </c>
    </row>
    <row r="1360" spans="1:27" x14ac:dyDescent="0.2">
      <c r="A1360">
        <v>10</v>
      </c>
      <c r="B1360">
        <v>2</v>
      </c>
      <c r="C1360">
        <v>0.1</v>
      </c>
      <c r="D1360">
        <v>100</v>
      </c>
      <c r="E1360">
        <v>0.95956118876537799</v>
      </c>
      <c r="F1360">
        <v>2</v>
      </c>
      <c r="G1360">
        <v>30.306187772000001</v>
      </c>
      <c r="H1360">
        <v>0.93100382902780199</v>
      </c>
      <c r="I1360">
        <v>2</v>
      </c>
      <c r="J1360">
        <v>0.14308415199999999</v>
      </c>
      <c r="P1360"/>
      <c r="V1360">
        <v>0.98498793971786702</v>
      </c>
      <c r="W1360">
        <v>2</v>
      </c>
      <c r="X1360">
        <v>108.53850797299999</v>
      </c>
      <c r="Y1360">
        <v>18517</v>
      </c>
      <c r="Z1360" s="1">
        <v>1.9809280394252001E-6</v>
      </c>
      <c r="AA1360">
        <v>1</v>
      </c>
    </row>
    <row r="1361" spans="1:27" x14ac:dyDescent="0.2">
      <c r="A1361">
        <v>10</v>
      </c>
      <c r="B1361">
        <v>2</v>
      </c>
      <c r="C1361">
        <v>0.1</v>
      </c>
      <c r="D1361">
        <v>100</v>
      </c>
      <c r="E1361">
        <v>0.93789641919421296</v>
      </c>
      <c r="F1361">
        <v>2</v>
      </c>
      <c r="G1361">
        <v>47.032922364000001</v>
      </c>
      <c r="H1361">
        <v>0.93662201768803599</v>
      </c>
      <c r="I1361">
        <v>2</v>
      </c>
      <c r="J1361">
        <v>0.26823641199999998</v>
      </c>
      <c r="P1361"/>
      <c r="V1361">
        <v>0.94220209557575896</v>
      </c>
      <c r="W1361">
        <v>2</v>
      </c>
      <c r="X1361">
        <v>64.476649457999997</v>
      </c>
      <c r="Y1361">
        <v>7153</v>
      </c>
      <c r="Z1361" s="1">
        <v>6.0018866770050001E-5</v>
      </c>
      <c r="AA1361">
        <v>1</v>
      </c>
    </row>
    <row r="1362" spans="1:27" x14ac:dyDescent="0.2">
      <c r="A1362">
        <v>10</v>
      </c>
      <c r="B1362">
        <v>2</v>
      </c>
      <c r="C1362">
        <v>0.1</v>
      </c>
      <c r="D1362">
        <v>100</v>
      </c>
      <c r="E1362">
        <v>0.99603866734222002</v>
      </c>
      <c r="F1362">
        <v>2</v>
      </c>
      <c r="G1362">
        <v>30.472413779</v>
      </c>
      <c r="H1362">
        <v>1.0123693153597699</v>
      </c>
      <c r="I1362">
        <v>2</v>
      </c>
      <c r="J1362">
        <v>0.224649504</v>
      </c>
      <c r="P1362"/>
      <c r="V1362">
        <v>0.95553240245139004</v>
      </c>
      <c r="W1362">
        <v>2</v>
      </c>
      <c r="X1362">
        <v>283.66685719600002</v>
      </c>
      <c r="Y1362">
        <v>35978</v>
      </c>
      <c r="Z1362" s="1">
        <v>4.0090795525087998E-6</v>
      </c>
      <c r="AA1362">
        <v>1</v>
      </c>
    </row>
    <row r="1363" spans="1:27" x14ac:dyDescent="0.2">
      <c r="A1363">
        <v>10</v>
      </c>
      <c r="B1363">
        <v>2</v>
      </c>
      <c r="C1363">
        <v>0.2</v>
      </c>
      <c r="D1363">
        <v>100</v>
      </c>
      <c r="E1363">
        <v>1.24182363292149</v>
      </c>
      <c r="F1363">
        <v>2</v>
      </c>
      <c r="G1363">
        <v>38.059581602000002</v>
      </c>
      <c r="H1363">
        <v>1.03093917273044</v>
      </c>
      <c r="I1363">
        <v>2</v>
      </c>
      <c r="J1363">
        <v>0.77484825999999996</v>
      </c>
      <c r="P1363"/>
      <c r="V1363">
        <v>0.97785365868949603</v>
      </c>
      <c r="W1363">
        <v>2</v>
      </c>
      <c r="X1363">
        <v>1228.071679571</v>
      </c>
      <c r="Y1363">
        <v>40401</v>
      </c>
      <c r="Z1363">
        <v>8.0953368986737902E-4</v>
      </c>
      <c r="AA1363">
        <v>1</v>
      </c>
    </row>
    <row r="1364" spans="1:27" x14ac:dyDescent="0.2">
      <c r="A1364">
        <v>10</v>
      </c>
      <c r="B1364">
        <v>2</v>
      </c>
      <c r="C1364">
        <v>0.2</v>
      </c>
      <c r="D1364">
        <v>100</v>
      </c>
      <c r="E1364">
        <v>1.08170084046132</v>
      </c>
      <c r="F1364">
        <v>2</v>
      </c>
      <c r="G1364">
        <v>30.314569796000001</v>
      </c>
      <c r="H1364">
        <v>0.90501048407388895</v>
      </c>
      <c r="I1364">
        <v>2</v>
      </c>
      <c r="J1364">
        <v>0.49196714000000002</v>
      </c>
      <c r="P1364"/>
      <c r="V1364">
        <v>0.87504797470714202</v>
      </c>
      <c r="W1364">
        <v>2</v>
      </c>
      <c r="X1364">
        <v>2421.9451161100001</v>
      </c>
      <c r="Y1364">
        <v>69795</v>
      </c>
      <c r="Z1364">
        <v>8.4370428487504697E-4</v>
      </c>
      <c r="AA1364">
        <v>10</v>
      </c>
    </row>
    <row r="1365" spans="1:27" x14ac:dyDescent="0.2">
      <c r="A1365">
        <v>10</v>
      </c>
      <c r="B1365">
        <v>2</v>
      </c>
      <c r="C1365">
        <v>0.2</v>
      </c>
      <c r="D1365">
        <v>100</v>
      </c>
      <c r="E1365">
        <v>1.1949087921769701</v>
      </c>
      <c r="F1365">
        <v>2</v>
      </c>
      <c r="G1365">
        <v>40.942027942999999</v>
      </c>
      <c r="H1365">
        <v>0.73235772874937799</v>
      </c>
      <c r="I1365">
        <v>2</v>
      </c>
      <c r="J1365">
        <v>0.71250446499999998</v>
      </c>
      <c r="P1365"/>
      <c r="V1365">
        <v>0.73636169367844395</v>
      </c>
      <c r="W1365">
        <v>2</v>
      </c>
      <c r="X1365">
        <v>1228.7400304329999</v>
      </c>
      <c r="Y1365">
        <v>43683</v>
      </c>
      <c r="Z1365">
        <v>6.94510421591167E-4</v>
      </c>
      <c r="AA1365">
        <v>1</v>
      </c>
    </row>
    <row r="1366" spans="1:27" x14ac:dyDescent="0.2">
      <c r="A1366">
        <v>30</v>
      </c>
      <c r="B1366">
        <v>1</v>
      </c>
      <c r="C1366">
        <v>0.4</v>
      </c>
      <c r="D1366">
        <v>20</v>
      </c>
      <c r="E1366">
        <v>6.0301937908049302E-2</v>
      </c>
      <c r="F1366">
        <v>1</v>
      </c>
      <c r="G1366">
        <v>49.865593459999999</v>
      </c>
      <c r="H1366">
        <v>7.13992886399272E-2</v>
      </c>
      <c r="I1366">
        <v>1</v>
      </c>
      <c r="J1366">
        <v>0.68248962300000005</v>
      </c>
      <c r="P1366"/>
      <c r="V1366">
        <v>4.5812281480271999E-2</v>
      </c>
      <c r="W1366">
        <v>1</v>
      </c>
      <c r="X1366">
        <v>204.43601474299999</v>
      </c>
      <c r="Y1366">
        <v>69</v>
      </c>
      <c r="Z1366">
        <v>8.1868056946472392E-3</v>
      </c>
      <c r="AA1366">
        <v>49</v>
      </c>
    </row>
    <row r="1367" spans="1:27" x14ac:dyDescent="0.2">
      <c r="A1367">
        <v>30</v>
      </c>
      <c r="B1367">
        <v>1</v>
      </c>
      <c r="C1367">
        <v>0.3</v>
      </c>
      <c r="D1367">
        <v>20</v>
      </c>
      <c r="E1367">
        <v>9.8727686334689493E-2</v>
      </c>
      <c r="F1367">
        <v>1</v>
      </c>
      <c r="G1367">
        <v>49.511439875000001</v>
      </c>
      <c r="H1367">
        <v>0.114689117999024</v>
      </c>
      <c r="I1367">
        <v>1</v>
      </c>
      <c r="J1367">
        <v>0.70859823</v>
      </c>
      <c r="P1367"/>
      <c r="V1367">
        <v>7.7876327928076694E-2</v>
      </c>
      <c r="W1367">
        <v>1</v>
      </c>
      <c r="X1367">
        <v>385.73358912800001</v>
      </c>
      <c r="Y1367">
        <v>1428</v>
      </c>
      <c r="Z1367">
        <v>9.5471868323371203E-3</v>
      </c>
      <c r="AA1367">
        <v>1</v>
      </c>
    </row>
    <row r="1368" spans="1:27" x14ac:dyDescent="0.2">
      <c r="A1368">
        <v>30</v>
      </c>
      <c r="B1368">
        <v>1</v>
      </c>
      <c r="C1368">
        <v>0.3</v>
      </c>
      <c r="D1368">
        <v>20</v>
      </c>
      <c r="E1368">
        <v>5.8139046152511899E-2</v>
      </c>
      <c r="F1368">
        <v>1</v>
      </c>
      <c r="G1368">
        <v>39.20567234</v>
      </c>
      <c r="H1368">
        <v>7.0876269556209598E-2</v>
      </c>
      <c r="I1368">
        <v>1</v>
      </c>
      <c r="J1368">
        <v>0.36204138899999999</v>
      </c>
      <c r="P1368"/>
      <c r="V1368">
        <v>4.6735001770280102E-2</v>
      </c>
      <c r="W1368">
        <v>1</v>
      </c>
      <c r="X1368">
        <v>145.40911979699999</v>
      </c>
      <c r="Y1368">
        <v>209</v>
      </c>
      <c r="Z1368">
        <v>9.2233859762691495E-3</v>
      </c>
      <c r="AA1368">
        <v>43</v>
      </c>
    </row>
    <row r="1369" spans="1:27" x14ac:dyDescent="0.2">
      <c r="A1369">
        <v>30</v>
      </c>
      <c r="B1369">
        <v>1</v>
      </c>
      <c r="C1369">
        <v>0.4</v>
      </c>
      <c r="D1369">
        <v>20</v>
      </c>
      <c r="E1369">
        <v>6.0031795506177703E-2</v>
      </c>
      <c r="F1369">
        <v>1</v>
      </c>
      <c r="G1369">
        <v>37.484569899999997</v>
      </c>
      <c r="H1369">
        <v>8.1165555560439195E-2</v>
      </c>
      <c r="I1369">
        <v>1</v>
      </c>
      <c r="J1369">
        <v>0.507848152</v>
      </c>
      <c r="P1369"/>
      <c r="V1369">
        <v>5.8543903831120098E-2</v>
      </c>
      <c r="W1369">
        <v>1</v>
      </c>
      <c r="X1369">
        <v>227.714516393</v>
      </c>
      <c r="Y1369">
        <v>103</v>
      </c>
      <c r="Z1369">
        <v>6.8622621552418802E-3</v>
      </c>
      <c r="AA1369">
        <v>31</v>
      </c>
    </row>
    <row r="1370" spans="1:27" x14ac:dyDescent="0.2">
      <c r="A1370">
        <v>30</v>
      </c>
      <c r="B1370">
        <v>1</v>
      </c>
      <c r="C1370">
        <v>0.4</v>
      </c>
      <c r="D1370">
        <v>20</v>
      </c>
      <c r="E1370">
        <v>7.3051906567484004E-2</v>
      </c>
      <c r="F1370">
        <v>1</v>
      </c>
      <c r="G1370">
        <v>34.527978584000003</v>
      </c>
      <c r="H1370">
        <v>9.8812627626696403E-2</v>
      </c>
      <c r="I1370">
        <v>1</v>
      </c>
      <c r="J1370">
        <v>0.25031067200000001</v>
      </c>
      <c r="P1370"/>
      <c r="V1370">
        <v>8.2037052470893101E-2</v>
      </c>
      <c r="W1370">
        <v>1</v>
      </c>
      <c r="X1370">
        <v>114.100546079</v>
      </c>
      <c r="Y1370">
        <v>226</v>
      </c>
      <c r="Z1370">
        <v>7.1383632341870396E-4</v>
      </c>
      <c r="AA1370">
        <v>1</v>
      </c>
    </row>
    <row r="1371" spans="1:27" x14ac:dyDescent="0.2">
      <c r="A1371">
        <v>30</v>
      </c>
      <c r="B1371">
        <v>1</v>
      </c>
      <c r="C1371">
        <v>0.4</v>
      </c>
      <c r="D1371">
        <v>20</v>
      </c>
      <c r="E1371">
        <v>5.3913056379576899E-2</v>
      </c>
      <c r="F1371">
        <v>1</v>
      </c>
      <c r="G1371">
        <v>37.205736647999998</v>
      </c>
      <c r="H1371">
        <v>6.4878583884113897E-2</v>
      </c>
      <c r="I1371">
        <v>1</v>
      </c>
      <c r="J1371">
        <v>0.26395655800000001</v>
      </c>
      <c r="P1371"/>
      <c r="V1371">
        <v>4.2545813331377101E-2</v>
      </c>
      <c r="W1371">
        <v>1</v>
      </c>
      <c r="X1371">
        <v>116.936767116</v>
      </c>
      <c r="Y1371">
        <v>67</v>
      </c>
      <c r="Z1371">
        <v>6.4778423292848296E-3</v>
      </c>
      <c r="AA1371">
        <v>20</v>
      </c>
    </row>
    <row r="1372" spans="1:27" x14ac:dyDescent="0.2">
      <c r="A1372">
        <v>20</v>
      </c>
      <c r="B1372">
        <v>2</v>
      </c>
      <c r="C1372">
        <v>0.3</v>
      </c>
      <c r="D1372">
        <v>20</v>
      </c>
      <c r="E1372">
        <v>0.34361233758563497</v>
      </c>
      <c r="F1372">
        <v>2</v>
      </c>
      <c r="G1372">
        <v>28.267081953999998</v>
      </c>
      <c r="H1372">
        <v>0.23682473278185301</v>
      </c>
      <c r="I1372">
        <v>2</v>
      </c>
      <c r="J1372">
        <v>0.40490579199999999</v>
      </c>
      <c r="P1372"/>
      <c r="V1372">
        <v>0.209095971173374</v>
      </c>
      <c r="W1372">
        <v>2</v>
      </c>
      <c r="X1372">
        <v>76914.948391939994</v>
      </c>
      <c r="Y1372">
        <v>163417</v>
      </c>
      <c r="Z1372">
        <v>0.558271354677358</v>
      </c>
      <c r="AA1372">
        <v>100</v>
      </c>
    </row>
    <row r="1373" spans="1:27" x14ac:dyDescent="0.2">
      <c r="A1373">
        <v>20</v>
      </c>
      <c r="B1373">
        <v>2</v>
      </c>
      <c r="C1373">
        <v>0.2</v>
      </c>
      <c r="D1373">
        <v>20</v>
      </c>
      <c r="E1373">
        <v>0.49800275712320402</v>
      </c>
      <c r="F1373">
        <v>2</v>
      </c>
      <c r="G1373">
        <v>24.782310434999999</v>
      </c>
      <c r="H1373">
        <v>0.41554712992784099</v>
      </c>
      <c r="I1373">
        <v>2</v>
      </c>
      <c r="J1373">
        <v>0.261825904</v>
      </c>
      <c r="P1373"/>
      <c r="V1373">
        <v>0.40999621042300899</v>
      </c>
      <c r="W1373">
        <v>2</v>
      </c>
      <c r="X1373">
        <v>75503.304625602002</v>
      </c>
      <c r="Y1373">
        <v>6427</v>
      </c>
      <c r="Z1373">
        <v>0.73017203073140902</v>
      </c>
      <c r="AA1373">
        <v>100</v>
      </c>
    </row>
    <row r="1374" spans="1:27" x14ac:dyDescent="0.2">
      <c r="A1374">
        <v>20</v>
      </c>
      <c r="B1374">
        <v>2</v>
      </c>
      <c r="C1374">
        <v>0.1</v>
      </c>
      <c r="D1374">
        <v>20</v>
      </c>
      <c r="E1374">
        <v>1.0642113014021</v>
      </c>
      <c r="F1374">
        <v>2</v>
      </c>
      <c r="G1374">
        <v>25.657357926</v>
      </c>
      <c r="H1374">
        <v>1.08847767031515</v>
      </c>
      <c r="I1374">
        <v>2</v>
      </c>
      <c r="J1374">
        <v>0.64165797700000005</v>
      </c>
      <c r="P1374"/>
      <c r="V1374">
        <v>1.0335686008342999</v>
      </c>
      <c r="W1374">
        <v>2</v>
      </c>
      <c r="X1374">
        <v>75649.864254376997</v>
      </c>
      <c r="Y1374">
        <v>163795</v>
      </c>
      <c r="Z1374">
        <v>1.6679133167523799E-2</v>
      </c>
      <c r="AA1374">
        <v>100</v>
      </c>
    </row>
    <row r="1375" spans="1:27" x14ac:dyDescent="0.2">
      <c r="A1375">
        <v>20</v>
      </c>
      <c r="B1375">
        <v>2</v>
      </c>
      <c r="C1375">
        <v>0.1</v>
      </c>
      <c r="D1375">
        <v>20</v>
      </c>
      <c r="E1375">
        <v>1.11108363192966</v>
      </c>
      <c r="F1375">
        <v>2</v>
      </c>
      <c r="G1375">
        <v>30.875800196</v>
      </c>
      <c r="H1375">
        <v>0.96810604485598994</v>
      </c>
      <c r="I1375">
        <v>2</v>
      </c>
      <c r="J1375">
        <v>0.83163390100000001</v>
      </c>
      <c r="P1375"/>
      <c r="V1375">
        <v>0.94777986641421297</v>
      </c>
      <c r="W1375">
        <v>2</v>
      </c>
      <c r="X1375">
        <v>75465.493295110005</v>
      </c>
      <c r="Y1375">
        <v>136537</v>
      </c>
      <c r="Z1375">
        <v>2.4679625372964E-2</v>
      </c>
      <c r="AA1375">
        <v>100</v>
      </c>
    </row>
    <row r="1376" spans="1:27" x14ac:dyDescent="0.2">
      <c r="A1376">
        <v>20</v>
      </c>
      <c r="B1376">
        <v>2</v>
      </c>
      <c r="C1376">
        <v>0.2</v>
      </c>
      <c r="D1376">
        <v>20</v>
      </c>
      <c r="E1376">
        <v>0.58077886487963104</v>
      </c>
      <c r="F1376">
        <v>2</v>
      </c>
      <c r="G1376">
        <v>28.231526164999998</v>
      </c>
      <c r="H1376">
        <v>0.60843315659967101</v>
      </c>
      <c r="I1376">
        <v>2</v>
      </c>
      <c r="J1376">
        <v>0.57977353899999995</v>
      </c>
      <c r="P1376"/>
      <c r="V1376">
        <v>0.60409941489730701</v>
      </c>
      <c r="W1376">
        <v>2</v>
      </c>
      <c r="X1376">
        <v>75844.537149593001</v>
      </c>
      <c r="Y1376">
        <v>9488</v>
      </c>
      <c r="Z1376">
        <v>0.48434578873457201</v>
      </c>
      <c r="AA1376">
        <v>100</v>
      </c>
    </row>
    <row r="1377" spans="1:27" x14ac:dyDescent="0.2">
      <c r="A1377">
        <v>20</v>
      </c>
      <c r="B1377">
        <v>2</v>
      </c>
      <c r="C1377">
        <v>0.2</v>
      </c>
      <c r="D1377">
        <v>20</v>
      </c>
      <c r="E1377">
        <v>0.78963246868069503</v>
      </c>
      <c r="F1377">
        <v>2</v>
      </c>
      <c r="G1377">
        <v>28.550867793999998</v>
      </c>
      <c r="H1377">
        <v>0.76274031176637103</v>
      </c>
      <c r="I1377">
        <v>2</v>
      </c>
      <c r="J1377">
        <v>0.30388206299999998</v>
      </c>
      <c r="P1377"/>
      <c r="V1377">
        <v>0.76554676571349101</v>
      </c>
      <c r="W1377">
        <v>2</v>
      </c>
      <c r="X1377">
        <v>75460.626248408007</v>
      </c>
      <c r="Y1377">
        <v>6981</v>
      </c>
      <c r="Z1377">
        <v>0.199720617256261</v>
      </c>
      <c r="AA1377">
        <v>100</v>
      </c>
    </row>
    <row r="1378" spans="1:27" x14ac:dyDescent="0.2">
      <c r="A1378">
        <v>20</v>
      </c>
      <c r="B1378">
        <v>2</v>
      </c>
      <c r="C1378">
        <v>0.1</v>
      </c>
      <c r="D1378">
        <v>20</v>
      </c>
      <c r="E1378">
        <v>0.99184671380450995</v>
      </c>
      <c r="F1378">
        <v>2</v>
      </c>
      <c r="G1378">
        <v>28.305477754000002</v>
      </c>
      <c r="H1378">
        <v>0.98305327370131701</v>
      </c>
      <c r="I1378">
        <v>2</v>
      </c>
      <c r="J1378">
        <v>0.64164346500000002</v>
      </c>
      <c r="P1378"/>
      <c r="V1378">
        <v>1.1311446589767999</v>
      </c>
      <c r="W1378">
        <v>2</v>
      </c>
      <c r="X1378">
        <v>75245.448526127002</v>
      </c>
      <c r="Y1378">
        <v>163143</v>
      </c>
      <c r="Z1378">
        <v>3.0159437926447701E-2</v>
      </c>
      <c r="AA1378">
        <v>100</v>
      </c>
    </row>
    <row r="1379" spans="1:27" x14ac:dyDescent="0.2">
      <c r="A1379">
        <v>20</v>
      </c>
      <c r="B1379">
        <v>2</v>
      </c>
      <c r="C1379">
        <v>0.1</v>
      </c>
      <c r="D1379">
        <v>20</v>
      </c>
      <c r="E1379">
        <v>0.92085239981845701</v>
      </c>
      <c r="F1379">
        <v>2</v>
      </c>
      <c r="G1379">
        <v>29.09339666</v>
      </c>
      <c r="H1379">
        <v>0.95283889218075601</v>
      </c>
      <c r="I1379">
        <v>2</v>
      </c>
      <c r="J1379">
        <v>0.61866930399999998</v>
      </c>
      <c r="P1379"/>
      <c r="V1379">
        <v>0.953284991122891</v>
      </c>
      <c r="W1379">
        <v>2</v>
      </c>
      <c r="X1379">
        <v>75704.324779471004</v>
      </c>
      <c r="Y1379">
        <v>104674</v>
      </c>
      <c r="Z1379">
        <v>1.0574440693577001E-2</v>
      </c>
      <c r="AA1379">
        <v>100</v>
      </c>
    </row>
    <row r="1380" spans="1:27" x14ac:dyDescent="0.2">
      <c r="A1380">
        <v>20</v>
      </c>
      <c r="B1380">
        <v>2</v>
      </c>
      <c r="C1380">
        <v>0.1</v>
      </c>
      <c r="D1380">
        <v>20</v>
      </c>
      <c r="E1380">
        <v>0.89171557024917603</v>
      </c>
      <c r="F1380">
        <v>2</v>
      </c>
      <c r="G1380">
        <v>33.668933920999997</v>
      </c>
      <c r="H1380">
        <v>0.90915476074356305</v>
      </c>
      <c r="I1380">
        <v>2</v>
      </c>
      <c r="J1380">
        <v>0.27766983200000001</v>
      </c>
      <c r="P1380"/>
      <c r="V1380">
        <v>1.19325942078748</v>
      </c>
      <c r="W1380">
        <v>2</v>
      </c>
      <c r="X1380">
        <v>75387.366731465998</v>
      </c>
      <c r="Y1380">
        <v>72428</v>
      </c>
      <c r="Z1380">
        <v>2.2016278478142699E-2</v>
      </c>
      <c r="AA1380">
        <v>100</v>
      </c>
    </row>
    <row r="1381" spans="1:27" x14ac:dyDescent="0.2">
      <c r="A1381">
        <v>20</v>
      </c>
      <c r="B1381">
        <v>2</v>
      </c>
      <c r="C1381">
        <v>0.2</v>
      </c>
      <c r="D1381">
        <v>20</v>
      </c>
      <c r="E1381">
        <v>0.50544875299187997</v>
      </c>
      <c r="F1381">
        <v>2</v>
      </c>
      <c r="G1381">
        <v>33.521746233000002</v>
      </c>
      <c r="H1381">
        <v>0.47684921560851901</v>
      </c>
      <c r="I1381">
        <v>2</v>
      </c>
      <c r="J1381">
        <v>0.357351535</v>
      </c>
      <c r="P1381"/>
      <c r="V1381">
        <v>0.46705224947657997</v>
      </c>
      <c r="W1381">
        <v>2</v>
      </c>
      <c r="X1381">
        <v>76057.310356014001</v>
      </c>
      <c r="Y1381">
        <v>242248</v>
      </c>
      <c r="Z1381">
        <v>0.25649127449623199</v>
      </c>
      <c r="AA1381">
        <v>100</v>
      </c>
    </row>
    <row r="1382" spans="1:27" x14ac:dyDescent="0.2">
      <c r="A1382">
        <v>20</v>
      </c>
      <c r="B1382">
        <v>2</v>
      </c>
      <c r="C1382">
        <v>0.1</v>
      </c>
      <c r="D1382">
        <v>20</v>
      </c>
      <c r="E1382">
        <v>0.94152125274390597</v>
      </c>
      <c r="F1382">
        <v>2</v>
      </c>
      <c r="G1382">
        <v>35.560422916999997</v>
      </c>
      <c r="H1382">
        <v>0.95474566571570296</v>
      </c>
      <c r="I1382">
        <v>2</v>
      </c>
      <c r="J1382">
        <v>0.71819361699999995</v>
      </c>
      <c r="P1382"/>
      <c r="V1382">
        <v>0.95913797748935703</v>
      </c>
      <c r="W1382">
        <v>2</v>
      </c>
      <c r="X1382">
        <v>74992.929184156004</v>
      </c>
      <c r="Y1382">
        <v>92809</v>
      </c>
      <c r="Z1382">
        <v>1.4093807603063399E-2</v>
      </c>
      <c r="AA1382">
        <v>100</v>
      </c>
    </row>
    <row r="1383" spans="1:27" x14ac:dyDescent="0.2">
      <c r="A1383">
        <v>10</v>
      </c>
      <c r="B1383">
        <v>2</v>
      </c>
      <c r="C1383">
        <v>0.1</v>
      </c>
      <c r="D1383">
        <v>20</v>
      </c>
      <c r="E1383">
        <v>0.93239915470002599</v>
      </c>
      <c r="F1383">
        <v>2</v>
      </c>
      <c r="G1383">
        <v>31.555011193999999</v>
      </c>
      <c r="H1383">
        <v>0.92937936170703594</v>
      </c>
      <c r="I1383">
        <v>2</v>
      </c>
      <c r="J1383">
        <v>5.8922386E-2</v>
      </c>
      <c r="P1383"/>
      <c r="V1383">
        <v>1.0471013547424901</v>
      </c>
      <c r="W1383">
        <v>2</v>
      </c>
      <c r="X1383">
        <v>50.659943110999997</v>
      </c>
      <c r="Y1383">
        <v>4832</v>
      </c>
      <c r="Z1383">
        <v>2.7459591145595399E-4</v>
      </c>
      <c r="AA1383">
        <v>1</v>
      </c>
    </row>
    <row r="1384" spans="1:27" x14ac:dyDescent="0.2">
      <c r="A1384">
        <v>10</v>
      </c>
      <c r="B1384">
        <v>2</v>
      </c>
      <c r="C1384">
        <v>0.1</v>
      </c>
      <c r="D1384">
        <v>20</v>
      </c>
      <c r="E1384">
        <v>0.97580472977830501</v>
      </c>
      <c r="F1384">
        <v>2</v>
      </c>
      <c r="G1384">
        <v>31.193408582</v>
      </c>
      <c r="H1384">
        <v>0.97580472977830501</v>
      </c>
      <c r="I1384">
        <v>2</v>
      </c>
      <c r="J1384">
        <v>3.7548854999999999E-2</v>
      </c>
      <c r="P1384"/>
      <c r="V1384">
        <v>1.00031338781621</v>
      </c>
      <c r="W1384">
        <v>2</v>
      </c>
      <c r="X1384">
        <v>63.005254135999998</v>
      </c>
      <c r="Y1384">
        <v>9388</v>
      </c>
      <c r="Z1384" s="1">
        <v>1.7414802247484001E-7</v>
      </c>
      <c r="AA1384">
        <v>1</v>
      </c>
    </row>
    <row r="1385" spans="1:27" x14ac:dyDescent="0.2">
      <c r="A1385">
        <v>10</v>
      </c>
      <c r="B1385">
        <v>2</v>
      </c>
      <c r="C1385">
        <v>0.1</v>
      </c>
      <c r="D1385">
        <v>20</v>
      </c>
      <c r="E1385">
        <v>0.98492007245631796</v>
      </c>
      <c r="F1385">
        <v>2</v>
      </c>
      <c r="G1385">
        <v>33.850686025000002</v>
      </c>
      <c r="H1385">
        <v>0.98259022340861801</v>
      </c>
      <c r="I1385">
        <v>2</v>
      </c>
      <c r="J1385">
        <v>8.9910734000000006E-2</v>
      </c>
      <c r="P1385"/>
      <c r="V1385">
        <v>1.0010614861982701</v>
      </c>
      <c r="W1385">
        <v>2</v>
      </c>
      <c r="X1385">
        <v>108.228424559</v>
      </c>
      <c r="Y1385">
        <v>18849</v>
      </c>
      <c r="Z1385">
        <v>2.0494283621622E-4</v>
      </c>
      <c r="AA1385">
        <v>1</v>
      </c>
    </row>
    <row r="1386" spans="1:27" x14ac:dyDescent="0.2">
      <c r="A1386">
        <v>10</v>
      </c>
      <c r="B1386">
        <v>2</v>
      </c>
      <c r="C1386">
        <v>0.2</v>
      </c>
      <c r="D1386">
        <v>20</v>
      </c>
      <c r="E1386">
        <v>1.05917157143588</v>
      </c>
      <c r="F1386">
        <v>2</v>
      </c>
      <c r="G1386">
        <v>29.619713849</v>
      </c>
      <c r="H1386">
        <v>1.0453291969614</v>
      </c>
      <c r="I1386">
        <v>2</v>
      </c>
      <c r="J1386">
        <v>0.19142621800000001</v>
      </c>
      <c r="P1386"/>
      <c r="V1386">
        <v>1.0517278995000701</v>
      </c>
      <c r="W1386">
        <v>2</v>
      </c>
      <c r="X1386">
        <v>28.294887919000001</v>
      </c>
      <c r="Y1386">
        <v>1</v>
      </c>
      <c r="Z1386">
        <v>2.8116839148424298E-3</v>
      </c>
      <c r="AA1386">
        <v>1</v>
      </c>
    </row>
    <row r="1387" spans="1:27" x14ac:dyDescent="0.2">
      <c r="A1387">
        <v>10</v>
      </c>
      <c r="B1387">
        <v>2</v>
      </c>
      <c r="C1387">
        <v>0.1</v>
      </c>
      <c r="D1387">
        <v>20</v>
      </c>
      <c r="E1387">
        <v>0.93213271661825003</v>
      </c>
      <c r="F1387">
        <v>2</v>
      </c>
      <c r="G1387">
        <v>29.735653463999999</v>
      </c>
      <c r="H1387">
        <v>0.93210401536580001</v>
      </c>
      <c r="I1387">
        <v>2</v>
      </c>
      <c r="J1387">
        <v>3.7023289000000001E-2</v>
      </c>
      <c r="P1387"/>
      <c r="V1387">
        <v>0.91754898727096901</v>
      </c>
      <c r="W1387">
        <v>2</v>
      </c>
      <c r="X1387">
        <v>89.703072964</v>
      </c>
      <c r="Y1387">
        <v>13602</v>
      </c>
      <c r="Z1387">
        <v>3.3017560442082002E-4</v>
      </c>
      <c r="AA1387">
        <v>1</v>
      </c>
    </row>
    <row r="1388" spans="1:27" x14ac:dyDescent="0.2">
      <c r="A1388">
        <v>10</v>
      </c>
      <c r="B1388">
        <v>2</v>
      </c>
      <c r="C1388">
        <v>0.1</v>
      </c>
      <c r="D1388">
        <v>20</v>
      </c>
      <c r="E1388">
        <v>0.97531220543851505</v>
      </c>
      <c r="F1388">
        <v>2</v>
      </c>
      <c r="G1388">
        <v>29.968203657</v>
      </c>
      <c r="H1388">
        <v>0.97519942309464303</v>
      </c>
      <c r="I1388">
        <v>2</v>
      </c>
      <c r="J1388">
        <v>6.9349302000000002E-2</v>
      </c>
      <c r="P1388"/>
      <c r="V1388">
        <v>0.98734886785267595</v>
      </c>
      <c r="W1388">
        <v>2</v>
      </c>
      <c r="X1388">
        <v>295.36060367900001</v>
      </c>
      <c r="Y1388">
        <v>52585</v>
      </c>
      <c r="Z1388" s="1">
        <v>8.5164416690021395E-5</v>
      </c>
      <c r="AA1388">
        <v>1</v>
      </c>
    </row>
    <row r="1389" spans="1:27" x14ac:dyDescent="0.2">
      <c r="A1389">
        <v>10</v>
      </c>
      <c r="B1389">
        <v>2</v>
      </c>
      <c r="C1389">
        <v>0.1</v>
      </c>
      <c r="D1389">
        <v>20</v>
      </c>
      <c r="E1389">
        <v>0.97247621873066004</v>
      </c>
      <c r="F1389">
        <v>2</v>
      </c>
      <c r="G1389">
        <v>34.630516790000001</v>
      </c>
      <c r="H1389">
        <v>0.97247904691072995</v>
      </c>
      <c r="I1389">
        <v>2</v>
      </c>
      <c r="J1389">
        <v>7.2212637999999996E-2</v>
      </c>
      <c r="P1389"/>
      <c r="V1389">
        <v>0.97513935632613802</v>
      </c>
      <c r="W1389">
        <v>2</v>
      </c>
      <c r="X1389">
        <v>170.832056628</v>
      </c>
      <c r="Y1389">
        <v>32969</v>
      </c>
      <c r="Z1389">
        <v>1.18539073236098E-4</v>
      </c>
      <c r="AA1389">
        <v>1</v>
      </c>
    </row>
    <row r="1390" spans="1:27" x14ac:dyDescent="0.2">
      <c r="A1390">
        <v>10</v>
      </c>
      <c r="B1390">
        <v>2</v>
      </c>
      <c r="C1390">
        <v>0.2</v>
      </c>
      <c r="D1390">
        <v>20</v>
      </c>
      <c r="E1390">
        <v>1.09045735826628</v>
      </c>
      <c r="F1390">
        <v>2</v>
      </c>
      <c r="G1390">
        <v>31.125221474</v>
      </c>
      <c r="H1390">
        <v>1.1101082857890601</v>
      </c>
      <c r="I1390">
        <v>2</v>
      </c>
      <c r="J1390">
        <v>0.305493654</v>
      </c>
      <c r="P1390"/>
      <c r="V1390">
        <v>1.1147061286989299</v>
      </c>
      <c r="W1390">
        <v>2</v>
      </c>
      <c r="X1390">
        <v>39.649577618000002</v>
      </c>
      <c r="Y1390">
        <v>8</v>
      </c>
      <c r="Z1390">
        <v>2.56041294051101E-3</v>
      </c>
      <c r="AA1390">
        <v>21</v>
      </c>
    </row>
    <row r="1391" spans="1:27" x14ac:dyDescent="0.2">
      <c r="A1391">
        <v>10</v>
      </c>
      <c r="B1391">
        <v>2</v>
      </c>
      <c r="C1391">
        <v>0.1</v>
      </c>
      <c r="D1391">
        <v>20</v>
      </c>
      <c r="E1391">
        <v>0.98495133147684999</v>
      </c>
      <c r="F1391">
        <v>2</v>
      </c>
      <c r="G1391">
        <v>32.254028581999997</v>
      </c>
      <c r="H1391">
        <v>0.95234007030346401</v>
      </c>
      <c r="I1391">
        <v>2</v>
      </c>
      <c r="J1391">
        <v>0.28024381599999998</v>
      </c>
      <c r="P1391"/>
      <c r="V1391">
        <v>0.94348211000141202</v>
      </c>
      <c r="W1391">
        <v>2</v>
      </c>
      <c r="X1391">
        <v>1221.2110533319999</v>
      </c>
      <c r="Y1391">
        <v>65375</v>
      </c>
      <c r="Z1391">
        <v>3.2499754664361199E-4</v>
      </c>
      <c r="AA1391">
        <v>1</v>
      </c>
    </row>
    <row r="1392" spans="1:27" x14ac:dyDescent="0.2">
      <c r="A1392">
        <v>10</v>
      </c>
      <c r="B1392">
        <v>2</v>
      </c>
      <c r="C1392">
        <v>0.2</v>
      </c>
      <c r="D1392">
        <v>20</v>
      </c>
      <c r="E1392">
        <v>0.90032112882795801</v>
      </c>
      <c r="F1392">
        <v>2</v>
      </c>
      <c r="G1392">
        <v>32.655130534000001</v>
      </c>
      <c r="H1392">
        <v>0.90750151936145296</v>
      </c>
      <c r="I1392">
        <v>2</v>
      </c>
      <c r="J1392">
        <v>0.28397749300000003</v>
      </c>
      <c r="P1392"/>
      <c r="V1392">
        <v>0.75893746542311702</v>
      </c>
      <c r="W1392">
        <v>2</v>
      </c>
      <c r="X1392">
        <v>1222.8687742980001</v>
      </c>
      <c r="Y1392">
        <v>32488</v>
      </c>
      <c r="Z1392">
        <v>2.4272869675445998E-3</v>
      </c>
      <c r="AA1392">
        <v>1</v>
      </c>
    </row>
    <row r="1393" spans="1:27" x14ac:dyDescent="0.2">
      <c r="A1393">
        <v>10</v>
      </c>
      <c r="B1393">
        <v>2</v>
      </c>
      <c r="C1393">
        <v>0.1</v>
      </c>
      <c r="D1393">
        <v>20</v>
      </c>
      <c r="E1393">
        <v>0.97957001621334705</v>
      </c>
      <c r="F1393">
        <v>2</v>
      </c>
      <c r="G1393">
        <v>32.960369710999998</v>
      </c>
      <c r="H1393">
        <v>1.02017311609392</v>
      </c>
      <c r="I1393">
        <v>2</v>
      </c>
      <c r="J1393">
        <v>0.17122114099999999</v>
      </c>
      <c r="P1393"/>
      <c r="V1393">
        <v>1.07028851529293</v>
      </c>
      <c r="W1393">
        <v>2</v>
      </c>
      <c r="X1393">
        <v>1222.075941674</v>
      </c>
      <c r="Y1393">
        <v>49146</v>
      </c>
      <c r="Z1393">
        <v>4.6262448359923799E-4</v>
      </c>
      <c r="AA1393">
        <v>1</v>
      </c>
    </row>
    <row r="1394" spans="1:27" x14ac:dyDescent="0.2">
      <c r="A1394">
        <v>10</v>
      </c>
      <c r="B1394">
        <v>2</v>
      </c>
      <c r="C1394">
        <v>0.1</v>
      </c>
      <c r="D1394">
        <v>20</v>
      </c>
      <c r="E1394">
        <v>1.0212193843774</v>
      </c>
      <c r="F1394">
        <v>2</v>
      </c>
      <c r="G1394">
        <v>33.255478609000001</v>
      </c>
      <c r="H1394">
        <v>1.0113992095914599</v>
      </c>
      <c r="I1394">
        <v>2</v>
      </c>
      <c r="J1394">
        <v>0.21008724100000001</v>
      </c>
      <c r="P1394"/>
      <c r="V1394">
        <v>1.0120970946174701</v>
      </c>
      <c r="W1394">
        <v>2</v>
      </c>
      <c r="X1394">
        <v>1221.076722864</v>
      </c>
      <c r="Y1394">
        <v>36469</v>
      </c>
      <c r="Z1394">
        <v>1.12220697218713E-3</v>
      </c>
      <c r="AA1394">
        <v>1</v>
      </c>
    </row>
    <row r="1395" spans="1:27" x14ac:dyDescent="0.2">
      <c r="A1395">
        <v>10</v>
      </c>
      <c r="B1395">
        <v>2</v>
      </c>
      <c r="C1395">
        <v>0.1</v>
      </c>
      <c r="D1395">
        <v>20</v>
      </c>
      <c r="E1395">
        <v>0.99088048038465804</v>
      </c>
      <c r="F1395">
        <v>2</v>
      </c>
      <c r="G1395">
        <v>30.630363793000001</v>
      </c>
      <c r="H1395">
        <v>0.98432483553707395</v>
      </c>
      <c r="I1395">
        <v>2</v>
      </c>
      <c r="J1395">
        <v>0.15556980400000001</v>
      </c>
      <c r="P1395"/>
      <c r="V1395">
        <v>0.99720678162153797</v>
      </c>
      <c r="W1395">
        <v>2</v>
      </c>
      <c r="X1395">
        <v>1219.9870121910001</v>
      </c>
      <c r="Y1395">
        <v>94695</v>
      </c>
      <c r="Z1395">
        <v>1.72087223486049E-3</v>
      </c>
      <c r="AA1395">
        <v>1</v>
      </c>
    </row>
    <row r="1396" spans="1:27" x14ac:dyDescent="0.2">
      <c r="A1396">
        <v>10</v>
      </c>
      <c r="B1396">
        <v>2</v>
      </c>
      <c r="C1396">
        <v>0.1</v>
      </c>
      <c r="D1396">
        <v>20</v>
      </c>
      <c r="E1396">
        <v>0.94745241351252296</v>
      </c>
      <c r="F1396">
        <v>2</v>
      </c>
      <c r="G1396">
        <v>35.892067763</v>
      </c>
      <c r="H1396">
        <v>0.94610187389441802</v>
      </c>
      <c r="I1396">
        <v>2</v>
      </c>
      <c r="J1396">
        <v>0.34975952700000001</v>
      </c>
      <c r="P1396"/>
      <c r="V1396">
        <v>0.89294677315359805</v>
      </c>
      <c r="W1396">
        <v>2</v>
      </c>
      <c r="X1396">
        <v>59.891434033000003</v>
      </c>
      <c r="Y1396">
        <v>8932</v>
      </c>
      <c r="Z1396">
        <v>2.7555967165415702E-4</v>
      </c>
      <c r="AA1396">
        <v>1</v>
      </c>
    </row>
    <row r="1397" spans="1:27" x14ac:dyDescent="0.2">
      <c r="A1397">
        <v>10</v>
      </c>
      <c r="B1397">
        <v>2</v>
      </c>
      <c r="C1397">
        <v>0.1</v>
      </c>
      <c r="D1397">
        <v>20</v>
      </c>
      <c r="E1397">
        <v>0.94675236265093499</v>
      </c>
      <c r="F1397">
        <v>2</v>
      </c>
      <c r="G1397">
        <v>34.689263472999997</v>
      </c>
      <c r="H1397">
        <v>0.93224434075564</v>
      </c>
      <c r="I1397">
        <v>2</v>
      </c>
      <c r="J1397">
        <v>0.171522547</v>
      </c>
      <c r="P1397"/>
      <c r="V1397">
        <v>0.97391104389860805</v>
      </c>
      <c r="W1397">
        <v>2</v>
      </c>
      <c r="X1397">
        <v>349.61032778999999</v>
      </c>
      <c r="Y1397">
        <v>41859</v>
      </c>
      <c r="Z1397" s="1">
        <v>7.3871033781414797E-5</v>
      </c>
      <c r="AA1397">
        <v>1</v>
      </c>
    </row>
    <row r="1398" spans="1:27" x14ac:dyDescent="0.2">
      <c r="A1398">
        <v>10</v>
      </c>
      <c r="B1398">
        <v>2</v>
      </c>
      <c r="C1398">
        <v>0.1</v>
      </c>
      <c r="D1398">
        <v>20</v>
      </c>
      <c r="E1398">
        <v>0.94677324502692195</v>
      </c>
      <c r="F1398">
        <v>2</v>
      </c>
      <c r="G1398">
        <v>36.401701520000003</v>
      </c>
      <c r="H1398">
        <v>0.94679199123887003</v>
      </c>
      <c r="I1398">
        <v>2</v>
      </c>
      <c r="J1398">
        <v>8.9866899E-2</v>
      </c>
      <c r="P1398"/>
      <c r="V1398">
        <v>0.97513636400978898</v>
      </c>
      <c r="W1398">
        <v>2</v>
      </c>
      <c r="X1398">
        <v>2363.162066805</v>
      </c>
      <c r="Y1398">
        <v>84522</v>
      </c>
      <c r="Z1398">
        <v>9.2178581987037399E-3</v>
      </c>
      <c r="AA1398">
        <v>9</v>
      </c>
    </row>
    <row r="1399" spans="1:27" x14ac:dyDescent="0.2">
      <c r="A1399">
        <v>20</v>
      </c>
      <c r="B1399">
        <v>2</v>
      </c>
      <c r="C1399">
        <v>0.2</v>
      </c>
      <c r="D1399">
        <v>20</v>
      </c>
      <c r="E1399">
        <v>0.75964168709658297</v>
      </c>
      <c r="F1399">
        <v>2</v>
      </c>
      <c r="G1399">
        <v>29.412086706</v>
      </c>
      <c r="H1399">
        <v>0.73221287108175503</v>
      </c>
      <c r="I1399">
        <v>2</v>
      </c>
      <c r="J1399">
        <v>0.89473589600000003</v>
      </c>
      <c r="P1399"/>
      <c r="V1399">
        <v>0.72522848425678599</v>
      </c>
      <c r="W1399">
        <v>2</v>
      </c>
      <c r="X1399">
        <v>75441.938136520999</v>
      </c>
      <c r="Y1399">
        <v>7141</v>
      </c>
      <c r="Z1399">
        <v>0.46418767081738399</v>
      </c>
      <c r="AA1399">
        <v>100</v>
      </c>
    </row>
    <row r="1400" spans="1:27" x14ac:dyDescent="0.2">
      <c r="A1400">
        <v>20</v>
      </c>
      <c r="B1400">
        <v>2</v>
      </c>
      <c r="C1400">
        <v>0.1</v>
      </c>
      <c r="D1400">
        <v>20</v>
      </c>
      <c r="E1400">
        <v>0.95567002957539704</v>
      </c>
      <c r="F1400">
        <v>2</v>
      </c>
      <c r="G1400">
        <v>29.813103867999999</v>
      </c>
      <c r="H1400">
        <v>0.95870166450018002</v>
      </c>
      <c r="I1400">
        <v>2</v>
      </c>
      <c r="J1400">
        <v>0.36968897499999998</v>
      </c>
      <c r="P1400"/>
      <c r="V1400">
        <v>0.95966908798085104</v>
      </c>
      <c r="W1400">
        <v>2</v>
      </c>
      <c r="X1400">
        <v>75452.680475871006</v>
      </c>
      <c r="Y1400">
        <v>95690</v>
      </c>
      <c r="Z1400">
        <v>1.8409613619951401E-2</v>
      </c>
      <c r="AA1400">
        <v>100</v>
      </c>
    </row>
    <row r="1401" spans="1:27" x14ac:dyDescent="0.2">
      <c r="A1401">
        <v>20</v>
      </c>
      <c r="B1401">
        <v>2</v>
      </c>
      <c r="C1401">
        <v>0.3</v>
      </c>
      <c r="D1401">
        <v>20</v>
      </c>
      <c r="E1401">
        <v>0.42622069205965801</v>
      </c>
      <c r="F1401">
        <v>2</v>
      </c>
      <c r="G1401">
        <v>31.820745514999999</v>
      </c>
      <c r="H1401">
        <v>0.286923810184952</v>
      </c>
      <c r="I1401">
        <v>2</v>
      </c>
      <c r="J1401">
        <v>0.20799097799999999</v>
      </c>
      <c r="P1401"/>
      <c r="V1401">
        <v>0.26854112465090701</v>
      </c>
      <c r="W1401">
        <v>2</v>
      </c>
      <c r="X1401">
        <v>76668.401646743994</v>
      </c>
      <c r="Y1401">
        <v>155343</v>
      </c>
      <c r="Z1401">
        <v>0.32984049536376803</v>
      </c>
      <c r="AA1401">
        <v>100</v>
      </c>
    </row>
    <row r="1402" spans="1:27" x14ac:dyDescent="0.2">
      <c r="A1402">
        <v>20</v>
      </c>
      <c r="B1402">
        <v>2</v>
      </c>
      <c r="C1402">
        <v>0.2</v>
      </c>
      <c r="D1402">
        <v>20</v>
      </c>
      <c r="E1402">
        <v>0.76573382718202399</v>
      </c>
      <c r="F1402">
        <v>2</v>
      </c>
      <c r="G1402">
        <v>33.739833967000003</v>
      </c>
      <c r="H1402">
        <v>0.73033733008026702</v>
      </c>
      <c r="I1402">
        <v>2</v>
      </c>
      <c r="J1402">
        <v>0.45608345</v>
      </c>
      <c r="P1402"/>
      <c r="V1402">
        <v>0.73147286695972202</v>
      </c>
      <c r="W1402">
        <v>2</v>
      </c>
      <c r="X1402">
        <v>75435.190550471001</v>
      </c>
      <c r="Y1402">
        <v>6258</v>
      </c>
      <c r="Z1402">
        <v>0.52387258122816505</v>
      </c>
      <c r="AA1402">
        <v>100</v>
      </c>
    </row>
    <row r="1403" spans="1:27" x14ac:dyDescent="0.2">
      <c r="A1403">
        <v>20</v>
      </c>
      <c r="B1403">
        <v>2</v>
      </c>
      <c r="C1403">
        <v>0.1</v>
      </c>
      <c r="D1403">
        <v>20</v>
      </c>
      <c r="E1403">
        <v>1.00709061037019</v>
      </c>
      <c r="F1403">
        <v>2</v>
      </c>
      <c r="G1403">
        <v>31.409852063999999</v>
      </c>
      <c r="H1403">
        <v>0.95675053860215797</v>
      </c>
      <c r="I1403">
        <v>2</v>
      </c>
      <c r="J1403">
        <v>0.63908740399999997</v>
      </c>
      <c r="P1403"/>
      <c r="V1403">
        <v>0.958722996361555</v>
      </c>
      <c r="W1403">
        <v>2</v>
      </c>
      <c r="X1403">
        <v>75476.93106735</v>
      </c>
      <c r="Y1403">
        <v>111846</v>
      </c>
      <c r="Z1403">
        <v>1.31453520233802E-2</v>
      </c>
      <c r="AA1403">
        <v>100</v>
      </c>
    </row>
    <row r="1404" spans="1:27" x14ac:dyDescent="0.2">
      <c r="A1404">
        <v>20</v>
      </c>
      <c r="B1404">
        <v>2</v>
      </c>
      <c r="C1404">
        <v>0.2</v>
      </c>
      <c r="D1404">
        <v>20</v>
      </c>
      <c r="E1404">
        <v>0.54501387083624697</v>
      </c>
      <c r="F1404">
        <v>2</v>
      </c>
      <c r="G1404">
        <v>33.277426912000003</v>
      </c>
      <c r="H1404">
        <v>0.49581547522438701</v>
      </c>
      <c r="I1404">
        <v>2</v>
      </c>
      <c r="J1404">
        <v>0.43890138099999998</v>
      </c>
      <c r="P1404"/>
      <c r="V1404">
        <v>0.48827215202346702</v>
      </c>
      <c r="W1404">
        <v>2</v>
      </c>
      <c r="X1404">
        <v>75742.662918739006</v>
      </c>
      <c r="Y1404">
        <v>34138</v>
      </c>
      <c r="Z1404">
        <v>0.31722796951002202</v>
      </c>
      <c r="AA1404">
        <v>100</v>
      </c>
    </row>
    <row r="1405" spans="1:27" x14ac:dyDescent="0.2">
      <c r="A1405">
        <v>20</v>
      </c>
      <c r="B1405">
        <v>2</v>
      </c>
      <c r="C1405">
        <v>0.1</v>
      </c>
      <c r="D1405">
        <v>20</v>
      </c>
      <c r="E1405">
        <v>1.0630119303450201</v>
      </c>
      <c r="F1405">
        <v>2</v>
      </c>
      <c r="G1405">
        <v>33.117795111</v>
      </c>
      <c r="H1405">
        <v>1.0240848901809501</v>
      </c>
      <c r="I1405">
        <v>2</v>
      </c>
      <c r="J1405">
        <v>0.54241753999999998</v>
      </c>
      <c r="P1405"/>
      <c r="V1405">
        <v>1.0256397218823901</v>
      </c>
      <c r="W1405">
        <v>2</v>
      </c>
      <c r="X1405">
        <v>75764.627251996993</v>
      </c>
      <c r="Y1405">
        <v>106251</v>
      </c>
      <c r="Z1405">
        <v>1.9822194939460001E-2</v>
      </c>
      <c r="AA1405">
        <v>100</v>
      </c>
    </row>
    <row r="1406" spans="1:27" x14ac:dyDescent="0.2">
      <c r="A1406">
        <v>20</v>
      </c>
      <c r="B1406">
        <v>2</v>
      </c>
      <c r="C1406">
        <v>0.2</v>
      </c>
      <c r="D1406">
        <v>20</v>
      </c>
      <c r="E1406">
        <v>0.47028913985580201</v>
      </c>
      <c r="F1406">
        <v>2</v>
      </c>
      <c r="G1406">
        <v>36.674346559999996</v>
      </c>
      <c r="H1406">
        <v>0.37792198059020699</v>
      </c>
      <c r="I1406">
        <v>2</v>
      </c>
      <c r="J1406">
        <v>0.38843428499999999</v>
      </c>
      <c r="P1406"/>
      <c r="V1406">
        <v>0.368998175843742</v>
      </c>
      <c r="W1406">
        <v>2</v>
      </c>
      <c r="X1406">
        <v>82416.302687895994</v>
      </c>
      <c r="Y1406">
        <v>134906</v>
      </c>
      <c r="Z1406">
        <v>0.43064986787612702</v>
      </c>
      <c r="AA1406">
        <v>100</v>
      </c>
    </row>
    <row r="1407" spans="1:27" x14ac:dyDescent="0.2">
      <c r="A1407">
        <v>10</v>
      </c>
      <c r="B1407">
        <v>2</v>
      </c>
      <c r="C1407">
        <v>0.2</v>
      </c>
      <c r="D1407">
        <v>100</v>
      </c>
      <c r="E1407">
        <v>0.82015153191305201</v>
      </c>
      <c r="F1407">
        <v>2</v>
      </c>
      <c r="G1407">
        <v>34.859059447</v>
      </c>
      <c r="H1407">
        <v>0.80778098290460099</v>
      </c>
      <c r="I1407">
        <v>2</v>
      </c>
      <c r="J1407">
        <v>0.33518842199999999</v>
      </c>
      <c r="P1407"/>
      <c r="V1407">
        <v>0.80814492798804605</v>
      </c>
      <c r="W1407">
        <v>2</v>
      </c>
      <c r="X1407">
        <v>75080.630320886994</v>
      </c>
      <c r="Y1407">
        <v>300929</v>
      </c>
      <c r="Z1407">
        <v>2.2983378804984599E-2</v>
      </c>
      <c r="AA1407">
        <v>100</v>
      </c>
    </row>
    <row r="1408" spans="1:27" x14ac:dyDescent="0.2">
      <c r="A1408">
        <v>10</v>
      </c>
      <c r="B1408">
        <v>2</v>
      </c>
      <c r="C1408">
        <v>0.3</v>
      </c>
      <c r="D1408">
        <v>100</v>
      </c>
      <c r="E1408">
        <v>0.75971710594104902</v>
      </c>
      <c r="F1408">
        <v>2</v>
      </c>
      <c r="G1408">
        <v>33.995467953000002</v>
      </c>
      <c r="H1408">
        <v>0.74173970450179405</v>
      </c>
      <c r="I1408">
        <v>2</v>
      </c>
      <c r="J1408">
        <v>0.43708628900000002</v>
      </c>
      <c r="P1408"/>
      <c r="V1408">
        <v>0.74815875022776301</v>
      </c>
      <c r="W1408">
        <v>2</v>
      </c>
      <c r="X1408">
        <v>75408.494439646995</v>
      </c>
      <c r="Y1408">
        <v>394436</v>
      </c>
      <c r="Z1408">
        <v>5.78989888992413E-3</v>
      </c>
      <c r="AA1408">
        <v>100</v>
      </c>
    </row>
    <row r="1409" spans="1:27" x14ac:dyDescent="0.2">
      <c r="A1409">
        <v>10</v>
      </c>
      <c r="B1409">
        <v>2</v>
      </c>
      <c r="C1409">
        <v>0.4</v>
      </c>
      <c r="D1409">
        <v>100</v>
      </c>
      <c r="E1409">
        <v>0.71752311323812201</v>
      </c>
      <c r="F1409">
        <v>2</v>
      </c>
      <c r="G1409">
        <v>32.951132432999998</v>
      </c>
      <c r="H1409">
        <v>0.20552648900949699</v>
      </c>
      <c r="I1409">
        <v>2</v>
      </c>
      <c r="J1409">
        <v>0.68883921400000003</v>
      </c>
      <c r="P1409"/>
      <c r="V1409">
        <v>0.82380095567429801</v>
      </c>
      <c r="W1409">
        <v>2</v>
      </c>
      <c r="X1409">
        <v>75506.214760596005</v>
      </c>
      <c r="Y1409">
        <v>485044</v>
      </c>
      <c r="Z1409">
        <v>1.7548542258929999E-2</v>
      </c>
      <c r="AA1409">
        <v>100</v>
      </c>
    </row>
    <row r="1410" spans="1:27" x14ac:dyDescent="0.2">
      <c r="A1410">
        <v>10</v>
      </c>
      <c r="B1410">
        <v>2</v>
      </c>
      <c r="C1410">
        <v>0.2</v>
      </c>
      <c r="D1410">
        <v>100</v>
      </c>
      <c r="E1410">
        <v>0.98528611481511696</v>
      </c>
      <c r="F1410">
        <v>2</v>
      </c>
      <c r="G1410">
        <v>34.114159544000003</v>
      </c>
      <c r="H1410">
        <v>0.95551388822878403</v>
      </c>
      <c r="I1410">
        <v>2</v>
      </c>
      <c r="J1410">
        <v>0.30696612299999998</v>
      </c>
      <c r="P1410"/>
      <c r="V1410">
        <v>1.03631200931556</v>
      </c>
      <c r="W1410">
        <v>2</v>
      </c>
      <c r="X1410">
        <v>75177.077877600997</v>
      </c>
      <c r="Y1410">
        <v>388836</v>
      </c>
      <c r="Z1410">
        <v>5.9889575075576197E-3</v>
      </c>
      <c r="AA1410">
        <v>100</v>
      </c>
    </row>
    <row r="1411" spans="1:27" x14ac:dyDescent="0.2">
      <c r="A1411">
        <v>10</v>
      </c>
      <c r="B1411">
        <v>2</v>
      </c>
      <c r="C1411">
        <v>0.4</v>
      </c>
      <c r="D1411">
        <v>100</v>
      </c>
      <c r="E1411">
        <v>0.60072694051634401</v>
      </c>
      <c r="F1411">
        <v>2</v>
      </c>
      <c r="G1411">
        <v>25.428899736999998</v>
      </c>
      <c r="H1411">
        <v>0.48816313120015797</v>
      </c>
      <c r="I1411">
        <v>2</v>
      </c>
      <c r="J1411">
        <v>0.62271290199999996</v>
      </c>
      <c r="P1411"/>
      <c r="V1411">
        <v>0.490474974630286</v>
      </c>
      <c r="W1411">
        <v>2</v>
      </c>
      <c r="X1411">
        <v>75067.377500935996</v>
      </c>
      <c r="Y1411">
        <v>523879</v>
      </c>
      <c r="Z1411">
        <v>3.04671943441693E-2</v>
      </c>
      <c r="AA1411">
        <v>100</v>
      </c>
    </row>
    <row r="1412" spans="1:27" x14ac:dyDescent="0.2">
      <c r="A1412">
        <v>10</v>
      </c>
      <c r="B1412">
        <v>2</v>
      </c>
      <c r="C1412">
        <v>0.3</v>
      </c>
      <c r="D1412">
        <v>100</v>
      </c>
      <c r="E1412">
        <v>0.55250876097358903</v>
      </c>
      <c r="F1412">
        <v>2</v>
      </c>
      <c r="G1412">
        <v>25.533659985</v>
      </c>
      <c r="H1412">
        <v>0.61116530721976403</v>
      </c>
      <c r="I1412">
        <v>2</v>
      </c>
      <c r="J1412">
        <v>0.60058781900000002</v>
      </c>
      <c r="P1412"/>
      <c r="V1412">
        <v>0.60718403751566496</v>
      </c>
      <c r="W1412">
        <v>2</v>
      </c>
      <c r="X1412">
        <v>75401.001211358001</v>
      </c>
      <c r="Y1412">
        <v>434440</v>
      </c>
      <c r="Z1412">
        <v>3.3835285689891803E-2</v>
      </c>
      <c r="AA1412">
        <v>100</v>
      </c>
    </row>
    <row r="1413" spans="1:27" x14ac:dyDescent="0.2">
      <c r="A1413">
        <v>10</v>
      </c>
      <c r="B1413">
        <v>2</v>
      </c>
      <c r="C1413">
        <v>0.3</v>
      </c>
      <c r="D1413">
        <v>100</v>
      </c>
      <c r="E1413">
        <v>0.57628025381941606</v>
      </c>
      <c r="F1413">
        <v>2</v>
      </c>
      <c r="G1413">
        <v>32.869955289000004</v>
      </c>
      <c r="H1413">
        <v>0.55315159527330304</v>
      </c>
      <c r="I1413">
        <v>2</v>
      </c>
      <c r="J1413">
        <v>0.27333833600000002</v>
      </c>
      <c r="P1413"/>
      <c r="V1413">
        <v>0.55461177314769405</v>
      </c>
      <c r="W1413">
        <v>2</v>
      </c>
      <c r="X1413">
        <v>75081.576373752003</v>
      </c>
      <c r="Y1413">
        <v>408459</v>
      </c>
      <c r="Z1413">
        <v>6.9738830997360798E-3</v>
      </c>
      <c r="AA1413">
        <v>100</v>
      </c>
    </row>
    <row r="1414" spans="1:27" x14ac:dyDescent="0.2">
      <c r="A1414">
        <v>10</v>
      </c>
      <c r="B1414">
        <v>2</v>
      </c>
      <c r="C1414">
        <v>0.2</v>
      </c>
      <c r="D1414">
        <v>100</v>
      </c>
      <c r="E1414">
        <v>0.92636677828721703</v>
      </c>
      <c r="F1414">
        <v>2</v>
      </c>
      <c r="G1414">
        <v>23.285125154999999</v>
      </c>
      <c r="H1414">
        <v>0.952487252301501</v>
      </c>
      <c r="I1414">
        <v>2</v>
      </c>
      <c r="J1414">
        <v>0.23563432300000001</v>
      </c>
      <c r="P1414"/>
      <c r="V1414">
        <v>0.833385249727008</v>
      </c>
      <c r="W1414">
        <v>2</v>
      </c>
      <c r="X1414">
        <v>75065.636834705001</v>
      </c>
      <c r="Y1414">
        <v>407293</v>
      </c>
      <c r="Z1414">
        <v>9.7792366555507007E-3</v>
      </c>
      <c r="AA1414">
        <v>100</v>
      </c>
    </row>
    <row r="1415" spans="1:27" x14ac:dyDescent="0.2">
      <c r="A1415">
        <v>10</v>
      </c>
      <c r="B1415">
        <v>2</v>
      </c>
      <c r="C1415">
        <v>0.4</v>
      </c>
      <c r="D1415">
        <v>100</v>
      </c>
      <c r="E1415">
        <v>0.47876319444410198</v>
      </c>
      <c r="F1415">
        <v>2</v>
      </c>
      <c r="G1415">
        <v>32.996510571999998</v>
      </c>
      <c r="H1415">
        <v>0.34706166968410102</v>
      </c>
      <c r="I1415">
        <v>2</v>
      </c>
      <c r="J1415">
        <v>0.32347003099999999</v>
      </c>
      <c r="P1415"/>
      <c r="V1415">
        <v>0.34322228492836199</v>
      </c>
      <c r="W1415">
        <v>2</v>
      </c>
      <c r="X1415">
        <v>75395.659557228006</v>
      </c>
      <c r="Y1415">
        <v>502261</v>
      </c>
      <c r="Z1415">
        <v>2.5234072023054301E-2</v>
      </c>
      <c r="AA1415">
        <v>100</v>
      </c>
    </row>
    <row r="1416" spans="1:27" x14ac:dyDescent="0.2">
      <c r="A1416">
        <v>10</v>
      </c>
      <c r="B1416">
        <v>2</v>
      </c>
      <c r="C1416">
        <v>0.3</v>
      </c>
      <c r="D1416">
        <v>100</v>
      </c>
      <c r="E1416">
        <v>0.50803555229222197</v>
      </c>
      <c r="F1416">
        <v>2</v>
      </c>
      <c r="G1416">
        <v>36.829774534000002</v>
      </c>
      <c r="H1416">
        <v>0.37973314949949999</v>
      </c>
      <c r="I1416">
        <v>2</v>
      </c>
      <c r="J1416">
        <v>0.96905641899999995</v>
      </c>
      <c r="P1416"/>
      <c r="V1416">
        <v>0.44289896750242502</v>
      </c>
      <c r="W1416">
        <v>2</v>
      </c>
      <c r="X1416">
        <v>75482.739252309999</v>
      </c>
      <c r="Y1416">
        <v>424448</v>
      </c>
      <c r="Z1416">
        <v>8.0858529563453407E-3</v>
      </c>
      <c r="AA1416">
        <v>100</v>
      </c>
    </row>
    <row r="1417" spans="1:27" x14ac:dyDescent="0.2">
      <c r="A1417">
        <v>10</v>
      </c>
      <c r="B1417">
        <v>2</v>
      </c>
      <c r="C1417">
        <v>0.4</v>
      </c>
      <c r="D1417">
        <v>100</v>
      </c>
      <c r="E1417">
        <v>0.55686759775559802</v>
      </c>
      <c r="F1417">
        <v>2</v>
      </c>
      <c r="G1417">
        <v>35.541128350000001</v>
      </c>
      <c r="H1417">
        <v>0.41096484615637402</v>
      </c>
      <c r="I1417">
        <v>2</v>
      </c>
      <c r="J1417">
        <v>0.42924857700000002</v>
      </c>
      <c r="P1417"/>
      <c r="V1417">
        <v>0.62163422793051204</v>
      </c>
      <c r="W1417">
        <v>2</v>
      </c>
      <c r="X1417">
        <v>75707.029971702999</v>
      </c>
      <c r="Y1417">
        <v>474446</v>
      </c>
      <c r="Z1417">
        <v>1.3698555469507E-2</v>
      </c>
      <c r="AA1417">
        <v>100</v>
      </c>
    </row>
    <row r="1418" spans="1:27" x14ac:dyDescent="0.2">
      <c r="A1418">
        <v>10</v>
      </c>
      <c r="B1418">
        <v>2</v>
      </c>
      <c r="C1418">
        <v>0.4</v>
      </c>
      <c r="D1418">
        <v>100</v>
      </c>
      <c r="E1418">
        <v>0.82403523358558395</v>
      </c>
      <c r="F1418">
        <v>2</v>
      </c>
      <c r="G1418">
        <v>34.451271874</v>
      </c>
      <c r="H1418">
        <v>0.837695975042417</v>
      </c>
      <c r="I1418">
        <v>2</v>
      </c>
      <c r="J1418">
        <v>0.41124550999999998</v>
      </c>
      <c r="P1418"/>
      <c r="V1418">
        <v>0.51864021942643901</v>
      </c>
      <c r="W1418">
        <v>2</v>
      </c>
      <c r="X1418">
        <v>75098.049167068995</v>
      </c>
      <c r="Y1418">
        <v>431069</v>
      </c>
      <c r="Z1418">
        <v>4.42147229683778E-2</v>
      </c>
      <c r="AA1418">
        <v>100</v>
      </c>
    </row>
    <row r="1419" spans="1:27" x14ac:dyDescent="0.2">
      <c r="A1419">
        <v>10</v>
      </c>
      <c r="B1419">
        <v>2</v>
      </c>
      <c r="C1419">
        <v>0.3</v>
      </c>
      <c r="D1419">
        <v>100</v>
      </c>
      <c r="E1419">
        <v>0.80022251008461398</v>
      </c>
      <c r="F1419">
        <v>2</v>
      </c>
      <c r="G1419">
        <v>27.420675571</v>
      </c>
      <c r="H1419">
        <v>0.95352560217031801</v>
      </c>
      <c r="I1419">
        <v>2</v>
      </c>
      <c r="J1419">
        <v>0.54567986300000004</v>
      </c>
      <c r="P1419"/>
      <c r="V1419">
        <v>0.84466956813696303</v>
      </c>
      <c r="W1419">
        <v>2</v>
      </c>
      <c r="X1419">
        <v>75428.335138388997</v>
      </c>
      <c r="Y1419">
        <v>397314</v>
      </c>
      <c r="Z1419">
        <v>2.2519391984517599E-2</v>
      </c>
      <c r="AA1419">
        <v>100</v>
      </c>
    </row>
    <row r="1420" spans="1:27" x14ac:dyDescent="0.2">
      <c r="A1420">
        <v>10</v>
      </c>
      <c r="B1420">
        <v>2</v>
      </c>
      <c r="C1420">
        <v>0.2</v>
      </c>
      <c r="D1420">
        <v>100</v>
      </c>
      <c r="E1420">
        <v>0.91694491543447199</v>
      </c>
      <c r="F1420">
        <v>2</v>
      </c>
      <c r="G1420">
        <v>34.404914339000001</v>
      </c>
      <c r="H1420">
        <v>0.91118415413784903</v>
      </c>
      <c r="I1420">
        <v>2</v>
      </c>
      <c r="J1420">
        <v>0.289869086</v>
      </c>
      <c r="P1420"/>
      <c r="V1420">
        <v>0.98991968160840405</v>
      </c>
      <c r="W1420">
        <v>2</v>
      </c>
      <c r="X1420">
        <v>75696.013397235001</v>
      </c>
      <c r="Y1420">
        <v>313496</v>
      </c>
      <c r="Z1420">
        <v>9.4011482565787702E-3</v>
      </c>
      <c r="AA1420">
        <v>100</v>
      </c>
    </row>
    <row r="1421" spans="1:27" x14ac:dyDescent="0.2">
      <c r="A1421">
        <v>10</v>
      </c>
      <c r="B1421">
        <v>2</v>
      </c>
      <c r="C1421">
        <v>0.3</v>
      </c>
      <c r="D1421">
        <v>100</v>
      </c>
      <c r="E1421">
        <v>0.85495569261270499</v>
      </c>
      <c r="F1421">
        <v>2</v>
      </c>
      <c r="G1421">
        <v>36.180701528</v>
      </c>
      <c r="H1421">
        <v>0.78700137070497</v>
      </c>
      <c r="I1421">
        <v>2</v>
      </c>
      <c r="J1421">
        <v>0.40701793200000003</v>
      </c>
      <c r="P1421"/>
      <c r="V1421">
        <v>0.81301442692044701</v>
      </c>
      <c r="W1421">
        <v>2</v>
      </c>
      <c r="X1421">
        <v>75691.685063041994</v>
      </c>
      <c r="Y1421">
        <v>365900</v>
      </c>
      <c r="Z1421">
        <v>1.7722607698842999E-2</v>
      </c>
      <c r="AA1421">
        <v>100</v>
      </c>
    </row>
    <row r="1422" spans="1:27" x14ac:dyDescent="0.2">
      <c r="A1422">
        <v>10</v>
      </c>
      <c r="B1422">
        <v>2</v>
      </c>
      <c r="C1422">
        <v>0.3</v>
      </c>
      <c r="D1422">
        <v>100</v>
      </c>
      <c r="E1422">
        <v>0.82217285339722301</v>
      </c>
      <c r="F1422">
        <v>2</v>
      </c>
      <c r="G1422">
        <v>34.530731647000003</v>
      </c>
      <c r="H1422">
        <v>0.76613604188575601</v>
      </c>
      <c r="I1422">
        <v>2</v>
      </c>
      <c r="J1422">
        <v>0.61065113500000001</v>
      </c>
      <c r="P1422"/>
      <c r="V1422">
        <v>0.75495921259698195</v>
      </c>
      <c r="W1422">
        <v>2</v>
      </c>
      <c r="X1422">
        <v>75079.283110699995</v>
      </c>
      <c r="Y1422">
        <v>392373</v>
      </c>
      <c r="Z1422">
        <v>9.4841477798675106E-2</v>
      </c>
      <c r="AA1422">
        <v>100</v>
      </c>
    </row>
    <row r="1423" spans="1:27" x14ac:dyDescent="0.2">
      <c r="A1423">
        <v>10</v>
      </c>
      <c r="B1423">
        <v>2</v>
      </c>
      <c r="C1423">
        <v>0.4</v>
      </c>
      <c r="D1423">
        <v>100</v>
      </c>
      <c r="E1423">
        <v>0.35246139533915199</v>
      </c>
      <c r="F1423">
        <v>2</v>
      </c>
      <c r="G1423">
        <v>33.989921029000001</v>
      </c>
      <c r="H1423">
        <v>0.30681524162042101</v>
      </c>
      <c r="I1423">
        <v>2</v>
      </c>
      <c r="J1423">
        <v>0.19592004800000001</v>
      </c>
      <c r="P1423"/>
      <c r="V1423">
        <v>0.30458720032759301</v>
      </c>
      <c r="W1423">
        <v>2</v>
      </c>
      <c r="X1423">
        <v>75072.579807855</v>
      </c>
      <c r="Y1423">
        <v>385146</v>
      </c>
      <c r="Z1423">
        <v>3.4317861678621199E-2</v>
      </c>
      <c r="AA1423">
        <v>100</v>
      </c>
    </row>
    <row r="1424" spans="1:27" x14ac:dyDescent="0.2">
      <c r="A1424">
        <v>10</v>
      </c>
      <c r="B1424">
        <v>2</v>
      </c>
      <c r="C1424">
        <v>0.4</v>
      </c>
      <c r="D1424">
        <v>100</v>
      </c>
      <c r="E1424">
        <v>0.56160200746525502</v>
      </c>
      <c r="F1424">
        <v>2</v>
      </c>
      <c r="G1424">
        <v>36.735828662000003</v>
      </c>
      <c r="H1424">
        <v>0.492621415657507</v>
      </c>
      <c r="I1424">
        <v>2</v>
      </c>
      <c r="J1424">
        <v>0.52229787599999999</v>
      </c>
      <c r="P1424"/>
      <c r="V1424">
        <v>0.490685232570161</v>
      </c>
      <c r="W1424">
        <v>2</v>
      </c>
      <c r="X1424">
        <v>75406.114389017006</v>
      </c>
      <c r="Y1424">
        <v>391015</v>
      </c>
      <c r="Z1424">
        <v>1.41503355605158E-2</v>
      </c>
      <c r="AA1424">
        <v>100</v>
      </c>
    </row>
    <row r="1425" spans="1:27" x14ac:dyDescent="0.2">
      <c r="A1425" s="4">
        <v>30</v>
      </c>
      <c r="B1425" s="4">
        <v>1</v>
      </c>
      <c r="C1425" s="4">
        <v>0.4</v>
      </c>
      <c r="D1425" s="4">
        <v>20</v>
      </c>
      <c r="E1425" s="4">
        <v>5.2912630000000002E-2</v>
      </c>
      <c r="F1425" s="4">
        <v>1</v>
      </c>
      <c r="G1425" s="4">
        <v>34.695929399999997</v>
      </c>
      <c r="H1425" s="4">
        <v>7.0769730000000003E-2</v>
      </c>
      <c r="I1425" s="4">
        <v>1</v>
      </c>
      <c r="J1425" s="4">
        <v>0.354271</v>
      </c>
      <c r="K1425" s="4"/>
      <c r="L1425" s="4"/>
      <c r="M1425" s="4"/>
      <c r="N1425" s="4"/>
      <c r="O1425" s="4"/>
      <c r="P1425" s="4"/>
      <c r="Q1425" s="4"/>
      <c r="R1425" s="4"/>
      <c r="S1425" s="4"/>
      <c r="T1425" s="4"/>
      <c r="U1425" s="4"/>
      <c r="V1425" s="4">
        <v>5.0569740000000002E-2</v>
      </c>
      <c r="W1425" s="4">
        <v>1</v>
      </c>
      <c r="X1425" s="4">
        <v>76.633952699999995</v>
      </c>
      <c r="Y1425" s="4">
        <v>133</v>
      </c>
      <c r="Z1425" s="4">
        <v>9.1319999999999995E-3</v>
      </c>
      <c r="AA1425" s="4">
        <v>1</v>
      </c>
    </row>
    <row r="1426" spans="1:27" x14ac:dyDescent="0.2">
      <c r="A1426" s="4">
        <v>30</v>
      </c>
      <c r="B1426" s="4">
        <v>1</v>
      </c>
      <c r="C1426" s="4">
        <v>0.3</v>
      </c>
      <c r="D1426" s="4">
        <v>20</v>
      </c>
      <c r="E1426" s="4">
        <v>5.0511739999999999E-2</v>
      </c>
      <c r="F1426" s="4">
        <v>1</v>
      </c>
      <c r="G1426" s="4">
        <v>38.923015999999997</v>
      </c>
      <c r="H1426" s="4">
        <v>6.275414E-2</v>
      </c>
      <c r="I1426" s="4">
        <v>1</v>
      </c>
      <c r="J1426" s="4">
        <v>0.24824439000000001</v>
      </c>
      <c r="K1426" s="4"/>
      <c r="L1426" s="4"/>
      <c r="M1426" s="4"/>
      <c r="N1426" s="4"/>
      <c r="O1426" s="4"/>
      <c r="P1426" s="4"/>
      <c r="Q1426" s="4"/>
      <c r="R1426" s="4"/>
      <c r="S1426" s="4"/>
      <c r="T1426" s="4"/>
      <c r="U1426" s="4"/>
      <c r="V1426" s="4">
        <v>4.2599709999999999E-2</v>
      </c>
      <c r="W1426" s="4">
        <v>1</v>
      </c>
      <c r="X1426" s="4">
        <v>117.937754</v>
      </c>
      <c r="Y1426" s="4">
        <v>75</v>
      </c>
      <c r="Z1426" s="4">
        <v>9.17749E-3</v>
      </c>
      <c r="AA1426" s="4">
        <v>36</v>
      </c>
    </row>
    <row r="1427" spans="1:27" x14ac:dyDescent="0.2">
      <c r="A1427" s="4">
        <v>30</v>
      </c>
      <c r="B1427" s="4">
        <v>1</v>
      </c>
      <c r="C1427" s="4">
        <v>0.4</v>
      </c>
      <c r="D1427" s="4">
        <v>20</v>
      </c>
      <c r="E1427" s="4">
        <v>5.9491160000000001E-2</v>
      </c>
      <c r="F1427" s="4">
        <v>1</v>
      </c>
      <c r="G1427" s="4">
        <v>34.328940299999999</v>
      </c>
      <c r="H1427" s="4">
        <v>7.6604270000000002E-2</v>
      </c>
      <c r="I1427" s="4">
        <v>1</v>
      </c>
      <c r="J1427" s="4">
        <v>0.20610661999999999</v>
      </c>
      <c r="K1427" s="4"/>
      <c r="L1427" s="4"/>
      <c r="M1427" s="4"/>
      <c r="N1427" s="4"/>
      <c r="O1427" s="4"/>
      <c r="P1427" s="4"/>
      <c r="Q1427" s="4"/>
      <c r="R1427" s="4"/>
      <c r="S1427" s="4"/>
      <c r="T1427" s="4"/>
      <c r="U1427" s="4"/>
      <c r="V1427" s="4">
        <v>5.3541499999999999E-2</v>
      </c>
      <c r="W1427" s="4">
        <v>1</v>
      </c>
      <c r="X1427" s="4">
        <v>229.963493</v>
      </c>
      <c r="Y1427" s="4">
        <v>119</v>
      </c>
      <c r="Z1427" s="4">
        <v>7.6767900000000002E-3</v>
      </c>
      <c r="AA1427" s="4">
        <v>42</v>
      </c>
    </row>
    <row r="1428" spans="1:27" x14ac:dyDescent="0.2">
      <c r="A1428" s="4">
        <v>30</v>
      </c>
      <c r="B1428" s="4">
        <v>1</v>
      </c>
      <c r="C1428" s="4">
        <v>0.4</v>
      </c>
      <c r="D1428" s="4">
        <v>20</v>
      </c>
      <c r="E1428" s="4">
        <v>5.5612059999999998E-2</v>
      </c>
      <c r="F1428" s="4">
        <v>1</v>
      </c>
      <c r="G1428" s="4">
        <v>35.001322999999999</v>
      </c>
      <c r="H1428" s="4">
        <v>7.0008899999999999E-2</v>
      </c>
      <c r="I1428" s="4">
        <v>1</v>
      </c>
      <c r="J1428" s="4">
        <v>0.31984330999999999</v>
      </c>
      <c r="K1428" s="4"/>
      <c r="L1428" s="4"/>
      <c r="M1428" s="4"/>
      <c r="N1428" s="4"/>
      <c r="O1428" s="4"/>
      <c r="P1428" s="4"/>
      <c r="Q1428" s="4"/>
      <c r="R1428" s="4"/>
      <c r="S1428" s="4"/>
      <c r="T1428" s="4"/>
      <c r="U1428" s="4"/>
      <c r="V1428" s="4">
        <v>4.7746440000000001E-2</v>
      </c>
      <c r="W1428" s="4">
        <v>1</v>
      </c>
      <c r="X1428" s="4">
        <v>76.311623800000007</v>
      </c>
      <c r="Y1428" s="4">
        <v>159</v>
      </c>
      <c r="Z1428" s="4">
        <v>3.6167899999999999E-3</v>
      </c>
      <c r="AA1428" s="4">
        <v>1</v>
      </c>
    </row>
    <row r="1429" spans="1:27" x14ac:dyDescent="0.2">
      <c r="A1429">
        <v>10</v>
      </c>
      <c r="B1429">
        <v>2</v>
      </c>
      <c r="C1429">
        <v>0.1</v>
      </c>
      <c r="D1429">
        <v>20</v>
      </c>
      <c r="E1429">
        <v>0.955954572610478</v>
      </c>
      <c r="F1429">
        <v>2</v>
      </c>
      <c r="G1429">
        <v>30.195142171000001</v>
      </c>
      <c r="H1429">
        <v>0.95601575313564102</v>
      </c>
      <c r="I1429">
        <v>2</v>
      </c>
      <c r="J1429">
        <v>3.4317168000000002E-2</v>
      </c>
      <c r="P1429"/>
      <c r="V1429">
        <v>0.94130824974117899</v>
      </c>
      <c r="W1429">
        <v>2</v>
      </c>
      <c r="X1429">
        <v>26743.567806185001</v>
      </c>
      <c r="Y1429">
        <v>231524</v>
      </c>
      <c r="Z1429">
        <v>7.6990765126707804E-4</v>
      </c>
      <c r="AA1429">
        <v>46</v>
      </c>
    </row>
    <row r="1430" spans="1:27" x14ac:dyDescent="0.2">
      <c r="A1430">
        <v>10</v>
      </c>
      <c r="B1430">
        <v>2</v>
      </c>
      <c r="C1430">
        <v>0.3</v>
      </c>
      <c r="D1430">
        <v>100</v>
      </c>
      <c r="E1430">
        <v>0.74654561150532195</v>
      </c>
      <c r="F1430">
        <v>2</v>
      </c>
      <c r="G1430">
        <v>47.579381300999998</v>
      </c>
      <c r="H1430">
        <v>0.64898291289130206</v>
      </c>
      <c r="I1430">
        <v>2</v>
      </c>
      <c r="J1430">
        <v>0.55438989400000005</v>
      </c>
      <c r="P1430"/>
      <c r="V1430">
        <v>0.64866260553918598</v>
      </c>
      <c r="W1430">
        <v>2</v>
      </c>
      <c r="X1430">
        <v>75105.632929813</v>
      </c>
      <c r="Y1430">
        <v>404001</v>
      </c>
      <c r="Z1430">
        <v>7.6706103763689E-3</v>
      </c>
      <c r="AA1430">
        <v>100</v>
      </c>
    </row>
    <row r="1431" spans="1:27" x14ac:dyDescent="0.2">
      <c r="A1431">
        <v>10</v>
      </c>
      <c r="B1431">
        <v>2</v>
      </c>
      <c r="C1431">
        <v>0.4</v>
      </c>
      <c r="D1431">
        <v>100</v>
      </c>
      <c r="E1431">
        <v>0.65863637089162697</v>
      </c>
      <c r="F1431">
        <v>2</v>
      </c>
      <c r="G1431">
        <v>35.712019116</v>
      </c>
      <c r="H1431">
        <v>0.35012752313440498</v>
      </c>
      <c r="I1431">
        <v>2</v>
      </c>
      <c r="J1431">
        <v>0.53461110499999998</v>
      </c>
      <c r="P1431"/>
      <c r="V1431">
        <v>0.64070513963871101</v>
      </c>
      <c r="W1431">
        <v>2</v>
      </c>
      <c r="X1431">
        <v>75414.829347599996</v>
      </c>
      <c r="Y1431">
        <v>402587</v>
      </c>
      <c r="Z1431">
        <v>1.8939310278520902E-2</v>
      </c>
      <c r="AA1431">
        <v>100</v>
      </c>
    </row>
    <row r="1432" spans="1:27" x14ac:dyDescent="0.2">
      <c r="A1432">
        <v>10</v>
      </c>
      <c r="B1432">
        <v>2</v>
      </c>
      <c r="C1432">
        <v>0.4</v>
      </c>
      <c r="D1432">
        <v>100</v>
      </c>
      <c r="E1432">
        <v>0.58830366404212497</v>
      </c>
      <c r="F1432">
        <v>2</v>
      </c>
      <c r="G1432">
        <v>38.047212244000001</v>
      </c>
      <c r="H1432">
        <v>0.52329792766237504</v>
      </c>
      <c r="I1432">
        <v>2</v>
      </c>
      <c r="J1432">
        <v>0.47129645399999998</v>
      </c>
      <c r="P1432"/>
      <c r="V1432">
        <v>0.52149447173692498</v>
      </c>
      <c r="W1432">
        <v>2</v>
      </c>
      <c r="X1432">
        <v>75090.139247845</v>
      </c>
      <c r="Y1432">
        <v>365081</v>
      </c>
      <c r="Z1432">
        <v>4.4417707319240801E-2</v>
      </c>
      <c r="AA1432">
        <v>100</v>
      </c>
    </row>
    <row r="1433" spans="1:27" x14ac:dyDescent="0.2">
      <c r="A1433">
        <v>10</v>
      </c>
      <c r="B1433">
        <v>2</v>
      </c>
      <c r="C1433">
        <v>0.2</v>
      </c>
      <c r="D1433">
        <v>100</v>
      </c>
      <c r="E1433">
        <v>0.70270102133005397</v>
      </c>
      <c r="F1433">
        <v>2</v>
      </c>
      <c r="G1433">
        <v>33.972693612999997</v>
      </c>
      <c r="H1433">
        <v>0.69910676445488495</v>
      </c>
      <c r="I1433">
        <v>2</v>
      </c>
      <c r="J1433">
        <v>0.220245148</v>
      </c>
      <c r="P1433"/>
      <c r="V1433">
        <v>0.70226026002105602</v>
      </c>
      <c r="W1433">
        <v>2</v>
      </c>
      <c r="X1433">
        <v>75665.031905003998</v>
      </c>
      <c r="Y1433">
        <v>375338</v>
      </c>
      <c r="Z1433">
        <v>1.09688769224456E-2</v>
      </c>
      <c r="AA1433">
        <v>100</v>
      </c>
    </row>
    <row r="1434" spans="1:27" x14ac:dyDescent="0.2">
      <c r="A1434">
        <v>10</v>
      </c>
      <c r="B1434">
        <v>2</v>
      </c>
      <c r="C1434">
        <v>0.3</v>
      </c>
      <c r="D1434">
        <v>100</v>
      </c>
      <c r="E1434">
        <v>1.31932074930539</v>
      </c>
      <c r="F1434">
        <v>2</v>
      </c>
      <c r="G1434">
        <v>34.633148614</v>
      </c>
      <c r="H1434">
        <v>0.92679477634921803</v>
      </c>
      <c r="I1434">
        <v>2</v>
      </c>
      <c r="J1434">
        <v>0.63275478399999996</v>
      </c>
      <c r="P1434"/>
      <c r="V1434">
        <v>0.87245835363371704</v>
      </c>
      <c r="W1434">
        <v>2</v>
      </c>
      <c r="X1434">
        <v>75697.705904022005</v>
      </c>
      <c r="Y1434">
        <v>409389</v>
      </c>
      <c r="Z1434">
        <v>1.9709117371708002E-3</v>
      </c>
      <c r="AA1434">
        <v>100</v>
      </c>
    </row>
    <row r="1435" spans="1:27" x14ac:dyDescent="0.2">
      <c r="A1435">
        <v>10</v>
      </c>
      <c r="B1435">
        <v>2</v>
      </c>
      <c r="C1435">
        <v>0.2</v>
      </c>
      <c r="D1435">
        <v>100</v>
      </c>
      <c r="E1435">
        <v>0.95874474191544801</v>
      </c>
      <c r="F1435">
        <v>2</v>
      </c>
      <c r="G1435">
        <v>35.392662377999997</v>
      </c>
      <c r="H1435">
        <v>0.89111138040216198</v>
      </c>
      <c r="I1435">
        <v>2</v>
      </c>
      <c r="J1435">
        <v>0.59873679899999999</v>
      </c>
      <c r="P1435"/>
      <c r="V1435">
        <v>0.89136351220183796</v>
      </c>
      <c r="W1435">
        <v>2</v>
      </c>
      <c r="X1435">
        <v>75058.570270092998</v>
      </c>
      <c r="Y1435">
        <v>421250</v>
      </c>
      <c r="Z1435">
        <v>2.5973537289246399E-2</v>
      </c>
      <c r="AA1435">
        <v>100</v>
      </c>
    </row>
    <row r="1436" spans="1:27" x14ac:dyDescent="0.2">
      <c r="A1436">
        <v>10</v>
      </c>
      <c r="B1436">
        <v>2</v>
      </c>
      <c r="C1436">
        <v>0.4</v>
      </c>
      <c r="D1436">
        <v>100</v>
      </c>
      <c r="E1436">
        <v>0.66019011650495996</v>
      </c>
      <c r="F1436">
        <v>2</v>
      </c>
      <c r="G1436">
        <v>34.546306416</v>
      </c>
      <c r="H1436">
        <v>0.38836644620015898</v>
      </c>
      <c r="I1436">
        <v>2</v>
      </c>
      <c r="J1436">
        <v>0.30593485300000001</v>
      </c>
      <c r="P1436"/>
      <c r="V1436">
        <v>0.63873744077587002</v>
      </c>
      <c r="W1436">
        <v>2</v>
      </c>
      <c r="X1436">
        <v>75464.668133222993</v>
      </c>
      <c r="Y1436">
        <v>400018</v>
      </c>
      <c r="Z1436">
        <v>1.07397636229721E-2</v>
      </c>
      <c r="AA1436">
        <v>100</v>
      </c>
    </row>
    <row r="1437" spans="1:27" x14ac:dyDescent="0.2">
      <c r="A1437">
        <v>10</v>
      </c>
      <c r="B1437">
        <v>2</v>
      </c>
      <c r="C1437">
        <v>0.3</v>
      </c>
      <c r="D1437">
        <v>100</v>
      </c>
      <c r="E1437">
        <v>1.1039441608384799</v>
      </c>
      <c r="F1437">
        <v>2</v>
      </c>
      <c r="G1437">
        <v>33.802143473999998</v>
      </c>
      <c r="H1437">
        <v>1.0768607142106099</v>
      </c>
      <c r="I1437">
        <v>2</v>
      </c>
      <c r="J1437">
        <v>0.507793261</v>
      </c>
      <c r="P1437"/>
      <c r="V1437">
        <v>1.0593432932267299</v>
      </c>
      <c r="W1437">
        <v>2</v>
      </c>
      <c r="X1437">
        <v>75005.270574929003</v>
      </c>
      <c r="Y1437">
        <v>378868</v>
      </c>
      <c r="Z1437">
        <v>2.9418277940173299E-3</v>
      </c>
      <c r="AA1437">
        <v>100</v>
      </c>
    </row>
    <row r="1438" spans="1:27" x14ac:dyDescent="0.2">
      <c r="A1438">
        <v>10</v>
      </c>
      <c r="B1438">
        <v>2</v>
      </c>
      <c r="C1438">
        <v>0.2</v>
      </c>
      <c r="D1438">
        <v>100</v>
      </c>
      <c r="E1438">
        <v>0.96135965106479804</v>
      </c>
      <c r="F1438">
        <v>2</v>
      </c>
      <c r="G1438">
        <v>35.024809484000002</v>
      </c>
      <c r="H1438">
        <v>0.87805678770737805</v>
      </c>
      <c r="I1438">
        <v>2</v>
      </c>
      <c r="J1438">
        <v>0.39890202299999999</v>
      </c>
      <c r="P1438"/>
      <c r="V1438">
        <v>0.87198262753547595</v>
      </c>
      <c r="W1438">
        <v>2</v>
      </c>
      <c r="X1438">
        <v>74451.323578071999</v>
      </c>
      <c r="Y1438">
        <v>480875</v>
      </c>
      <c r="Z1438">
        <v>8.0095525544850101E-4</v>
      </c>
      <c r="AA1438">
        <v>100</v>
      </c>
    </row>
    <row r="1439" spans="1:27" x14ac:dyDescent="0.2">
      <c r="A1439">
        <v>10</v>
      </c>
      <c r="B1439">
        <v>2</v>
      </c>
      <c r="C1439">
        <v>0.4</v>
      </c>
      <c r="D1439">
        <v>100</v>
      </c>
      <c r="E1439">
        <v>0.21352166618562099</v>
      </c>
      <c r="F1439">
        <v>2</v>
      </c>
      <c r="G1439">
        <v>38.150111246999998</v>
      </c>
      <c r="H1439">
        <v>0.101329305458863</v>
      </c>
      <c r="I1439">
        <v>2</v>
      </c>
      <c r="J1439">
        <v>0.68996096799999995</v>
      </c>
      <c r="P1439"/>
      <c r="V1439">
        <v>0.115501432455514</v>
      </c>
      <c r="W1439">
        <v>2</v>
      </c>
      <c r="X1439">
        <v>76137.451396684002</v>
      </c>
      <c r="Y1439">
        <v>580704</v>
      </c>
      <c r="Z1439">
        <v>1.08163144296932E-2</v>
      </c>
      <c r="AA1439">
        <v>100</v>
      </c>
    </row>
    <row r="1440" spans="1:27" x14ac:dyDescent="0.2">
      <c r="A1440">
        <v>10</v>
      </c>
      <c r="B1440">
        <v>2</v>
      </c>
      <c r="C1440">
        <v>0.3</v>
      </c>
      <c r="D1440">
        <v>100</v>
      </c>
      <c r="E1440">
        <v>0.81772609090461201</v>
      </c>
      <c r="F1440">
        <v>2</v>
      </c>
      <c r="G1440">
        <v>35.909658082</v>
      </c>
      <c r="H1440">
        <v>0.71322118230398202</v>
      </c>
      <c r="I1440">
        <v>2</v>
      </c>
      <c r="J1440">
        <v>0.71657009800000004</v>
      </c>
      <c r="P1440"/>
      <c r="V1440">
        <v>0.94839556407084302</v>
      </c>
      <c r="W1440">
        <v>2</v>
      </c>
      <c r="X1440">
        <v>75439.130100651004</v>
      </c>
      <c r="Y1440">
        <v>406637</v>
      </c>
      <c r="Z1440">
        <v>5.8206136240037398E-3</v>
      </c>
      <c r="AA1440">
        <v>100</v>
      </c>
    </row>
    <row r="1441" spans="1:27" x14ac:dyDescent="0.2">
      <c r="A1441">
        <v>10</v>
      </c>
      <c r="B1441">
        <v>2</v>
      </c>
      <c r="C1441">
        <v>0.4</v>
      </c>
      <c r="D1441">
        <v>100</v>
      </c>
      <c r="E1441">
        <v>0.49037117772663602</v>
      </c>
      <c r="F1441">
        <v>2</v>
      </c>
      <c r="G1441">
        <v>40.876671002999998</v>
      </c>
      <c r="H1441">
        <v>0.25017908801979</v>
      </c>
      <c r="I1441">
        <v>2</v>
      </c>
      <c r="J1441">
        <v>0.98499110199999995</v>
      </c>
      <c r="P1441"/>
      <c r="V1441">
        <v>0.42000444963137301</v>
      </c>
      <c r="W1441">
        <v>2</v>
      </c>
      <c r="X1441">
        <v>75997.621345959997</v>
      </c>
      <c r="Y1441">
        <v>449560</v>
      </c>
      <c r="Z1441">
        <v>1.1954849259645999E-2</v>
      </c>
      <c r="AA1441">
        <v>100</v>
      </c>
    </row>
    <row r="1442" spans="1:27" x14ac:dyDescent="0.2">
      <c r="A1442">
        <v>10</v>
      </c>
      <c r="B1442">
        <v>2</v>
      </c>
      <c r="C1442">
        <v>0.2</v>
      </c>
      <c r="D1442">
        <v>100</v>
      </c>
      <c r="E1442">
        <v>0.78075135252286798</v>
      </c>
      <c r="F1442">
        <v>2</v>
      </c>
      <c r="G1442">
        <v>39.673049722000002</v>
      </c>
      <c r="H1442">
        <v>0.93160652431358304</v>
      </c>
      <c r="I1442">
        <v>2</v>
      </c>
      <c r="J1442">
        <v>0.43426747300000001</v>
      </c>
      <c r="P1442"/>
      <c r="V1442">
        <v>0.77395586558250895</v>
      </c>
      <c r="W1442">
        <v>2</v>
      </c>
      <c r="X1442">
        <v>75702.238982815004</v>
      </c>
      <c r="Y1442">
        <v>398524</v>
      </c>
      <c r="Z1442">
        <v>3.4378724479248501E-2</v>
      </c>
      <c r="AA1442">
        <v>100</v>
      </c>
    </row>
    <row r="1443" spans="1:27" x14ac:dyDescent="0.2">
      <c r="A1443">
        <v>10</v>
      </c>
      <c r="B1443">
        <v>2</v>
      </c>
      <c r="C1443">
        <v>0.3</v>
      </c>
      <c r="D1443">
        <v>100</v>
      </c>
      <c r="E1443">
        <v>0.84924772254304803</v>
      </c>
      <c r="F1443">
        <v>2</v>
      </c>
      <c r="G1443">
        <v>42.093429905999997</v>
      </c>
      <c r="H1443">
        <v>0.64375533319721001</v>
      </c>
      <c r="I1443">
        <v>2</v>
      </c>
      <c r="J1443">
        <v>0.88549090900000005</v>
      </c>
      <c r="P1443"/>
      <c r="V1443">
        <v>0.775465411870504</v>
      </c>
      <c r="W1443">
        <v>2</v>
      </c>
      <c r="X1443">
        <v>75405.572142667996</v>
      </c>
      <c r="Y1443">
        <v>329328</v>
      </c>
      <c r="Z1443">
        <v>9.0556002013718693E-3</v>
      </c>
      <c r="AA1443">
        <v>100</v>
      </c>
    </row>
    <row r="1444" spans="1:27" x14ac:dyDescent="0.2">
      <c r="A1444">
        <v>10</v>
      </c>
      <c r="B1444">
        <v>2</v>
      </c>
      <c r="C1444">
        <v>0.4</v>
      </c>
      <c r="D1444">
        <v>100</v>
      </c>
      <c r="E1444">
        <v>0.394839368797746</v>
      </c>
      <c r="F1444">
        <v>2</v>
      </c>
      <c r="G1444">
        <v>42.026145597999999</v>
      </c>
      <c r="H1444">
        <v>0.23529368941068499</v>
      </c>
      <c r="I1444">
        <v>2</v>
      </c>
      <c r="J1444">
        <v>0.59245074799999997</v>
      </c>
      <c r="P1444"/>
      <c r="V1444">
        <v>0.35523390845416702</v>
      </c>
      <c r="W1444">
        <v>2</v>
      </c>
      <c r="X1444">
        <v>75684.093107510998</v>
      </c>
      <c r="Y1444">
        <v>555904</v>
      </c>
      <c r="Z1444">
        <v>1.13109570119975E-2</v>
      </c>
      <c r="AA1444">
        <v>100</v>
      </c>
    </row>
    <row r="1445" spans="1:27" x14ac:dyDescent="0.2">
      <c r="A1445">
        <v>10</v>
      </c>
      <c r="B1445">
        <v>2</v>
      </c>
      <c r="C1445">
        <v>0.3</v>
      </c>
      <c r="D1445">
        <v>100</v>
      </c>
      <c r="E1445">
        <v>0.69565982168667295</v>
      </c>
      <c r="F1445">
        <v>2</v>
      </c>
      <c r="G1445">
        <v>32.052422641</v>
      </c>
      <c r="H1445">
        <v>0.76879624824696902</v>
      </c>
      <c r="I1445">
        <v>2</v>
      </c>
      <c r="J1445">
        <v>0.42366430599999999</v>
      </c>
      <c r="P1445"/>
      <c r="V1445">
        <v>0.77014565718606198</v>
      </c>
      <c r="W1445">
        <v>2</v>
      </c>
      <c r="X1445">
        <v>75044.133026480995</v>
      </c>
      <c r="Y1445">
        <v>479986</v>
      </c>
      <c r="Z1445">
        <v>9.2872980915475693E-3</v>
      </c>
      <c r="AA1445">
        <v>100</v>
      </c>
    </row>
    <row r="1446" spans="1:27" x14ac:dyDescent="0.2">
      <c r="A1446">
        <v>10</v>
      </c>
      <c r="B1446">
        <v>2</v>
      </c>
      <c r="C1446">
        <v>0.4</v>
      </c>
      <c r="D1446">
        <v>100</v>
      </c>
      <c r="E1446">
        <v>0.96062805196877099</v>
      </c>
      <c r="F1446">
        <v>2</v>
      </c>
      <c r="G1446">
        <v>34.428420162999998</v>
      </c>
      <c r="H1446">
        <v>0.34140697906619299</v>
      </c>
      <c r="I1446">
        <v>2</v>
      </c>
      <c r="J1446">
        <v>0.756898089</v>
      </c>
      <c r="P1446"/>
      <c r="V1446">
        <v>0.439877226607859</v>
      </c>
      <c r="W1446">
        <v>2</v>
      </c>
      <c r="X1446">
        <v>75051.072230726</v>
      </c>
      <c r="Y1446">
        <v>536372</v>
      </c>
      <c r="Z1446">
        <v>3.4036673936027398E-2</v>
      </c>
      <c r="AA1446">
        <v>100</v>
      </c>
    </row>
    <row r="1447" spans="1:27" x14ac:dyDescent="0.2">
      <c r="A1447">
        <v>10</v>
      </c>
      <c r="B1447">
        <v>2</v>
      </c>
      <c r="C1447">
        <v>0.2</v>
      </c>
      <c r="D1447">
        <v>100</v>
      </c>
      <c r="E1447">
        <v>0.96336937283457702</v>
      </c>
      <c r="F1447">
        <v>2</v>
      </c>
      <c r="G1447">
        <v>39.732330503</v>
      </c>
      <c r="H1447">
        <v>0.97950659866532197</v>
      </c>
      <c r="I1447">
        <v>2</v>
      </c>
      <c r="J1447">
        <v>0.30753590600000003</v>
      </c>
      <c r="P1447"/>
      <c r="V1447">
        <v>0.97756754750573405</v>
      </c>
      <c r="W1447">
        <v>2</v>
      </c>
      <c r="X1447">
        <v>75518.894589582007</v>
      </c>
      <c r="Y1447">
        <v>416284</v>
      </c>
      <c r="Z1447">
        <v>2.7687847361464401E-3</v>
      </c>
      <c r="AA1447">
        <v>100</v>
      </c>
    </row>
    <row r="1448" spans="1:27" x14ac:dyDescent="0.2">
      <c r="A1448">
        <v>10</v>
      </c>
      <c r="B1448">
        <v>2</v>
      </c>
      <c r="C1448">
        <v>0.1</v>
      </c>
      <c r="D1448">
        <v>100</v>
      </c>
      <c r="E1448">
        <v>0.96777789834557604</v>
      </c>
      <c r="F1448">
        <v>2</v>
      </c>
      <c r="G1448">
        <v>39.403483661000003</v>
      </c>
      <c r="H1448">
        <v>0.97762024941901404</v>
      </c>
      <c r="I1448">
        <v>2</v>
      </c>
      <c r="J1448">
        <v>0.14067746</v>
      </c>
      <c r="P1448"/>
      <c r="V1448">
        <v>0.96435210773843105</v>
      </c>
      <c r="W1448">
        <v>2</v>
      </c>
      <c r="X1448">
        <v>165.15887031599999</v>
      </c>
      <c r="Y1448">
        <v>25844</v>
      </c>
      <c r="Z1448">
        <v>1.7401037316892799E-4</v>
      </c>
      <c r="AA1448">
        <v>1</v>
      </c>
    </row>
    <row r="1449" spans="1:27" x14ac:dyDescent="0.2">
      <c r="A1449">
        <v>10</v>
      </c>
      <c r="B1449">
        <v>2</v>
      </c>
      <c r="C1449">
        <v>0.1</v>
      </c>
      <c r="D1449">
        <v>100</v>
      </c>
      <c r="E1449">
        <v>0.94545779813710795</v>
      </c>
      <c r="F1449">
        <v>2</v>
      </c>
      <c r="G1449">
        <v>34.895812069000002</v>
      </c>
      <c r="H1449">
        <v>0.94545779813711295</v>
      </c>
      <c r="I1449">
        <v>2</v>
      </c>
      <c r="J1449">
        <v>3.9619733999999997E-2</v>
      </c>
      <c r="P1449"/>
      <c r="V1449">
        <v>0.993049970618333</v>
      </c>
      <c r="W1449">
        <v>2</v>
      </c>
      <c r="X1449">
        <v>45.14643023</v>
      </c>
      <c r="Y1449">
        <v>5930</v>
      </c>
      <c r="Z1449">
        <v>4.6058728442334402E-4</v>
      </c>
      <c r="AA1449">
        <v>1</v>
      </c>
    </row>
    <row r="1450" spans="1:27" x14ac:dyDescent="0.2">
      <c r="A1450">
        <v>10</v>
      </c>
      <c r="B1450">
        <v>2</v>
      </c>
      <c r="C1450">
        <v>0.1</v>
      </c>
      <c r="D1450">
        <v>100</v>
      </c>
      <c r="E1450">
        <v>0.932187849008145</v>
      </c>
      <c r="F1450">
        <v>2</v>
      </c>
      <c r="G1450">
        <v>35.254506118999998</v>
      </c>
      <c r="H1450">
        <v>0.932186754049805</v>
      </c>
      <c r="I1450">
        <v>2</v>
      </c>
      <c r="J1450">
        <v>4.1492080000000001E-2</v>
      </c>
      <c r="P1450"/>
      <c r="V1450">
        <v>1.0881384037877599</v>
      </c>
      <c r="W1450">
        <v>2</v>
      </c>
      <c r="X1450">
        <v>232.865792527</v>
      </c>
      <c r="Y1450">
        <v>29211</v>
      </c>
      <c r="Z1450">
        <v>1.5404691274503E-4</v>
      </c>
      <c r="AA1450">
        <v>1</v>
      </c>
    </row>
    <row r="1451" spans="1:27" x14ac:dyDescent="0.2">
      <c r="A1451">
        <v>10</v>
      </c>
      <c r="B1451">
        <v>2</v>
      </c>
      <c r="C1451">
        <v>0.1</v>
      </c>
      <c r="D1451">
        <v>100</v>
      </c>
      <c r="E1451">
        <v>0.98396893214821002</v>
      </c>
      <c r="F1451">
        <v>2</v>
      </c>
      <c r="G1451">
        <v>34.708506647999997</v>
      </c>
      <c r="H1451">
        <v>0.99302324868067704</v>
      </c>
      <c r="I1451">
        <v>2</v>
      </c>
      <c r="J1451">
        <v>0.124565812</v>
      </c>
      <c r="P1451"/>
      <c r="V1451">
        <v>1.05544429066463</v>
      </c>
      <c r="W1451">
        <v>2</v>
      </c>
      <c r="X1451">
        <v>108.14261244799999</v>
      </c>
      <c r="Y1451">
        <v>26393</v>
      </c>
      <c r="Z1451" s="1">
        <v>2.10395899652091E-6</v>
      </c>
      <c r="AA1451">
        <v>1</v>
      </c>
    </row>
    <row r="1452" spans="1:27" x14ac:dyDescent="0.2">
      <c r="A1452">
        <v>10</v>
      </c>
      <c r="B1452">
        <v>2</v>
      </c>
      <c r="C1452">
        <v>0.1</v>
      </c>
      <c r="D1452">
        <v>100</v>
      </c>
      <c r="E1452">
        <v>0.980793595479721</v>
      </c>
      <c r="F1452">
        <v>2</v>
      </c>
      <c r="G1452">
        <v>33.884681090999997</v>
      </c>
      <c r="H1452">
        <v>0.980793595479725</v>
      </c>
      <c r="I1452">
        <v>2</v>
      </c>
      <c r="J1452">
        <v>3.9393533000000001E-2</v>
      </c>
      <c r="P1452"/>
      <c r="V1452">
        <v>0.92697429007912202</v>
      </c>
      <c r="W1452">
        <v>2</v>
      </c>
      <c r="X1452">
        <v>50.921640814</v>
      </c>
      <c r="Y1452">
        <v>8802</v>
      </c>
      <c r="Z1452" s="1">
        <v>1.90953778655966E-5</v>
      </c>
      <c r="AA1452">
        <v>1</v>
      </c>
    </row>
    <row r="1453" spans="1:27" x14ac:dyDescent="0.2">
      <c r="A1453">
        <v>10</v>
      </c>
      <c r="B1453">
        <v>2</v>
      </c>
      <c r="C1453">
        <v>0.1</v>
      </c>
      <c r="D1453">
        <v>100</v>
      </c>
      <c r="E1453">
        <v>0.89289761193359096</v>
      </c>
      <c r="F1453">
        <v>2</v>
      </c>
      <c r="G1453">
        <v>33.205343616999997</v>
      </c>
      <c r="H1453">
        <v>0.95671148653417604</v>
      </c>
      <c r="I1453">
        <v>2</v>
      </c>
      <c r="J1453">
        <v>0.39412515799999998</v>
      </c>
      <c r="P1453"/>
      <c r="V1453">
        <v>0.84977609140948895</v>
      </c>
      <c r="W1453">
        <v>2</v>
      </c>
      <c r="X1453">
        <v>283.65957751600001</v>
      </c>
      <c r="Y1453">
        <v>52855</v>
      </c>
      <c r="Z1453">
        <v>1.4865220900643901E-4</v>
      </c>
      <c r="AA1453">
        <v>1</v>
      </c>
    </row>
    <row r="1454" spans="1:27" x14ac:dyDescent="0.2">
      <c r="A1454">
        <v>10</v>
      </c>
      <c r="B1454">
        <v>2</v>
      </c>
      <c r="C1454">
        <v>0.1</v>
      </c>
      <c r="D1454">
        <v>100</v>
      </c>
      <c r="E1454">
        <v>0.96078492366901302</v>
      </c>
      <c r="F1454">
        <v>2</v>
      </c>
      <c r="G1454">
        <v>34.082870509999999</v>
      </c>
      <c r="H1454">
        <v>0.95229891861259697</v>
      </c>
      <c r="I1454">
        <v>2</v>
      </c>
      <c r="J1454">
        <v>0.77914315499999998</v>
      </c>
      <c r="P1454"/>
      <c r="V1454">
        <v>0.98006892449259297</v>
      </c>
      <c r="W1454">
        <v>2</v>
      </c>
      <c r="X1454">
        <v>75.051670078000001</v>
      </c>
      <c r="Y1454">
        <v>8569</v>
      </c>
      <c r="Z1454" s="1">
        <v>6.3307196434381194E-5</v>
      </c>
      <c r="AA1454">
        <v>1</v>
      </c>
    </row>
    <row r="1455" spans="1:27" x14ac:dyDescent="0.2">
      <c r="A1455">
        <v>10</v>
      </c>
      <c r="B1455">
        <v>2</v>
      </c>
      <c r="C1455">
        <v>0.1</v>
      </c>
      <c r="D1455">
        <v>100</v>
      </c>
      <c r="E1455">
        <v>0.98322181949946397</v>
      </c>
      <c r="F1455">
        <v>2</v>
      </c>
      <c r="G1455">
        <v>34.071108852000002</v>
      </c>
      <c r="H1455">
        <v>1.01012334079268</v>
      </c>
      <c r="I1455">
        <v>2</v>
      </c>
      <c r="J1455">
        <v>0.34964279300000001</v>
      </c>
      <c r="P1455"/>
      <c r="V1455">
        <v>1.03786087556429</v>
      </c>
      <c r="W1455">
        <v>2</v>
      </c>
      <c r="X1455">
        <v>76.353030665000006</v>
      </c>
      <c r="Y1455">
        <v>14888</v>
      </c>
      <c r="Z1455" s="1">
        <v>3.1819366631432402E-5</v>
      </c>
      <c r="AA1455">
        <v>1</v>
      </c>
    </row>
    <row r="1456" spans="1:27" x14ac:dyDescent="0.2">
      <c r="A1456">
        <v>10</v>
      </c>
      <c r="B1456">
        <v>2</v>
      </c>
      <c r="C1456">
        <v>0.1</v>
      </c>
      <c r="D1456">
        <v>100</v>
      </c>
      <c r="E1456">
        <v>0.98064728823151903</v>
      </c>
      <c r="F1456">
        <v>2</v>
      </c>
      <c r="G1456">
        <v>33.666614463000002</v>
      </c>
      <c r="H1456">
        <v>0.97591102128104401</v>
      </c>
      <c r="I1456">
        <v>2</v>
      </c>
      <c r="J1456">
        <v>0.14180540599999999</v>
      </c>
      <c r="P1456"/>
      <c r="V1456">
        <v>0.98457673897646003</v>
      </c>
      <c r="W1456">
        <v>2</v>
      </c>
      <c r="X1456">
        <v>393.93761809</v>
      </c>
      <c r="Y1456">
        <v>39177</v>
      </c>
      <c r="Z1456" s="1">
        <v>2.2731584264452499E-5</v>
      </c>
      <c r="AA1456">
        <v>1</v>
      </c>
    </row>
    <row r="1457" spans="1:27" x14ac:dyDescent="0.2">
      <c r="A1457">
        <v>10</v>
      </c>
      <c r="B1457">
        <v>2</v>
      </c>
      <c r="C1457">
        <v>0.2</v>
      </c>
      <c r="D1457">
        <v>100</v>
      </c>
      <c r="E1457">
        <v>0.88370262471793104</v>
      </c>
      <c r="F1457">
        <v>2</v>
      </c>
      <c r="G1457">
        <v>35.837777068000001</v>
      </c>
      <c r="H1457">
        <v>0.88941861242503695</v>
      </c>
      <c r="I1457">
        <v>2</v>
      </c>
      <c r="J1457">
        <v>0.35899365599999999</v>
      </c>
      <c r="P1457"/>
      <c r="V1457">
        <v>0.88945734958974698</v>
      </c>
      <c r="W1457">
        <v>2</v>
      </c>
      <c r="X1457">
        <v>1227.363253217</v>
      </c>
      <c r="Y1457">
        <v>34853</v>
      </c>
      <c r="Z1457">
        <v>1.59132316439095E-3</v>
      </c>
      <c r="AA1457">
        <v>1</v>
      </c>
    </row>
    <row r="1458" spans="1:27" x14ac:dyDescent="0.2">
      <c r="A1458">
        <v>10</v>
      </c>
      <c r="B1458">
        <v>2</v>
      </c>
      <c r="C1458">
        <v>0.2</v>
      </c>
      <c r="D1458">
        <v>100</v>
      </c>
      <c r="E1458">
        <v>0.84413313132747703</v>
      </c>
      <c r="F1458">
        <v>2</v>
      </c>
      <c r="G1458">
        <v>33.651496059000003</v>
      </c>
      <c r="H1458">
        <v>0.83435097311378603</v>
      </c>
      <c r="I1458">
        <v>2</v>
      </c>
      <c r="J1458">
        <v>0.100655851</v>
      </c>
      <c r="P1458"/>
      <c r="V1458">
        <v>0.83374529632791405</v>
      </c>
      <c r="W1458">
        <v>2</v>
      </c>
      <c r="X1458">
        <v>1282.4274919720001</v>
      </c>
      <c r="Y1458">
        <v>3578</v>
      </c>
      <c r="Z1458">
        <v>3.38176007971924E-3</v>
      </c>
      <c r="AA1458">
        <v>2</v>
      </c>
    </row>
    <row r="1459" spans="1:27" x14ac:dyDescent="0.2">
      <c r="A1459">
        <v>10</v>
      </c>
      <c r="B1459">
        <v>2</v>
      </c>
      <c r="C1459">
        <v>0.2</v>
      </c>
      <c r="D1459">
        <v>100</v>
      </c>
      <c r="E1459">
        <v>0.94790881408052097</v>
      </c>
      <c r="F1459">
        <v>2</v>
      </c>
      <c r="G1459">
        <v>36.381208973</v>
      </c>
      <c r="H1459">
        <v>0.95737480730508895</v>
      </c>
      <c r="I1459">
        <v>2</v>
      </c>
      <c r="J1459">
        <v>0.13375652599999999</v>
      </c>
      <c r="P1459"/>
      <c r="V1459">
        <v>0.95901422285706595</v>
      </c>
      <c r="W1459">
        <v>2</v>
      </c>
      <c r="X1459">
        <v>33.441894550000001</v>
      </c>
      <c r="Y1459">
        <v>1</v>
      </c>
      <c r="Z1459">
        <v>3.17134979923139E-4</v>
      </c>
      <c r="AA1459">
        <v>1</v>
      </c>
    </row>
    <row r="1460" spans="1:27" x14ac:dyDescent="0.2">
      <c r="A1460">
        <v>10</v>
      </c>
      <c r="B1460">
        <v>2</v>
      </c>
      <c r="C1460">
        <v>0.2</v>
      </c>
      <c r="D1460">
        <v>100</v>
      </c>
      <c r="E1460">
        <v>0.83154982208607797</v>
      </c>
      <c r="F1460">
        <v>2</v>
      </c>
      <c r="G1460">
        <v>35.873463006000001</v>
      </c>
      <c r="H1460">
        <v>0.625742563530028</v>
      </c>
      <c r="I1460">
        <v>2</v>
      </c>
      <c r="J1460">
        <v>0.53039816799999995</v>
      </c>
      <c r="P1460"/>
      <c r="V1460">
        <v>0.62566336667046696</v>
      </c>
      <c r="W1460">
        <v>2</v>
      </c>
      <c r="X1460">
        <v>1224.917155439</v>
      </c>
      <c r="Y1460">
        <v>85023</v>
      </c>
      <c r="Z1460">
        <v>2.5106889946080401E-3</v>
      </c>
      <c r="AA1460">
        <v>1</v>
      </c>
    </row>
    <row r="1461" spans="1:27" x14ac:dyDescent="0.2">
      <c r="A1461">
        <v>10</v>
      </c>
      <c r="B1461">
        <v>2</v>
      </c>
      <c r="C1461">
        <v>0.1</v>
      </c>
      <c r="D1461">
        <v>100</v>
      </c>
      <c r="E1461">
        <v>1.63602301442312</v>
      </c>
      <c r="F1461">
        <v>2</v>
      </c>
      <c r="G1461">
        <v>37.664053653000003</v>
      </c>
      <c r="H1461">
        <v>1.18347462167781</v>
      </c>
      <c r="I1461">
        <v>2</v>
      </c>
      <c r="J1461">
        <v>0.37531688299999999</v>
      </c>
      <c r="P1461"/>
      <c r="V1461">
        <v>1.0108351070047501</v>
      </c>
      <c r="W1461">
        <v>2</v>
      </c>
      <c r="X1461">
        <v>51.700713262000001</v>
      </c>
      <c r="Y1461">
        <v>6838</v>
      </c>
      <c r="Z1461" s="1">
        <v>1.6770319331435501E-5</v>
      </c>
      <c r="AA1461">
        <v>1</v>
      </c>
    </row>
    <row r="1462" spans="1:27" x14ac:dyDescent="0.2">
      <c r="A1462">
        <v>10</v>
      </c>
      <c r="B1462">
        <v>2</v>
      </c>
      <c r="C1462">
        <v>0.1</v>
      </c>
      <c r="D1462">
        <v>100</v>
      </c>
      <c r="E1462">
        <v>0.97374884244295101</v>
      </c>
      <c r="F1462">
        <v>2</v>
      </c>
      <c r="G1462">
        <v>34.838967046</v>
      </c>
      <c r="H1462">
        <v>0.97374877510044999</v>
      </c>
      <c r="I1462">
        <v>2</v>
      </c>
      <c r="J1462">
        <v>4.3105449999999997E-2</v>
      </c>
      <c r="P1462"/>
      <c r="V1462">
        <v>0.97374918367195895</v>
      </c>
      <c r="W1462">
        <v>2</v>
      </c>
      <c r="X1462">
        <v>1220.894390015</v>
      </c>
      <c r="Y1462">
        <v>64338</v>
      </c>
      <c r="Z1462">
        <v>2.3514422155130801E-3</v>
      </c>
      <c r="AA1462">
        <v>1</v>
      </c>
    </row>
    <row r="1463" spans="1:27" x14ac:dyDescent="0.2">
      <c r="A1463">
        <v>10</v>
      </c>
      <c r="B1463">
        <v>2</v>
      </c>
      <c r="C1463">
        <v>0.2</v>
      </c>
      <c r="D1463">
        <v>100</v>
      </c>
      <c r="E1463">
        <v>1.1755595412983</v>
      </c>
      <c r="F1463">
        <v>2</v>
      </c>
      <c r="G1463">
        <v>30.319821255000001</v>
      </c>
      <c r="H1463">
        <v>1.04139809414786</v>
      </c>
      <c r="I1463">
        <v>2</v>
      </c>
      <c r="J1463">
        <v>0.61317544599999996</v>
      </c>
      <c r="P1463"/>
      <c r="V1463">
        <v>0.73429647875006998</v>
      </c>
      <c r="W1463">
        <v>2</v>
      </c>
      <c r="X1463">
        <v>1223.380403789</v>
      </c>
      <c r="Y1463">
        <v>68951</v>
      </c>
      <c r="Z1463">
        <v>2.0431241349554898E-3</v>
      </c>
      <c r="AA1463">
        <v>1</v>
      </c>
    </row>
    <row r="1464" spans="1:27" x14ac:dyDescent="0.2">
      <c r="A1464">
        <v>10</v>
      </c>
      <c r="B1464">
        <v>2</v>
      </c>
      <c r="C1464">
        <v>0.1</v>
      </c>
      <c r="D1464">
        <v>100</v>
      </c>
      <c r="E1464">
        <v>0.99624938025735399</v>
      </c>
      <c r="F1464">
        <v>2</v>
      </c>
      <c r="G1464">
        <v>32.635150836999998</v>
      </c>
      <c r="H1464">
        <v>0.99625054567770499</v>
      </c>
      <c r="I1464">
        <v>2</v>
      </c>
      <c r="J1464">
        <v>3.4632993000000001E-2</v>
      </c>
      <c r="P1464"/>
      <c r="V1464">
        <v>0.99625549410066006</v>
      </c>
      <c r="W1464">
        <v>2</v>
      </c>
      <c r="X1464">
        <v>1219.0066435819999</v>
      </c>
      <c r="Y1464">
        <v>27041</v>
      </c>
      <c r="Z1464" s="1">
        <v>2.72427769858698E-5</v>
      </c>
      <c r="AA1464">
        <v>1</v>
      </c>
    </row>
    <row r="1465" spans="1:27" x14ac:dyDescent="0.2">
      <c r="A1465">
        <v>10</v>
      </c>
      <c r="B1465">
        <v>2</v>
      </c>
      <c r="C1465">
        <v>0.1</v>
      </c>
      <c r="D1465">
        <v>100</v>
      </c>
      <c r="E1465">
        <v>0.87670334767667901</v>
      </c>
      <c r="F1465">
        <v>2</v>
      </c>
      <c r="G1465">
        <v>34.523655544</v>
      </c>
      <c r="H1465">
        <v>0.87670334918265103</v>
      </c>
      <c r="I1465">
        <v>2</v>
      </c>
      <c r="J1465">
        <v>4.7924787000000003E-2</v>
      </c>
      <c r="P1465"/>
      <c r="V1465">
        <v>0.93301481191412505</v>
      </c>
      <c r="W1465">
        <v>2</v>
      </c>
      <c r="X1465">
        <v>1225.1370939599999</v>
      </c>
      <c r="Y1465">
        <v>53045</v>
      </c>
      <c r="Z1465">
        <v>6.0315478684759203E-4</v>
      </c>
      <c r="AA1465">
        <v>1</v>
      </c>
    </row>
    <row r="1466" spans="1:27" x14ac:dyDescent="0.2">
      <c r="A1466">
        <v>10</v>
      </c>
      <c r="B1466">
        <v>2</v>
      </c>
      <c r="C1466">
        <v>0.2</v>
      </c>
      <c r="D1466">
        <v>100</v>
      </c>
      <c r="E1466">
        <v>1.07638758906539</v>
      </c>
      <c r="F1466">
        <v>2</v>
      </c>
      <c r="G1466">
        <v>33.932112023999998</v>
      </c>
      <c r="H1466">
        <v>1.2437177214352699</v>
      </c>
      <c r="I1466">
        <v>2</v>
      </c>
      <c r="J1466">
        <v>0.11626109799999999</v>
      </c>
      <c r="P1466"/>
      <c r="V1466">
        <v>0.96783774047674698</v>
      </c>
      <c r="W1466">
        <v>2</v>
      </c>
      <c r="X1466">
        <v>2666.1169863230002</v>
      </c>
      <c r="Y1466">
        <v>49064</v>
      </c>
      <c r="Z1466">
        <v>6.5988492836023798E-4</v>
      </c>
      <c r="AA1466">
        <v>10</v>
      </c>
    </row>
    <row r="1467" spans="1:27" x14ac:dyDescent="0.2">
      <c r="A1467">
        <v>10</v>
      </c>
      <c r="B1467">
        <v>2</v>
      </c>
      <c r="C1467">
        <v>0.2</v>
      </c>
      <c r="D1467">
        <v>100</v>
      </c>
      <c r="E1467">
        <v>1.1182970997956401</v>
      </c>
      <c r="F1467">
        <v>2</v>
      </c>
      <c r="G1467">
        <v>29.211821685</v>
      </c>
      <c r="H1467">
        <v>1.0124253970243</v>
      </c>
      <c r="I1467">
        <v>2</v>
      </c>
      <c r="J1467">
        <v>0.55876406599999995</v>
      </c>
      <c r="P1467"/>
      <c r="V1467">
        <v>0.82145547906011995</v>
      </c>
      <c r="W1467">
        <v>2</v>
      </c>
      <c r="X1467">
        <v>3646.4034202590001</v>
      </c>
      <c r="Y1467">
        <v>92546</v>
      </c>
      <c r="Z1467">
        <v>7.2620875833534395E-4</v>
      </c>
      <c r="AA1467">
        <v>19</v>
      </c>
    </row>
    <row r="1468" spans="1:27" x14ac:dyDescent="0.2">
      <c r="A1468">
        <v>10</v>
      </c>
      <c r="B1468">
        <v>2</v>
      </c>
      <c r="C1468">
        <v>0.2</v>
      </c>
      <c r="D1468">
        <v>100</v>
      </c>
      <c r="E1468">
        <v>0.88527662409660302</v>
      </c>
      <c r="F1468">
        <v>2</v>
      </c>
      <c r="G1468">
        <v>34.662682031000003</v>
      </c>
      <c r="H1468">
        <v>0.83964998961852999</v>
      </c>
      <c r="I1468">
        <v>2</v>
      </c>
      <c r="J1468">
        <v>0.14900796599999999</v>
      </c>
      <c r="P1468"/>
      <c r="V1468">
        <v>0.95167490861630699</v>
      </c>
      <c r="W1468">
        <v>2</v>
      </c>
      <c r="X1468">
        <v>6418.1515720759999</v>
      </c>
      <c r="Y1468">
        <v>119837</v>
      </c>
      <c r="Z1468">
        <v>1.49188216943885E-3</v>
      </c>
      <c r="AA1468">
        <v>20</v>
      </c>
    </row>
    <row r="1469" spans="1:27" x14ac:dyDescent="0.2">
      <c r="A1469">
        <v>10</v>
      </c>
      <c r="B1469">
        <v>2</v>
      </c>
      <c r="C1469">
        <v>0.1</v>
      </c>
      <c r="D1469">
        <v>100</v>
      </c>
      <c r="E1469">
        <v>0.90366208431196304</v>
      </c>
      <c r="F1469">
        <v>2</v>
      </c>
      <c r="G1469">
        <v>30.207583086</v>
      </c>
      <c r="H1469">
        <v>0.90575215766737405</v>
      </c>
      <c r="I1469">
        <v>2</v>
      </c>
      <c r="J1469">
        <v>0.19760013900000001</v>
      </c>
      <c r="P1469"/>
      <c r="V1469">
        <v>0.97768729093732798</v>
      </c>
      <c r="W1469">
        <v>2</v>
      </c>
      <c r="X1469">
        <v>45.408502941000002</v>
      </c>
      <c r="Y1469">
        <v>6096</v>
      </c>
      <c r="Z1469">
        <v>2.5752407765738201E-4</v>
      </c>
      <c r="AA1469">
        <v>1</v>
      </c>
    </row>
    <row r="1470" spans="1:27" x14ac:dyDescent="0.2">
      <c r="A1470">
        <v>10</v>
      </c>
      <c r="B1470">
        <v>2</v>
      </c>
      <c r="C1470">
        <v>0.1</v>
      </c>
      <c r="D1470">
        <v>100</v>
      </c>
      <c r="E1470">
        <v>0.98162536327347205</v>
      </c>
      <c r="F1470">
        <v>2</v>
      </c>
      <c r="G1470">
        <v>35.091077738000003</v>
      </c>
      <c r="H1470">
        <v>0.99677487224893502</v>
      </c>
      <c r="I1470">
        <v>2</v>
      </c>
      <c r="J1470">
        <v>0.15725978600000001</v>
      </c>
      <c r="P1470"/>
      <c r="V1470">
        <v>0.91827562084381198</v>
      </c>
      <c r="W1470">
        <v>2</v>
      </c>
      <c r="X1470">
        <v>46.513283170999998</v>
      </c>
      <c r="Y1470">
        <v>1227</v>
      </c>
      <c r="Z1470">
        <v>2.1669112330938099E-4</v>
      </c>
      <c r="AA1470">
        <v>1</v>
      </c>
    </row>
    <row r="1471" spans="1:27" x14ac:dyDescent="0.2">
      <c r="A1471">
        <v>10</v>
      </c>
      <c r="B1471">
        <v>2</v>
      </c>
      <c r="C1471">
        <v>0.2</v>
      </c>
      <c r="D1471">
        <v>100</v>
      </c>
      <c r="E1471">
        <v>0.98651521197709802</v>
      </c>
      <c r="F1471">
        <v>2</v>
      </c>
      <c r="G1471">
        <v>37.262083973999999</v>
      </c>
      <c r="H1471">
        <v>0.98840888469062105</v>
      </c>
      <c r="I1471">
        <v>2</v>
      </c>
      <c r="J1471">
        <v>0.415531663</v>
      </c>
      <c r="P1471"/>
      <c r="V1471">
        <v>0.98836550802091205</v>
      </c>
      <c r="W1471">
        <v>2</v>
      </c>
      <c r="X1471">
        <v>6420.1845154120001</v>
      </c>
      <c r="Y1471">
        <v>100537</v>
      </c>
      <c r="Z1471">
        <v>8.9301485522993301E-4</v>
      </c>
      <c r="AA1471">
        <v>20</v>
      </c>
    </row>
    <row r="1472" spans="1:27" x14ac:dyDescent="0.2">
      <c r="A1472">
        <v>10</v>
      </c>
      <c r="B1472">
        <v>2</v>
      </c>
      <c r="C1472">
        <v>0.1</v>
      </c>
      <c r="D1472">
        <v>100</v>
      </c>
      <c r="E1472">
        <v>0.92864642984795898</v>
      </c>
      <c r="F1472">
        <v>2</v>
      </c>
      <c r="G1472">
        <v>31.624516508999999</v>
      </c>
      <c r="H1472">
        <v>0.92865877047120304</v>
      </c>
      <c r="I1472">
        <v>2</v>
      </c>
      <c r="J1472">
        <v>3.7913519999999999E-2</v>
      </c>
      <c r="P1472"/>
      <c r="V1472">
        <v>0.926595717933688</v>
      </c>
      <c r="W1472">
        <v>2</v>
      </c>
      <c r="X1472">
        <v>1219.959444693</v>
      </c>
      <c r="Y1472">
        <v>54277</v>
      </c>
      <c r="Z1472">
        <v>8.1845705030202994E-3</v>
      </c>
      <c r="AA1472">
        <v>1</v>
      </c>
    </row>
    <row r="1473" spans="1:27" x14ac:dyDescent="0.2">
      <c r="A1473">
        <v>10</v>
      </c>
      <c r="B1473">
        <v>2</v>
      </c>
      <c r="C1473">
        <v>0.2</v>
      </c>
      <c r="D1473">
        <v>100</v>
      </c>
      <c r="E1473">
        <v>0.81322816429897604</v>
      </c>
      <c r="F1473">
        <v>2</v>
      </c>
      <c r="G1473">
        <v>34.511857988999999</v>
      </c>
      <c r="H1473">
        <v>0.81128663885860997</v>
      </c>
      <c r="I1473">
        <v>2</v>
      </c>
      <c r="J1473">
        <v>0.12905718999999999</v>
      </c>
      <c r="P1473"/>
      <c r="V1473">
        <v>0.81181692852383203</v>
      </c>
      <c r="W1473">
        <v>2</v>
      </c>
      <c r="X1473">
        <v>1222.5328136420001</v>
      </c>
      <c r="Y1473">
        <v>44478</v>
      </c>
      <c r="Z1473">
        <v>9.6269227536247195E-3</v>
      </c>
      <c r="AA1473">
        <v>1</v>
      </c>
    </row>
    <row r="1474" spans="1:27" x14ac:dyDescent="0.2">
      <c r="A1474">
        <v>10</v>
      </c>
      <c r="B1474">
        <v>2</v>
      </c>
      <c r="C1474">
        <v>0.1</v>
      </c>
      <c r="D1474">
        <v>100</v>
      </c>
      <c r="E1474">
        <v>0.94246660913927804</v>
      </c>
      <c r="F1474">
        <v>2</v>
      </c>
      <c r="G1474">
        <v>37.425327422000002</v>
      </c>
      <c r="H1474">
        <v>1.01352481976275</v>
      </c>
      <c r="I1474">
        <v>2</v>
      </c>
      <c r="J1474">
        <v>0.41716145100000002</v>
      </c>
      <c r="P1474"/>
      <c r="V1474">
        <v>0.95800298241509796</v>
      </c>
      <c r="W1474">
        <v>2</v>
      </c>
      <c r="X1474">
        <v>1224.142192005</v>
      </c>
      <c r="Y1474">
        <v>61370</v>
      </c>
      <c r="Z1474">
        <v>3.3737975691551601E-3</v>
      </c>
      <c r="AA1474">
        <v>1</v>
      </c>
    </row>
    <row r="1475" spans="1:27" x14ac:dyDescent="0.2">
      <c r="A1475">
        <v>10</v>
      </c>
      <c r="B1475">
        <v>2</v>
      </c>
      <c r="C1475">
        <v>0.1</v>
      </c>
      <c r="D1475">
        <v>100</v>
      </c>
      <c r="E1475">
        <v>1.0007095293218</v>
      </c>
      <c r="F1475">
        <v>2</v>
      </c>
      <c r="G1475">
        <v>34.988372470999998</v>
      </c>
      <c r="H1475">
        <v>1.0310911956122399</v>
      </c>
      <c r="I1475">
        <v>2</v>
      </c>
      <c r="J1475">
        <v>0.118849886</v>
      </c>
      <c r="P1475"/>
      <c r="V1475">
        <v>1.006966798483</v>
      </c>
      <c r="W1475">
        <v>2</v>
      </c>
      <c r="X1475">
        <v>1222.580240628</v>
      </c>
      <c r="Y1475">
        <v>15197</v>
      </c>
      <c r="Z1475">
        <v>3.3922807633500701E-4</v>
      </c>
      <c r="AA1475">
        <v>1</v>
      </c>
    </row>
    <row r="1476" spans="1:27" x14ac:dyDescent="0.2">
      <c r="A1476">
        <v>10</v>
      </c>
      <c r="B1476">
        <v>2</v>
      </c>
      <c r="C1476">
        <v>0.1</v>
      </c>
      <c r="D1476">
        <v>100</v>
      </c>
      <c r="E1476">
        <v>0.92419614496593705</v>
      </c>
      <c r="F1476">
        <v>2</v>
      </c>
      <c r="G1476">
        <v>41.264881015</v>
      </c>
      <c r="H1476">
        <v>1.2090095019246001</v>
      </c>
      <c r="I1476">
        <v>2</v>
      </c>
      <c r="J1476">
        <v>0.353428258</v>
      </c>
      <c r="P1476"/>
      <c r="V1476">
        <v>0.89700474514996897</v>
      </c>
      <c r="W1476">
        <v>2</v>
      </c>
      <c r="X1476">
        <v>151.18130413700001</v>
      </c>
      <c r="Y1476">
        <v>30415</v>
      </c>
      <c r="Z1476" s="1">
        <v>2.22192979419805E-5</v>
      </c>
      <c r="AA1476">
        <v>1</v>
      </c>
    </row>
    <row r="1477" spans="1:27" x14ac:dyDescent="0.2">
      <c r="A1477">
        <v>10</v>
      </c>
      <c r="B1477">
        <v>2</v>
      </c>
      <c r="C1477">
        <v>0.1</v>
      </c>
      <c r="D1477">
        <v>100</v>
      </c>
      <c r="E1477">
        <v>1.33753877728311</v>
      </c>
      <c r="F1477">
        <v>2</v>
      </c>
      <c r="G1477">
        <v>35.613462097999999</v>
      </c>
      <c r="H1477">
        <v>1.0424200026772401</v>
      </c>
      <c r="I1477">
        <v>2</v>
      </c>
      <c r="J1477">
        <v>0.29348881500000001</v>
      </c>
      <c r="P1477"/>
      <c r="V1477">
        <v>1.02055773350196</v>
      </c>
      <c r="W1477">
        <v>2</v>
      </c>
      <c r="X1477">
        <v>99.481006617000006</v>
      </c>
      <c r="Y1477">
        <v>19072</v>
      </c>
      <c r="Z1477" s="1">
        <v>8.3771456676658106E-6</v>
      </c>
      <c r="AA1477">
        <v>1</v>
      </c>
    </row>
    <row r="1478" spans="1:27" x14ac:dyDescent="0.2">
      <c r="A1478">
        <v>10</v>
      </c>
      <c r="B1478">
        <v>2</v>
      </c>
      <c r="C1478">
        <v>0.2</v>
      </c>
      <c r="D1478">
        <v>100</v>
      </c>
      <c r="E1478">
        <v>0.96467762609811403</v>
      </c>
      <c r="F1478">
        <v>2</v>
      </c>
      <c r="G1478">
        <v>38.954531660000001</v>
      </c>
      <c r="H1478">
        <v>0.88224939956472204</v>
      </c>
      <c r="I1478">
        <v>2</v>
      </c>
      <c r="J1478">
        <v>0.44177575800000002</v>
      </c>
      <c r="P1478"/>
      <c r="V1478">
        <v>0.85981678821208096</v>
      </c>
      <c r="W1478">
        <v>2</v>
      </c>
      <c r="X1478">
        <v>61.043357845999999</v>
      </c>
      <c r="Y1478">
        <v>3810</v>
      </c>
      <c r="Z1478">
        <v>1.3890933778275901E-4</v>
      </c>
      <c r="AA1478">
        <v>1</v>
      </c>
    </row>
    <row r="1479" spans="1:27" x14ac:dyDescent="0.2">
      <c r="A1479">
        <v>10</v>
      </c>
      <c r="B1479">
        <v>2</v>
      </c>
      <c r="C1479">
        <v>0.2</v>
      </c>
      <c r="D1479">
        <v>100</v>
      </c>
      <c r="E1479">
        <v>1.1402650666808301</v>
      </c>
      <c r="F1479">
        <v>2</v>
      </c>
      <c r="G1479">
        <v>33.817896548999997</v>
      </c>
      <c r="H1479">
        <v>0.91200682545280598</v>
      </c>
      <c r="I1479">
        <v>2</v>
      </c>
      <c r="J1479">
        <v>0.61457242000000001</v>
      </c>
      <c r="P1479"/>
      <c r="V1479">
        <v>0.95116101337697001</v>
      </c>
      <c r="W1479">
        <v>2</v>
      </c>
      <c r="X1479">
        <v>2985.3944302210002</v>
      </c>
      <c r="Y1479">
        <v>94221</v>
      </c>
      <c r="Z1479">
        <v>1.32547238431396E-4</v>
      </c>
      <c r="AA1479">
        <v>14</v>
      </c>
    </row>
    <row r="1480" spans="1:27" x14ac:dyDescent="0.2">
      <c r="A1480">
        <v>10</v>
      </c>
      <c r="B1480">
        <v>2</v>
      </c>
      <c r="C1480">
        <v>0.2</v>
      </c>
      <c r="D1480">
        <v>100</v>
      </c>
      <c r="E1480">
        <v>1.1856694630884299</v>
      </c>
      <c r="F1480">
        <v>2</v>
      </c>
      <c r="G1480">
        <v>33.261782965000002</v>
      </c>
      <c r="H1480">
        <v>1.04549451559322</v>
      </c>
      <c r="I1480">
        <v>2</v>
      </c>
      <c r="J1480">
        <v>0.19318058900000001</v>
      </c>
      <c r="P1480"/>
      <c r="V1480">
        <v>1.05388823450136</v>
      </c>
      <c r="W1480">
        <v>2</v>
      </c>
      <c r="X1480">
        <v>2896.6451506210001</v>
      </c>
      <c r="Y1480">
        <v>114752</v>
      </c>
      <c r="Z1480">
        <v>1.00707905438092E-3</v>
      </c>
      <c r="AA1480">
        <v>11</v>
      </c>
    </row>
    <row r="1481" spans="1:27" x14ac:dyDescent="0.2">
      <c r="A1481">
        <v>10</v>
      </c>
      <c r="B1481">
        <v>2</v>
      </c>
      <c r="C1481">
        <v>0.3</v>
      </c>
      <c r="D1481">
        <v>100</v>
      </c>
      <c r="E1481">
        <v>0.73820731490356095</v>
      </c>
      <c r="F1481">
        <v>2</v>
      </c>
      <c r="G1481">
        <v>27.898269474999999</v>
      </c>
      <c r="H1481">
        <v>0.71856846061179902</v>
      </c>
      <c r="I1481">
        <v>2</v>
      </c>
      <c r="J1481">
        <v>0.70442945400000001</v>
      </c>
      <c r="P1481"/>
      <c r="V1481">
        <v>0.72132492784671898</v>
      </c>
      <c r="W1481">
        <v>2</v>
      </c>
      <c r="X1481">
        <v>75169.193540720007</v>
      </c>
      <c r="Y1481">
        <v>417013</v>
      </c>
      <c r="Z1481">
        <v>6.2373516617263799E-2</v>
      </c>
      <c r="AA1481">
        <v>100</v>
      </c>
    </row>
    <row r="1482" spans="1:27" x14ac:dyDescent="0.2">
      <c r="A1482">
        <v>10</v>
      </c>
      <c r="B1482">
        <v>2</v>
      </c>
      <c r="C1482">
        <v>0.3</v>
      </c>
      <c r="D1482">
        <v>100</v>
      </c>
      <c r="E1482">
        <v>0.825867921696679</v>
      </c>
      <c r="F1482">
        <v>2</v>
      </c>
      <c r="G1482">
        <v>43.090708509000002</v>
      </c>
      <c r="H1482">
        <v>0.60466460657921794</v>
      </c>
      <c r="I1482">
        <v>2</v>
      </c>
      <c r="J1482">
        <v>0.91394390599999997</v>
      </c>
      <c r="P1482"/>
      <c r="V1482">
        <v>0.60354392282368097</v>
      </c>
      <c r="W1482">
        <v>2</v>
      </c>
      <c r="X1482">
        <v>75089.302911349994</v>
      </c>
      <c r="Y1482">
        <v>393584</v>
      </c>
      <c r="Z1482">
        <v>6.51507415220123E-3</v>
      </c>
      <c r="AA1482">
        <v>100</v>
      </c>
    </row>
    <row r="1483" spans="1:27" x14ac:dyDescent="0.2">
      <c r="A1483">
        <v>10</v>
      </c>
      <c r="B1483">
        <v>2</v>
      </c>
      <c r="C1483">
        <v>0.4</v>
      </c>
      <c r="D1483">
        <v>100</v>
      </c>
      <c r="E1483">
        <v>0.52069882299970505</v>
      </c>
      <c r="F1483">
        <v>2</v>
      </c>
      <c r="G1483">
        <v>33.993053842000002</v>
      </c>
      <c r="H1483">
        <v>0.36290852274952101</v>
      </c>
      <c r="I1483">
        <v>2</v>
      </c>
      <c r="J1483">
        <v>0.32762724700000001</v>
      </c>
      <c r="P1483"/>
      <c r="V1483">
        <v>0.38110396696659499</v>
      </c>
      <c r="W1483">
        <v>2</v>
      </c>
      <c r="X1483">
        <v>75973.399264966007</v>
      </c>
      <c r="Y1483">
        <v>528036</v>
      </c>
      <c r="Z1483">
        <v>9.4452035364266496E-2</v>
      </c>
      <c r="AA1483">
        <v>100</v>
      </c>
    </row>
    <row r="1484" spans="1:27" x14ac:dyDescent="0.2">
      <c r="A1484">
        <v>10</v>
      </c>
      <c r="B1484">
        <v>2</v>
      </c>
      <c r="C1484">
        <v>0.4</v>
      </c>
      <c r="D1484">
        <v>100</v>
      </c>
      <c r="E1484">
        <v>0.27216425580782999</v>
      </c>
      <c r="F1484">
        <v>2</v>
      </c>
      <c r="G1484">
        <v>26.637242204</v>
      </c>
      <c r="H1484">
        <v>0.102076349912104</v>
      </c>
      <c r="I1484">
        <v>2</v>
      </c>
      <c r="J1484">
        <v>0.14107276699999999</v>
      </c>
      <c r="P1484"/>
      <c r="V1484">
        <v>9.9095707795814697E-2</v>
      </c>
      <c r="W1484">
        <v>2</v>
      </c>
      <c r="X1484">
        <v>75076.034993680994</v>
      </c>
      <c r="Y1484">
        <v>457662</v>
      </c>
      <c r="Z1484">
        <v>3.5853988780206E-2</v>
      </c>
      <c r="AA1484">
        <v>100</v>
      </c>
    </row>
    <row r="1485" spans="1:27" x14ac:dyDescent="0.2">
      <c r="A1485">
        <v>10</v>
      </c>
      <c r="B1485">
        <v>2</v>
      </c>
      <c r="C1485">
        <v>0.3</v>
      </c>
      <c r="D1485">
        <v>100</v>
      </c>
      <c r="E1485">
        <v>1.0685315982642201</v>
      </c>
      <c r="F1485">
        <v>2</v>
      </c>
      <c r="G1485">
        <v>42.049512028999999</v>
      </c>
      <c r="H1485">
        <v>1.2487797458629799</v>
      </c>
      <c r="I1485">
        <v>2</v>
      </c>
      <c r="J1485">
        <v>0.81405175799999996</v>
      </c>
      <c r="P1485"/>
      <c r="V1485">
        <v>0.90760856468181605</v>
      </c>
      <c r="W1485">
        <v>2</v>
      </c>
      <c r="X1485">
        <v>75088.544431272006</v>
      </c>
      <c r="Y1485">
        <v>433570</v>
      </c>
      <c r="Z1485">
        <v>2.9175030116349999E-3</v>
      </c>
      <c r="AA1485">
        <v>100</v>
      </c>
    </row>
    <row r="1486" spans="1:27" x14ac:dyDescent="0.2">
      <c r="A1486">
        <v>10</v>
      </c>
      <c r="B1486">
        <v>2</v>
      </c>
      <c r="C1486">
        <v>0.4</v>
      </c>
      <c r="D1486">
        <v>100</v>
      </c>
      <c r="E1486">
        <v>0.39478868211029899</v>
      </c>
      <c r="F1486">
        <v>2</v>
      </c>
      <c r="G1486">
        <v>42.821436054999999</v>
      </c>
      <c r="H1486">
        <v>0.31282763500532101</v>
      </c>
      <c r="I1486">
        <v>2</v>
      </c>
      <c r="J1486">
        <v>0.69474125399999997</v>
      </c>
      <c r="P1486"/>
      <c r="V1486">
        <v>0.28418205514308698</v>
      </c>
      <c r="W1486">
        <v>2</v>
      </c>
      <c r="X1486">
        <v>75083.866909164994</v>
      </c>
      <c r="Y1486">
        <v>324031</v>
      </c>
      <c r="Z1486">
        <v>0.115265369733207</v>
      </c>
      <c r="AA1486">
        <v>100</v>
      </c>
    </row>
    <row r="1487" spans="1:27" x14ac:dyDescent="0.2">
      <c r="A1487">
        <v>10</v>
      </c>
      <c r="B1487">
        <v>2</v>
      </c>
      <c r="C1487">
        <v>0.3</v>
      </c>
      <c r="D1487">
        <v>100</v>
      </c>
      <c r="E1487">
        <v>0.73510746631784296</v>
      </c>
      <c r="F1487">
        <v>2</v>
      </c>
      <c r="G1487">
        <v>32.389489613999999</v>
      </c>
      <c r="H1487">
        <v>0.74219692522730396</v>
      </c>
      <c r="I1487">
        <v>2</v>
      </c>
      <c r="J1487">
        <v>0.266205109</v>
      </c>
      <c r="P1487"/>
      <c r="V1487">
        <v>0.74343910260148904</v>
      </c>
      <c r="W1487">
        <v>2</v>
      </c>
      <c r="X1487">
        <v>75057.535145632006</v>
      </c>
      <c r="Y1487">
        <v>480843</v>
      </c>
      <c r="Z1487">
        <v>6.9188552539146903E-3</v>
      </c>
      <c r="AA1487">
        <v>100</v>
      </c>
    </row>
    <row r="1488" spans="1:27" x14ac:dyDescent="0.2">
      <c r="A1488">
        <v>10</v>
      </c>
      <c r="B1488">
        <v>2</v>
      </c>
      <c r="C1488">
        <v>0.4</v>
      </c>
      <c r="D1488">
        <v>100</v>
      </c>
      <c r="E1488">
        <v>0.47658711024126899</v>
      </c>
      <c r="F1488">
        <v>2</v>
      </c>
      <c r="G1488">
        <v>44.582771815000001</v>
      </c>
      <c r="H1488">
        <v>0.29736861077666099</v>
      </c>
      <c r="I1488">
        <v>2</v>
      </c>
      <c r="J1488">
        <v>0.293776759</v>
      </c>
      <c r="P1488"/>
      <c r="V1488">
        <v>0.29301943262503199</v>
      </c>
      <c r="W1488">
        <v>2</v>
      </c>
      <c r="X1488">
        <v>75090.263276996993</v>
      </c>
      <c r="Y1488">
        <v>451944</v>
      </c>
      <c r="Z1488">
        <v>1.57183686093917E-2</v>
      </c>
      <c r="AA1488">
        <v>100</v>
      </c>
    </row>
    <row r="1489" spans="1:27" x14ac:dyDescent="0.2">
      <c r="A1489">
        <v>10</v>
      </c>
      <c r="B1489">
        <v>2</v>
      </c>
      <c r="C1489">
        <v>0.2</v>
      </c>
      <c r="D1489">
        <v>100</v>
      </c>
      <c r="E1489">
        <v>0.94710384439279205</v>
      </c>
      <c r="F1489">
        <v>2</v>
      </c>
      <c r="G1489">
        <v>48.263674221000002</v>
      </c>
      <c r="H1489">
        <v>0.82820791943136696</v>
      </c>
      <c r="I1489">
        <v>2</v>
      </c>
      <c r="J1489">
        <v>1.211657752</v>
      </c>
      <c r="P1489"/>
      <c r="V1489">
        <v>0.91688520773735804</v>
      </c>
      <c r="W1489">
        <v>2</v>
      </c>
      <c r="X1489">
        <v>75385.467159919004</v>
      </c>
      <c r="Y1489">
        <v>446551</v>
      </c>
      <c r="Z1489">
        <v>6.4193530416826097E-3</v>
      </c>
      <c r="AA1489">
        <v>100</v>
      </c>
    </row>
    <row r="1490" spans="1:27" x14ac:dyDescent="0.2">
      <c r="A1490">
        <v>10</v>
      </c>
      <c r="B1490">
        <v>2</v>
      </c>
      <c r="C1490">
        <v>0.3</v>
      </c>
      <c r="D1490">
        <v>100</v>
      </c>
      <c r="E1490">
        <v>0.66779073714055603</v>
      </c>
      <c r="F1490">
        <v>2</v>
      </c>
      <c r="G1490">
        <v>41.407589860999998</v>
      </c>
      <c r="H1490">
        <v>0.59091606054312995</v>
      </c>
      <c r="I1490">
        <v>2</v>
      </c>
      <c r="J1490">
        <v>0.78845908899999995</v>
      </c>
      <c r="P1490"/>
      <c r="V1490">
        <v>0.849412766607059</v>
      </c>
      <c r="W1490">
        <v>2</v>
      </c>
      <c r="X1490">
        <v>75413.861114005005</v>
      </c>
      <c r="Y1490">
        <v>365405</v>
      </c>
      <c r="Z1490">
        <v>2.4414419968546298E-2</v>
      </c>
      <c r="AA1490">
        <v>100</v>
      </c>
    </row>
    <row r="1491" spans="1:27" x14ac:dyDescent="0.2">
      <c r="A1491">
        <v>10</v>
      </c>
      <c r="B1491">
        <v>2</v>
      </c>
      <c r="C1491">
        <v>0.4</v>
      </c>
      <c r="D1491">
        <v>100</v>
      </c>
      <c r="E1491">
        <v>0.58026387537999202</v>
      </c>
      <c r="F1491">
        <v>2</v>
      </c>
      <c r="G1491">
        <v>37.622293716000001</v>
      </c>
      <c r="H1491">
        <v>0.45897465314765601</v>
      </c>
      <c r="I1491">
        <v>2</v>
      </c>
      <c r="J1491">
        <v>0.61472944900000004</v>
      </c>
      <c r="P1491"/>
      <c r="V1491">
        <v>0.705112858527424</v>
      </c>
      <c r="W1491">
        <v>2</v>
      </c>
      <c r="X1491">
        <v>75077.905240173</v>
      </c>
      <c r="Y1491">
        <v>493998</v>
      </c>
      <c r="Z1491">
        <v>3.5156084739379E-2</v>
      </c>
      <c r="AA1491">
        <v>100</v>
      </c>
    </row>
    <row r="1492" spans="1:27" x14ac:dyDescent="0.2">
      <c r="A1492">
        <v>10</v>
      </c>
      <c r="B1492">
        <v>2</v>
      </c>
      <c r="C1492">
        <v>0.2</v>
      </c>
      <c r="D1492">
        <v>100</v>
      </c>
      <c r="E1492">
        <v>0.94901355666250597</v>
      </c>
      <c r="F1492">
        <v>2</v>
      </c>
      <c r="G1492">
        <v>26.153063996</v>
      </c>
      <c r="H1492">
        <v>0.93274921360531005</v>
      </c>
      <c r="I1492">
        <v>2</v>
      </c>
      <c r="J1492">
        <v>0.26435606</v>
      </c>
      <c r="P1492"/>
      <c r="V1492">
        <v>0.88331390343135696</v>
      </c>
      <c r="W1492">
        <v>2</v>
      </c>
      <c r="X1492">
        <v>75176.294988815993</v>
      </c>
      <c r="Y1492">
        <v>347893</v>
      </c>
      <c r="Z1492">
        <v>2.0572941868113501E-3</v>
      </c>
      <c r="AA1492">
        <v>100</v>
      </c>
    </row>
    <row r="1493" spans="1:27" x14ac:dyDescent="0.2">
      <c r="A1493">
        <v>10</v>
      </c>
      <c r="B1493">
        <v>2</v>
      </c>
      <c r="C1493">
        <v>0.3</v>
      </c>
      <c r="D1493">
        <v>100</v>
      </c>
      <c r="E1493">
        <v>0.74608456023540504</v>
      </c>
      <c r="F1493">
        <v>2</v>
      </c>
      <c r="G1493">
        <v>26.325166102000001</v>
      </c>
      <c r="H1493">
        <v>0.472087983300715</v>
      </c>
      <c r="I1493">
        <v>2</v>
      </c>
      <c r="J1493">
        <v>0.39569364600000001</v>
      </c>
      <c r="P1493"/>
      <c r="V1493">
        <v>0.75716645138268801</v>
      </c>
      <c r="W1493">
        <v>2</v>
      </c>
      <c r="X1493">
        <v>75072.685452991995</v>
      </c>
      <c r="Y1493">
        <v>305972</v>
      </c>
      <c r="Z1493">
        <v>2.6080617377723402E-2</v>
      </c>
      <c r="AA1493">
        <v>100</v>
      </c>
    </row>
    <row r="1494" spans="1:27" x14ac:dyDescent="0.2">
      <c r="A1494">
        <v>10</v>
      </c>
      <c r="B1494">
        <v>2</v>
      </c>
      <c r="C1494">
        <v>0.4</v>
      </c>
      <c r="D1494">
        <v>100</v>
      </c>
      <c r="E1494">
        <v>0.48711571960898198</v>
      </c>
      <c r="F1494">
        <v>2</v>
      </c>
      <c r="G1494">
        <v>30.114875484999999</v>
      </c>
      <c r="H1494">
        <v>0.41851833753656298</v>
      </c>
      <c r="I1494">
        <v>2</v>
      </c>
      <c r="J1494">
        <v>0.38904636500000001</v>
      </c>
      <c r="P1494"/>
      <c r="V1494">
        <v>0.46578219247125102</v>
      </c>
      <c r="W1494">
        <v>2</v>
      </c>
      <c r="X1494">
        <v>75070.421403236993</v>
      </c>
      <c r="Y1494">
        <v>535758</v>
      </c>
      <c r="Z1494">
        <v>2.8101926912519198E-2</v>
      </c>
      <c r="AA1494">
        <v>100</v>
      </c>
    </row>
    <row r="1495" spans="1:27" x14ac:dyDescent="0.2">
      <c r="A1495">
        <v>10</v>
      </c>
      <c r="B1495">
        <v>2</v>
      </c>
      <c r="C1495">
        <v>0.2</v>
      </c>
      <c r="D1495">
        <v>100</v>
      </c>
      <c r="E1495">
        <v>0.96774839449728201</v>
      </c>
      <c r="F1495">
        <v>2</v>
      </c>
      <c r="G1495">
        <v>31.632606725999999</v>
      </c>
      <c r="H1495">
        <v>0.970085910910649</v>
      </c>
      <c r="I1495">
        <v>2</v>
      </c>
      <c r="J1495">
        <v>0.13954111699999999</v>
      </c>
      <c r="P1495"/>
      <c r="V1495">
        <v>1.01043989490158</v>
      </c>
      <c r="W1495">
        <v>2</v>
      </c>
      <c r="X1495">
        <v>75192.680511857005</v>
      </c>
      <c r="Y1495">
        <v>580387</v>
      </c>
      <c r="Z1495">
        <v>6.2035879362251601E-4</v>
      </c>
      <c r="AA1495">
        <v>100</v>
      </c>
    </row>
    <row r="1496" spans="1:27" x14ac:dyDescent="0.2">
      <c r="A1496">
        <v>10</v>
      </c>
      <c r="B1496">
        <v>2</v>
      </c>
      <c r="C1496">
        <v>0.3</v>
      </c>
      <c r="D1496">
        <v>100</v>
      </c>
      <c r="E1496">
        <v>0.84871756100465301</v>
      </c>
      <c r="F1496">
        <v>2</v>
      </c>
      <c r="G1496">
        <v>29.926854819999999</v>
      </c>
      <c r="H1496">
        <v>0.90103209752883096</v>
      </c>
      <c r="I1496">
        <v>2</v>
      </c>
      <c r="J1496">
        <v>0.24876290600000001</v>
      </c>
      <c r="P1496"/>
      <c r="V1496">
        <v>0.59958914968641297</v>
      </c>
      <c r="W1496">
        <v>2</v>
      </c>
      <c r="X1496">
        <v>75403.815122907006</v>
      </c>
      <c r="Y1496">
        <v>452103</v>
      </c>
      <c r="Z1496">
        <v>5.21364552739257E-3</v>
      </c>
      <c r="AA1496">
        <v>100</v>
      </c>
    </row>
    <row r="1497" spans="1:27" x14ac:dyDescent="0.2">
      <c r="A1497">
        <v>10</v>
      </c>
      <c r="B1497">
        <v>2</v>
      </c>
      <c r="C1497">
        <v>0.4</v>
      </c>
      <c r="D1497">
        <v>100</v>
      </c>
      <c r="E1497">
        <v>0.38875600108699598</v>
      </c>
      <c r="F1497">
        <v>2</v>
      </c>
      <c r="G1497">
        <v>40.673937289999998</v>
      </c>
      <c r="H1497">
        <v>0.22799448303528799</v>
      </c>
      <c r="I1497">
        <v>2</v>
      </c>
      <c r="J1497">
        <v>0.53854908800000001</v>
      </c>
      <c r="P1497"/>
      <c r="V1497">
        <v>0.97379815410488901</v>
      </c>
      <c r="W1497">
        <v>2</v>
      </c>
      <c r="X1497">
        <v>75428.925246504994</v>
      </c>
      <c r="Y1497">
        <v>484028</v>
      </c>
      <c r="Z1497">
        <v>4.71082322167862E-2</v>
      </c>
      <c r="AA1497">
        <v>100</v>
      </c>
    </row>
    <row r="1498" spans="1:27" x14ac:dyDescent="0.2">
      <c r="A1498">
        <v>10</v>
      </c>
      <c r="B1498">
        <v>2</v>
      </c>
      <c r="C1498">
        <v>0.3</v>
      </c>
      <c r="D1498">
        <v>100</v>
      </c>
      <c r="E1498">
        <v>0.787115016259056</v>
      </c>
      <c r="F1498">
        <v>2</v>
      </c>
      <c r="G1498">
        <v>32.978572991</v>
      </c>
      <c r="H1498">
        <v>0.84715626398078703</v>
      </c>
      <c r="I1498">
        <v>2</v>
      </c>
      <c r="J1498">
        <v>0.44747141200000001</v>
      </c>
      <c r="P1498"/>
      <c r="V1498">
        <v>0.85778589452966703</v>
      </c>
      <c r="W1498">
        <v>2</v>
      </c>
      <c r="X1498">
        <v>75355.655907117005</v>
      </c>
      <c r="Y1498">
        <v>343712</v>
      </c>
      <c r="Z1498">
        <v>6.2774602557160997E-2</v>
      </c>
      <c r="AA1498">
        <v>100</v>
      </c>
    </row>
    <row r="1499" spans="1:27" x14ac:dyDescent="0.2">
      <c r="A1499">
        <v>10</v>
      </c>
      <c r="B1499">
        <v>2</v>
      </c>
      <c r="C1499">
        <v>0.4</v>
      </c>
      <c r="D1499">
        <v>100</v>
      </c>
      <c r="E1499">
        <v>0.72694722677755497</v>
      </c>
      <c r="F1499">
        <v>2</v>
      </c>
      <c r="G1499">
        <v>46.539873583000002</v>
      </c>
      <c r="H1499">
        <v>0.42234180098084301</v>
      </c>
      <c r="I1499">
        <v>2</v>
      </c>
      <c r="J1499">
        <v>0.57306012900000003</v>
      </c>
      <c r="P1499"/>
      <c r="V1499">
        <v>0.97007540254037306</v>
      </c>
      <c r="W1499">
        <v>2</v>
      </c>
      <c r="X1499">
        <v>75192.216147251995</v>
      </c>
      <c r="Y1499">
        <v>385481</v>
      </c>
      <c r="Z1499">
        <v>3.2701480749407E-3</v>
      </c>
      <c r="AA1499">
        <v>100</v>
      </c>
    </row>
    <row r="1500" spans="1:27" x14ac:dyDescent="0.2">
      <c r="A1500">
        <v>10</v>
      </c>
      <c r="B1500">
        <v>2</v>
      </c>
      <c r="C1500">
        <v>0.3</v>
      </c>
      <c r="D1500">
        <v>100</v>
      </c>
      <c r="E1500">
        <v>0.455889604875925</v>
      </c>
      <c r="F1500">
        <v>2</v>
      </c>
      <c r="G1500">
        <v>42.877207638000002</v>
      </c>
      <c r="H1500">
        <v>0.37487307844193202</v>
      </c>
      <c r="I1500">
        <v>2</v>
      </c>
      <c r="J1500">
        <v>0.79022367400000004</v>
      </c>
      <c r="P1500"/>
      <c r="V1500">
        <v>0.37477735796279799</v>
      </c>
      <c r="W1500">
        <v>2</v>
      </c>
      <c r="X1500">
        <v>75083.468404116007</v>
      </c>
      <c r="Y1500">
        <v>392328</v>
      </c>
      <c r="Z1500">
        <v>1.3666320304509399E-2</v>
      </c>
      <c r="AA1500">
        <v>100</v>
      </c>
    </row>
    <row r="1501" spans="1:27" x14ac:dyDescent="0.2">
      <c r="A1501">
        <v>10</v>
      </c>
      <c r="B1501">
        <v>2</v>
      </c>
      <c r="C1501">
        <v>0.4</v>
      </c>
      <c r="D1501">
        <v>100</v>
      </c>
      <c r="E1501">
        <v>0.93059752373516402</v>
      </c>
      <c r="F1501">
        <v>2</v>
      </c>
      <c r="G1501">
        <v>46.988638377999997</v>
      </c>
      <c r="H1501">
        <v>1.0286177949703901</v>
      </c>
      <c r="I1501">
        <v>2</v>
      </c>
      <c r="J1501">
        <v>1.02671114</v>
      </c>
      <c r="P1501"/>
      <c r="V1501">
        <v>1.07817446350466</v>
      </c>
      <c r="W1501">
        <v>2</v>
      </c>
      <c r="X1501">
        <v>75099.236243506006</v>
      </c>
      <c r="Y1501">
        <v>436241</v>
      </c>
      <c r="Z1501">
        <v>2.7785423535503399E-2</v>
      </c>
      <c r="AA1501">
        <v>100</v>
      </c>
    </row>
    <row r="1502" spans="1:27" x14ac:dyDescent="0.2">
      <c r="A1502">
        <v>10</v>
      </c>
      <c r="B1502">
        <v>2</v>
      </c>
      <c r="C1502">
        <v>0.3</v>
      </c>
      <c r="D1502">
        <v>100</v>
      </c>
      <c r="E1502">
        <v>0.97221230695099004</v>
      </c>
      <c r="F1502">
        <v>2</v>
      </c>
      <c r="G1502">
        <v>25.765845128999999</v>
      </c>
      <c r="H1502">
        <v>0.94400816454679704</v>
      </c>
      <c r="I1502">
        <v>2</v>
      </c>
      <c r="J1502">
        <v>0.183228367</v>
      </c>
      <c r="P1502"/>
      <c r="V1502">
        <v>0.96378606135676104</v>
      </c>
      <c r="W1502">
        <v>2</v>
      </c>
      <c r="X1502">
        <v>75237.722321463007</v>
      </c>
      <c r="Y1502">
        <v>505954</v>
      </c>
      <c r="Z1502">
        <v>4.1451800150243603E-3</v>
      </c>
      <c r="AA1502">
        <v>100</v>
      </c>
    </row>
    <row r="1503" spans="1:27" x14ac:dyDescent="0.2">
      <c r="A1503">
        <v>10</v>
      </c>
      <c r="B1503">
        <v>2</v>
      </c>
      <c r="C1503">
        <v>0.4</v>
      </c>
      <c r="D1503">
        <v>100</v>
      </c>
      <c r="E1503">
        <v>0.83477176677005704</v>
      </c>
      <c r="F1503">
        <v>2</v>
      </c>
      <c r="G1503">
        <v>36.367636589</v>
      </c>
      <c r="H1503">
        <v>0.69735129865554601</v>
      </c>
      <c r="I1503">
        <v>2</v>
      </c>
      <c r="J1503">
        <v>0.76395314000000003</v>
      </c>
      <c r="P1503"/>
      <c r="V1503">
        <v>0.55489329323774905</v>
      </c>
      <c r="W1503">
        <v>2</v>
      </c>
      <c r="X1503">
        <v>76292.609988265001</v>
      </c>
      <c r="Y1503">
        <v>472268</v>
      </c>
      <c r="Z1503">
        <v>1.38564837312583E-2</v>
      </c>
      <c r="AA1503">
        <v>100</v>
      </c>
    </row>
    <row r="1504" spans="1:27" x14ac:dyDescent="0.2">
      <c r="A1504">
        <v>10</v>
      </c>
      <c r="B1504">
        <v>2</v>
      </c>
      <c r="C1504">
        <v>0.1</v>
      </c>
      <c r="D1504">
        <v>100</v>
      </c>
      <c r="E1504">
        <v>0.98709752575777798</v>
      </c>
      <c r="F1504">
        <v>2</v>
      </c>
      <c r="G1504">
        <v>40.1256038</v>
      </c>
      <c r="H1504">
        <v>0.98709752575777798</v>
      </c>
      <c r="I1504">
        <v>2</v>
      </c>
      <c r="J1504">
        <v>0.107296351</v>
      </c>
      <c r="P1504"/>
      <c r="V1504">
        <v>0.97757250910545401</v>
      </c>
      <c r="W1504">
        <v>2</v>
      </c>
      <c r="X1504">
        <v>58.600431376000003</v>
      </c>
      <c r="Y1504">
        <v>8437</v>
      </c>
      <c r="Z1504">
        <v>0</v>
      </c>
      <c r="AA1504">
        <v>1</v>
      </c>
    </row>
    <row r="1505" spans="1:27" x14ac:dyDescent="0.2">
      <c r="A1505">
        <v>10</v>
      </c>
      <c r="B1505">
        <v>2</v>
      </c>
      <c r="C1505">
        <v>0.2</v>
      </c>
      <c r="D1505">
        <v>100</v>
      </c>
      <c r="E1505">
        <v>1.0495923680253001</v>
      </c>
      <c r="F1505">
        <v>2</v>
      </c>
      <c r="G1505">
        <v>33.627983516</v>
      </c>
      <c r="H1505">
        <v>0.82572383101646896</v>
      </c>
      <c r="I1505">
        <v>2</v>
      </c>
      <c r="J1505">
        <v>0.41703947800000002</v>
      </c>
      <c r="P1505"/>
      <c r="V1505">
        <v>0.83905950763057702</v>
      </c>
      <c r="W1505">
        <v>2</v>
      </c>
      <c r="X1505">
        <v>21456.825926158999</v>
      </c>
      <c r="Y1505">
        <v>169742</v>
      </c>
      <c r="Z1505">
        <v>1.4620402031561999E-3</v>
      </c>
      <c r="AA1505">
        <v>40</v>
      </c>
    </row>
    <row r="1506" spans="1:27" x14ac:dyDescent="0.2">
      <c r="A1506">
        <v>10</v>
      </c>
      <c r="B1506">
        <v>2</v>
      </c>
      <c r="C1506">
        <v>0.1</v>
      </c>
      <c r="D1506">
        <v>100</v>
      </c>
      <c r="E1506">
        <v>0.98473443322418897</v>
      </c>
      <c r="F1506">
        <v>2</v>
      </c>
      <c r="G1506">
        <v>29.519577134999999</v>
      </c>
      <c r="H1506">
        <v>0.98473443322418897</v>
      </c>
      <c r="I1506">
        <v>2</v>
      </c>
      <c r="J1506">
        <v>0.22601523000000001</v>
      </c>
      <c r="P1506"/>
      <c r="V1506">
        <v>0.973690005314647</v>
      </c>
      <c r="W1506">
        <v>2</v>
      </c>
      <c r="X1506">
        <v>63.875375869999999</v>
      </c>
      <c r="Y1506">
        <v>15330</v>
      </c>
      <c r="Z1506" s="1">
        <v>6.2088575377927601E-5</v>
      </c>
      <c r="AA1506">
        <v>1</v>
      </c>
    </row>
    <row r="1507" spans="1:27" x14ac:dyDescent="0.2">
      <c r="A1507">
        <v>10</v>
      </c>
      <c r="B1507">
        <v>2</v>
      </c>
      <c r="C1507">
        <v>0.2</v>
      </c>
      <c r="D1507">
        <v>100</v>
      </c>
      <c r="E1507">
        <v>1.0940069568822599</v>
      </c>
      <c r="F1507">
        <v>2</v>
      </c>
      <c r="G1507">
        <v>29.719004041000002</v>
      </c>
      <c r="H1507">
        <v>1.03672500316403</v>
      </c>
      <c r="I1507">
        <v>2</v>
      </c>
      <c r="J1507">
        <v>0.84399337900000004</v>
      </c>
      <c r="P1507"/>
      <c r="V1507">
        <v>1.03837351072429</v>
      </c>
      <c r="W1507">
        <v>2</v>
      </c>
      <c r="X1507">
        <v>31.328789244999999</v>
      </c>
      <c r="Y1507">
        <v>1</v>
      </c>
      <c r="Z1507">
        <v>9.0341681607242197E-4</v>
      </c>
      <c r="AA1507">
        <v>1</v>
      </c>
    </row>
    <row r="1508" spans="1:27" x14ac:dyDescent="0.2">
      <c r="A1508">
        <v>10</v>
      </c>
      <c r="B1508">
        <v>2</v>
      </c>
      <c r="C1508">
        <v>0.1</v>
      </c>
      <c r="D1508">
        <v>100</v>
      </c>
      <c r="E1508">
        <v>0.96648157415798697</v>
      </c>
      <c r="F1508">
        <v>2</v>
      </c>
      <c r="G1508">
        <v>37.408187087000002</v>
      </c>
      <c r="H1508">
        <v>0.96648157415798697</v>
      </c>
      <c r="I1508">
        <v>2</v>
      </c>
      <c r="J1508">
        <v>4.7338907E-2</v>
      </c>
      <c r="P1508"/>
      <c r="V1508">
        <v>1.05673844475122</v>
      </c>
      <c r="W1508">
        <v>2</v>
      </c>
      <c r="X1508">
        <v>233.625097729</v>
      </c>
      <c r="Y1508">
        <v>36693</v>
      </c>
      <c r="Z1508" s="1">
        <v>1.2003722446345801E-5</v>
      </c>
      <c r="AA1508">
        <v>1</v>
      </c>
    </row>
    <row r="1509" spans="1:27" x14ac:dyDescent="0.2">
      <c r="A1509">
        <v>10</v>
      </c>
      <c r="B1509">
        <v>2</v>
      </c>
      <c r="C1509">
        <v>0.1</v>
      </c>
      <c r="D1509">
        <v>100</v>
      </c>
      <c r="E1509">
        <v>0.98613225579448704</v>
      </c>
      <c r="F1509">
        <v>2</v>
      </c>
      <c r="G1509">
        <v>38.242096322999998</v>
      </c>
      <c r="H1509">
        <v>0.98581452112721701</v>
      </c>
      <c r="I1509">
        <v>2</v>
      </c>
      <c r="J1509">
        <v>6.2380339E-2</v>
      </c>
      <c r="P1509"/>
      <c r="V1509">
        <v>0.991665503977056</v>
      </c>
      <c r="W1509">
        <v>2</v>
      </c>
      <c r="X1509">
        <v>22225.166371384999</v>
      </c>
      <c r="Y1509">
        <v>166381</v>
      </c>
      <c r="Z1509">
        <v>6.9759450013066003E-4</v>
      </c>
      <c r="AA1509">
        <v>41</v>
      </c>
    </row>
    <row r="1510" spans="1:27" x14ac:dyDescent="0.2">
      <c r="A1510">
        <v>10</v>
      </c>
      <c r="B1510">
        <v>2</v>
      </c>
      <c r="C1510">
        <v>0.1</v>
      </c>
      <c r="D1510">
        <v>100</v>
      </c>
      <c r="E1510">
        <v>1.1090402305681599</v>
      </c>
      <c r="F1510">
        <v>2</v>
      </c>
      <c r="G1510">
        <v>31.742958685000001</v>
      </c>
      <c r="H1510">
        <v>0.93575554220398505</v>
      </c>
      <c r="I1510">
        <v>2</v>
      </c>
      <c r="J1510">
        <v>0.36539930900000001</v>
      </c>
      <c r="P1510"/>
      <c r="V1510">
        <v>0.96429778553922496</v>
      </c>
      <c r="W1510">
        <v>2</v>
      </c>
      <c r="X1510">
        <v>61.598902707000001</v>
      </c>
      <c r="Y1510">
        <v>5049</v>
      </c>
      <c r="Z1510" s="1">
        <v>5.6254924386427098E-5</v>
      </c>
      <c r="AA1510">
        <v>1</v>
      </c>
    </row>
    <row r="1511" spans="1:27" x14ac:dyDescent="0.2">
      <c r="A1511">
        <v>10</v>
      </c>
      <c r="B1511">
        <v>2</v>
      </c>
      <c r="C1511">
        <v>0.1</v>
      </c>
      <c r="D1511">
        <v>100</v>
      </c>
      <c r="E1511">
        <v>0.96738926751168197</v>
      </c>
      <c r="F1511">
        <v>2</v>
      </c>
      <c r="G1511">
        <v>28.364874557</v>
      </c>
      <c r="H1511">
        <v>0.96738926751168297</v>
      </c>
      <c r="I1511">
        <v>2</v>
      </c>
      <c r="J1511">
        <v>3.4618946999999997E-2</v>
      </c>
      <c r="P1511"/>
      <c r="V1511">
        <v>0.98556353259720797</v>
      </c>
      <c r="W1511">
        <v>2</v>
      </c>
      <c r="X1511">
        <v>165.30246222</v>
      </c>
      <c r="Y1511">
        <v>31008</v>
      </c>
      <c r="Z1511" s="1">
        <v>5.1831474867126896E-7</v>
      </c>
      <c r="AA1511">
        <v>1</v>
      </c>
    </row>
    <row r="1512" spans="1:27" x14ac:dyDescent="0.2">
      <c r="A1512">
        <v>10</v>
      </c>
      <c r="B1512">
        <v>2</v>
      </c>
      <c r="C1512">
        <v>0.1</v>
      </c>
      <c r="D1512">
        <v>100</v>
      </c>
      <c r="E1512">
        <v>0.99548452348098504</v>
      </c>
      <c r="F1512">
        <v>2</v>
      </c>
      <c r="G1512">
        <v>40.478441267000001</v>
      </c>
      <c r="H1512">
        <v>0.96052676607171295</v>
      </c>
      <c r="I1512">
        <v>2</v>
      </c>
      <c r="J1512">
        <v>0.54188062599999998</v>
      </c>
      <c r="P1512"/>
      <c r="V1512">
        <v>0.95718933312937204</v>
      </c>
      <c r="W1512">
        <v>2</v>
      </c>
      <c r="X1512">
        <v>1227.140681076</v>
      </c>
      <c r="Y1512">
        <v>74059</v>
      </c>
      <c r="Z1512">
        <v>4.2646634969316599E-4</v>
      </c>
      <c r="AA1512">
        <v>1</v>
      </c>
    </row>
    <row r="1513" spans="1:27" x14ac:dyDescent="0.2">
      <c r="A1513">
        <v>10</v>
      </c>
      <c r="B1513">
        <v>2</v>
      </c>
      <c r="C1513">
        <v>0.1</v>
      </c>
      <c r="D1513">
        <v>100</v>
      </c>
      <c r="E1513">
        <v>0.94633432042372001</v>
      </c>
      <c r="F1513">
        <v>2</v>
      </c>
      <c r="G1513">
        <v>33.740982711999997</v>
      </c>
      <c r="H1513">
        <v>0.94840325722789998</v>
      </c>
      <c r="I1513">
        <v>2</v>
      </c>
      <c r="J1513">
        <v>0.18729891200000001</v>
      </c>
      <c r="P1513"/>
      <c r="V1513">
        <v>0.904647973827295</v>
      </c>
      <c r="W1513">
        <v>2</v>
      </c>
      <c r="X1513">
        <v>66.536509381000002</v>
      </c>
      <c r="Y1513">
        <v>6462</v>
      </c>
      <c r="Z1513">
        <v>1.2181133652378E-4</v>
      </c>
      <c r="AA1513">
        <v>1</v>
      </c>
    </row>
    <row r="1514" spans="1:27" x14ac:dyDescent="0.2">
      <c r="A1514">
        <v>10</v>
      </c>
      <c r="B1514">
        <v>2</v>
      </c>
      <c r="C1514">
        <v>0.2</v>
      </c>
      <c r="D1514">
        <v>100</v>
      </c>
      <c r="E1514">
        <v>0.96627796547450095</v>
      </c>
      <c r="F1514">
        <v>2</v>
      </c>
      <c r="G1514">
        <v>36.358079041000003</v>
      </c>
      <c r="H1514">
        <v>1.0055956906796699</v>
      </c>
      <c r="I1514">
        <v>2</v>
      </c>
      <c r="J1514">
        <v>0.60374432200000006</v>
      </c>
      <c r="P1514"/>
      <c r="V1514">
        <v>0.96542554385788903</v>
      </c>
      <c r="W1514">
        <v>2</v>
      </c>
      <c r="X1514">
        <v>259.32566572100001</v>
      </c>
      <c r="Y1514">
        <v>19257</v>
      </c>
      <c r="Z1514">
        <v>2.0242613945130301E-4</v>
      </c>
      <c r="AA1514">
        <v>1</v>
      </c>
    </row>
    <row r="1515" spans="1:27" x14ac:dyDescent="0.2">
      <c r="A1515">
        <v>10</v>
      </c>
      <c r="B1515">
        <v>2</v>
      </c>
      <c r="C1515">
        <v>0.1</v>
      </c>
      <c r="D1515">
        <v>100</v>
      </c>
      <c r="E1515">
        <v>0.98163092896544701</v>
      </c>
      <c r="F1515">
        <v>2</v>
      </c>
      <c r="G1515">
        <v>38.555592187000002</v>
      </c>
      <c r="H1515">
        <v>0.98163092896544601</v>
      </c>
      <c r="I1515">
        <v>2</v>
      </c>
      <c r="J1515">
        <v>7.7408208000000006E-2</v>
      </c>
      <c r="P1515"/>
      <c r="V1515">
        <v>0.96046863854613096</v>
      </c>
      <c r="W1515">
        <v>2</v>
      </c>
      <c r="X1515">
        <v>78.261194083000007</v>
      </c>
      <c r="Y1515">
        <v>14456</v>
      </c>
      <c r="Z1515" s="1">
        <v>1.05400385344029E-5</v>
      </c>
      <c r="AA1515">
        <v>1</v>
      </c>
    </row>
    <row r="1516" spans="1:27" x14ac:dyDescent="0.2">
      <c r="A1516" s="4">
        <v>10</v>
      </c>
      <c r="B1516" s="4">
        <v>2</v>
      </c>
      <c r="C1516" s="4">
        <v>0.1</v>
      </c>
      <c r="D1516">
        <v>100</v>
      </c>
      <c r="E1516" s="4">
        <v>0.98318828999999996</v>
      </c>
      <c r="F1516" s="4">
        <v>2</v>
      </c>
      <c r="G1516" s="4">
        <v>33.690671600000002</v>
      </c>
      <c r="H1516" s="4">
        <v>0.98318828999999996</v>
      </c>
      <c r="I1516" s="4">
        <v>2</v>
      </c>
      <c r="J1516" s="4">
        <v>4.3111969999999999E-2</v>
      </c>
      <c r="K1516" s="4"/>
      <c r="L1516" s="4"/>
      <c r="M1516" s="4"/>
      <c r="N1516" s="4"/>
      <c r="O1516" s="4"/>
      <c r="P1516" s="4"/>
      <c r="Q1516" s="4"/>
      <c r="R1516" s="4"/>
      <c r="S1516" s="4"/>
      <c r="T1516" s="4"/>
      <c r="U1516" s="4"/>
      <c r="V1516" s="4">
        <v>1.07672747</v>
      </c>
      <c r="W1516" s="4">
        <v>2</v>
      </c>
      <c r="X1516" s="4">
        <v>139.26662200000001</v>
      </c>
      <c r="Y1516" s="4">
        <v>20726</v>
      </c>
      <c r="Z1516" s="8">
        <v>2.1299999999999999E-6</v>
      </c>
      <c r="AA1516" s="4">
        <v>1</v>
      </c>
    </row>
    <row r="1517" spans="1:27" x14ac:dyDescent="0.2">
      <c r="A1517" s="4">
        <v>10</v>
      </c>
      <c r="B1517" s="4">
        <v>2</v>
      </c>
      <c r="C1517" s="4">
        <v>0.2</v>
      </c>
      <c r="D1517">
        <v>100</v>
      </c>
      <c r="E1517" s="4">
        <v>0.79146561000000004</v>
      </c>
      <c r="F1517" s="4">
        <v>2</v>
      </c>
      <c r="G1517" s="4">
        <v>38.607535900000002</v>
      </c>
      <c r="H1517" s="4">
        <v>0.87785645999999995</v>
      </c>
      <c r="I1517" s="4">
        <v>2</v>
      </c>
      <c r="J1517" s="4">
        <v>0.28004326000000002</v>
      </c>
      <c r="K1517" s="4"/>
      <c r="L1517" s="4"/>
      <c r="M1517" s="4"/>
      <c r="N1517" s="4"/>
      <c r="O1517" s="4"/>
      <c r="P1517" s="4"/>
      <c r="Q1517" s="4"/>
      <c r="R1517" s="4"/>
      <c r="S1517" s="4"/>
      <c r="T1517" s="4"/>
      <c r="U1517" s="4"/>
      <c r="V1517" s="4">
        <v>0.88065731000000003</v>
      </c>
      <c r="W1517" s="4">
        <v>2</v>
      </c>
      <c r="X1517" s="4">
        <v>1225.6240299999999</v>
      </c>
      <c r="Y1517" s="4">
        <v>41811</v>
      </c>
      <c r="Z1517" s="4">
        <v>1.8765100000000001E-3</v>
      </c>
      <c r="AA1517" s="4">
        <v>1</v>
      </c>
    </row>
    <row r="1518" spans="1:27" x14ac:dyDescent="0.2">
      <c r="A1518">
        <v>10</v>
      </c>
      <c r="B1518">
        <v>3</v>
      </c>
      <c r="C1518">
        <v>0.1</v>
      </c>
      <c r="D1518">
        <v>100</v>
      </c>
      <c r="E1518">
        <v>0.96371530439858999</v>
      </c>
      <c r="F1518">
        <v>3</v>
      </c>
      <c r="G1518">
        <v>34.803337036999999</v>
      </c>
      <c r="H1518">
        <v>0.96371567540290204</v>
      </c>
      <c r="I1518">
        <v>3</v>
      </c>
      <c r="J1518">
        <v>6.7903089E-2</v>
      </c>
      <c r="P1518"/>
      <c r="V1518">
        <v>0.99452784229081703</v>
      </c>
      <c r="W1518">
        <v>3</v>
      </c>
      <c r="X1518">
        <v>1219.9376252229999</v>
      </c>
      <c r="Y1518">
        <v>63275</v>
      </c>
      <c r="Z1518">
        <v>3.2146033524979101E-3</v>
      </c>
      <c r="AA1518">
        <v>1</v>
      </c>
    </row>
    <row r="1519" spans="1:27" x14ac:dyDescent="0.2">
      <c r="A1519">
        <v>10</v>
      </c>
      <c r="B1519">
        <v>3</v>
      </c>
      <c r="C1519">
        <v>0.2</v>
      </c>
      <c r="D1519">
        <v>100</v>
      </c>
      <c r="E1519">
        <v>0.90990297494851002</v>
      </c>
      <c r="F1519">
        <v>3</v>
      </c>
      <c r="G1519">
        <v>37.315808967000002</v>
      </c>
      <c r="H1519">
        <v>0.80410669425463099</v>
      </c>
      <c r="I1519">
        <v>3</v>
      </c>
      <c r="J1519">
        <v>0.56096804899999997</v>
      </c>
      <c r="P1519"/>
      <c r="V1519">
        <v>0.99187077369381305</v>
      </c>
      <c r="W1519">
        <v>3</v>
      </c>
      <c r="X1519">
        <v>1224.226133119</v>
      </c>
      <c r="Y1519">
        <v>39274</v>
      </c>
      <c r="Z1519">
        <v>1.18334568243325E-3</v>
      </c>
      <c r="AA1519">
        <v>1</v>
      </c>
    </row>
    <row r="1520" spans="1:27" x14ac:dyDescent="0.2">
      <c r="A1520">
        <v>10</v>
      </c>
      <c r="B1520">
        <v>3</v>
      </c>
      <c r="C1520">
        <v>0.2</v>
      </c>
      <c r="D1520">
        <v>100</v>
      </c>
      <c r="E1520">
        <v>0.89199878022620804</v>
      </c>
      <c r="F1520">
        <v>3</v>
      </c>
      <c r="G1520">
        <v>44.871006561000002</v>
      </c>
      <c r="H1520">
        <v>0.90694901144317996</v>
      </c>
      <c r="I1520">
        <v>3</v>
      </c>
      <c r="J1520">
        <v>0.38665713600000001</v>
      </c>
      <c r="P1520"/>
      <c r="V1520">
        <v>0.90714778861911904</v>
      </c>
      <c r="W1520">
        <v>3</v>
      </c>
      <c r="X1520">
        <v>40.392598290000002</v>
      </c>
      <c r="Y1520">
        <v>1</v>
      </c>
      <c r="Z1520">
        <v>5.9148430591449098E-4</v>
      </c>
      <c r="AA1520">
        <v>1</v>
      </c>
    </row>
    <row r="1521" spans="1:27" x14ac:dyDescent="0.2">
      <c r="A1521">
        <v>10</v>
      </c>
      <c r="B1521">
        <v>3</v>
      </c>
      <c r="C1521">
        <v>0.1</v>
      </c>
      <c r="D1521">
        <v>100</v>
      </c>
      <c r="E1521">
        <v>1.2392518400869199</v>
      </c>
      <c r="F1521">
        <v>3</v>
      </c>
      <c r="G1521">
        <v>45.882640391000002</v>
      </c>
      <c r="H1521">
        <v>1.0290433071937499</v>
      </c>
      <c r="I1521">
        <v>3</v>
      </c>
      <c r="J1521">
        <v>0.33667366399999998</v>
      </c>
      <c r="P1521"/>
      <c r="V1521">
        <v>1.0037820694095601</v>
      </c>
      <c r="W1521">
        <v>3</v>
      </c>
      <c r="X1521">
        <v>305.57309994299999</v>
      </c>
      <c r="Y1521">
        <v>34149</v>
      </c>
      <c r="Z1521" s="1">
        <v>3.90448620468351E-5</v>
      </c>
      <c r="AA1521">
        <v>1</v>
      </c>
    </row>
    <row r="1522" spans="1:27" x14ac:dyDescent="0.2">
      <c r="A1522">
        <v>10</v>
      </c>
      <c r="B1522">
        <v>3</v>
      </c>
      <c r="C1522">
        <v>0.1</v>
      </c>
      <c r="D1522">
        <v>100</v>
      </c>
      <c r="E1522">
        <v>0.92901050114566897</v>
      </c>
      <c r="F1522">
        <v>3</v>
      </c>
      <c r="G1522">
        <v>40.890298872999999</v>
      </c>
      <c r="H1522">
        <v>0.93695428614962695</v>
      </c>
      <c r="I1522">
        <v>3</v>
      </c>
      <c r="J1522">
        <v>0.10044787400000001</v>
      </c>
      <c r="P1522"/>
      <c r="V1522">
        <v>0.93807901646346004</v>
      </c>
      <c r="W1522">
        <v>3</v>
      </c>
      <c r="X1522">
        <v>1224.825031076</v>
      </c>
      <c r="Y1522">
        <v>77904</v>
      </c>
      <c r="Z1522">
        <v>1.6451653112859799E-3</v>
      </c>
      <c r="AA1522">
        <v>1</v>
      </c>
    </row>
    <row r="1523" spans="1:27" x14ac:dyDescent="0.2">
      <c r="A1523">
        <v>10</v>
      </c>
      <c r="B1523">
        <v>3</v>
      </c>
      <c r="C1523">
        <v>0.2</v>
      </c>
      <c r="D1523">
        <v>100</v>
      </c>
      <c r="E1523">
        <v>1.04939500886574</v>
      </c>
      <c r="F1523">
        <v>3</v>
      </c>
      <c r="G1523">
        <v>36.944859596000001</v>
      </c>
      <c r="H1523">
        <v>0.974725468919168</v>
      </c>
      <c r="I1523">
        <v>3</v>
      </c>
      <c r="J1523">
        <v>0.86993465999999997</v>
      </c>
      <c r="P1523"/>
      <c r="V1523">
        <v>0.97481233982251003</v>
      </c>
      <c r="W1523">
        <v>3</v>
      </c>
      <c r="X1523">
        <v>1232.718040213</v>
      </c>
      <c r="Y1523">
        <v>42652</v>
      </c>
      <c r="Z1523">
        <v>6.5918821916863598E-3</v>
      </c>
      <c r="AA1523">
        <v>1</v>
      </c>
    </row>
    <row r="1524" spans="1:27" x14ac:dyDescent="0.2">
      <c r="A1524">
        <v>10</v>
      </c>
      <c r="B1524">
        <v>3</v>
      </c>
      <c r="C1524">
        <v>0.1</v>
      </c>
      <c r="D1524">
        <v>100</v>
      </c>
      <c r="E1524">
        <v>0.969508733960038</v>
      </c>
      <c r="F1524">
        <v>3</v>
      </c>
      <c r="G1524">
        <v>37.372948188999999</v>
      </c>
      <c r="H1524">
        <v>0.96950669706728998</v>
      </c>
      <c r="I1524">
        <v>3</v>
      </c>
      <c r="J1524">
        <v>4.9585786E-2</v>
      </c>
      <c r="P1524"/>
      <c r="V1524">
        <v>0.96950730090098503</v>
      </c>
      <c r="W1524">
        <v>3</v>
      </c>
      <c r="X1524">
        <v>1222.8759561700001</v>
      </c>
      <c r="Y1524">
        <v>37580</v>
      </c>
      <c r="Z1524">
        <v>9.6520287613289103E-4</v>
      </c>
      <c r="AA1524">
        <v>1</v>
      </c>
    </row>
    <row r="1525" spans="1:27" x14ac:dyDescent="0.2">
      <c r="A1525">
        <v>10</v>
      </c>
      <c r="B1525">
        <v>3</v>
      </c>
      <c r="C1525">
        <v>0.3</v>
      </c>
      <c r="D1525">
        <v>100</v>
      </c>
      <c r="E1525">
        <v>1.0323108768090601</v>
      </c>
      <c r="F1525">
        <v>3</v>
      </c>
      <c r="G1525">
        <v>37.788999902999997</v>
      </c>
      <c r="H1525">
        <v>0.922904953667811</v>
      </c>
      <c r="I1525">
        <v>3</v>
      </c>
      <c r="J1525">
        <v>0.57752064700000005</v>
      </c>
      <c r="P1525"/>
      <c r="V1525">
        <v>0.922920504874984</v>
      </c>
      <c r="W1525">
        <v>3</v>
      </c>
      <c r="X1525">
        <v>1228.8080722489999</v>
      </c>
      <c r="Y1525">
        <v>24184</v>
      </c>
      <c r="Z1525">
        <v>2.7200293597507402E-3</v>
      </c>
      <c r="AA1525">
        <v>1</v>
      </c>
    </row>
    <row r="1526" spans="1:27" x14ac:dyDescent="0.2">
      <c r="A1526">
        <v>10</v>
      </c>
      <c r="B1526">
        <v>3</v>
      </c>
      <c r="C1526">
        <v>0.2</v>
      </c>
      <c r="D1526">
        <v>100</v>
      </c>
      <c r="E1526">
        <v>0.97916100650541604</v>
      </c>
      <c r="F1526">
        <v>3</v>
      </c>
      <c r="G1526">
        <v>31.508103363</v>
      </c>
      <c r="H1526">
        <v>1.00884949844617</v>
      </c>
      <c r="I1526">
        <v>3</v>
      </c>
      <c r="J1526">
        <v>0.133708252</v>
      </c>
      <c r="P1526"/>
      <c r="V1526">
        <v>1.06356511310377</v>
      </c>
      <c r="W1526">
        <v>3</v>
      </c>
      <c r="X1526">
        <v>116.535521098</v>
      </c>
      <c r="Y1526">
        <v>7195</v>
      </c>
      <c r="Z1526">
        <v>3.7860357361971199E-4</v>
      </c>
      <c r="AA1526">
        <v>1</v>
      </c>
    </row>
    <row r="1527" spans="1:27" x14ac:dyDescent="0.2">
      <c r="A1527">
        <v>10</v>
      </c>
      <c r="B1527">
        <v>3</v>
      </c>
      <c r="C1527">
        <v>0.1</v>
      </c>
      <c r="D1527">
        <v>100</v>
      </c>
      <c r="E1527">
        <v>0.94472510261077902</v>
      </c>
      <c r="F1527">
        <v>3</v>
      </c>
      <c r="G1527">
        <v>37.324212367000001</v>
      </c>
      <c r="H1527">
        <v>0.95273213904041998</v>
      </c>
      <c r="I1527">
        <v>3</v>
      </c>
      <c r="J1527">
        <v>9.4004154000000006E-2</v>
      </c>
      <c r="P1527"/>
      <c r="V1527">
        <v>0.99466879494232896</v>
      </c>
      <c r="W1527">
        <v>3</v>
      </c>
      <c r="X1527">
        <v>1283.22044682</v>
      </c>
      <c r="Y1527">
        <v>5009</v>
      </c>
      <c r="Z1527">
        <v>9.97018032268731E-4</v>
      </c>
      <c r="AA1527">
        <v>2</v>
      </c>
    </row>
    <row r="1528" spans="1:27" x14ac:dyDescent="0.2">
      <c r="A1528">
        <v>10</v>
      </c>
      <c r="B1528">
        <v>3</v>
      </c>
      <c r="C1528">
        <v>0.1</v>
      </c>
      <c r="D1528">
        <v>100</v>
      </c>
      <c r="E1528">
        <v>0.97708864194144096</v>
      </c>
      <c r="F1528">
        <v>3</v>
      </c>
      <c r="G1528">
        <v>32.392526932999999</v>
      </c>
      <c r="H1528">
        <v>1.0259044481183199</v>
      </c>
      <c r="I1528">
        <v>3</v>
      </c>
      <c r="J1528">
        <v>0.22671303300000001</v>
      </c>
      <c r="P1528"/>
      <c r="V1528">
        <v>0.95252270961720398</v>
      </c>
      <c r="W1528">
        <v>3</v>
      </c>
      <c r="X1528">
        <v>1222.9529165219999</v>
      </c>
      <c r="Y1528">
        <v>0</v>
      </c>
      <c r="Z1528">
        <v>2.7890035732159799E-4</v>
      </c>
      <c r="AA1528">
        <v>2</v>
      </c>
    </row>
    <row r="1529" spans="1:27" x14ac:dyDescent="0.2">
      <c r="A1529">
        <v>10</v>
      </c>
      <c r="B1529">
        <v>3</v>
      </c>
      <c r="C1529">
        <v>0.2</v>
      </c>
      <c r="D1529">
        <v>100</v>
      </c>
      <c r="E1529">
        <v>0.943193159131546</v>
      </c>
      <c r="F1529">
        <v>3</v>
      </c>
      <c r="G1529">
        <v>39.338824569000003</v>
      </c>
      <c r="H1529">
        <v>0.94041717593413199</v>
      </c>
      <c r="I1529">
        <v>3</v>
      </c>
      <c r="J1529">
        <v>0.201392023</v>
      </c>
      <c r="P1529"/>
      <c r="V1529">
        <v>0.94251290269451105</v>
      </c>
      <c r="W1529">
        <v>3</v>
      </c>
      <c r="X1529">
        <v>1226.64684876</v>
      </c>
      <c r="Y1529">
        <v>28357</v>
      </c>
      <c r="Z1529">
        <v>3.0573836484108999E-3</v>
      </c>
      <c r="AA1529">
        <v>1</v>
      </c>
    </row>
    <row r="1530" spans="1:27" x14ac:dyDescent="0.2">
      <c r="A1530">
        <v>10</v>
      </c>
      <c r="B1530">
        <v>3</v>
      </c>
      <c r="C1530">
        <v>0.1</v>
      </c>
      <c r="D1530">
        <v>100</v>
      </c>
      <c r="E1530">
        <v>0.96880165918223704</v>
      </c>
      <c r="F1530">
        <v>3</v>
      </c>
      <c r="G1530">
        <v>34.704451763000002</v>
      </c>
      <c r="H1530">
        <v>0.96285068811609997</v>
      </c>
      <c r="I1530">
        <v>3</v>
      </c>
      <c r="J1530">
        <v>0.289494896</v>
      </c>
      <c r="P1530"/>
      <c r="V1530">
        <v>1.00017824622133</v>
      </c>
      <c r="W1530">
        <v>3</v>
      </c>
      <c r="X1530">
        <v>1281.1494677170001</v>
      </c>
      <c r="Y1530">
        <v>9048</v>
      </c>
      <c r="Z1530">
        <v>5.0882416599907897E-3</v>
      </c>
      <c r="AA1530">
        <v>2</v>
      </c>
    </row>
    <row r="1531" spans="1:27" x14ac:dyDescent="0.2">
      <c r="A1531">
        <v>10</v>
      </c>
      <c r="B1531">
        <v>3</v>
      </c>
      <c r="C1531">
        <v>0.2</v>
      </c>
      <c r="D1531">
        <v>100</v>
      </c>
      <c r="E1531">
        <v>1.00274465220432</v>
      </c>
      <c r="F1531">
        <v>3</v>
      </c>
      <c r="G1531">
        <v>31.464253165999999</v>
      </c>
      <c r="H1531">
        <v>1.00205999080567</v>
      </c>
      <c r="I1531">
        <v>3</v>
      </c>
      <c r="J1531">
        <v>6.8727794999999994E-2</v>
      </c>
      <c r="P1531"/>
      <c r="V1531">
        <v>1.0022811480491101</v>
      </c>
      <c r="W1531">
        <v>3</v>
      </c>
      <c r="X1531">
        <v>1220.4737092509999</v>
      </c>
      <c r="Y1531">
        <v>34317</v>
      </c>
      <c r="Z1531">
        <v>2.2030939208003602E-3</v>
      </c>
      <c r="AA1531">
        <v>1</v>
      </c>
    </row>
    <row r="1532" spans="1:27" x14ac:dyDescent="0.2">
      <c r="A1532">
        <v>10</v>
      </c>
      <c r="B1532">
        <v>3</v>
      </c>
      <c r="C1532">
        <v>0.2</v>
      </c>
      <c r="D1532">
        <v>100</v>
      </c>
      <c r="E1532">
        <v>0.95376172268126902</v>
      </c>
      <c r="F1532">
        <v>3</v>
      </c>
      <c r="G1532">
        <v>33.091468505999998</v>
      </c>
      <c r="H1532">
        <v>0.93824158266721702</v>
      </c>
      <c r="I1532">
        <v>3</v>
      </c>
      <c r="J1532">
        <v>0.31961676100000003</v>
      </c>
      <c r="P1532"/>
      <c r="V1532">
        <v>0.99153032111407202</v>
      </c>
      <c r="W1532">
        <v>3</v>
      </c>
      <c r="X1532">
        <v>1223.6859902880001</v>
      </c>
      <c r="Y1532">
        <v>51233</v>
      </c>
      <c r="Z1532">
        <v>2.2655945197084999E-3</v>
      </c>
      <c r="AA1532">
        <v>1</v>
      </c>
    </row>
    <row r="1533" spans="1:27" x14ac:dyDescent="0.2">
      <c r="A1533">
        <v>10</v>
      </c>
      <c r="B1533">
        <v>3</v>
      </c>
      <c r="C1533">
        <v>0.2</v>
      </c>
      <c r="D1533">
        <v>100</v>
      </c>
      <c r="E1533">
        <v>0.99441064472030805</v>
      </c>
      <c r="F1533">
        <v>3</v>
      </c>
      <c r="G1533">
        <v>31.407509066999999</v>
      </c>
      <c r="H1533">
        <v>0.96905818524402099</v>
      </c>
      <c r="I1533">
        <v>3</v>
      </c>
      <c r="J1533">
        <v>0.14351546100000001</v>
      </c>
      <c r="P1533"/>
      <c r="V1533">
        <v>0.89371369177655302</v>
      </c>
      <c r="W1533">
        <v>3</v>
      </c>
      <c r="X1533">
        <v>1600.912836965</v>
      </c>
      <c r="Y1533">
        <v>16140</v>
      </c>
      <c r="Z1533">
        <v>6.53325272895788E-3</v>
      </c>
      <c r="AA1533">
        <v>5</v>
      </c>
    </row>
    <row r="1534" spans="1:27" x14ac:dyDescent="0.2">
      <c r="A1534">
        <v>10</v>
      </c>
      <c r="B1534">
        <v>3</v>
      </c>
      <c r="C1534">
        <v>0.1</v>
      </c>
      <c r="D1534">
        <v>100</v>
      </c>
      <c r="E1534">
        <v>0.99640288753663397</v>
      </c>
      <c r="F1534">
        <v>3</v>
      </c>
      <c r="G1534">
        <v>35.327389056999998</v>
      </c>
      <c r="H1534">
        <v>0.99682522463924605</v>
      </c>
      <c r="I1534">
        <v>3</v>
      </c>
      <c r="J1534">
        <v>0.110390375</v>
      </c>
      <c r="P1534"/>
      <c r="V1534">
        <v>0.99715841122245896</v>
      </c>
      <c r="W1534">
        <v>3</v>
      </c>
      <c r="X1534">
        <v>24.013912996999998</v>
      </c>
      <c r="Y1534">
        <v>0</v>
      </c>
      <c r="Z1534" s="1">
        <v>4.52060043996914E-5</v>
      </c>
      <c r="AA1534">
        <v>1</v>
      </c>
    </row>
    <row r="1535" spans="1:27" x14ac:dyDescent="0.2">
      <c r="A1535">
        <v>10</v>
      </c>
      <c r="B1535">
        <v>3</v>
      </c>
      <c r="C1535">
        <v>0.2</v>
      </c>
      <c r="D1535">
        <v>100</v>
      </c>
      <c r="E1535">
        <v>0.94797099225694703</v>
      </c>
      <c r="F1535">
        <v>3</v>
      </c>
      <c r="G1535">
        <v>35.895973296000001</v>
      </c>
      <c r="H1535">
        <v>0.94765713433505105</v>
      </c>
      <c r="I1535">
        <v>3</v>
      </c>
      <c r="J1535">
        <v>0.11981702399999999</v>
      </c>
      <c r="P1535"/>
      <c r="V1535">
        <v>0.94780131583848304</v>
      </c>
      <c r="W1535">
        <v>3</v>
      </c>
      <c r="X1535">
        <v>1221.3402260759999</v>
      </c>
      <c r="Y1535">
        <v>42107</v>
      </c>
      <c r="Z1535">
        <v>5.8633113455863802E-3</v>
      </c>
      <c r="AA1535">
        <v>1</v>
      </c>
    </row>
    <row r="1536" spans="1:27" x14ac:dyDescent="0.2">
      <c r="A1536">
        <v>10</v>
      </c>
      <c r="B1536">
        <v>3</v>
      </c>
      <c r="C1536">
        <v>0.1</v>
      </c>
      <c r="D1536">
        <v>100</v>
      </c>
      <c r="E1536">
        <v>0.98794873252737903</v>
      </c>
      <c r="F1536">
        <v>3</v>
      </c>
      <c r="G1536">
        <v>32.617526255000001</v>
      </c>
      <c r="H1536">
        <v>1.01544883417851</v>
      </c>
      <c r="I1536">
        <v>3</v>
      </c>
      <c r="J1536">
        <v>0.22205961399999999</v>
      </c>
      <c r="P1536"/>
      <c r="V1536">
        <v>0.99765921643939304</v>
      </c>
      <c r="W1536">
        <v>3</v>
      </c>
      <c r="X1536">
        <v>1225.2438612789999</v>
      </c>
      <c r="Y1536">
        <v>0</v>
      </c>
      <c r="Z1536">
        <v>1.00651851993161E-3</v>
      </c>
      <c r="AA1536">
        <v>2</v>
      </c>
    </row>
    <row r="1537" spans="1:27" x14ac:dyDescent="0.2">
      <c r="A1537">
        <v>10</v>
      </c>
      <c r="B1537">
        <v>3</v>
      </c>
      <c r="C1537">
        <v>0.2</v>
      </c>
      <c r="D1537">
        <v>100</v>
      </c>
      <c r="E1537">
        <v>1.019394446895</v>
      </c>
      <c r="F1537">
        <v>3</v>
      </c>
      <c r="G1537">
        <v>30.320672376000001</v>
      </c>
      <c r="H1537">
        <v>0.95312241063729797</v>
      </c>
      <c r="I1537">
        <v>3</v>
      </c>
      <c r="J1537">
        <v>0.16222663800000001</v>
      </c>
      <c r="P1537"/>
      <c r="V1537">
        <v>0.97068893106801002</v>
      </c>
      <c r="W1537">
        <v>3</v>
      </c>
      <c r="X1537">
        <v>1221.5030721779999</v>
      </c>
      <c r="Y1537">
        <v>36638</v>
      </c>
      <c r="Z1537">
        <v>1.79409477244314E-3</v>
      </c>
      <c r="AA1537">
        <v>1</v>
      </c>
    </row>
    <row r="1538" spans="1:27" x14ac:dyDescent="0.2">
      <c r="A1538">
        <v>10</v>
      </c>
      <c r="B1538">
        <v>3</v>
      </c>
      <c r="C1538">
        <v>0.3</v>
      </c>
      <c r="D1538">
        <v>100</v>
      </c>
      <c r="E1538">
        <v>1.10763919065362</v>
      </c>
      <c r="F1538">
        <v>3</v>
      </c>
      <c r="G1538">
        <v>33.229518968999997</v>
      </c>
      <c r="H1538">
        <v>0.93285502789006303</v>
      </c>
      <c r="I1538">
        <v>3</v>
      </c>
      <c r="J1538">
        <v>0.83955429599999998</v>
      </c>
      <c r="P1538"/>
      <c r="V1538">
        <v>0.93420251871426396</v>
      </c>
      <c r="W1538">
        <v>3</v>
      </c>
      <c r="X1538">
        <v>1228.239894607</v>
      </c>
      <c r="Y1538">
        <v>28409</v>
      </c>
      <c r="Z1538">
        <v>3.0871897420789102E-3</v>
      </c>
      <c r="AA1538">
        <v>1</v>
      </c>
    </row>
    <row r="1539" spans="1:27" x14ac:dyDescent="0.2">
      <c r="A1539">
        <v>10</v>
      </c>
      <c r="B1539">
        <v>3</v>
      </c>
      <c r="C1539">
        <v>0.3</v>
      </c>
      <c r="D1539">
        <v>100</v>
      </c>
      <c r="E1539">
        <v>1.0754699550742</v>
      </c>
      <c r="F1539">
        <v>3</v>
      </c>
      <c r="G1539">
        <v>38.326130360000001</v>
      </c>
      <c r="H1539">
        <v>0.98620444772676297</v>
      </c>
      <c r="I1539">
        <v>3</v>
      </c>
      <c r="J1539">
        <v>0.63565189200000005</v>
      </c>
      <c r="P1539"/>
      <c r="V1539">
        <v>0.986466843222226</v>
      </c>
      <c r="W1539">
        <v>3</v>
      </c>
      <c r="X1539">
        <v>1230.705518536</v>
      </c>
      <c r="Y1539">
        <v>31847</v>
      </c>
      <c r="Z1539">
        <v>6.41321625505789E-3</v>
      </c>
      <c r="AA1539">
        <v>1</v>
      </c>
    </row>
    <row r="1540" spans="1:27" x14ac:dyDescent="0.2">
      <c r="A1540">
        <v>10</v>
      </c>
      <c r="B1540">
        <v>3</v>
      </c>
      <c r="C1540">
        <v>0.2</v>
      </c>
      <c r="D1540">
        <v>100</v>
      </c>
      <c r="E1540">
        <v>1.02077587345648</v>
      </c>
      <c r="F1540">
        <v>3</v>
      </c>
      <c r="G1540">
        <v>35.324858689999999</v>
      </c>
      <c r="H1540">
        <v>0.98949744204394696</v>
      </c>
      <c r="I1540">
        <v>3</v>
      </c>
      <c r="J1540">
        <v>0.64657552900000004</v>
      </c>
      <c r="P1540"/>
      <c r="V1540">
        <v>0.98999712629118297</v>
      </c>
      <c r="W1540">
        <v>3</v>
      </c>
      <c r="X1540">
        <v>1226.4541779030001</v>
      </c>
      <c r="Y1540">
        <v>68577</v>
      </c>
      <c r="Z1540">
        <v>3.1142788884608299E-3</v>
      </c>
      <c r="AA1540">
        <v>1</v>
      </c>
    </row>
    <row r="1541" spans="1:27" x14ac:dyDescent="0.2">
      <c r="A1541">
        <v>10</v>
      </c>
      <c r="B1541">
        <v>3</v>
      </c>
      <c r="C1541">
        <v>0.2</v>
      </c>
      <c r="D1541">
        <v>100</v>
      </c>
      <c r="E1541">
        <v>0.94095742268962301</v>
      </c>
      <c r="F1541">
        <v>3</v>
      </c>
      <c r="G1541">
        <v>35.50002327</v>
      </c>
      <c r="H1541">
        <v>0.93894801933980199</v>
      </c>
      <c r="I1541">
        <v>3</v>
      </c>
      <c r="J1541">
        <v>8.8769798999999996E-2</v>
      </c>
      <c r="P1541"/>
      <c r="V1541">
        <v>0.95093095623795998</v>
      </c>
      <c r="W1541">
        <v>3</v>
      </c>
      <c r="X1541">
        <v>1224.156060772</v>
      </c>
      <c r="Y1541">
        <v>27647</v>
      </c>
      <c r="Z1541">
        <v>2.8478990596003798E-3</v>
      </c>
      <c r="AA1541">
        <v>1</v>
      </c>
    </row>
    <row r="1542" spans="1:27" x14ac:dyDescent="0.2">
      <c r="A1542">
        <v>10</v>
      </c>
      <c r="B1542">
        <v>3</v>
      </c>
      <c r="C1542">
        <v>0.1</v>
      </c>
      <c r="D1542">
        <v>100</v>
      </c>
      <c r="E1542">
        <v>0.95677676146475599</v>
      </c>
      <c r="F1542">
        <v>3</v>
      </c>
      <c r="G1542">
        <v>32.837113008999999</v>
      </c>
      <c r="H1542">
        <v>0.95686684053635696</v>
      </c>
      <c r="I1542">
        <v>3</v>
      </c>
      <c r="J1542">
        <v>7.2024650999999995E-2</v>
      </c>
      <c r="P1542"/>
      <c r="V1542">
        <v>0.96318143047570404</v>
      </c>
      <c r="W1542">
        <v>3</v>
      </c>
      <c r="X1542">
        <v>1281.8220985580001</v>
      </c>
      <c r="Y1542">
        <v>2474</v>
      </c>
      <c r="Z1542">
        <v>3.9219234749755597E-3</v>
      </c>
      <c r="AA1542">
        <v>2</v>
      </c>
    </row>
    <row r="1543" spans="1:27" x14ac:dyDescent="0.2">
      <c r="A1543">
        <v>10</v>
      </c>
      <c r="B1543">
        <v>3</v>
      </c>
      <c r="C1543">
        <v>0.2</v>
      </c>
      <c r="D1543">
        <v>100</v>
      </c>
      <c r="E1543">
        <v>1.0209978024906901</v>
      </c>
      <c r="F1543">
        <v>3</v>
      </c>
      <c r="G1543">
        <v>37.417907212999999</v>
      </c>
      <c r="H1543">
        <v>1.01118690100812</v>
      </c>
      <c r="I1543">
        <v>3</v>
      </c>
      <c r="J1543">
        <v>8.7198631999999998E-2</v>
      </c>
      <c r="P1543"/>
      <c r="V1543">
        <v>1.0123630766537699</v>
      </c>
      <c r="W1543">
        <v>3</v>
      </c>
      <c r="X1543">
        <v>1225.6628335099999</v>
      </c>
      <c r="Y1543">
        <v>33074</v>
      </c>
      <c r="Z1543">
        <v>8.3354657322082205E-4</v>
      </c>
      <c r="AA1543">
        <v>1</v>
      </c>
    </row>
    <row r="1544" spans="1:27" x14ac:dyDescent="0.2">
      <c r="A1544">
        <v>10</v>
      </c>
      <c r="B1544">
        <v>3</v>
      </c>
      <c r="C1544">
        <v>0.1</v>
      </c>
      <c r="D1544">
        <v>100</v>
      </c>
      <c r="E1544">
        <v>0.96181650511994399</v>
      </c>
      <c r="F1544">
        <v>3</v>
      </c>
      <c r="G1544">
        <v>38.381889604999998</v>
      </c>
      <c r="H1544">
        <v>0.96246848315002098</v>
      </c>
      <c r="I1544">
        <v>3</v>
      </c>
      <c r="J1544">
        <v>0.12979595899999999</v>
      </c>
      <c r="P1544"/>
      <c r="V1544">
        <v>0.94949768566628201</v>
      </c>
      <c r="W1544">
        <v>3</v>
      </c>
      <c r="X1544">
        <v>1283.2035977800001</v>
      </c>
      <c r="Y1544">
        <v>9729</v>
      </c>
      <c r="Z1544">
        <v>1.5930940475031401E-3</v>
      </c>
      <c r="AA1544">
        <v>2</v>
      </c>
    </row>
    <row r="1545" spans="1:27" x14ac:dyDescent="0.2">
      <c r="A1545">
        <v>10</v>
      </c>
      <c r="B1545">
        <v>3</v>
      </c>
      <c r="C1545">
        <v>0.2</v>
      </c>
      <c r="D1545">
        <v>100</v>
      </c>
      <c r="E1545">
        <v>0.98092339624509906</v>
      </c>
      <c r="F1545">
        <v>3</v>
      </c>
      <c r="G1545">
        <v>37.037358973000003</v>
      </c>
      <c r="H1545">
        <v>0.98509420672484505</v>
      </c>
      <c r="I1545">
        <v>3</v>
      </c>
      <c r="J1545">
        <v>0.34953171900000002</v>
      </c>
      <c r="P1545"/>
      <c r="V1545">
        <v>0.98464524054908498</v>
      </c>
      <c r="W1545">
        <v>3</v>
      </c>
      <c r="X1545">
        <v>1223.5479507990001</v>
      </c>
      <c r="Y1545">
        <v>35534</v>
      </c>
      <c r="Z1545">
        <v>2.33367409501919E-3</v>
      </c>
      <c r="AA1545">
        <v>1</v>
      </c>
    </row>
    <row r="1546" spans="1:27" x14ac:dyDescent="0.2">
      <c r="A1546">
        <v>10</v>
      </c>
      <c r="B1546">
        <v>3</v>
      </c>
      <c r="C1546">
        <v>0.1</v>
      </c>
      <c r="D1546">
        <v>100</v>
      </c>
      <c r="E1546">
        <v>0.97986845513819498</v>
      </c>
      <c r="F1546">
        <v>3</v>
      </c>
      <c r="G1546">
        <v>35.830645492999999</v>
      </c>
      <c r="H1546">
        <v>0.98380381906977399</v>
      </c>
      <c r="I1546">
        <v>3</v>
      </c>
      <c r="J1546">
        <v>0.26850798399999998</v>
      </c>
      <c r="P1546"/>
      <c r="V1546">
        <v>0.97433485147966903</v>
      </c>
      <c r="W1546">
        <v>3</v>
      </c>
      <c r="X1546">
        <v>1283.88424889</v>
      </c>
      <c r="Y1546">
        <v>9044</v>
      </c>
      <c r="Z1546">
        <v>1.88692543323182E-3</v>
      </c>
      <c r="AA1546">
        <v>2</v>
      </c>
    </row>
    <row r="1547" spans="1:27" x14ac:dyDescent="0.2">
      <c r="A1547">
        <v>10</v>
      </c>
      <c r="B1547">
        <v>3</v>
      </c>
      <c r="C1547">
        <v>0.2</v>
      </c>
      <c r="D1547">
        <v>100</v>
      </c>
      <c r="E1547">
        <v>0.97482689040015402</v>
      </c>
      <c r="F1547">
        <v>3</v>
      </c>
      <c r="G1547">
        <v>34.304855500999999</v>
      </c>
      <c r="H1547">
        <v>0.97508297264467503</v>
      </c>
      <c r="I1547">
        <v>3</v>
      </c>
      <c r="J1547">
        <v>7.2948409000000006E-2</v>
      </c>
      <c r="P1547"/>
      <c r="V1547">
        <v>0.97513065460006199</v>
      </c>
      <c r="W1547">
        <v>3</v>
      </c>
      <c r="X1547">
        <v>1226.333458218</v>
      </c>
      <c r="Y1547">
        <v>37385</v>
      </c>
      <c r="Z1547">
        <v>9.4911991131129796E-3</v>
      </c>
      <c r="AA1547">
        <v>1</v>
      </c>
    </row>
    <row r="1548" spans="1:27" x14ac:dyDescent="0.2">
      <c r="A1548">
        <v>10</v>
      </c>
      <c r="B1548">
        <v>3</v>
      </c>
      <c r="C1548">
        <v>0.1</v>
      </c>
      <c r="D1548">
        <v>100</v>
      </c>
      <c r="E1548">
        <v>0.94558401947429405</v>
      </c>
      <c r="F1548">
        <v>3</v>
      </c>
      <c r="G1548">
        <v>37.197113307999999</v>
      </c>
      <c r="H1548">
        <v>0.98781929963575299</v>
      </c>
      <c r="I1548">
        <v>3</v>
      </c>
      <c r="J1548">
        <v>0.14286861200000001</v>
      </c>
      <c r="P1548"/>
      <c r="V1548">
        <v>1.02237987094149</v>
      </c>
      <c r="W1548">
        <v>3</v>
      </c>
      <c r="X1548">
        <v>1226.2272119229999</v>
      </c>
      <c r="Y1548">
        <v>0</v>
      </c>
      <c r="Z1548">
        <v>1.12281561739177E-3</v>
      </c>
      <c r="AA1548">
        <v>2</v>
      </c>
    </row>
    <row r="1549" spans="1:27" x14ac:dyDescent="0.2">
      <c r="A1549">
        <v>10</v>
      </c>
      <c r="B1549">
        <v>3</v>
      </c>
      <c r="C1549">
        <v>0.3</v>
      </c>
      <c r="D1549">
        <v>100</v>
      </c>
      <c r="E1549">
        <v>0.83067627792311405</v>
      </c>
      <c r="F1549">
        <v>3</v>
      </c>
      <c r="G1549">
        <v>35.119200917000001</v>
      </c>
      <c r="H1549">
        <v>0.81965719767864498</v>
      </c>
      <c r="I1549">
        <v>3</v>
      </c>
      <c r="J1549">
        <v>0.18288906899999999</v>
      </c>
      <c r="P1549"/>
      <c r="V1549">
        <v>0.82065456546301696</v>
      </c>
      <c r="W1549">
        <v>3</v>
      </c>
      <c r="X1549">
        <v>20426.805262475002</v>
      </c>
      <c r="Y1549">
        <v>185324</v>
      </c>
      <c r="Z1549">
        <v>8.4725075957976497E-3</v>
      </c>
      <c r="AA1549">
        <v>39</v>
      </c>
    </row>
    <row r="1550" spans="1:27" ht="15" customHeight="1" x14ac:dyDescent="0.2">
      <c r="A1550">
        <v>10</v>
      </c>
      <c r="B1550">
        <v>2</v>
      </c>
      <c r="C1550">
        <v>0.2</v>
      </c>
      <c r="D1550">
        <v>100</v>
      </c>
      <c r="E1550">
        <v>0.71869622833456204</v>
      </c>
      <c r="F1550">
        <v>2</v>
      </c>
      <c r="G1550">
        <v>37.981159210000001</v>
      </c>
      <c r="H1550">
        <v>0.68593583464132002</v>
      </c>
      <c r="I1550">
        <v>2</v>
      </c>
      <c r="J1550">
        <v>0.46273945599999999</v>
      </c>
      <c r="P1550"/>
      <c r="V1550">
        <v>0.68190725074801195</v>
      </c>
      <c r="W1550">
        <v>2</v>
      </c>
      <c r="X1550">
        <v>10055.713405311</v>
      </c>
      <c r="Y1550">
        <v>152687</v>
      </c>
      <c r="Z1550">
        <v>1.0512667347530699E-3</v>
      </c>
      <c r="AA1550">
        <v>27</v>
      </c>
    </row>
    <row r="1551" spans="1:27" x14ac:dyDescent="0.2">
      <c r="A1551">
        <v>20</v>
      </c>
      <c r="B1551">
        <v>2</v>
      </c>
      <c r="C1551">
        <v>0.1</v>
      </c>
      <c r="D1551">
        <v>100</v>
      </c>
      <c r="E1551">
        <v>1.15506575214003</v>
      </c>
      <c r="F1551">
        <v>2</v>
      </c>
      <c r="G1551">
        <v>35.821622652999999</v>
      </c>
      <c r="H1551">
        <v>1.1017131427429701</v>
      </c>
      <c r="I1551">
        <v>2</v>
      </c>
      <c r="J1551">
        <v>0.92527824199999997</v>
      </c>
      <c r="P1551"/>
      <c r="V1551">
        <v>1.14029058111992</v>
      </c>
      <c r="W1551">
        <v>2</v>
      </c>
      <c r="X1551">
        <v>74915.074716229006</v>
      </c>
      <c r="Y1551">
        <v>247486</v>
      </c>
      <c r="Z1551">
        <v>2.3174101534101901E-3</v>
      </c>
      <c r="AA1551">
        <v>100</v>
      </c>
    </row>
    <row r="1552" spans="1:27" x14ac:dyDescent="0.2">
      <c r="A1552">
        <v>20</v>
      </c>
      <c r="B1552">
        <v>2</v>
      </c>
      <c r="C1552">
        <v>0.2</v>
      </c>
      <c r="D1552">
        <v>100</v>
      </c>
      <c r="E1552">
        <v>0.54488789668352</v>
      </c>
      <c r="F1552">
        <v>2</v>
      </c>
      <c r="G1552">
        <v>34.875673966000001</v>
      </c>
      <c r="H1552">
        <v>0.224558951509332</v>
      </c>
      <c r="I1552">
        <v>2</v>
      </c>
      <c r="J1552">
        <v>0.82840509799999995</v>
      </c>
      <c r="P1552"/>
      <c r="V1552">
        <v>0.217882088647086</v>
      </c>
      <c r="W1552">
        <v>2</v>
      </c>
      <c r="X1552">
        <v>76295.187608335997</v>
      </c>
      <c r="Y1552">
        <v>114575</v>
      </c>
      <c r="Z1552">
        <v>9.5803257525473501E-2</v>
      </c>
      <c r="AA1552">
        <v>100</v>
      </c>
    </row>
    <row r="1553" spans="1:27" x14ac:dyDescent="0.2">
      <c r="A1553">
        <v>20</v>
      </c>
      <c r="B1553">
        <v>2</v>
      </c>
      <c r="C1553">
        <v>0.3</v>
      </c>
      <c r="D1553">
        <v>100</v>
      </c>
      <c r="E1553">
        <v>0.30514132339844602</v>
      </c>
      <c r="F1553">
        <v>2</v>
      </c>
      <c r="G1553">
        <v>39.159977478999998</v>
      </c>
      <c r="H1553">
        <v>4.4226009098655303E-2</v>
      </c>
      <c r="I1553">
        <v>2</v>
      </c>
      <c r="J1553">
        <v>0.324245057</v>
      </c>
      <c r="P1553"/>
      <c r="V1553">
        <v>3.4023860556831403E-2</v>
      </c>
      <c r="W1553">
        <v>2</v>
      </c>
      <c r="X1553">
        <v>75407.152635658</v>
      </c>
      <c r="Y1553">
        <v>7378</v>
      </c>
      <c r="Z1553">
        <v>0.289155063221187</v>
      </c>
      <c r="AA1553">
        <v>100</v>
      </c>
    </row>
    <row r="1554" spans="1:27" x14ac:dyDescent="0.2">
      <c r="A1554">
        <v>20</v>
      </c>
      <c r="B1554">
        <v>2</v>
      </c>
      <c r="C1554">
        <v>0.1</v>
      </c>
      <c r="D1554">
        <v>100</v>
      </c>
      <c r="E1554">
        <v>1.0204657621620501</v>
      </c>
      <c r="F1554">
        <v>2</v>
      </c>
      <c r="G1554">
        <v>33.561448968999997</v>
      </c>
      <c r="H1554">
        <v>0.918138325685533</v>
      </c>
      <c r="I1554">
        <v>2</v>
      </c>
      <c r="J1554">
        <v>1.010094228</v>
      </c>
      <c r="P1554"/>
      <c r="V1554">
        <v>0.91818965796959995</v>
      </c>
      <c r="W1554">
        <v>2</v>
      </c>
      <c r="X1554">
        <v>75508.957129504997</v>
      </c>
      <c r="Y1554">
        <v>100757</v>
      </c>
      <c r="Z1554">
        <v>8.3600549588927296E-3</v>
      </c>
      <c r="AA1554">
        <v>100</v>
      </c>
    </row>
    <row r="1555" spans="1:27" x14ac:dyDescent="0.2">
      <c r="A1555">
        <v>20</v>
      </c>
      <c r="B1555">
        <v>2</v>
      </c>
      <c r="C1555">
        <v>0.2</v>
      </c>
      <c r="D1555">
        <v>100</v>
      </c>
      <c r="E1555">
        <v>0.78752587502631799</v>
      </c>
      <c r="F1555">
        <v>2</v>
      </c>
      <c r="G1555">
        <v>33.131145736000001</v>
      </c>
      <c r="H1555">
        <v>0.81322122620078297</v>
      </c>
      <c r="I1555">
        <v>2</v>
      </c>
      <c r="J1555">
        <v>0.66100761900000005</v>
      </c>
      <c r="P1555"/>
      <c r="V1555">
        <v>0.81553457008339802</v>
      </c>
      <c r="W1555">
        <v>2</v>
      </c>
      <c r="X1555">
        <v>75856.172133037006</v>
      </c>
      <c r="Y1555">
        <v>97944</v>
      </c>
      <c r="Z1555">
        <v>8.6228217103881094E-2</v>
      </c>
      <c r="AA1555">
        <v>100</v>
      </c>
    </row>
    <row r="1556" spans="1:27" x14ac:dyDescent="0.2">
      <c r="A1556">
        <v>20</v>
      </c>
      <c r="B1556">
        <v>2</v>
      </c>
      <c r="C1556">
        <v>0.3</v>
      </c>
      <c r="D1556">
        <v>100</v>
      </c>
      <c r="E1556">
        <v>0.28746805985798302</v>
      </c>
      <c r="F1556">
        <v>2</v>
      </c>
      <c r="G1556">
        <v>36.778461344</v>
      </c>
      <c r="H1556">
        <v>0.14559356269423401</v>
      </c>
      <c r="I1556">
        <v>2</v>
      </c>
      <c r="J1556">
        <v>0.42904531600000001</v>
      </c>
      <c r="P1556"/>
      <c r="V1556">
        <v>0.13812073240445799</v>
      </c>
      <c r="W1556">
        <v>2</v>
      </c>
      <c r="X1556">
        <v>75633.997758719997</v>
      </c>
      <c r="Y1556">
        <v>144878</v>
      </c>
      <c r="Z1556">
        <v>0.14330307580530599</v>
      </c>
      <c r="AA1556">
        <v>100</v>
      </c>
    </row>
    <row r="1557" spans="1:27" x14ac:dyDescent="0.2">
      <c r="A1557">
        <v>20</v>
      </c>
      <c r="B1557">
        <v>2</v>
      </c>
      <c r="C1557">
        <v>0.4</v>
      </c>
      <c r="D1557">
        <v>100</v>
      </c>
      <c r="E1557">
        <v>0.14636671025339701</v>
      </c>
      <c r="F1557">
        <v>2</v>
      </c>
      <c r="G1557">
        <v>33.544595170999997</v>
      </c>
      <c r="H1557">
        <v>9.8930219405644407E-2</v>
      </c>
      <c r="I1557">
        <v>2</v>
      </c>
      <c r="J1557">
        <v>0.197924936</v>
      </c>
      <c r="P1557"/>
      <c r="V1557">
        <v>7.2627606870009895E-2</v>
      </c>
      <c r="W1557">
        <v>2</v>
      </c>
      <c r="X1557">
        <v>76217.081807519004</v>
      </c>
      <c r="Y1557">
        <v>3535</v>
      </c>
      <c r="Z1557">
        <v>0.38988005746068599</v>
      </c>
      <c r="AA1557">
        <v>100</v>
      </c>
    </row>
    <row r="1558" spans="1:27" x14ac:dyDescent="0.2">
      <c r="A1558">
        <v>20</v>
      </c>
      <c r="B1558">
        <v>2</v>
      </c>
      <c r="C1558">
        <v>0.1</v>
      </c>
      <c r="D1558">
        <v>100</v>
      </c>
      <c r="E1558">
        <v>0.93046494402423296</v>
      </c>
      <c r="F1558">
        <v>2</v>
      </c>
      <c r="G1558">
        <v>36.222924996000003</v>
      </c>
      <c r="H1558">
        <v>0.89629006161154701</v>
      </c>
      <c r="I1558">
        <v>2</v>
      </c>
      <c r="J1558">
        <v>0.82000217900000005</v>
      </c>
      <c r="P1558"/>
      <c r="V1558">
        <v>0.89678420440611795</v>
      </c>
      <c r="W1558">
        <v>2</v>
      </c>
      <c r="X1558">
        <v>75115.296144035005</v>
      </c>
      <c r="Y1558">
        <v>154127</v>
      </c>
      <c r="Z1558">
        <v>5.3679321130819298E-3</v>
      </c>
      <c r="AA1558">
        <v>100</v>
      </c>
    </row>
    <row r="1559" spans="1:27" x14ac:dyDescent="0.2">
      <c r="A1559">
        <v>20</v>
      </c>
      <c r="B1559">
        <v>2</v>
      </c>
      <c r="C1559">
        <v>0.2</v>
      </c>
      <c r="D1559">
        <v>100</v>
      </c>
      <c r="E1559">
        <v>0.56191063925778995</v>
      </c>
      <c r="F1559">
        <v>2</v>
      </c>
      <c r="G1559">
        <v>36.025086115999997</v>
      </c>
      <c r="H1559">
        <v>0.44896750758901799</v>
      </c>
      <c r="I1559">
        <v>2</v>
      </c>
      <c r="J1559">
        <v>0.89763093100000002</v>
      </c>
      <c r="P1559"/>
      <c r="V1559">
        <v>0.450555084586931</v>
      </c>
      <c r="W1559">
        <v>2</v>
      </c>
      <c r="X1559">
        <v>75666.377556922002</v>
      </c>
      <c r="Y1559">
        <v>4487</v>
      </c>
      <c r="Z1559">
        <v>0.172763535838385</v>
      </c>
      <c r="AA1559">
        <v>100</v>
      </c>
    </row>
    <row r="1560" spans="1:27" x14ac:dyDescent="0.2">
      <c r="A1560">
        <v>20</v>
      </c>
      <c r="B1560">
        <v>2</v>
      </c>
      <c r="C1560">
        <v>0.3</v>
      </c>
      <c r="D1560">
        <v>100</v>
      </c>
      <c r="E1560">
        <v>0.30743763301652799</v>
      </c>
      <c r="F1560">
        <v>2</v>
      </c>
      <c r="G1560">
        <v>34.067136628999997</v>
      </c>
      <c r="H1560">
        <v>8.6854074206980394E-2</v>
      </c>
      <c r="I1560">
        <v>2</v>
      </c>
      <c r="J1560">
        <v>0.58417414300000003</v>
      </c>
      <c r="P1560"/>
      <c r="V1560">
        <v>7.7107884364465001E-2</v>
      </c>
      <c r="W1560">
        <v>2</v>
      </c>
      <c r="X1560">
        <v>75446.287465892994</v>
      </c>
      <c r="Y1560">
        <v>5738</v>
      </c>
      <c r="Z1560">
        <v>0.29376445233408599</v>
      </c>
      <c r="AA1560">
        <v>100</v>
      </c>
    </row>
    <row r="1561" spans="1:27" x14ac:dyDescent="0.2">
      <c r="A1561">
        <v>20</v>
      </c>
      <c r="B1561">
        <v>2</v>
      </c>
      <c r="C1561">
        <v>0.4</v>
      </c>
      <c r="D1561">
        <v>100</v>
      </c>
      <c r="E1561">
        <v>0.18617546959563999</v>
      </c>
      <c r="F1561">
        <v>2</v>
      </c>
      <c r="G1561">
        <v>37.177208921000002</v>
      </c>
      <c r="H1561">
        <v>5.9352635269777403E-2</v>
      </c>
      <c r="I1561">
        <v>2</v>
      </c>
      <c r="J1561">
        <v>0.30499462500000002</v>
      </c>
      <c r="P1561"/>
      <c r="V1561">
        <v>5.2119171465940903E-2</v>
      </c>
      <c r="W1561">
        <v>2</v>
      </c>
      <c r="X1561">
        <v>75433.127655734002</v>
      </c>
      <c r="Y1561">
        <v>6962</v>
      </c>
      <c r="Z1561">
        <v>0.15608904156187001</v>
      </c>
      <c r="AA1561">
        <v>100</v>
      </c>
    </row>
    <row r="1562" spans="1:27" x14ac:dyDescent="0.2">
      <c r="A1562">
        <v>20</v>
      </c>
      <c r="B1562">
        <v>2</v>
      </c>
      <c r="C1562">
        <v>0.1</v>
      </c>
      <c r="D1562">
        <v>100</v>
      </c>
      <c r="E1562">
        <v>1.06862149146453</v>
      </c>
      <c r="F1562">
        <v>2</v>
      </c>
      <c r="G1562">
        <v>34.598692759999999</v>
      </c>
      <c r="H1562">
        <v>1.0324252901175699</v>
      </c>
      <c r="I1562">
        <v>2</v>
      </c>
      <c r="J1562">
        <v>1.0199462859999999</v>
      </c>
      <c r="P1562"/>
      <c r="V1562">
        <v>1.0356663209767101</v>
      </c>
      <c r="W1562">
        <v>2</v>
      </c>
      <c r="X1562">
        <v>75444.686444103994</v>
      </c>
      <c r="Y1562">
        <v>150277</v>
      </c>
      <c r="Z1562">
        <v>8.6991329440634594E-3</v>
      </c>
      <c r="AA1562">
        <v>100</v>
      </c>
    </row>
    <row r="1563" spans="1:27" x14ac:dyDescent="0.2">
      <c r="A1563">
        <v>20</v>
      </c>
      <c r="B1563">
        <v>2</v>
      </c>
      <c r="C1563">
        <v>0.2</v>
      </c>
      <c r="D1563">
        <v>100</v>
      </c>
      <c r="E1563">
        <v>0.92752819679140397</v>
      </c>
      <c r="F1563">
        <v>2</v>
      </c>
      <c r="G1563">
        <v>32.696843973999997</v>
      </c>
      <c r="H1563">
        <v>1.0063956804913801</v>
      </c>
      <c r="I1563">
        <v>2</v>
      </c>
      <c r="J1563">
        <v>0.97323464800000004</v>
      </c>
      <c r="P1563"/>
      <c r="V1563">
        <v>1.0068731837118601</v>
      </c>
      <c r="W1563">
        <v>2</v>
      </c>
      <c r="X1563">
        <v>75549.911395151998</v>
      </c>
      <c r="Y1563">
        <v>5364</v>
      </c>
      <c r="Z1563">
        <v>0.17431257409483</v>
      </c>
      <c r="AA1563">
        <v>100</v>
      </c>
    </row>
    <row r="1564" spans="1:27" x14ac:dyDescent="0.2">
      <c r="A1564">
        <v>20</v>
      </c>
      <c r="B1564">
        <v>2</v>
      </c>
      <c r="C1564">
        <v>0.3</v>
      </c>
      <c r="D1564">
        <v>100</v>
      </c>
      <c r="E1564">
        <v>0.35607176025071302</v>
      </c>
      <c r="F1564">
        <v>2</v>
      </c>
      <c r="G1564">
        <v>37.452169759</v>
      </c>
      <c r="H1564">
        <v>0.127638643518212</v>
      </c>
      <c r="I1564">
        <v>2</v>
      </c>
      <c r="J1564">
        <v>0.40878256400000001</v>
      </c>
      <c r="P1564"/>
      <c r="V1564">
        <v>0.112345775183202</v>
      </c>
      <c r="W1564">
        <v>2</v>
      </c>
      <c r="X1564">
        <v>75432.686414077994</v>
      </c>
      <c r="Y1564">
        <v>6733</v>
      </c>
      <c r="Z1564">
        <v>0.42685057321153902</v>
      </c>
      <c r="AA1564">
        <v>100</v>
      </c>
    </row>
    <row r="1565" spans="1:27" x14ac:dyDescent="0.2">
      <c r="A1565">
        <v>20</v>
      </c>
      <c r="B1565">
        <v>2</v>
      </c>
      <c r="C1565">
        <v>0.4</v>
      </c>
      <c r="D1565">
        <v>100</v>
      </c>
      <c r="E1565">
        <v>0.17069959325721901</v>
      </c>
      <c r="F1565">
        <v>2</v>
      </c>
      <c r="G1565">
        <v>30.333042726999999</v>
      </c>
      <c r="H1565">
        <v>4.2215482942569597E-2</v>
      </c>
      <c r="I1565">
        <v>2</v>
      </c>
      <c r="J1565">
        <v>0.246786961</v>
      </c>
      <c r="P1565"/>
      <c r="V1565">
        <v>3.5968933045679899E-2</v>
      </c>
      <c r="W1565">
        <v>2</v>
      </c>
      <c r="X1565">
        <v>75114.874573150999</v>
      </c>
      <c r="Y1565">
        <v>158767</v>
      </c>
      <c r="Z1565">
        <v>0.28613210913093801</v>
      </c>
      <c r="AA1565">
        <v>100</v>
      </c>
    </row>
    <row r="1566" spans="1:27" x14ac:dyDescent="0.2">
      <c r="A1566">
        <v>20</v>
      </c>
      <c r="B1566">
        <v>2</v>
      </c>
      <c r="C1566">
        <v>0.1</v>
      </c>
      <c r="D1566">
        <v>100</v>
      </c>
      <c r="E1566">
        <v>0.96695553548507596</v>
      </c>
      <c r="F1566">
        <v>2</v>
      </c>
      <c r="G1566">
        <v>30.642592861000001</v>
      </c>
      <c r="H1566">
        <v>0.91143389329751301</v>
      </c>
      <c r="I1566">
        <v>2</v>
      </c>
      <c r="J1566">
        <v>0.91552316899999997</v>
      </c>
      <c r="P1566"/>
      <c r="V1566">
        <v>0.91157546884359197</v>
      </c>
      <c r="W1566">
        <v>2</v>
      </c>
      <c r="X1566">
        <v>75116.475001359999</v>
      </c>
      <c r="Y1566">
        <v>98463</v>
      </c>
      <c r="Z1566">
        <v>1.9842971778267601E-3</v>
      </c>
      <c r="AA1566">
        <v>100</v>
      </c>
    </row>
    <row r="1567" spans="1:27" x14ac:dyDescent="0.2">
      <c r="A1567">
        <v>20</v>
      </c>
      <c r="B1567">
        <v>2</v>
      </c>
      <c r="C1567">
        <v>0.3</v>
      </c>
      <c r="D1567">
        <v>100</v>
      </c>
      <c r="E1567">
        <v>0.45106043906086901</v>
      </c>
      <c r="F1567">
        <v>2</v>
      </c>
      <c r="G1567">
        <v>32.234225573000003</v>
      </c>
      <c r="H1567">
        <v>0.14276474825039101</v>
      </c>
      <c r="I1567">
        <v>2</v>
      </c>
      <c r="J1567">
        <v>0.83576634299999997</v>
      </c>
      <c r="P1567"/>
      <c r="V1567">
        <v>0.12589602661104601</v>
      </c>
      <c r="W1567">
        <v>2</v>
      </c>
      <c r="X1567">
        <v>75390.325561542006</v>
      </c>
      <c r="Y1567">
        <v>7438</v>
      </c>
      <c r="Z1567">
        <v>0.48418071357314901</v>
      </c>
      <c r="AA1567">
        <v>100</v>
      </c>
    </row>
    <row r="1568" spans="1:27" x14ac:dyDescent="0.2">
      <c r="A1568">
        <v>20</v>
      </c>
      <c r="B1568">
        <v>2</v>
      </c>
      <c r="C1568">
        <v>0.1</v>
      </c>
      <c r="D1568">
        <v>100</v>
      </c>
      <c r="E1568">
        <v>1.11304326536246</v>
      </c>
      <c r="F1568">
        <v>2</v>
      </c>
      <c r="G1568">
        <v>31.544697673999998</v>
      </c>
      <c r="H1568">
        <v>0.98442749212335101</v>
      </c>
      <c r="I1568">
        <v>2</v>
      </c>
      <c r="J1568">
        <v>0.95697216299999999</v>
      </c>
      <c r="P1568"/>
      <c r="V1568">
        <v>0.82930990232562396</v>
      </c>
      <c r="W1568">
        <v>2</v>
      </c>
      <c r="X1568">
        <v>75424.781376312007</v>
      </c>
      <c r="Y1568">
        <v>109568</v>
      </c>
      <c r="Z1568">
        <v>8.3446141546237498E-3</v>
      </c>
      <c r="AA1568">
        <v>100</v>
      </c>
    </row>
    <row r="1569" spans="1:27" x14ac:dyDescent="0.2">
      <c r="A1569">
        <v>20</v>
      </c>
      <c r="B1569">
        <v>2</v>
      </c>
      <c r="C1569">
        <v>0.1</v>
      </c>
      <c r="D1569">
        <v>100</v>
      </c>
      <c r="E1569">
        <v>0.88682916290623104</v>
      </c>
      <c r="F1569">
        <v>2</v>
      </c>
      <c r="G1569">
        <v>33.562551478000003</v>
      </c>
      <c r="H1569">
        <v>0.90255865571511096</v>
      </c>
      <c r="I1569">
        <v>2</v>
      </c>
      <c r="J1569">
        <v>0.31783634700000002</v>
      </c>
      <c r="P1569"/>
      <c r="V1569">
        <v>0.90288574547550604</v>
      </c>
      <c r="W1569">
        <v>2</v>
      </c>
      <c r="X1569">
        <v>75329.627703670005</v>
      </c>
      <c r="Y1569">
        <v>9213</v>
      </c>
      <c r="Z1569">
        <v>1.2025850050939599E-2</v>
      </c>
      <c r="AA1569">
        <v>100</v>
      </c>
    </row>
    <row r="1570" spans="1:27" x14ac:dyDescent="0.2">
      <c r="A1570">
        <v>20</v>
      </c>
      <c r="B1570">
        <v>2</v>
      </c>
      <c r="C1570">
        <v>0.2</v>
      </c>
      <c r="D1570">
        <v>100</v>
      </c>
      <c r="E1570">
        <v>0.46640466391876301</v>
      </c>
      <c r="F1570">
        <v>2</v>
      </c>
      <c r="G1570">
        <v>37.659030821000002</v>
      </c>
      <c r="H1570">
        <v>0.34529302369158899</v>
      </c>
      <c r="I1570">
        <v>2</v>
      </c>
      <c r="J1570">
        <v>0.72392440700000005</v>
      </c>
      <c r="P1570"/>
      <c r="V1570">
        <v>0.35069043765424801</v>
      </c>
      <c r="W1570">
        <v>2</v>
      </c>
      <c r="X1570">
        <v>75723.387442484003</v>
      </c>
      <c r="Y1570">
        <v>4487</v>
      </c>
      <c r="Z1570">
        <v>0.118886659174677</v>
      </c>
      <c r="AA1570">
        <v>100</v>
      </c>
    </row>
    <row r="1571" spans="1:27" x14ac:dyDescent="0.2">
      <c r="A1571">
        <v>20</v>
      </c>
      <c r="B1571">
        <v>2</v>
      </c>
      <c r="C1571">
        <v>0.2</v>
      </c>
      <c r="D1571">
        <v>100</v>
      </c>
      <c r="E1571">
        <v>0.67983541354302102</v>
      </c>
      <c r="F1571">
        <v>2</v>
      </c>
      <c r="G1571">
        <v>34.169310263</v>
      </c>
      <c r="H1571">
        <v>0.67236201631012704</v>
      </c>
      <c r="I1571">
        <v>2</v>
      </c>
      <c r="J1571">
        <v>0.65589054700000005</v>
      </c>
      <c r="P1571"/>
      <c r="V1571">
        <v>0.67000301515471505</v>
      </c>
      <c r="W1571">
        <v>2</v>
      </c>
      <c r="X1571">
        <v>75677.844444222006</v>
      </c>
      <c r="Y1571">
        <v>4331</v>
      </c>
      <c r="Z1571">
        <v>8.6691219038065898E-2</v>
      </c>
      <c r="AA1571">
        <v>100</v>
      </c>
    </row>
    <row r="1572" spans="1:27" x14ac:dyDescent="0.2">
      <c r="A1572">
        <v>20</v>
      </c>
      <c r="B1572">
        <v>2</v>
      </c>
      <c r="C1572">
        <v>0.3</v>
      </c>
      <c r="D1572">
        <v>100</v>
      </c>
      <c r="E1572">
        <v>0.231244972649331</v>
      </c>
      <c r="F1572">
        <v>2</v>
      </c>
      <c r="G1572">
        <v>30.602463733</v>
      </c>
      <c r="H1572">
        <v>5.5320788271302899E-2</v>
      </c>
      <c r="I1572">
        <v>2</v>
      </c>
      <c r="J1572">
        <v>0.344102625</v>
      </c>
      <c r="P1572"/>
      <c r="V1572">
        <v>4.8200969226373298E-2</v>
      </c>
      <c r="W1572">
        <v>2</v>
      </c>
      <c r="X1572">
        <v>75887.935595150004</v>
      </c>
      <c r="Y1572">
        <v>3687</v>
      </c>
      <c r="Z1572">
        <v>0.236522436556697</v>
      </c>
      <c r="AA1572">
        <v>100</v>
      </c>
    </row>
    <row r="1573" spans="1:27" x14ac:dyDescent="0.2">
      <c r="A1573">
        <v>20</v>
      </c>
      <c r="B1573">
        <v>2</v>
      </c>
      <c r="C1573">
        <v>0.3</v>
      </c>
      <c r="D1573">
        <v>100</v>
      </c>
      <c r="E1573">
        <v>0.33037438320142498</v>
      </c>
      <c r="F1573">
        <v>2</v>
      </c>
      <c r="G1573">
        <v>30.466834786</v>
      </c>
      <c r="H1573">
        <v>7.6713062151272493E-2</v>
      </c>
      <c r="I1573">
        <v>2</v>
      </c>
      <c r="J1573">
        <v>0.37960200900000002</v>
      </c>
      <c r="P1573"/>
      <c r="V1573">
        <v>7.3522901370694893E-2</v>
      </c>
      <c r="W1573">
        <v>2</v>
      </c>
      <c r="X1573">
        <v>75459.997367327</v>
      </c>
      <c r="Y1573">
        <v>98976</v>
      </c>
      <c r="Z1573">
        <v>9.9897780874544595E-2</v>
      </c>
      <c r="AA1573">
        <v>100</v>
      </c>
    </row>
    <row r="1574" spans="1:27" x14ac:dyDescent="0.2">
      <c r="A1574">
        <v>20</v>
      </c>
      <c r="B1574">
        <v>2</v>
      </c>
      <c r="C1574">
        <v>0.2</v>
      </c>
      <c r="D1574">
        <v>100</v>
      </c>
      <c r="E1574">
        <v>0.67548147214061105</v>
      </c>
      <c r="F1574">
        <v>2</v>
      </c>
      <c r="G1574">
        <v>34.972484119000001</v>
      </c>
      <c r="H1574">
        <v>0.48138028991751503</v>
      </c>
      <c r="I1574">
        <v>2</v>
      </c>
      <c r="J1574">
        <v>0.89994091600000004</v>
      </c>
      <c r="P1574"/>
      <c r="V1574">
        <v>0.479426500893878</v>
      </c>
      <c r="W1574">
        <v>2</v>
      </c>
      <c r="X1574">
        <v>75682.962994803995</v>
      </c>
      <c r="Y1574">
        <v>137615</v>
      </c>
      <c r="Z1574">
        <v>5.4569167748976098E-2</v>
      </c>
      <c r="AA1574">
        <v>100</v>
      </c>
    </row>
    <row r="1575" spans="1:27" x14ac:dyDescent="0.2">
      <c r="A1575">
        <v>20</v>
      </c>
      <c r="B1575">
        <v>2</v>
      </c>
      <c r="C1575">
        <v>0.4</v>
      </c>
      <c r="D1575">
        <v>100</v>
      </c>
      <c r="E1575">
        <v>0.19624087875280399</v>
      </c>
      <c r="F1575">
        <v>2</v>
      </c>
      <c r="G1575">
        <v>35.939455412999997</v>
      </c>
      <c r="H1575">
        <v>4.7957093815265701E-2</v>
      </c>
      <c r="I1575">
        <v>2</v>
      </c>
      <c r="J1575">
        <v>0.312021773</v>
      </c>
      <c r="P1575"/>
      <c r="V1575">
        <v>3.9951505043473098E-2</v>
      </c>
      <c r="W1575">
        <v>2</v>
      </c>
      <c r="X1575">
        <v>77580.446902351003</v>
      </c>
      <c r="Y1575">
        <v>111600</v>
      </c>
      <c r="Z1575">
        <v>0.150211678113919</v>
      </c>
      <c r="AA1575">
        <v>100</v>
      </c>
    </row>
    <row r="1576" spans="1:27" x14ac:dyDescent="0.2">
      <c r="A1576">
        <v>20</v>
      </c>
      <c r="B1576">
        <v>2</v>
      </c>
      <c r="C1576">
        <v>0.4</v>
      </c>
      <c r="D1576">
        <v>100</v>
      </c>
      <c r="E1576">
        <v>0.304632642137392</v>
      </c>
      <c r="F1576">
        <v>2</v>
      </c>
      <c r="G1576">
        <v>32.135764625999997</v>
      </c>
      <c r="H1576">
        <v>6.9381460166118097E-2</v>
      </c>
      <c r="I1576">
        <v>2</v>
      </c>
      <c r="J1576">
        <v>0.34364647199999998</v>
      </c>
      <c r="P1576"/>
      <c r="V1576">
        <v>6.6136372483905595E-2</v>
      </c>
      <c r="W1576">
        <v>2</v>
      </c>
      <c r="X1576">
        <v>76056.529842906006</v>
      </c>
      <c r="Y1576">
        <v>110019</v>
      </c>
      <c r="Z1576">
        <v>0.33038828281125798</v>
      </c>
      <c r="AA1576">
        <v>100</v>
      </c>
    </row>
    <row r="1577" spans="1:27" x14ac:dyDescent="0.2">
      <c r="A1577">
        <v>20</v>
      </c>
      <c r="B1577">
        <v>2</v>
      </c>
      <c r="C1577">
        <v>0.2</v>
      </c>
      <c r="D1577">
        <v>100</v>
      </c>
      <c r="E1577">
        <v>0.94090803822469904</v>
      </c>
      <c r="F1577">
        <v>2</v>
      </c>
      <c r="G1577">
        <v>35.00168944</v>
      </c>
      <c r="H1577">
        <v>0.80626181372516104</v>
      </c>
      <c r="I1577">
        <v>2</v>
      </c>
      <c r="J1577">
        <v>0.83801938899999995</v>
      </c>
      <c r="P1577"/>
      <c r="V1577">
        <v>1.1403920316981699</v>
      </c>
      <c r="W1577">
        <v>2</v>
      </c>
      <c r="X1577">
        <v>75126.885651261997</v>
      </c>
      <c r="Y1577">
        <v>145178</v>
      </c>
      <c r="Z1577">
        <v>6.06773537216845E-2</v>
      </c>
      <c r="AA1577">
        <v>100</v>
      </c>
    </row>
    <row r="1578" spans="1:27" x14ac:dyDescent="0.2">
      <c r="A1578">
        <v>20</v>
      </c>
      <c r="B1578">
        <v>2</v>
      </c>
      <c r="C1578">
        <v>0.1</v>
      </c>
      <c r="D1578">
        <v>100</v>
      </c>
      <c r="E1578">
        <v>1.22591934793015</v>
      </c>
      <c r="F1578">
        <v>2</v>
      </c>
      <c r="G1578">
        <v>33.693858128999999</v>
      </c>
      <c r="H1578">
        <v>0.96805505332795905</v>
      </c>
      <c r="I1578">
        <v>2</v>
      </c>
      <c r="J1578">
        <v>0.97131726900000004</v>
      </c>
      <c r="P1578"/>
      <c r="V1578">
        <v>0.96844351915124505</v>
      </c>
      <c r="W1578">
        <v>2</v>
      </c>
      <c r="X1578">
        <v>75160.692088494005</v>
      </c>
      <c r="Y1578">
        <v>110678</v>
      </c>
      <c r="Z1578">
        <v>1.1898265308833201E-3</v>
      </c>
      <c r="AA1578">
        <v>100</v>
      </c>
    </row>
    <row r="1579" spans="1:27" x14ac:dyDescent="0.2">
      <c r="A1579">
        <v>20</v>
      </c>
      <c r="B1579">
        <v>2</v>
      </c>
      <c r="C1579">
        <v>0.1</v>
      </c>
      <c r="D1579">
        <v>100</v>
      </c>
      <c r="E1579">
        <v>1.05467397602408</v>
      </c>
      <c r="F1579">
        <v>2</v>
      </c>
      <c r="G1579">
        <v>39.089436253000002</v>
      </c>
      <c r="H1579">
        <v>1.06929401285015</v>
      </c>
      <c r="I1579">
        <v>2</v>
      </c>
      <c r="J1579">
        <v>1.0322782290000001</v>
      </c>
      <c r="P1579"/>
      <c r="V1579">
        <v>1.1622492993498601</v>
      </c>
      <c r="W1579">
        <v>2</v>
      </c>
      <c r="X1579">
        <v>75079.857402904003</v>
      </c>
      <c r="Y1579">
        <v>263316</v>
      </c>
      <c r="Z1579">
        <v>5.3746574691344402E-3</v>
      </c>
      <c r="AA1579">
        <v>100</v>
      </c>
    </row>
    <row r="1580" spans="1:27" x14ac:dyDescent="0.2">
      <c r="A1580">
        <v>20</v>
      </c>
      <c r="B1580">
        <v>2</v>
      </c>
      <c r="C1580">
        <v>0.1</v>
      </c>
      <c r="D1580">
        <v>100</v>
      </c>
      <c r="E1580">
        <v>1.1275265451401</v>
      </c>
      <c r="F1580">
        <v>2</v>
      </c>
      <c r="G1580">
        <v>35.320363780000001</v>
      </c>
      <c r="H1580">
        <v>0.96480584447139595</v>
      </c>
      <c r="I1580">
        <v>2</v>
      </c>
      <c r="J1580">
        <v>1.062329664</v>
      </c>
      <c r="P1580"/>
      <c r="V1580">
        <v>1.1812638348690601</v>
      </c>
      <c r="W1580">
        <v>2</v>
      </c>
      <c r="X1580">
        <v>75110.189194211998</v>
      </c>
      <c r="Y1580">
        <v>84502</v>
      </c>
      <c r="Z1580">
        <v>4.6761437101753203E-3</v>
      </c>
      <c r="AA1580">
        <v>100</v>
      </c>
    </row>
    <row r="1581" spans="1:27" x14ac:dyDescent="0.2">
      <c r="A1581">
        <v>20</v>
      </c>
      <c r="B1581">
        <v>2</v>
      </c>
      <c r="C1581">
        <v>0.4</v>
      </c>
      <c r="D1581">
        <v>100</v>
      </c>
      <c r="E1581">
        <v>4.48029179544603E-2</v>
      </c>
      <c r="F1581">
        <v>2</v>
      </c>
      <c r="G1581">
        <v>37.042614559</v>
      </c>
      <c r="H1581">
        <v>4.6875165157292703E-2</v>
      </c>
      <c r="I1581">
        <v>2</v>
      </c>
      <c r="J1581">
        <v>8.1944142999999997E-2</v>
      </c>
      <c r="P1581"/>
      <c r="V1581">
        <v>3.5920076462065999E-2</v>
      </c>
      <c r="W1581">
        <v>2</v>
      </c>
      <c r="X1581">
        <v>75121.579359894997</v>
      </c>
      <c r="Y1581">
        <v>142650</v>
      </c>
      <c r="Z1581">
        <v>0.24414839589110901</v>
      </c>
      <c r="AA1581">
        <v>100</v>
      </c>
    </row>
    <row r="1582" spans="1:27" x14ac:dyDescent="0.2">
      <c r="A1582">
        <v>20</v>
      </c>
      <c r="B1582">
        <v>2</v>
      </c>
      <c r="C1582">
        <v>0.3</v>
      </c>
      <c r="D1582">
        <v>100</v>
      </c>
      <c r="E1582">
        <v>0.19417090005432</v>
      </c>
      <c r="F1582">
        <v>2</v>
      </c>
      <c r="G1582">
        <v>37.054508323999997</v>
      </c>
      <c r="H1582">
        <v>7.6429223965628304E-2</v>
      </c>
      <c r="I1582">
        <v>2</v>
      </c>
      <c r="J1582">
        <v>0.45324128600000002</v>
      </c>
      <c r="P1582"/>
      <c r="V1582">
        <v>7.0655618936101797E-2</v>
      </c>
      <c r="W1582">
        <v>2</v>
      </c>
      <c r="X1582">
        <v>75127.395393094004</v>
      </c>
      <c r="Y1582">
        <v>142646</v>
      </c>
      <c r="Z1582">
        <v>0.256644552050181</v>
      </c>
      <c r="AA1582">
        <v>100</v>
      </c>
    </row>
    <row r="1583" spans="1:27" x14ac:dyDescent="0.2">
      <c r="A1583">
        <v>20</v>
      </c>
      <c r="B1583">
        <v>2</v>
      </c>
      <c r="C1583">
        <v>0.4</v>
      </c>
      <c r="D1583">
        <v>100</v>
      </c>
      <c r="E1583">
        <v>0.18069211752726</v>
      </c>
      <c r="F1583">
        <v>2</v>
      </c>
      <c r="G1583">
        <v>36.671108332999999</v>
      </c>
      <c r="H1583">
        <v>5.1042695125714403E-2</v>
      </c>
      <c r="I1583">
        <v>2</v>
      </c>
      <c r="J1583">
        <v>0.28921771000000002</v>
      </c>
      <c r="P1583"/>
      <c r="V1583">
        <v>3.9046442565990901E-2</v>
      </c>
      <c r="W1583">
        <v>2</v>
      </c>
      <c r="X1583">
        <v>75441.083302654995</v>
      </c>
      <c r="Y1583">
        <v>6342</v>
      </c>
      <c r="Z1583">
        <v>0.46576962588346499</v>
      </c>
      <c r="AA1583">
        <v>100</v>
      </c>
    </row>
    <row r="1584" spans="1:27" x14ac:dyDescent="0.2">
      <c r="A1584">
        <v>20</v>
      </c>
      <c r="B1584">
        <v>2</v>
      </c>
      <c r="C1584">
        <v>0.2</v>
      </c>
      <c r="D1584">
        <v>100</v>
      </c>
      <c r="E1584">
        <v>0.69830343274845996</v>
      </c>
      <c r="F1584">
        <v>2</v>
      </c>
      <c r="G1584">
        <v>31.529678361999999</v>
      </c>
      <c r="H1584">
        <v>0.59123203400876601</v>
      </c>
      <c r="I1584">
        <v>2</v>
      </c>
      <c r="J1584">
        <v>0.68682963200000002</v>
      </c>
      <c r="P1584"/>
      <c r="V1584">
        <v>0.88456809405566506</v>
      </c>
      <c r="W1584">
        <v>2</v>
      </c>
      <c r="X1584">
        <v>75396.897588879001</v>
      </c>
      <c r="Y1584">
        <v>7615</v>
      </c>
      <c r="Z1584">
        <v>0.10541293030696</v>
      </c>
      <c r="AA1584">
        <v>100</v>
      </c>
    </row>
    <row r="1585" spans="1:27" x14ac:dyDescent="0.2">
      <c r="A1585">
        <v>20</v>
      </c>
      <c r="B1585">
        <v>2</v>
      </c>
      <c r="C1585">
        <v>0.1</v>
      </c>
      <c r="D1585">
        <v>100</v>
      </c>
      <c r="E1585">
        <v>1.47719444197865</v>
      </c>
      <c r="F1585">
        <v>2</v>
      </c>
      <c r="G1585">
        <v>32.066839940999998</v>
      </c>
      <c r="H1585">
        <v>0.99049880503854904</v>
      </c>
      <c r="I1585">
        <v>2</v>
      </c>
      <c r="J1585">
        <v>1.044988397</v>
      </c>
      <c r="P1585"/>
      <c r="V1585">
        <v>1.09376051393637</v>
      </c>
      <c r="W1585">
        <v>2</v>
      </c>
      <c r="X1585">
        <v>75405.559079015002</v>
      </c>
      <c r="Y1585">
        <v>344696</v>
      </c>
      <c r="Z1585">
        <v>8.2773133620519593E-3</v>
      </c>
      <c r="AA1585">
        <v>100</v>
      </c>
    </row>
    <row r="1586" spans="1:27" x14ac:dyDescent="0.2">
      <c r="A1586">
        <v>20</v>
      </c>
      <c r="B1586">
        <v>2</v>
      </c>
      <c r="C1586">
        <v>0.2</v>
      </c>
      <c r="D1586">
        <v>100</v>
      </c>
      <c r="E1586">
        <v>0.83233279842219898</v>
      </c>
      <c r="F1586">
        <v>2</v>
      </c>
      <c r="G1586">
        <v>30.610198542999999</v>
      </c>
      <c r="H1586">
        <v>0.77179632826033895</v>
      </c>
      <c r="I1586">
        <v>2</v>
      </c>
      <c r="J1586">
        <v>0.60416077599999995</v>
      </c>
      <c r="P1586"/>
      <c r="V1586">
        <v>0.77093831068032803</v>
      </c>
      <c r="W1586">
        <v>2</v>
      </c>
      <c r="X1586">
        <v>75540.141770157003</v>
      </c>
      <c r="Y1586">
        <v>5056</v>
      </c>
      <c r="Z1586">
        <v>0.112730838732309</v>
      </c>
      <c r="AA1586">
        <v>100</v>
      </c>
    </row>
    <row r="1587" spans="1:27" x14ac:dyDescent="0.2">
      <c r="A1587">
        <v>20</v>
      </c>
      <c r="B1587">
        <v>2</v>
      </c>
      <c r="C1587">
        <v>0.3</v>
      </c>
      <c r="D1587">
        <v>100</v>
      </c>
      <c r="E1587">
        <v>0.38435276851925898</v>
      </c>
      <c r="F1587">
        <v>2</v>
      </c>
      <c r="G1587">
        <v>36.000585018000002</v>
      </c>
      <c r="H1587">
        <v>0.12665883521600499</v>
      </c>
      <c r="I1587">
        <v>2</v>
      </c>
      <c r="J1587">
        <v>0.608271114</v>
      </c>
      <c r="P1587"/>
      <c r="V1587">
        <v>0.112346598046312</v>
      </c>
      <c r="W1587">
        <v>2</v>
      </c>
      <c r="X1587">
        <v>75442.206424650998</v>
      </c>
      <c r="Y1587">
        <v>5946</v>
      </c>
      <c r="Z1587">
        <v>0.39856268917344501</v>
      </c>
      <c r="AA1587">
        <v>100</v>
      </c>
    </row>
    <row r="1588" spans="1:27" x14ac:dyDescent="0.2">
      <c r="A1588">
        <v>20</v>
      </c>
      <c r="B1588">
        <v>2</v>
      </c>
      <c r="C1588">
        <v>0.1</v>
      </c>
      <c r="D1588">
        <v>100</v>
      </c>
      <c r="E1588">
        <v>1.0581278158045899</v>
      </c>
      <c r="F1588">
        <v>2</v>
      </c>
      <c r="G1588">
        <v>34.466144341000003</v>
      </c>
      <c r="H1588">
        <v>1.0568852854839801</v>
      </c>
      <c r="I1588">
        <v>2</v>
      </c>
      <c r="J1588">
        <v>0.89110069800000002</v>
      </c>
      <c r="P1588"/>
      <c r="V1588">
        <v>1.0576719893827899</v>
      </c>
      <c r="W1588">
        <v>2</v>
      </c>
      <c r="X1588">
        <v>75452.841079755002</v>
      </c>
      <c r="Y1588">
        <v>164632</v>
      </c>
      <c r="Z1588">
        <v>1.21977845388111E-2</v>
      </c>
      <c r="AA1588">
        <v>100</v>
      </c>
    </row>
    <row r="1589" spans="1:27" x14ac:dyDescent="0.2">
      <c r="A1589">
        <v>20</v>
      </c>
      <c r="B1589">
        <v>2</v>
      </c>
      <c r="C1589">
        <v>0.2</v>
      </c>
      <c r="D1589">
        <v>100</v>
      </c>
      <c r="E1589">
        <v>0.64566608335841102</v>
      </c>
      <c r="F1589">
        <v>2</v>
      </c>
      <c r="G1589">
        <v>42.470131778999999</v>
      </c>
      <c r="H1589">
        <v>0.718060763489767</v>
      </c>
      <c r="I1589">
        <v>2</v>
      </c>
      <c r="J1589">
        <v>1.126731964</v>
      </c>
      <c r="P1589"/>
      <c r="V1589">
        <v>0.72296711777520895</v>
      </c>
      <c r="W1589">
        <v>2</v>
      </c>
      <c r="X1589">
        <v>75466.302297692004</v>
      </c>
      <c r="Y1589">
        <v>104305</v>
      </c>
      <c r="Z1589">
        <v>3.8205987771656E-2</v>
      </c>
      <c r="AA1589">
        <v>100</v>
      </c>
    </row>
    <row r="1590" spans="1:27" x14ac:dyDescent="0.2">
      <c r="A1590">
        <v>20</v>
      </c>
      <c r="B1590">
        <v>2</v>
      </c>
      <c r="C1590">
        <v>0.4</v>
      </c>
      <c r="D1590">
        <v>100</v>
      </c>
      <c r="E1590">
        <v>0.36150747899163499</v>
      </c>
      <c r="F1590">
        <v>2</v>
      </c>
      <c r="G1590">
        <v>42.390441150999997</v>
      </c>
      <c r="H1590">
        <v>0.23659000184522799</v>
      </c>
      <c r="I1590">
        <v>2</v>
      </c>
      <c r="J1590">
        <v>0.21860060100000001</v>
      </c>
      <c r="P1590"/>
      <c r="V1590">
        <v>0.23207541538443999</v>
      </c>
      <c r="W1590">
        <v>2</v>
      </c>
      <c r="X1590">
        <v>75468.458390297994</v>
      </c>
      <c r="Y1590">
        <v>113846</v>
      </c>
      <c r="Z1590">
        <v>8.5635534221773599E-2</v>
      </c>
      <c r="AA1590">
        <v>100</v>
      </c>
    </row>
    <row r="1591" spans="1:27" x14ac:dyDescent="0.2">
      <c r="A1591">
        <v>20</v>
      </c>
      <c r="B1591">
        <v>2</v>
      </c>
      <c r="C1591">
        <v>0.3</v>
      </c>
      <c r="D1591">
        <v>100</v>
      </c>
      <c r="E1591">
        <v>0.48159729864773998</v>
      </c>
      <c r="F1591">
        <v>2</v>
      </c>
      <c r="G1591">
        <v>33.307803696000001</v>
      </c>
      <c r="H1591">
        <v>0.20892922308034401</v>
      </c>
      <c r="I1591">
        <v>2</v>
      </c>
      <c r="J1591">
        <v>0.65758494000000001</v>
      </c>
      <c r="P1591"/>
      <c r="V1591">
        <v>0.202953886859119</v>
      </c>
      <c r="W1591">
        <v>2</v>
      </c>
      <c r="X1591">
        <v>75407.128658946007</v>
      </c>
      <c r="Y1591">
        <v>8900</v>
      </c>
      <c r="Z1591">
        <v>0.22688857342309099</v>
      </c>
      <c r="AA1591">
        <v>100</v>
      </c>
    </row>
    <row r="1592" spans="1:27" x14ac:dyDescent="0.2">
      <c r="A1592">
        <v>20</v>
      </c>
      <c r="B1592">
        <v>2</v>
      </c>
      <c r="C1592">
        <v>0.3</v>
      </c>
      <c r="D1592">
        <v>100</v>
      </c>
      <c r="E1592">
        <v>0.41844074708571599</v>
      </c>
      <c r="F1592">
        <v>2</v>
      </c>
      <c r="G1592">
        <v>35.333196983000001</v>
      </c>
      <c r="H1592">
        <v>0.17331944130389701</v>
      </c>
      <c r="I1592">
        <v>2</v>
      </c>
      <c r="J1592">
        <v>0.63948734100000004</v>
      </c>
      <c r="P1592"/>
      <c r="V1592">
        <v>0.165651526008426</v>
      </c>
      <c r="W1592">
        <v>2</v>
      </c>
      <c r="X1592">
        <v>75411.698974681</v>
      </c>
      <c r="Y1592">
        <v>7255</v>
      </c>
      <c r="Z1592">
        <v>0.23246521059627401</v>
      </c>
      <c r="AA1592">
        <v>100</v>
      </c>
    </row>
    <row r="1593" spans="1:27" x14ac:dyDescent="0.2">
      <c r="A1593">
        <v>20</v>
      </c>
      <c r="B1593">
        <v>2</v>
      </c>
      <c r="C1593">
        <v>0.4</v>
      </c>
      <c r="D1593">
        <v>100</v>
      </c>
      <c r="E1593">
        <v>0.30755522684607101</v>
      </c>
      <c r="F1593">
        <v>2</v>
      </c>
      <c r="G1593">
        <v>40.111728608999996</v>
      </c>
      <c r="H1593">
        <v>5.5687435246816297E-2</v>
      </c>
      <c r="I1593">
        <v>2</v>
      </c>
      <c r="J1593">
        <v>0.56490956299999995</v>
      </c>
      <c r="P1593"/>
      <c r="V1593">
        <v>5.1129589510092097E-2</v>
      </c>
      <c r="W1593">
        <v>2</v>
      </c>
      <c r="X1593">
        <v>75421.167022387002</v>
      </c>
      <c r="Y1593">
        <v>5962</v>
      </c>
      <c r="Z1593">
        <v>0.26940473323007902</v>
      </c>
      <c r="AA1593">
        <v>100</v>
      </c>
    </row>
    <row r="1594" spans="1:27" x14ac:dyDescent="0.2">
      <c r="A1594">
        <v>20</v>
      </c>
      <c r="B1594">
        <v>2</v>
      </c>
      <c r="C1594">
        <v>0.2</v>
      </c>
      <c r="D1594">
        <v>100</v>
      </c>
      <c r="E1594">
        <v>0.43277647866072799</v>
      </c>
      <c r="F1594">
        <v>2</v>
      </c>
      <c r="G1594">
        <v>37.400839191000003</v>
      </c>
      <c r="H1594">
        <v>0.53642453300563797</v>
      </c>
      <c r="I1594">
        <v>2</v>
      </c>
      <c r="J1594">
        <v>1.0257632219999999</v>
      </c>
      <c r="P1594"/>
      <c r="V1594">
        <v>0.53694971819701998</v>
      </c>
      <c r="W1594">
        <v>2</v>
      </c>
      <c r="X1594">
        <v>75419.861783430999</v>
      </c>
      <c r="Y1594">
        <v>7949</v>
      </c>
      <c r="Z1594">
        <v>9.4698621818751494E-2</v>
      </c>
      <c r="AA1594">
        <v>100</v>
      </c>
    </row>
    <row r="1595" spans="1:27" x14ac:dyDescent="0.2">
      <c r="A1595">
        <v>20</v>
      </c>
      <c r="B1595">
        <v>2</v>
      </c>
      <c r="C1595">
        <v>0.3</v>
      </c>
      <c r="D1595">
        <v>100</v>
      </c>
      <c r="E1595">
        <v>0.29644191178259699</v>
      </c>
      <c r="F1595">
        <v>2</v>
      </c>
      <c r="G1595">
        <v>41.160288485999999</v>
      </c>
      <c r="H1595">
        <v>0.11312957206035899</v>
      </c>
      <c r="I1595">
        <v>2</v>
      </c>
      <c r="J1595">
        <v>0.54622438200000001</v>
      </c>
      <c r="P1595"/>
      <c r="V1595">
        <v>0.11105605820309999</v>
      </c>
      <c r="W1595">
        <v>2</v>
      </c>
      <c r="X1595">
        <v>75842.509779368993</v>
      </c>
      <c r="Y1595">
        <v>90035</v>
      </c>
      <c r="Z1595">
        <v>0.15734755374796799</v>
      </c>
      <c r="AA1595">
        <v>100</v>
      </c>
    </row>
    <row r="1596" spans="1:27" x14ac:dyDescent="0.2">
      <c r="A1596">
        <v>20</v>
      </c>
      <c r="B1596">
        <v>2</v>
      </c>
      <c r="C1596">
        <v>0.1</v>
      </c>
      <c r="D1596">
        <v>100</v>
      </c>
      <c r="E1596">
        <v>1.04280968772302</v>
      </c>
      <c r="F1596">
        <v>2</v>
      </c>
      <c r="G1596">
        <v>38.525163589000002</v>
      </c>
      <c r="H1596">
        <v>1.01183397430418</v>
      </c>
      <c r="I1596">
        <v>2</v>
      </c>
      <c r="J1596">
        <v>1.284370746</v>
      </c>
      <c r="P1596"/>
      <c r="V1596">
        <v>1.1267228359503301</v>
      </c>
      <c r="W1596">
        <v>2</v>
      </c>
      <c r="X1596">
        <v>75559.155238505002</v>
      </c>
      <c r="Y1596">
        <v>53343</v>
      </c>
      <c r="Z1596">
        <v>5.7843450360452698E-3</v>
      </c>
      <c r="AA1596">
        <v>100</v>
      </c>
    </row>
    <row r="1597" spans="1:27" x14ac:dyDescent="0.2">
      <c r="A1597">
        <v>20</v>
      </c>
      <c r="B1597">
        <v>2</v>
      </c>
      <c r="C1597">
        <v>0.1</v>
      </c>
      <c r="D1597">
        <v>100</v>
      </c>
      <c r="E1597">
        <v>0.99117979031275405</v>
      </c>
      <c r="F1597">
        <v>2</v>
      </c>
      <c r="G1597">
        <v>35.412217247999997</v>
      </c>
      <c r="H1597">
        <v>1.0091891426405399</v>
      </c>
      <c r="I1597">
        <v>2</v>
      </c>
      <c r="J1597">
        <v>1.029450089</v>
      </c>
      <c r="P1597"/>
      <c r="V1597">
        <v>1.1054166552381799</v>
      </c>
      <c r="W1597">
        <v>2</v>
      </c>
      <c r="X1597">
        <v>75653.962850566997</v>
      </c>
      <c r="Y1597">
        <v>72810</v>
      </c>
      <c r="Z1597">
        <v>6.37836619058154E-3</v>
      </c>
      <c r="AA1597">
        <v>100</v>
      </c>
    </row>
    <row r="1598" spans="1:27" x14ac:dyDescent="0.2">
      <c r="A1598">
        <v>20</v>
      </c>
      <c r="B1598">
        <v>2</v>
      </c>
      <c r="C1598">
        <v>0.2</v>
      </c>
      <c r="D1598">
        <v>100</v>
      </c>
      <c r="E1598">
        <v>0.68436791430972699</v>
      </c>
      <c r="F1598">
        <v>2</v>
      </c>
      <c r="G1598">
        <v>37.600075314999998</v>
      </c>
      <c r="H1598">
        <v>0.64883906320780504</v>
      </c>
      <c r="I1598">
        <v>2</v>
      </c>
      <c r="J1598">
        <v>0.79525289899999996</v>
      </c>
      <c r="P1598"/>
      <c r="V1598">
        <v>0.65165376419367704</v>
      </c>
      <c r="W1598">
        <v>2</v>
      </c>
      <c r="X1598">
        <v>75643.010781891004</v>
      </c>
      <c r="Y1598">
        <v>103357</v>
      </c>
      <c r="Z1598">
        <v>2.8551472178077901E-2</v>
      </c>
      <c r="AA1598">
        <v>100</v>
      </c>
    </row>
    <row r="1599" spans="1:27" x14ac:dyDescent="0.2">
      <c r="A1599">
        <v>20</v>
      </c>
      <c r="B1599">
        <v>2</v>
      </c>
      <c r="C1599">
        <v>0.2</v>
      </c>
      <c r="D1599">
        <v>100</v>
      </c>
      <c r="E1599">
        <v>0.54065600208346598</v>
      </c>
      <c r="F1599">
        <v>2</v>
      </c>
      <c r="G1599">
        <v>39.289900338999999</v>
      </c>
      <c r="H1599">
        <v>0.45128406058658899</v>
      </c>
      <c r="I1599">
        <v>2</v>
      </c>
      <c r="J1599">
        <v>0.88385055000000001</v>
      </c>
      <c r="P1599"/>
      <c r="V1599">
        <v>0.44836656448968898</v>
      </c>
      <c r="W1599">
        <v>2</v>
      </c>
      <c r="X1599">
        <v>75789.025046890994</v>
      </c>
      <c r="Y1599">
        <v>8384</v>
      </c>
      <c r="Z1599">
        <v>5.7710913487173499E-2</v>
      </c>
      <c r="AA1599">
        <v>100</v>
      </c>
    </row>
    <row r="1600" spans="1:27" x14ac:dyDescent="0.2">
      <c r="A1600">
        <v>20</v>
      </c>
      <c r="B1600">
        <v>2</v>
      </c>
      <c r="C1600">
        <v>0.3</v>
      </c>
      <c r="D1600">
        <v>100</v>
      </c>
      <c r="E1600">
        <v>0.29720643533825197</v>
      </c>
      <c r="F1600">
        <v>2</v>
      </c>
      <c r="G1600">
        <v>36.134721618999997</v>
      </c>
      <c r="H1600">
        <v>7.0010259675276604E-2</v>
      </c>
      <c r="I1600">
        <v>2</v>
      </c>
      <c r="J1600">
        <v>0.48505302500000003</v>
      </c>
      <c r="P1600"/>
      <c r="V1600">
        <v>6.6346758422339502E-2</v>
      </c>
      <c r="W1600">
        <v>2</v>
      </c>
      <c r="X1600">
        <v>75469.626526264998</v>
      </c>
      <c r="Y1600">
        <v>111818</v>
      </c>
      <c r="Z1600">
        <v>0.21563281767954201</v>
      </c>
      <c r="AA1600">
        <v>100</v>
      </c>
    </row>
    <row r="1601" spans="1:27" x14ac:dyDescent="0.2">
      <c r="A1601">
        <v>20</v>
      </c>
      <c r="B1601">
        <v>2</v>
      </c>
      <c r="C1601">
        <v>0.2</v>
      </c>
      <c r="D1601">
        <v>100</v>
      </c>
      <c r="E1601">
        <v>0.80369755990614999</v>
      </c>
      <c r="F1601">
        <v>2</v>
      </c>
      <c r="G1601">
        <v>35.283853293999996</v>
      </c>
      <c r="H1601">
        <v>0.74600001360739698</v>
      </c>
      <c r="I1601">
        <v>2</v>
      </c>
      <c r="J1601">
        <v>0.68886526999999997</v>
      </c>
      <c r="P1601"/>
      <c r="V1601">
        <v>1.1663343143480001</v>
      </c>
      <c r="W1601">
        <v>2</v>
      </c>
      <c r="X1601">
        <v>75124.232333467007</v>
      </c>
      <c r="Y1601">
        <v>290234</v>
      </c>
      <c r="Z1601">
        <v>7.1352136903693103E-2</v>
      </c>
      <c r="AA1601">
        <v>100</v>
      </c>
    </row>
    <row r="1602" spans="1:27" x14ac:dyDescent="0.2">
      <c r="A1602">
        <v>20</v>
      </c>
      <c r="B1602">
        <v>2</v>
      </c>
      <c r="C1602">
        <v>0.4</v>
      </c>
      <c r="D1602">
        <v>100</v>
      </c>
      <c r="E1602">
        <v>9.2590787996689294E-2</v>
      </c>
      <c r="F1602">
        <v>2</v>
      </c>
      <c r="G1602">
        <v>42.227795362999998</v>
      </c>
      <c r="H1602">
        <v>2.1553883308283801E-2</v>
      </c>
      <c r="I1602">
        <v>2</v>
      </c>
      <c r="J1602">
        <v>0.32024671500000002</v>
      </c>
      <c r="P1602"/>
      <c r="V1602">
        <v>1.84470117668145E-2</v>
      </c>
      <c r="W1602">
        <v>2</v>
      </c>
      <c r="X1602">
        <v>75946.083651819994</v>
      </c>
      <c r="Y1602">
        <v>106953</v>
      </c>
      <c r="Z1602">
        <v>0.33951030218663503</v>
      </c>
      <c r="AA1602">
        <v>100</v>
      </c>
    </row>
    <row r="1603" spans="1:27" x14ac:dyDescent="0.2">
      <c r="A1603">
        <v>20</v>
      </c>
      <c r="B1603">
        <v>2</v>
      </c>
      <c r="C1603">
        <v>0.1</v>
      </c>
      <c r="D1603">
        <v>100</v>
      </c>
      <c r="E1603">
        <v>1.09772901656726</v>
      </c>
      <c r="F1603">
        <v>2</v>
      </c>
      <c r="G1603">
        <v>37.315849481999997</v>
      </c>
      <c r="H1603">
        <v>0.963457999743209</v>
      </c>
      <c r="I1603">
        <v>2</v>
      </c>
      <c r="J1603">
        <v>1.0603606480000001</v>
      </c>
      <c r="P1603"/>
      <c r="V1603">
        <v>1.22121980735553</v>
      </c>
      <c r="W1603">
        <v>2</v>
      </c>
      <c r="X1603">
        <v>75202.721023805003</v>
      </c>
      <c r="Y1603">
        <v>167428</v>
      </c>
      <c r="Z1603">
        <v>4.2185697788677499E-2</v>
      </c>
      <c r="AA1603">
        <v>100</v>
      </c>
    </row>
    <row r="1604" spans="1:27" x14ac:dyDescent="0.2">
      <c r="A1604">
        <v>20</v>
      </c>
      <c r="B1604">
        <v>2</v>
      </c>
      <c r="C1604">
        <v>0.4</v>
      </c>
      <c r="D1604">
        <v>100</v>
      </c>
      <c r="E1604">
        <v>0.110128361792422</v>
      </c>
      <c r="F1604">
        <v>2</v>
      </c>
      <c r="G1604">
        <v>43.049619452000002</v>
      </c>
      <c r="H1604">
        <v>3.9078306966706298E-2</v>
      </c>
      <c r="I1604">
        <v>2</v>
      </c>
      <c r="J1604">
        <v>0.30838504900000002</v>
      </c>
      <c r="P1604"/>
      <c r="V1604">
        <v>3.2452493023426697E-2</v>
      </c>
      <c r="W1604">
        <v>2</v>
      </c>
      <c r="X1604">
        <v>75909.030787836993</v>
      </c>
      <c r="Y1604">
        <v>3883</v>
      </c>
      <c r="Z1604">
        <v>0.321162201293965</v>
      </c>
      <c r="AA1604">
        <v>100</v>
      </c>
    </row>
    <row r="1605" spans="1:27" x14ac:dyDescent="0.2">
      <c r="A1605">
        <v>20</v>
      </c>
      <c r="B1605">
        <v>2</v>
      </c>
      <c r="C1605">
        <v>0.4</v>
      </c>
      <c r="D1605">
        <v>100</v>
      </c>
      <c r="E1605">
        <v>9.7869903025522301E-2</v>
      </c>
      <c r="F1605">
        <v>2</v>
      </c>
      <c r="G1605">
        <v>32.144689886000002</v>
      </c>
      <c r="H1605">
        <v>4.2646232012743798E-2</v>
      </c>
      <c r="I1605">
        <v>2</v>
      </c>
      <c r="J1605">
        <v>0.26221863299999998</v>
      </c>
      <c r="P1605"/>
      <c r="V1605">
        <v>3.4023031904532798E-2</v>
      </c>
      <c r="W1605">
        <v>2</v>
      </c>
      <c r="X1605">
        <v>77960.996077189993</v>
      </c>
      <c r="Y1605">
        <v>134429</v>
      </c>
      <c r="Z1605">
        <v>0.159847753977331</v>
      </c>
      <c r="AA1605">
        <v>100</v>
      </c>
    </row>
    <row r="1606" spans="1:27" x14ac:dyDescent="0.2">
      <c r="A1606">
        <v>20</v>
      </c>
      <c r="B1606">
        <v>2</v>
      </c>
      <c r="C1606">
        <v>0.3</v>
      </c>
      <c r="D1606">
        <v>100</v>
      </c>
      <c r="E1606">
        <v>0.21120443876013401</v>
      </c>
      <c r="F1606">
        <v>2</v>
      </c>
      <c r="G1606">
        <v>37.860349239000001</v>
      </c>
      <c r="H1606">
        <v>0.145132385892452</v>
      </c>
      <c r="I1606">
        <v>2</v>
      </c>
      <c r="J1606">
        <v>0.16817269200000001</v>
      </c>
      <c r="P1606"/>
      <c r="V1606">
        <v>0.13651633443470801</v>
      </c>
      <c r="W1606">
        <v>2</v>
      </c>
      <c r="X1606">
        <v>79357.158824226994</v>
      </c>
      <c r="Y1606">
        <v>129963</v>
      </c>
      <c r="Z1606">
        <v>0.13866032048645099</v>
      </c>
      <c r="AA1606">
        <v>100</v>
      </c>
    </row>
    <row r="1607" spans="1:27" x14ac:dyDescent="0.2">
      <c r="A1607">
        <v>20</v>
      </c>
      <c r="B1607">
        <v>2</v>
      </c>
      <c r="C1607">
        <v>0.2</v>
      </c>
      <c r="D1607">
        <v>100</v>
      </c>
      <c r="E1607">
        <v>0.542235822519753</v>
      </c>
      <c r="F1607">
        <v>2</v>
      </c>
      <c r="G1607">
        <v>29.961897693000001</v>
      </c>
      <c r="H1607">
        <v>0.41473459394231599</v>
      </c>
      <c r="I1607">
        <v>2</v>
      </c>
      <c r="J1607">
        <v>0.61670173500000003</v>
      </c>
      <c r="P1607"/>
      <c r="V1607">
        <v>0.40945389038416602</v>
      </c>
      <c r="W1607">
        <v>2</v>
      </c>
      <c r="X1607">
        <v>75152.038780061004</v>
      </c>
      <c r="Y1607">
        <v>155338</v>
      </c>
      <c r="Z1607">
        <v>0.11277528862949</v>
      </c>
      <c r="AA1607">
        <v>100</v>
      </c>
    </row>
    <row r="1608" spans="1:27" x14ac:dyDescent="0.2">
      <c r="A1608">
        <v>20</v>
      </c>
      <c r="B1608">
        <v>2</v>
      </c>
      <c r="C1608">
        <v>0.3</v>
      </c>
      <c r="D1608">
        <v>100</v>
      </c>
      <c r="E1608">
        <v>0.40013887264056902</v>
      </c>
      <c r="F1608">
        <v>2</v>
      </c>
      <c r="G1608">
        <v>30.332096059000001</v>
      </c>
      <c r="H1608">
        <v>0.19388527620700699</v>
      </c>
      <c r="I1608">
        <v>2</v>
      </c>
      <c r="J1608">
        <v>0.724022269</v>
      </c>
      <c r="P1608"/>
      <c r="V1608">
        <v>0.18446771726869399</v>
      </c>
      <c r="W1608">
        <v>2</v>
      </c>
      <c r="X1608">
        <v>75481.668788819996</v>
      </c>
      <c r="Y1608">
        <v>7663</v>
      </c>
      <c r="Z1608">
        <v>0.22186380764651401</v>
      </c>
      <c r="AA1608">
        <v>100</v>
      </c>
    </row>
    <row r="1609" spans="1:27" x14ac:dyDescent="0.2">
      <c r="A1609">
        <v>20</v>
      </c>
      <c r="B1609">
        <v>2</v>
      </c>
      <c r="C1609">
        <v>0.1</v>
      </c>
      <c r="D1609">
        <v>100</v>
      </c>
      <c r="E1609">
        <v>1.02663580966348</v>
      </c>
      <c r="F1609">
        <v>2</v>
      </c>
      <c r="G1609">
        <v>30.003379369000001</v>
      </c>
      <c r="H1609">
        <v>1.0018311315417601</v>
      </c>
      <c r="I1609">
        <v>2</v>
      </c>
      <c r="J1609">
        <v>0.885924135</v>
      </c>
      <c r="P1609"/>
      <c r="V1609">
        <v>1.00233489504329</v>
      </c>
      <c r="W1609">
        <v>2</v>
      </c>
      <c r="X1609">
        <v>75502.727909036999</v>
      </c>
      <c r="Y1609">
        <v>159925</v>
      </c>
      <c r="Z1609">
        <v>7.9344444229713304E-3</v>
      </c>
      <c r="AA1609">
        <v>100</v>
      </c>
    </row>
    <row r="1610" spans="1:27" x14ac:dyDescent="0.2">
      <c r="A1610">
        <v>20</v>
      </c>
      <c r="B1610">
        <v>2</v>
      </c>
      <c r="C1610">
        <v>0.4</v>
      </c>
      <c r="D1610">
        <v>100</v>
      </c>
      <c r="E1610">
        <v>0.16941387273342001</v>
      </c>
      <c r="F1610">
        <v>2</v>
      </c>
      <c r="G1610">
        <v>36.157956552999998</v>
      </c>
      <c r="H1610">
        <v>5.0665309528201599E-2</v>
      </c>
      <c r="I1610">
        <v>2</v>
      </c>
      <c r="J1610">
        <v>0.25867509900000002</v>
      </c>
      <c r="P1610"/>
      <c r="V1610">
        <v>4.2540278948517099E-2</v>
      </c>
      <c r="W1610">
        <v>2</v>
      </c>
      <c r="X1610">
        <v>75510.781380921995</v>
      </c>
      <c r="Y1610">
        <v>111581</v>
      </c>
      <c r="Z1610">
        <v>0.25047881951206602</v>
      </c>
      <c r="AA1610">
        <v>100</v>
      </c>
    </row>
    <row r="1611" spans="1:27" x14ac:dyDescent="0.2">
      <c r="A1611">
        <v>20</v>
      </c>
      <c r="B1611">
        <v>2</v>
      </c>
      <c r="C1611">
        <v>0.4</v>
      </c>
      <c r="D1611">
        <v>100</v>
      </c>
      <c r="E1611">
        <v>0.24044220095965799</v>
      </c>
      <c r="F1611">
        <v>2</v>
      </c>
      <c r="G1611">
        <v>29.455284862999999</v>
      </c>
      <c r="H1611">
        <v>6.9191385463129404E-2</v>
      </c>
      <c r="I1611">
        <v>2</v>
      </c>
      <c r="J1611">
        <v>0.41371071999999998</v>
      </c>
      <c r="P1611"/>
      <c r="V1611">
        <v>6.5025387290641903E-2</v>
      </c>
      <c r="W1611">
        <v>2</v>
      </c>
      <c r="X1611">
        <v>75715.178490241</v>
      </c>
      <c r="Y1611">
        <v>164881</v>
      </c>
      <c r="Z1611">
        <v>0.120519259805387</v>
      </c>
      <c r="AA1611">
        <v>100</v>
      </c>
    </row>
    <row r="1612" spans="1:27" x14ac:dyDescent="0.2">
      <c r="A1612">
        <v>20</v>
      </c>
      <c r="B1612">
        <v>2</v>
      </c>
      <c r="C1612">
        <v>0.1</v>
      </c>
      <c r="D1612">
        <v>100</v>
      </c>
      <c r="E1612">
        <v>1.0765812534391599</v>
      </c>
      <c r="F1612">
        <v>2</v>
      </c>
      <c r="G1612">
        <v>26.864877942</v>
      </c>
      <c r="H1612">
        <v>0.92161603201805398</v>
      </c>
      <c r="I1612">
        <v>2</v>
      </c>
      <c r="J1612">
        <v>0.92326677199999996</v>
      </c>
      <c r="P1612"/>
      <c r="V1612">
        <v>1.1185806560471601</v>
      </c>
      <c r="W1612">
        <v>2</v>
      </c>
      <c r="X1612">
        <v>75135.232431883996</v>
      </c>
      <c r="Y1612">
        <v>181778</v>
      </c>
      <c r="Z1612">
        <v>1.3156108520780099E-2</v>
      </c>
      <c r="AA1612">
        <v>100</v>
      </c>
    </row>
    <row r="1613" spans="1:27" x14ac:dyDescent="0.2">
      <c r="A1613">
        <v>20</v>
      </c>
      <c r="B1613">
        <v>2</v>
      </c>
      <c r="C1613">
        <v>0.3</v>
      </c>
      <c r="D1613">
        <v>100</v>
      </c>
      <c r="E1613">
        <v>0.40383023086799102</v>
      </c>
      <c r="F1613">
        <v>2</v>
      </c>
      <c r="G1613">
        <v>30.335767988000001</v>
      </c>
      <c r="H1613">
        <v>0.16355642383753399</v>
      </c>
      <c r="I1613">
        <v>2</v>
      </c>
      <c r="J1613">
        <v>0.54690682800000001</v>
      </c>
      <c r="P1613"/>
      <c r="V1613">
        <v>0.16072162385629801</v>
      </c>
      <c r="W1613">
        <v>2</v>
      </c>
      <c r="X1613">
        <v>75449.648453891001</v>
      </c>
      <c r="Y1613">
        <v>6572</v>
      </c>
      <c r="Z1613">
        <v>0.43791452943514703</v>
      </c>
      <c r="AA1613">
        <v>100</v>
      </c>
    </row>
    <row r="1614" spans="1:27" x14ac:dyDescent="0.2">
      <c r="A1614">
        <v>20</v>
      </c>
      <c r="B1614">
        <v>2</v>
      </c>
      <c r="C1614">
        <v>0.1</v>
      </c>
      <c r="D1614">
        <v>100</v>
      </c>
      <c r="E1614">
        <v>1.1030141785665299</v>
      </c>
      <c r="F1614">
        <v>2</v>
      </c>
      <c r="G1614">
        <v>29.367963691</v>
      </c>
      <c r="H1614">
        <v>1.0670334004300199</v>
      </c>
      <c r="I1614">
        <v>2</v>
      </c>
      <c r="J1614">
        <v>0.87654168200000004</v>
      </c>
      <c r="P1614"/>
      <c r="V1614">
        <v>1.04558805930803</v>
      </c>
      <c r="W1614">
        <v>2</v>
      </c>
      <c r="X1614">
        <v>75751.061125010994</v>
      </c>
      <c r="Y1614">
        <v>72767</v>
      </c>
      <c r="Z1614">
        <v>3.7735593427238399E-3</v>
      </c>
      <c r="AA1614">
        <v>100</v>
      </c>
    </row>
    <row r="1615" spans="1:27" x14ac:dyDescent="0.2">
      <c r="A1615">
        <v>20</v>
      </c>
      <c r="B1615">
        <v>2</v>
      </c>
      <c r="C1615">
        <v>0.2</v>
      </c>
      <c r="D1615">
        <v>100</v>
      </c>
      <c r="E1615">
        <v>0.57151024349394697</v>
      </c>
      <c r="F1615">
        <v>2</v>
      </c>
      <c r="G1615">
        <v>30.691225382999999</v>
      </c>
      <c r="H1615">
        <v>0.55900791265115701</v>
      </c>
      <c r="I1615">
        <v>2</v>
      </c>
      <c r="J1615">
        <v>1.005651909</v>
      </c>
      <c r="P1615"/>
      <c r="V1615">
        <v>0.56953949312986396</v>
      </c>
      <c r="W1615">
        <v>2</v>
      </c>
      <c r="X1615">
        <v>75752.984716777995</v>
      </c>
      <c r="Y1615">
        <v>266120</v>
      </c>
      <c r="Z1615">
        <v>6.6110978384629204E-2</v>
      </c>
      <c r="AA1615">
        <v>100</v>
      </c>
    </row>
    <row r="1616" spans="1:27" x14ac:dyDescent="0.2">
      <c r="A1616">
        <v>20</v>
      </c>
      <c r="B1616">
        <v>2</v>
      </c>
      <c r="C1616">
        <v>0.2</v>
      </c>
      <c r="D1616">
        <v>100</v>
      </c>
      <c r="E1616">
        <v>0.91926751707901799</v>
      </c>
      <c r="F1616">
        <v>2</v>
      </c>
      <c r="G1616">
        <v>29.506053082000001</v>
      </c>
      <c r="H1616">
        <v>0.88965454412469802</v>
      </c>
      <c r="I1616">
        <v>2</v>
      </c>
      <c r="J1616">
        <v>0.84986149300000002</v>
      </c>
      <c r="P1616"/>
      <c r="V1616">
        <v>0.926509768095097</v>
      </c>
      <c r="W1616">
        <v>2</v>
      </c>
      <c r="X1616">
        <v>75790.764091677003</v>
      </c>
      <c r="Y1616">
        <v>7567</v>
      </c>
      <c r="Z1616">
        <v>0.19439010441674601</v>
      </c>
      <c r="AA1616">
        <v>100</v>
      </c>
    </row>
    <row r="1617" spans="1:27" x14ac:dyDescent="0.2">
      <c r="A1617">
        <v>20</v>
      </c>
      <c r="B1617">
        <v>2</v>
      </c>
      <c r="C1617">
        <v>0.3</v>
      </c>
      <c r="D1617">
        <v>100</v>
      </c>
      <c r="E1617">
        <v>0.22503297073463999</v>
      </c>
      <c r="F1617">
        <v>2</v>
      </c>
      <c r="G1617">
        <v>31.152640379000001</v>
      </c>
      <c r="H1617">
        <v>0.114261981804213</v>
      </c>
      <c r="I1617">
        <v>2</v>
      </c>
      <c r="J1617">
        <v>0.32622403700000002</v>
      </c>
      <c r="P1617"/>
      <c r="V1617">
        <v>0.112235566411058</v>
      </c>
      <c r="W1617">
        <v>2</v>
      </c>
      <c r="X1617">
        <v>79399.876738236999</v>
      </c>
      <c r="Y1617">
        <v>130643</v>
      </c>
      <c r="Z1617">
        <v>0.134672963929405</v>
      </c>
      <c r="AA1617">
        <v>100</v>
      </c>
    </row>
    <row r="1618" spans="1:27" x14ac:dyDescent="0.2">
      <c r="A1618">
        <v>20</v>
      </c>
      <c r="B1618">
        <v>2</v>
      </c>
      <c r="C1618">
        <v>0.4</v>
      </c>
      <c r="D1618">
        <v>100</v>
      </c>
      <c r="E1618">
        <v>0.112228019681286</v>
      </c>
      <c r="F1618">
        <v>2</v>
      </c>
      <c r="G1618">
        <v>29.966989153</v>
      </c>
      <c r="H1618">
        <v>4.4845383482941398E-2</v>
      </c>
      <c r="I1618">
        <v>2</v>
      </c>
      <c r="J1618">
        <v>0.10196932</v>
      </c>
      <c r="P1618"/>
      <c r="V1618">
        <v>4.3271466681496402E-2</v>
      </c>
      <c r="W1618">
        <v>2</v>
      </c>
      <c r="X1618">
        <v>79750.515344576997</v>
      </c>
      <c r="Y1618">
        <v>169806</v>
      </c>
      <c r="Z1618">
        <v>6.7367085222608203E-2</v>
      </c>
      <c r="AA1618">
        <v>100</v>
      </c>
    </row>
    <row r="1619" spans="1:27" x14ac:dyDescent="0.2">
      <c r="A1619">
        <v>20</v>
      </c>
      <c r="B1619">
        <v>2</v>
      </c>
      <c r="C1619">
        <v>0.1</v>
      </c>
      <c r="D1619">
        <v>100</v>
      </c>
      <c r="E1619">
        <v>1.10488559380998</v>
      </c>
      <c r="F1619">
        <v>2</v>
      </c>
      <c r="G1619">
        <v>34.107773209000001</v>
      </c>
      <c r="H1619">
        <v>1.0522025898770799</v>
      </c>
      <c r="I1619">
        <v>2</v>
      </c>
      <c r="J1619">
        <v>0.86135331500000001</v>
      </c>
      <c r="P1619"/>
      <c r="V1619">
        <v>1.1223696791734099</v>
      </c>
      <c r="W1619">
        <v>2</v>
      </c>
      <c r="X1619">
        <v>75307.671440556995</v>
      </c>
      <c r="Y1619">
        <v>44581</v>
      </c>
      <c r="Z1619">
        <v>1.82083130610236E-3</v>
      </c>
      <c r="AA1619">
        <v>100</v>
      </c>
    </row>
    <row r="1620" spans="1:27" x14ac:dyDescent="0.2">
      <c r="A1620">
        <v>20</v>
      </c>
      <c r="B1620">
        <v>2</v>
      </c>
      <c r="C1620">
        <v>0.3</v>
      </c>
      <c r="D1620">
        <v>100</v>
      </c>
      <c r="E1620">
        <v>0.29694173743723001</v>
      </c>
      <c r="F1620">
        <v>2</v>
      </c>
      <c r="G1620">
        <v>28.782147188</v>
      </c>
      <c r="H1620">
        <v>0.125996245631429</v>
      </c>
      <c r="I1620">
        <v>2</v>
      </c>
      <c r="J1620">
        <v>0.43885236300000002</v>
      </c>
      <c r="P1620"/>
      <c r="V1620">
        <v>0.105532974751867</v>
      </c>
      <c r="W1620">
        <v>2</v>
      </c>
      <c r="X1620">
        <v>76337.639325327997</v>
      </c>
      <c r="Y1620">
        <v>3596</v>
      </c>
      <c r="Z1620">
        <v>0.23853377587147401</v>
      </c>
      <c r="AA1620">
        <v>100</v>
      </c>
    </row>
    <row r="1621" spans="1:27" x14ac:dyDescent="0.2">
      <c r="A1621">
        <v>20</v>
      </c>
      <c r="B1621">
        <v>2</v>
      </c>
      <c r="C1621">
        <v>0.2</v>
      </c>
      <c r="D1621">
        <v>100</v>
      </c>
      <c r="E1621">
        <v>0.48940092318481299</v>
      </c>
      <c r="F1621">
        <v>2</v>
      </c>
      <c r="G1621">
        <v>26.754872696</v>
      </c>
      <c r="H1621">
        <v>0.32849916472892099</v>
      </c>
      <c r="I1621">
        <v>2</v>
      </c>
      <c r="J1621">
        <v>0.60909131800000005</v>
      </c>
      <c r="P1621"/>
      <c r="V1621">
        <v>0.32635249422631002</v>
      </c>
      <c r="W1621">
        <v>2</v>
      </c>
      <c r="X1621">
        <v>75518.100536059996</v>
      </c>
      <c r="Y1621">
        <v>6167</v>
      </c>
      <c r="Z1621">
        <v>0.30239143420194498</v>
      </c>
      <c r="AA1621">
        <v>100</v>
      </c>
    </row>
    <row r="1622" spans="1:27" x14ac:dyDescent="0.2">
      <c r="A1622">
        <v>20</v>
      </c>
      <c r="B1622">
        <v>2</v>
      </c>
      <c r="C1622">
        <v>0.4</v>
      </c>
      <c r="D1622">
        <v>100</v>
      </c>
      <c r="E1622">
        <v>0.20835954325341299</v>
      </c>
      <c r="F1622">
        <v>2</v>
      </c>
      <c r="G1622">
        <v>25.655965043999998</v>
      </c>
      <c r="H1622">
        <v>6.5152360217067204E-2</v>
      </c>
      <c r="I1622">
        <v>2</v>
      </c>
      <c r="J1622">
        <v>0.18241560300000001</v>
      </c>
      <c r="P1622"/>
      <c r="V1622">
        <v>5.8548543104431902E-2</v>
      </c>
      <c r="W1622">
        <v>2</v>
      </c>
      <c r="X1622">
        <v>76739.138437065005</v>
      </c>
      <c r="Y1622">
        <v>107905</v>
      </c>
      <c r="Z1622">
        <v>0.33313288793148399</v>
      </c>
      <c r="AA1622">
        <v>100</v>
      </c>
    </row>
    <row r="1623" spans="1:27" x14ac:dyDescent="0.2">
      <c r="A1623">
        <v>20</v>
      </c>
      <c r="B1623">
        <v>2</v>
      </c>
      <c r="C1623">
        <v>0.3</v>
      </c>
      <c r="D1623">
        <v>100</v>
      </c>
      <c r="E1623">
        <v>0.234315670431641</v>
      </c>
      <c r="F1623">
        <v>2</v>
      </c>
      <c r="G1623">
        <v>35.265053926</v>
      </c>
      <c r="H1623">
        <v>0.135750823432679</v>
      </c>
      <c r="I1623">
        <v>2</v>
      </c>
      <c r="J1623">
        <v>0.37841646000000001</v>
      </c>
      <c r="P1623"/>
      <c r="V1623">
        <v>0.12732754760687501</v>
      </c>
      <c r="W1623">
        <v>2</v>
      </c>
      <c r="X1623">
        <v>75164.972209889995</v>
      </c>
      <c r="Y1623">
        <v>130068</v>
      </c>
      <c r="Z1623">
        <v>0.158658907694189</v>
      </c>
      <c r="AA1623">
        <v>100</v>
      </c>
    </row>
    <row r="1624" spans="1:27" x14ac:dyDescent="0.2">
      <c r="A1624">
        <v>20</v>
      </c>
      <c r="B1624">
        <v>2</v>
      </c>
      <c r="C1624">
        <v>0.4</v>
      </c>
      <c r="D1624">
        <v>100</v>
      </c>
      <c r="E1624">
        <v>0.129519282062413</v>
      </c>
      <c r="F1624">
        <v>2</v>
      </c>
      <c r="G1624">
        <v>34.162071165</v>
      </c>
      <c r="H1624">
        <v>0.10379897598448</v>
      </c>
      <c r="I1624">
        <v>2</v>
      </c>
      <c r="J1624">
        <v>0.1905637</v>
      </c>
      <c r="P1624"/>
      <c r="V1624">
        <v>9.7335408686848299E-2</v>
      </c>
      <c r="W1624">
        <v>2</v>
      </c>
      <c r="X1624">
        <v>75446.118793507994</v>
      </c>
      <c r="Y1624">
        <v>105355</v>
      </c>
      <c r="Z1624">
        <v>0.26690942921049998</v>
      </c>
      <c r="AA1624">
        <v>100</v>
      </c>
    </row>
    <row r="1625" spans="1:27" x14ac:dyDescent="0.2">
      <c r="A1625">
        <v>20</v>
      </c>
      <c r="B1625">
        <v>2</v>
      </c>
      <c r="C1625">
        <v>0.1</v>
      </c>
      <c r="D1625">
        <v>100</v>
      </c>
      <c r="E1625">
        <v>1.0127087343590699</v>
      </c>
      <c r="F1625">
        <v>2</v>
      </c>
      <c r="G1625">
        <v>39.074370481999999</v>
      </c>
      <c r="H1625">
        <v>0.93918789306227102</v>
      </c>
      <c r="I1625">
        <v>2</v>
      </c>
      <c r="J1625">
        <v>1.0763465109999999</v>
      </c>
      <c r="P1625"/>
      <c r="V1625">
        <v>0.98747591923190203</v>
      </c>
      <c r="W1625">
        <v>2</v>
      </c>
      <c r="X1625">
        <v>75721.616325606999</v>
      </c>
      <c r="Y1625">
        <v>118194</v>
      </c>
      <c r="Z1625">
        <v>1.9773482342865501E-3</v>
      </c>
      <c r="AA1625">
        <v>100</v>
      </c>
    </row>
    <row r="1626" spans="1:27" x14ac:dyDescent="0.2">
      <c r="A1626">
        <v>20</v>
      </c>
      <c r="B1626">
        <v>2</v>
      </c>
      <c r="C1626">
        <v>0.2</v>
      </c>
      <c r="D1626">
        <v>100</v>
      </c>
      <c r="E1626">
        <v>0.697768991485885</v>
      </c>
      <c r="F1626">
        <v>2</v>
      </c>
      <c r="G1626">
        <v>36.987980032999999</v>
      </c>
      <c r="H1626">
        <v>0.69113090070503902</v>
      </c>
      <c r="I1626">
        <v>2</v>
      </c>
      <c r="J1626">
        <v>1.01431676</v>
      </c>
      <c r="P1626"/>
      <c r="V1626">
        <v>0.692293177551774</v>
      </c>
      <c r="W1626">
        <v>2</v>
      </c>
      <c r="X1626">
        <v>75533.380656986003</v>
      </c>
      <c r="Y1626">
        <v>4764</v>
      </c>
      <c r="Z1626">
        <v>0.17377734904221101</v>
      </c>
      <c r="AA1626">
        <v>100</v>
      </c>
    </row>
    <row r="1627" spans="1:27" x14ac:dyDescent="0.2">
      <c r="A1627">
        <v>20</v>
      </c>
      <c r="B1627">
        <v>2</v>
      </c>
      <c r="C1627">
        <v>0.3</v>
      </c>
      <c r="D1627">
        <v>100</v>
      </c>
      <c r="E1627">
        <v>0.12410714939690599</v>
      </c>
      <c r="F1627">
        <v>2</v>
      </c>
      <c r="G1627">
        <v>39.967512747000001</v>
      </c>
      <c r="H1627">
        <v>5.2141499810970798E-2</v>
      </c>
      <c r="I1627">
        <v>2</v>
      </c>
      <c r="J1627">
        <v>0.25844477700000001</v>
      </c>
      <c r="P1627"/>
      <c r="V1627">
        <v>4.6298417473058802E-2</v>
      </c>
      <c r="W1627">
        <v>2</v>
      </c>
      <c r="X1627">
        <v>75872.315303354</v>
      </c>
      <c r="Y1627">
        <v>4291</v>
      </c>
      <c r="Z1627">
        <v>0.240823887910664</v>
      </c>
      <c r="AA1627">
        <v>100</v>
      </c>
    </row>
    <row r="1628" spans="1:27" x14ac:dyDescent="0.2">
      <c r="A1628">
        <v>20</v>
      </c>
      <c r="B1628">
        <v>2</v>
      </c>
      <c r="C1628">
        <v>0.4</v>
      </c>
      <c r="D1628">
        <v>100</v>
      </c>
      <c r="E1628">
        <v>0.14578931607321299</v>
      </c>
      <c r="F1628">
        <v>2</v>
      </c>
      <c r="G1628">
        <v>27.383263641999999</v>
      </c>
      <c r="H1628">
        <v>0.121034217343617</v>
      </c>
      <c r="I1628">
        <v>2</v>
      </c>
      <c r="J1628">
        <v>0.228556381</v>
      </c>
      <c r="P1628"/>
      <c r="V1628">
        <v>0.120344118897354</v>
      </c>
      <c r="W1628">
        <v>2</v>
      </c>
      <c r="X1628">
        <v>75564.896098212004</v>
      </c>
      <c r="Y1628">
        <v>4926</v>
      </c>
      <c r="Z1628">
        <v>0.38344032513604298</v>
      </c>
      <c r="AA1628">
        <v>100</v>
      </c>
    </row>
    <row r="1629" spans="1:27" x14ac:dyDescent="0.2">
      <c r="A1629">
        <v>20</v>
      </c>
      <c r="B1629">
        <v>2</v>
      </c>
      <c r="C1629">
        <v>0.1</v>
      </c>
      <c r="D1629">
        <v>100</v>
      </c>
      <c r="E1629">
        <v>1.17606164867081</v>
      </c>
      <c r="F1629">
        <v>2</v>
      </c>
      <c r="G1629">
        <v>41.874964093999999</v>
      </c>
      <c r="H1629">
        <v>1.0898502638174401</v>
      </c>
      <c r="I1629">
        <v>2</v>
      </c>
      <c r="J1629">
        <v>1.120628942</v>
      </c>
      <c r="P1629"/>
      <c r="V1629">
        <v>1.1384646099646301</v>
      </c>
      <c r="W1629">
        <v>2</v>
      </c>
      <c r="X1629">
        <v>75195.169512182998</v>
      </c>
      <c r="Y1629">
        <v>148746</v>
      </c>
      <c r="Z1629">
        <v>8.4885705674613895E-3</v>
      </c>
      <c r="AA1629">
        <v>100</v>
      </c>
    </row>
    <row r="1630" spans="1:27" x14ac:dyDescent="0.2">
      <c r="A1630">
        <v>20</v>
      </c>
      <c r="B1630">
        <v>2</v>
      </c>
      <c r="C1630">
        <v>0.3</v>
      </c>
      <c r="D1630">
        <v>100</v>
      </c>
      <c r="E1630">
        <v>0.21427932554103299</v>
      </c>
      <c r="F1630">
        <v>2</v>
      </c>
      <c r="G1630">
        <v>36.109734830999997</v>
      </c>
      <c r="H1630">
        <v>0.13243230714958701</v>
      </c>
      <c r="I1630">
        <v>2</v>
      </c>
      <c r="J1630">
        <v>0.62274832599999996</v>
      </c>
      <c r="P1630"/>
      <c r="V1630">
        <v>0.108790563058256</v>
      </c>
      <c r="W1630">
        <v>2</v>
      </c>
      <c r="X1630">
        <v>75186.905058534001</v>
      </c>
      <c r="Y1630">
        <v>173135</v>
      </c>
      <c r="Z1630">
        <v>0.30664866230654297</v>
      </c>
      <c r="AA1630">
        <v>100</v>
      </c>
    </row>
    <row r="1631" spans="1:27" x14ac:dyDescent="0.2">
      <c r="A1631">
        <v>20</v>
      </c>
      <c r="B1631">
        <v>2</v>
      </c>
      <c r="C1631">
        <v>0.2</v>
      </c>
      <c r="D1631">
        <v>100</v>
      </c>
      <c r="E1631">
        <v>0.53459542169441499</v>
      </c>
      <c r="F1631">
        <v>2</v>
      </c>
      <c r="G1631">
        <v>44.515897076999998</v>
      </c>
      <c r="H1631">
        <v>0.481984908610262</v>
      </c>
      <c r="I1631">
        <v>2</v>
      </c>
      <c r="J1631">
        <v>0.74987287700000005</v>
      </c>
      <c r="P1631"/>
      <c r="V1631">
        <v>0.483121674129668</v>
      </c>
      <c r="W1631">
        <v>2</v>
      </c>
      <c r="X1631">
        <v>75482.808759320993</v>
      </c>
      <c r="Y1631">
        <v>7354</v>
      </c>
      <c r="Z1631">
        <v>0.121089685087964</v>
      </c>
      <c r="AA1631">
        <v>100</v>
      </c>
    </row>
    <row r="1632" spans="1:27" x14ac:dyDescent="0.2">
      <c r="A1632">
        <v>20</v>
      </c>
      <c r="B1632">
        <v>2</v>
      </c>
      <c r="C1632">
        <v>0.1</v>
      </c>
      <c r="D1632">
        <v>100</v>
      </c>
      <c r="E1632">
        <v>0.93506041218397495</v>
      </c>
      <c r="F1632">
        <v>2</v>
      </c>
      <c r="G1632">
        <v>42.109446081000002</v>
      </c>
      <c r="H1632">
        <v>0.93625437775505604</v>
      </c>
      <c r="I1632">
        <v>2</v>
      </c>
      <c r="J1632">
        <v>1.052483496</v>
      </c>
      <c r="P1632"/>
      <c r="V1632">
        <v>1.0648044575933</v>
      </c>
      <c r="W1632">
        <v>2</v>
      </c>
      <c r="X1632">
        <v>75213.120568479004</v>
      </c>
      <c r="Y1632">
        <v>69166</v>
      </c>
      <c r="Z1632">
        <v>3.2855251832345899E-3</v>
      </c>
      <c r="AA1632">
        <v>100</v>
      </c>
    </row>
    <row r="1633" spans="1:27" x14ac:dyDescent="0.2">
      <c r="A1633">
        <v>20</v>
      </c>
      <c r="B1633">
        <v>2</v>
      </c>
      <c r="C1633">
        <v>0.4</v>
      </c>
      <c r="D1633">
        <v>100</v>
      </c>
      <c r="E1633">
        <v>0.12307514768021501</v>
      </c>
      <c r="F1633">
        <v>2</v>
      </c>
      <c r="G1633">
        <v>35.126377822999999</v>
      </c>
      <c r="H1633">
        <v>3.4639025036935799E-2</v>
      </c>
      <c r="I1633">
        <v>2</v>
      </c>
      <c r="J1633">
        <v>0.270228307</v>
      </c>
      <c r="P1633"/>
      <c r="V1633">
        <v>3.0990835158872101E-2</v>
      </c>
      <c r="W1633">
        <v>2</v>
      </c>
      <c r="X1633">
        <v>75279.664309207001</v>
      </c>
      <c r="Y1633">
        <v>141011</v>
      </c>
      <c r="Z1633">
        <v>0.38344734943912001</v>
      </c>
      <c r="AA1633">
        <v>100</v>
      </c>
    </row>
    <row r="1634" spans="1:27" x14ac:dyDescent="0.2">
      <c r="A1634">
        <v>20</v>
      </c>
      <c r="B1634">
        <v>2</v>
      </c>
      <c r="C1634">
        <v>0.2</v>
      </c>
      <c r="D1634">
        <v>100</v>
      </c>
      <c r="E1634">
        <v>0.560913518907317</v>
      </c>
      <c r="F1634">
        <v>2</v>
      </c>
      <c r="G1634">
        <v>31.753507423999999</v>
      </c>
      <c r="H1634">
        <v>0.41479384577136302</v>
      </c>
      <c r="I1634">
        <v>2</v>
      </c>
      <c r="J1634">
        <v>0.93915011199999998</v>
      </c>
      <c r="P1634"/>
      <c r="V1634">
        <v>0.41654577359381101</v>
      </c>
      <c r="W1634">
        <v>2</v>
      </c>
      <c r="X1634">
        <v>75442.674541341999</v>
      </c>
      <c r="Y1634">
        <v>7171</v>
      </c>
      <c r="Z1634">
        <v>0.142070633025284</v>
      </c>
      <c r="AA1634">
        <v>100</v>
      </c>
    </row>
    <row r="1635" spans="1:27" x14ac:dyDescent="0.2">
      <c r="A1635">
        <v>20</v>
      </c>
      <c r="B1635">
        <v>2</v>
      </c>
      <c r="C1635">
        <v>0.4</v>
      </c>
      <c r="D1635">
        <v>100</v>
      </c>
      <c r="E1635">
        <v>0.145109788533894</v>
      </c>
      <c r="F1635">
        <v>2</v>
      </c>
      <c r="G1635">
        <v>40.492959243999998</v>
      </c>
      <c r="H1635">
        <v>4.4504039855751097E-2</v>
      </c>
      <c r="I1635">
        <v>2</v>
      </c>
      <c r="J1635">
        <v>0.309313112</v>
      </c>
      <c r="P1635"/>
      <c r="V1635">
        <v>3.8347988867381701E-2</v>
      </c>
      <c r="W1635">
        <v>2</v>
      </c>
      <c r="X1635">
        <v>75167.895365289005</v>
      </c>
      <c r="Y1635">
        <v>121688</v>
      </c>
      <c r="Z1635">
        <v>0.39837542912391599</v>
      </c>
      <c r="AA1635">
        <v>100</v>
      </c>
    </row>
    <row r="1636" spans="1:27" x14ac:dyDescent="0.2">
      <c r="A1636">
        <v>20</v>
      </c>
      <c r="B1636">
        <v>2</v>
      </c>
      <c r="C1636">
        <v>0.1</v>
      </c>
      <c r="D1636">
        <v>100</v>
      </c>
      <c r="E1636">
        <v>1.28176933163837</v>
      </c>
      <c r="F1636">
        <v>2</v>
      </c>
      <c r="G1636">
        <v>40.254013915000002</v>
      </c>
      <c r="H1636">
        <v>0.98073309404836495</v>
      </c>
      <c r="I1636">
        <v>2</v>
      </c>
      <c r="J1636">
        <v>1.0382443779999999</v>
      </c>
      <c r="P1636"/>
      <c r="V1636">
        <v>0.98134962438951601</v>
      </c>
      <c r="W1636">
        <v>2</v>
      </c>
      <c r="X1636">
        <v>75116.927980980996</v>
      </c>
      <c r="Y1636">
        <v>229432</v>
      </c>
      <c r="Z1636">
        <v>4.1764789836712304E-3</v>
      </c>
      <c r="AA1636">
        <v>100</v>
      </c>
    </row>
    <row r="1637" spans="1:27" x14ac:dyDescent="0.2">
      <c r="A1637">
        <v>20</v>
      </c>
      <c r="B1637">
        <v>2</v>
      </c>
      <c r="C1637">
        <v>0.3</v>
      </c>
      <c r="D1637">
        <v>100</v>
      </c>
      <c r="E1637">
        <v>0.34347757038523102</v>
      </c>
      <c r="F1637">
        <v>2</v>
      </c>
      <c r="G1637">
        <v>41.028729980000001</v>
      </c>
      <c r="H1637">
        <v>0.16532528096787999</v>
      </c>
      <c r="I1637">
        <v>2</v>
      </c>
      <c r="J1637">
        <v>0.55458737499999999</v>
      </c>
      <c r="P1637"/>
      <c r="V1637">
        <v>0.16077078833316999</v>
      </c>
      <c r="W1637">
        <v>2</v>
      </c>
      <c r="X1637">
        <v>75389.566534729005</v>
      </c>
      <c r="Y1637">
        <v>8853</v>
      </c>
      <c r="Z1637">
        <v>0.32910925279946102</v>
      </c>
      <c r="AA1637">
        <v>100</v>
      </c>
    </row>
    <row r="1638" spans="1:27" x14ac:dyDescent="0.2">
      <c r="A1638">
        <v>20</v>
      </c>
      <c r="B1638">
        <v>2</v>
      </c>
      <c r="C1638">
        <v>0.3</v>
      </c>
      <c r="D1638">
        <v>100</v>
      </c>
      <c r="E1638">
        <v>0.177742150805479</v>
      </c>
      <c r="F1638">
        <v>2</v>
      </c>
      <c r="G1638">
        <v>32.932560273999997</v>
      </c>
      <c r="H1638">
        <v>4.3311004740743099E-2</v>
      </c>
      <c r="I1638">
        <v>2</v>
      </c>
      <c r="J1638">
        <v>0.25638227600000002</v>
      </c>
      <c r="P1638"/>
      <c r="V1638">
        <v>3.8327044522373399E-2</v>
      </c>
      <c r="W1638">
        <v>2</v>
      </c>
      <c r="X1638">
        <v>75449.698470415999</v>
      </c>
      <c r="Y1638">
        <v>7183</v>
      </c>
      <c r="Z1638">
        <v>0.26796001498587402</v>
      </c>
      <c r="AA1638">
        <v>100</v>
      </c>
    </row>
    <row r="1639" spans="1:27" x14ac:dyDescent="0.2">
      <c r="A1639">
        <v>20</v>
      </c>
      <c r="B1639">
        <v>2</v>
      </c>
      <c r="C1639">
        <v>0.2</v>
      </c>
      <c r="D1639">
        <v>100</v>
      </c>
      <c r="E1639">
        <v>0.75506141994234999</v>
      </c>
      <c r="F1639">
        <v>2</v>
      </c>
      <c r="G1639">
        <v>24.108267232999999</v>
      </c>
      <c r="H1639">
        <v>0.588192444274245</v>
      </c>
      <c r="I1639">
        <v>2</v>
      </c>
      <c r="J1639">
        <v>0.694484828</v>
      </c>
      <c r="P1639"/>
      <c r="V1639">
        <v>0.59543080848767904</v>
      </c>
      <c r="W1639">
        <v>2</v>
      </c>
      <c r="X1639">
        <v>75704.583660136996</v>
      </c>
      <c r="Y1639">
        <v>6780</v>
      </c>
      <c r="Z1639">
        <v>6.6791510482254901E-2</v>
      </c>
      <c r="AA1639">
        <v>100</v>
      </c>
    </row>
    <row r="1640" spans="1:27" x14ac:dyDescent="0.2">
      <c r="A1640">
        <v>20</v>
      </c>
      <c r="B1640">
        <v>2</v>
      </c>
      <c r="C1640">
        <v>0.4</v>
      </c>
      <c r="D1640">
        <v>100</v>
      </c>
      <c r="E1640">
        <v>0.24084309515347499</v>
      </c>
      <c r="F1640">
        <v>2</v>
      </c>
      <c r="G1640">
        <v>30.033309810999999</v>
      </c>
      <c r="H1640">
        <v>9.1310743092021099E-2</v>
      </c>
      <c r="I1640">
        <v>2</v>
      </c>
      <c r="J1640">
        <v>0.30927107100000001</v>
      </c>
      <c r="P1640"/>
      <c r="V1640">
        <v>8.8223016272256705E-2</v>
      </c>
      <c r="W1640">
        <v>2</v>
      </c>
      <c r="X1640">
        <v>80910.481215733002</v>
      </c>
      <c r="Y1640">
        <v>122245</v>
      </c>
      <c r="Z1640">
        <v>0.189627221470135</v>
      </c>
      <c r="AA1640">
        <v>100</v>
      </c>
    </row>
    <row r="1641" spans="1:27" x14ac:dyDescent="0.2">
      <c r="A1641">
        <v>10</v>
      </c>
      <c r="B1641">
        <v>3</v>
      </c>
      <c r="C1641">
        <v>0.1</v>
      </c>
      <c r="D1641">
        <v>100</v>
      </c>
      <c r="E1641">
        <v>0.98032275173222305</v>
      </c>
      <c r="F1641">
        <v>3</v>
      </c>
      <c r="G1641">
        <v>25.391939954000001</v>
      </c>
      <c r="H1641">
        <v>1.03665631742151</v>
      </c>
      <c r="I1641">
        <v>3</v>
      </c>
      <c r="J1641">
        <v>0.24757811299999999</v>
      </c>
      <c r="P1641"/>
      <c r="V1641">
        <v>0.96610206963825396</v>
      </c>
      <c r="W1641">
        <v>3</v>
      </c>
      <c r="X1641">
        <v>1218.758813425</v>
      </c>
      <c r="Y1641">
        <v>0</v>
      </c>
      <c r="Z1641">
        <v>5.8081544253337804E-4</v>
      </c>
      <c r="AA1641">
        <v>2</v>
      </c>
    </row>
    <row r="1642" spans="1:27" x14ac:dyDescent="0.2">
      <c r="A1642">
        <v>10</v>
      </c>
      <c r="B1642">
        <v>3</v>
      </c>
      <c r="C1642">
        <v>0.1</v>
      </c>
      <c r="D1642">
        <v>20</v>
      </c>
      <c r="E1642">
        <v>0.98397973412233097</v>
      </c>
      <c r="F1642">
        <v>3</v>
      </c>
      <c r="G1642">
        <v>29.278183317</v>
      </c>
      <c r="H1642">
        <v>0.98397672496423005</v>
      </c>
      <c r="I1642">
        <v>3</v>
      </c>
      <c r="J1642">
        <v>3.5046696000000002E-2</v>
      </c>
      <c r="P1642"/>
      <c r="V1642">
        <v>0.98028505933066101</v>
      </c>
      <c r="W1642">
        <v>3</v>
      </c>
      <c r="X1642">
        <v>292.70436709099999</v>
      </c>
      <c r="Y1642">
        <v>19357</v>
      </c>
      <c r="Z1642" s="1">
        <v>7.7294385778997596E-5</v>
      </c>
      <c r="AA1642">
        <v>1</v>
      </c>
    </row>
    <row r="1643" spans="1:27" x14ac:dyDescent="0.2">
      <c r="A1643">
        <v>10</v>
      </c>
      <c r="B1643">
        <v>3</v>
      </c>
      <c r="C1643">
        <v>0.2</v>
      </c>
      <c r="D1643">
        <v>100</v>
      </c>
      <c r="E1643">
        <v>1.2680940042087001</v>
      </c>
      <c r="F1643">
        <v>3</v>
      </c>
      <c r="G1643">
        <v>38.194528867000002</v>
      </c>
      <c r="H1643">
        <v>0.95863824255541197</v>
      </c>
      <c r="I1643">
        <v>3</v>
      </c>
      <c r="J1643">
        <v>0.51390899499999998</v>
      </c>
      <c r="P1643"/>
      <c r="V1643">
        <v>0.95863498292934501</v>
      </c>
      <c r="W1643">
        <v>3</v>
      </c>
      <c r="X1643">
        <v>75062.141983024005</v>
      </c>
      <c r="Y1643">
        <v>333763</v>
      </c>
      <c r="Z1643">
        <v>1.2748453682708201E-2</v>
      </c>
      <c r="AA1643">
        <v>100</v>
      </c>
    </row>
    <row r="1644" spans="1:27" x14ac:dyDescent="0.2">
      <c r="A1644">
        <v>10</v>
      </c>
      <c r="B1644">
        <v>3</v>
      </c>
      <c r="C1644">
        <v>0.4</v>
      </c>
      <c r="D1644">
        <v>100</v>
      </c>
      <c r="E1644">
        <v>0.73089377749079798</v>
      </c>
      <c r="F1644">
        <v>3</v>
      </c>
      <c r="G1644">
        <v>41.476150199000003</v>
      </c>
      <c r="H1644">
        <v>0.82531216467470603</v>
      </c>
      <c r="I1644">
        <v>3</v>
      </c>
      <c r="J1644">
        <v>0.63647272200000005</v>
      </c>
      <c r="P1644"/>
      <c r="V1644">
        <v>0.827493559182365</v>
      </c>
      <c r="W1644">
        <v>3</v>
      </c>
      <c r="X1644">
        <v>75087.667063696994</v>
      </c>
      <c r="Y1644">
        <v>363372</v>
      </c>
      <c r="Z1644">
        <v>4.76774629460123E-2</v>
      </c>
      <c r="AA1644">
        <v>100</v>
      </c>
    </row>
    <row r="1645" spans="1:27" x14ac:dyDescent="0.2">
      <c r="A1645">
        <v>10</v>
      </c>
      <c r="B1645">
        <v>3</v>
      </c>
      <c r="C1645">
        <v>0.3</v>
      </c>
      <c r="D1645">
        <v>100</v>
      </c>
      <c r="E1645">
        <v>0.96671873828032695</v>
      </c>
      <c r="F1645">
        <v>3</v>
      </c>
      <c r="G1645">
        <v>34.685376671999997</v>
      </c>
      <c r="H1645">
        <v>0.902935435065782</v>
      </c>
      <c r="I1645">
        <v>3</v>
      </c>
      <c r="J1645">
        <v>0.69437188900000002</v>
      </c>
      <c r="P1645"/>
      <c r="V1645">
        <v>0.90374200584473996</v>
      </c>
      <c r="W1645">
        <v>3</v>
      </c>
      <c r="X1645">
        <v>75426.616675904006</v>
      </c>
      <c r="Y1645">
        <v>398195</v>
      </c>
      <c r="Z1645">
        <v>6.8591278079111306E-2</v>
      </c>
      <c r="AA1645">
        <v>100</v>
      </c>
    </row>
    <row r="1646" spans="1:27" x14ac:dyDescent="0.2">
      <c r="A1646">
        <v>10</v>
      </c>
      <c r="B1646">
        <v>3</v>
      </c>
      <c r="C1646">
        <v>0.3</v>
      </c>
      <c r="D1646">
        <v>100</v>
      </c>
      <c r="E1646">
        <v>0.935805912279561</v>
      </c>
      <c r="F1646">
        <v>3</v>
      </c>
      <c r="G1646">
        <v>40.308519433999997</v>
      </c>
      <c r="H1646">
        <v>0.97014880692805605</v>
      </c>
      <c r="I1646">
        <v>3</v>
      </c>
      <c r="J1646">
        <v>0.239886824</v>
      </c>
      <c r="P1646"/>
      <c r="V1646">
        <v>0.90350046248608795</v>
      </c>
      <c r="W1646">
        <v>3</v>
      </c>
      <c r="X1646">
        <v>75076.802639524001</v>
      </c>
      <c r="Y1646">
        <v>364179</v>
      </c>
      <c r="Z1646">
        <v>1.03598832377671E-2</v>
      </c>
      <c r="AA1646">
        <v>100</v>
      </c>
    </row>
    <row r="1647" spans="1:27" x14ac:dyDescent="0.2">
      <c r="A1647">
        <v>10</v>
      </c>
      <c r="B1647">
        <v>3</v>
      </c>
      <c r="C1647">
        <v>0.2</v>
      </c>
      <c r="D1647">
        <v>100</v>
      </c>
      <c r="E1647">
        <v>0.88943533831322596</v>
      </c>
      <c r="F1647">
        <v>3</v>
      </c>
      <c r="G1647">
        <v>37.515751311000002</v>
      </c>
      <c r="H1647">
        <v>0.95059653853411996</v>
      </c>
      <c r="I1647">
        <v>3</v>
      </c>
      <c r="J1647">
        <v>0.82992081699999998</v>
      </c>
      <c r="P1647"/>
      <c r="V1647">
        <v>0.90299172177361198</v>
      </c>
      <c r="W1647">
        <v>3</v>
      </c>
      <c r="X1647">
        <v>75681.868438663994</v>
      </c>
      <c r="Y1647">
        <v>309811</v>
      </c>
      <c r="Z1647">
        <v>5.8105461549330202E-3</v>
      </c>
      <c r="AA1647">
        <v>100</v>
      </c>
    </row>
    <row r="1648" spans="1:27" x14ac:dyDescent="0.2">
      <c r="A1648">
        <v>10</v>
      </c>
      <c r="B1648">
        <v>3</v>
      </c>
      <c r="C1648">
        <v>0.4</v>
      </c>
      <c r="D1648">
        <v>100</v>
      </c>
      <c r="E1648">
        <v>0.74527604360118005</v>
      </c>
      <c r="F1648">
        <v>3</v>
      </c>
      <c r="G1648">
        <v>40.162378390999997</v>
      </c>
      <c r="H1648">
        <v>0.78005875090468901</v>
      </c>
      <c r="I1648">
        <v>3</v>
      </c>
      <c r="J1648">
        <v>0.34822096200000002</v>
      </c>
      <c r="P1648"/>
      <c r="V1648">
        <v>0.78123980138688798</v>
      </c>
      <c r="W1648">
        <v>3</v>
      </c>
      <c r="X1648">
        <v>75411.886764776995</v>
      </c>
      <c r="Y1648">
        <v>399401</v>
      </c>
      <c r="Z1648">
        <v>4.6128578104800699E-2</v>
      </c>
      <c r="AA1648">
        <v>100</v>
      </c>
    </row>
    <row r="1649" spans="1:27" x14ac:dyDescent="0.2">
      <c r="A1649">
        <v>10</v>
      </c>
      <c r="B1649">
        <v>3</v>
      </c>
      <c r="C1649">
        <v>0.2</v>
      </c>
      <c r="D1649">
        <v>100</v>
      </c>
      <c r="E1649">
        <v>0.93694120536430103</v>
      </c>
      <c r="F1649">
        <v>3</v>
      </c>
      <c r="G1649">
        <v>35.565189703999998</v>
      </c>
      <c r="H1649">
        <v>0.93421708764432099</v>
      </c>
      <c r="I1649">
        <v>3</v>
      </c>
      <c r="J1649">
        <v>0.27430006400000001</v>
      </c>
      <c r="P1649"/>
      <c r="V1649">
        <v>1.0143944435549099</v>
      </c>
      <c r="W1649">
        <v>3</v>
      </c>
      <c r="X1649">
        <v>74569.552582521996</v>
      </c>
      <c r="Y1649">
        <v>430268</v>
      </c>
      <c r="Z1649">
        <v>2.2294659504644401E-3</v>
      </c>
      <c r="AA1649">
        <v>100</v>
      </c>
    </row>
    <row r="1650" spans="1:27" x14ac:dyDescent="0.2">
      <c r="A1650">
        <v>10</v>
      </c>
      <c r="B1650">
        <v>3</v>
      </c>
      <c r="C1650">
        <v>0.1</v>
      </c>
      <c r="D1650">
        <v>100</v>
      </c>
      <c r="E1650">
        <v>0.91280252316967703</v>
      </c>
      <c r="F1650">
        <v>3</v>
      </c>
      <c r="G1650">
        <v>39.333748649999997</v>
      </c>
      <c r="H1650">
        <v>0.91310983507452004</v>
      </c>
      <c r="I1650">
        <v>3</v>
      </c>
      <c r="J1650">
        <v>0.11408550000000001</v>
      </c>
      <c r="P1650"/>
      <c r="V1650">
        <v>0.928443113185763</v>
      </c>
      <c r="W1650">
        <v>3</v>
      </c>
      <c r="X1650">
        <v>75395.358126624007</v>
      </c>
      <c r="Y1650">
        <v>648462</v>
      </c>
      <c r="Z1650">
        <v>1.04295539929026E-2</v>
      </c>
      <c r="AA1650">
        <v>100</v>
      </c>
    </row>
    <row r="1651" spans="1:27" x14ac:dyDescent="0.2">
      <c r="A1651">
        <v>10</v>
      </c>
      <c r="B1651">
        <v>3</v>
      </c>
      <c r="C1651">
        <v>0.3</v>
      </c>
      <c r="D1651">
        <v>100</v>
      </c>
      <c r="E1651">
        <v>1.04979874534266</v>
      </c>
      <c r="F1651">
        <v>3</v>
      </c>
      <c r="G1651">
        <v>36.458700403000002</v>
      </c>
      <c r="H1651">
        <v>0.97713031414833995</v>
      </c>
      <c r="I1651">
        <v>3</v>
      </c>
      <c r="J1651">
        <v>0.83536719699999995</v>
      </c>
      <c r="P1651"/>
      <c r="V1651">
        <v>0.93615919087038002</v>
      </c>
      <c r="W1651">
        <v>3</v>
      </c>
      <c r="X1651">
        <v>74846.506238282003</v>
      </c>
      <c r="Y1651">
        <v>352381</v>
      </c>
      <c r="Z1651">
        <v>2.9711682309698901E-3</v>
      </c>
      <c r="AA1651">
        <v>100</v>
      </c>
    </row>
    <row r="1652" spans="1:27" x14ac:dyDescent="0.2">
      <c r="A1652">
        <v>10</v>
      </c>
      <c r="B1652">
        <v>3</v>
      </c>
      <c r="C1652">
        <v>0.4</v>
      </c>
      <c r="D1652">
        <v>100</v>
      </c>
      <c r="E1652">
        <v>0.84058999602403905</v>
      </c>
      <c r="F1652">
        <v>3</v>
      </c>
      <c r="G1652">
        <v>41.570752851000002</v>
      </c>
      <c r="H1652">
        <v>0.86230426857695197</v>
      </c>
      <c r="I1652">
        <v>3</v>
      </c>
      <c r="J1652">
        <v>0.76471279000000003</v>
      </c>
      <c r="P1652"/>
      <c r="V1652">
        <v>0.86451438611392795</v>
      </c>
      <c r="W1652">
        <v>3</v>
      </c>
      <c r="X1652">
        <v>75462.133505018006</v>
      </c>
      <c r="Y1652">
        <v>400335</v>
      </c>
      <c r="Z1652">
        <v>4.1316169375001897E-2</v>
      </c>
      <c r="AA1652">
        <v>100</v>
      </c>
    </row>
    <row r="1653" spans="1:27" x14ac:dyDescent="0.2">
      <c r="A1653">
        <v>10</v>
      </c>
      <c r="B1653">
        <v>3</v>
      </c>
      <c r="C1653">
        <v>0.4</v>
      </c>
      <c r="D1653">
        <v>100</v>
      </c>
      <c r="E1653">
        <v>0.78040811740760097</v>
      </c>
      <c r="F1653">
        <v>3</v>
      </c>
      <c r="G1653">
        <v>37.929504915999999</v>
      </c>
      <c r="H1653">
        <v>0.64008814113989798</v>
      </c>
      <c r="I1653">
        <v>3</v>
      </c>
      <c r="J1653">
        <v>0.81811830399999996</v>
      </c>
      <c r="P1653"/>
      <c r="V1653">
        <v>0.78526089173903502</v>
      </c>
      <c r="W1653">
        <v>3</v>
      </c>
      <c r="X1653">
        <v>75092.445045857006</v>
      </c>
      <c r="Y1653">
        <v>387574</v>
      </c>
      <c r="Z1653">
        <v>0.124127418511392</v>
      </c>
      <c r="AA1653">
        <v>100</v>
      </c>
    </row>
    <row r="1654" spans="1:27" x14ac:dyDescent="0.2">
      <c r="A1654">
        <v>10</v>
      </c>
      <c r="B1654">
        <v>3</v>
      </c>
      <c r="C1654">
        <v>0.4</v>
      </c>
      <c r="D1654">
        <v>100</v>
      </c>
      <c r="E1654">
        <v>0.73245525863081995</v>
      </c>
      <c r="F1654">
        <v>3</v>
      </c>
      <c r="G1654">
        <v>34.922959953000003</v>
      </c>
      <c r="H1654">
        <v>0.600295301966978</v>
      </c>
      <c r="I1654">
        <v>3</v>
      </c>
      <c r="J1654">
        <v>0.85534490399999996</v>
      </c>
      <c r="P1654"/>
      <c r="V1654">
        <v>0.60291394038303303</v>
      </c>
      <c r="W1654">
        <v>3</v>
      </c>
      <c r="X1654">
        <v>75390.099951675002</v>
      </c>
      <c r="Y1654">
        <v>431931</v>
      </c>
      <c r="Z1654">
        <v>1.7836442773299901E-2</v>
      </c>
      <c r="AA1654">
        <v>100</v>
      </c>
    </row>
    <row r="1655" spans="1:27" x14ac:dyDescent="0.2">
      <c r="A1655">
        <v>10</v>
      </c>
      <c r="B1655">
        <v>3</v>
      </c>
      <c r="C1655">
        <v>0.2</v>
      </c>
      <c r="D1655">
        <v>100</v>
      </c>
      <c r="E1655">
        <v>0.82566938316634697</v>
      </c>
      <c r="F1655">
        <v>3</v>
      </c>
      <c r="G1655">
        <v>40.435421935000001</v>
      </c>
      <c r="H1655">
        <v>0.831662419371203</v>
      </c>
      <c r="I1655">
        <v>3</v>
      </c>
      <c r="J1655">
        <v>0.35272954099999998</v>
      </c>
      <c r="P1655"/>
      <c r="V1655">
        <v>1.0197741009002499</v>
      </c>
      <c r="W1655">
        <v>3</v>
      </c>
      <c r="X1655">
        <v>75100.656904599004</v>
      </c>
      <c r="Y1655">
        <v>380842</v>
      </c>
      <c r="Z1655">
        <v>5.3121491944879903E-3</v>
      </c>
      <c r="AA1655">
        <v>100</v>
      </c>
    </row>
    <row r="1656" spans="1:27" x14ac:dyDescent="0.2">
      <c r="A1656">
        <v>10</v>
      </c>
      <c r="B1656">
        <v>3</v>
      </c>
      <c r="C1656">
        <v>0.3</v>
      </c>
      <c r="D1656">
        <v>100</v>
      </c>
      <c r="E1656">
        <v>0.78324323299241505</v>
      </c>
      <c r="F1656">
        <v>3</v>
      </c>
      <c r="G1656">
        <v>37.439351473999999</v>
      </c>
      <c r="H1656">
        <v>0.781592484117276</v>
      </c>
      <c r="I1656">
        <v>3</v>
      </c>
      <c r="J1656">
        <v>0.24834535099999999</v>
      </c>
      <c r="P1656"/>
      <c r="V1656">
        <v>0.78240211135702997</v>
      </c>
      <c r="W1656">
        <v>3</v>
      </c>
      <c r="X1656">
        <v>75427.961817051997</v>
      </c>
      <c r="Y1656">
        <v>386522</v>
      </c>
      <c r="Z1656">
        <v>9.4398706138235797E-2</v>
      </c>
      <c r="AA1656">
        <v>100</v>
      </c>
    </row>
    <row r="1657" spans="1:27" x14ac:dyDescent="0.2">
      <c r="A1657">
        <v>10</v>
      </c>
      <c r="B1657">
        <v>3</v>
      </c>
      <c r="C1657">
        <v>0.4</v>
      </c>
      <c r="D1657">
        <v>100</v>
      </c>
      <c r="E1657">
        <v>0.50802901672079603</v>
      </c>
      <c r="F1657">
        <v>3</v>
      </c>
      <c r="G1657">
        <v>38.535145350000001</v>
      </c>
      <c r="H1657">
        <v>0.42710781893880101</v>
      </c>
      <c r="I1657">
        <v>3</v>
      </c>
      <c r="J1657">
        <v>0.87144384600000002</v>
      </c>
      <c r="P1657"/>
      <c r="V1657">
        <v>0.92811841816614205</v>
      </c>
      <c r="W1657">
        <v>3</v>
      </c>
      <c r="X1657">
        <v>75057.944202376006</v>
      </c>
      <c r="Y1657">
        <v>469208</v>
      </c>
      <c r="Z1657">
        <v>8.6002541326455198E-2</v>
      </c>
      <c r="AA1657">
        <v>100</v>
      </c>
    </row>
    <row r="1658" spans="1:27" x14ac:dyDescent="0.2">
      <c r="A1658">
        <v>30</v>
      </c>
      <c r="B1658">
        <v>2</v>
      </c>
      <c r="C1658">
        <v>0.4</v>
      </c>
      <c r="D1658">
        <v>100</v>
      </c>
      <c r="E1658">
        <v>2.0079273052924999E-2</v>
      </c>
      <c r="F1658">
        <v>2</v>
      </c>
      <c r="G1658">
        <v>31.614394442999998</v>
      </c>
      <c r="H1658">
        <v>2.4603857606489098E-2</v>
      </c>
      <c r="I1658">
        <v>2</v>
      </c>
      <c r="J1658">
        <v>0.18759683899999999</v>
      </c>
      <c r="P1658"/>
      <c r="V1658">
        <v>1.6297932331671001E-2</v>
      </c>
      <c r="W1658">
        <v>2</v>
      </c>
      <c r="X1658">
        <v>75247.520708887998</v>
      </c>
      <c r="Y1658">
        <v>23326</v>
      </c>
      <c r="Z1658">
        <v>1.2884613951283199</v>
      </c>
      <c r="AA1658">
        <v>100</v>
      </c>
    </row>
    <row r="1659" spans="1:27" x14ac:dyDescent="0.2">
      <c r="A1659">
        <v>30</v>
      </c>
      <c r="B1659">
        <v>2</v>
      </c>
      <c r="C1659">
        <v>0.1</v>
      </c>
      <c r="D1659">
        <v>100</v>
      </c>
      <c r="E1659">
        <v>1.17941648284889</v>
      </c>
      <c r="F1659">
        <v>2</v>
      </c>
      <c r="G1659">
        <v>37.851833380000002</v>
      </c>
      <c r="H1659">
        <v>1.1045101114288101</v>
      </c>
      <c r="I1659">
        <v>2</v>
      </c>
      <c r="J1659">
        <v>1.695305238</v>
      </c>
      <c r="P1659"/>
      <c r="V1659">
        <v>1.1081833631935201</v>
      </c>
      <c r="W1659">
        <v>2</v>
      </c>
      <c r="X1659">
        <v>76981.689456526001</v>
      </c>
      <c r="Y1659">
        <v>52062</v>
      </c>
      <c r="Z1659">
        <v>5.7276963999210298E-2</v>
      </c>
      <c r="AA1659">
        <v>100</v>
      </c>
    </row>
    <row r="1660" spans="1:27" x14ac:dyDescent="0.2">
      <c r="A1660">
        <v>30</v>
      </c>
      <c r="B1660">
        <v>2</v>
      </c>
      <c r="C1660">
        <v>0.2</v>
      </c>
      <c r="D1660">
        <v>100</v>
      </c>
      <c r="E1660">
        <v>0.31089248495479099</v>
      </c>
      <c r="F1660">
        <v>2</v>
      </c>
      <c r="G1660">
        <v>37.056862864000003</v>
      </c>
      <c r="H1660">
        <v>0.129123611057571</v>
      </c>
      <c r="I1660">
        <v>2</v>
      </c>
      <c r="J1660">
        <v>0.88369656799999996</v>
      </c>
      <c r="P1660"/>
      <c r="V1660">
        <v>0.120799501139253</v>
      </c>
      <c r="W1660">
        <v>2</v>
      </c>
      <c r="X1660">
        <v>75510.118760464</v>
      </c>
      <c r="Y1660">
        <v>61553</v>
      </c>
      <c r="Z1660">
        <v>0.78346908044477404</v>
      </c>
      <c r="AA1660">
        <v>100</v>
      </c>
    </row>
    <row r="1661" spans="1:27" x14ac:dyDescent="0.2">
      <c r="A1661">
        <v>30</v>
      </c>
      <c r="B1661">
        <v>2</v>
      </c>
      <c r="C1661">
        <v>0.1</v>
      </c>
      <c r="D1661">
        <v>100</v>
      </c>
      <c r="E1661">
        <v>0.80512320839497398</v>
      </c>
      <c r="F1661">
        <v>2</v>
      </c>
      <c r="G1661">
        <v>39.226122994999997</v>
      </c>
      <c r="H1661">
        <v>0.71019144834314196</v>
      </c>
      <c r="I1661">
        <v>2</v>
      </c>
      <c r="J1661">
        <v>1.563428555</v>
      </c>
      <c r="P1661"/>
      <c r="V1661">
        <v>0.71054363762443795</v>
      </c>
      <c r="W1661">
        <v>2</v>
      </c>
      <c r="X1661">
        <v>75776.612837919994</v>
      </c>
      <c r="Y1661">
        <v>22370</v>
      </c>
      <c r="Z1661">
        <v>3.6003550108688297E-2</v>
      </c>
      <c r="AA1661">
        <v>100</v>
      </c>
    </row>
    <row r="1662" spans="1:27" x14ac:dyDescent="0.2">
      <c r="A1662">
        <v>30</v>
      </c>
      <c r="B1662">
        <v>2</v>
      </c>
      <c r="C1662">
        <v>0.2</v>
      </c>
      <c r="D1662">
        <v>100</v>
      </c>
      <c r="E1662">
        <v>0.169822246053519</v>
      </c>
      <c r="F1662">
        <v>2</v>
      </c>
      <c r="G1662">
        <v>38.206095419999997</v>
      </c>
      <c r="H1662">
        <v>6.7937535539474903E-2</v>
      </c>
      <c r="I1662">
        <v>2</v>
      </c>
      <c r="J1662">
        <v>0.61187551799999995</v>
      </c>
      <c r="P1662"/>
      <c r="V1662">
        <v>6.5475305037299397E-2</v>
      </c>
      <c r="W1662">
        <v>2</v>
      </c>
      <c r="X1662">
        <v>77732.598627569998</v>
      </c>
      <c r="Y1662">
        <v>21510</v>
      </c>
      <c r="Z1662">
        <v>0.84905702889409396</v>
      </c>
      <c r="AA1662">
        <v>100</v>
      </c>
    </row>
    <row r="1663" spans="1:27" x14ac:dyDescent="0.2">
      <c r="A1663">
        <v>30</v>
      </c>
      <c r="B1663">
        <v>2</v>
      </c>
      <c r="C1663">
        <v>0.3</v>
      </c>
      <c r="D1663">
        <v>100</v>
      </c>
      <c r="E1663">
        <v>0.24562451496836801</v>
      </c>
      <c r="F1663">
        <v>2</v>
      </c>
      <c r="G1663">
        <v>37.192326639000001</v>
      </c>
      <c r="H1663">
        <v>4.2881679082856602E-2</v>
      </c>
      <c r="I1663">
        <v>2</v>
      </c>
      <c r="J1663">
        <v>0.54928352700000005</v>
      </c>
      <c r="P1663"/>
      <c r="V1663">
        <v>3.8814271677507402E-2</v>
      </c>
      <c r="W1663">
        <v>2</v>
      </c>
      <c r="X1663">
        <v>79005.854760896997</v>
      </c>
      <c r="Y1663">
        <v>2430</v>
      </c>
      <c r="Z1663">
        <v>1.7406194803061199</v>
      </c>
      <c r="AA1663">
        <v>100</v>
      </c>
    </row>
    <row r="1664" spans="1:27" x14ac:dyDescent="0.2">
      <c r="A1664">
        <v>30</v>
      </c>
      <c r="B1664">
        <v>2</v>
      </c>
      <c r="C1664">
        <v>0.3</v>
      </c>
      <c r="D1664">
        <v>100</v>
      </c>
      <c r="E1664">
        <v>3.6905058822563397E-2</v>
      </c>
      <c r="F1664">
        <v>2</v>
      </c>
      <c r="G1664">
        <v>35.946382010000001</v>
      </c>
      <c r="H1664">
        <v>2.8983591355883701E-2</v>
      </c>
      <c r="I1664">
        <v>2</v>
      </c>
      <c r="J1664">
        <v>0.27309781599999999</v>
      </c>
      <c r="P1664"/>
      <c r="V1664">
        <v>2.1532740232737099E-2</v>
      </c>
      <c r="W1664">
        <v>2</v>
      </c>
      <c r="X1664">
        <v>80016.765765849996</v>
      </c>
      <c r="Y1664">
        <v>2470</v>
      </c>
      <c r="Z1664">
        <v>1.03397947180747</v>
      </c>
      <c r="AA1664">
        <v>100</v>
      </c>
    </row>
    <row r="1665" spans="1:27" x14ac:dyDescent="0.2">
      <c r="A1665">
        <v>30</v>
      </c>
      <c r="B1665">
        <v>2</v>
      </c>
      <c r="C1665">
        <v>0.4</v>
      </c>
      <c r="D1665">
        <v>100</v>
      </c>
      <c r="E1665">
        <v>0.127742127630218</v>
      </c>
      <c r="F1665">
        <v>2</v>
      </c>
      <c r="G1665">
        <v>35.749064605000001</v>
      </c>
      <c r="H1665">
        <v>5.2353448619111398E-2</v>
      </c>
      <c r="I1665">
        <v>2</v>
      </c>
      <c r="J1665">
        <v>0.52620972700000002</v>
      </c>
      <c r="P1665"/>
      <c r="V1665">
        <v>4.4686908245832997E-2</v>
      </c>
      <c r="W1665">
        <v>2</v>
      </c>
      <c r="X1665">
        <v>77725.875880888998</v>
      </c>
      <c r="Y1665">
        <v>2466</v>
      </c>
      <c r="Z1665">
        <v>1.23922136697181</v>
      </c>
      <c r="AA1665">
        <v>100</v>
      </c>
    </row>
    <row r="1666" spans="1:27" x14ac:dyDescent="0.2">
      <c r="A1666">
        <v>10</v>
      </c>
      <c r="B1666">
        <v>3</v>
      </c>
      <c r="C1666">
        <v>0.4</v>
      </c>
      <c r="D1666">
        <v>100</v>
      </c>
      <c r="E1666">
        <v>0.70179543023336799</v>
      </c>
      <c r="F1666">
        <v>3</v>
      </c>
      <c r="G1666">
        <v>41.177468709999999</v>
      </c>
      <c r="H1666">
        <v>0.73503906962071697</v>
      </c>
      <c r="I1666">
        <v>3</v>
      </c>
      <c r="J1666">
        <v>0.94798647300000005</v>
      </c>
      <c r="P1666"/>
      <c r="V1666">
        <v>0.73817414195415498</v>
      </c>
      <c r="W1666">
        <v>3</v>
      </c>
      <c r="X1666">
        <v>75080.384609639994</v>
      </c>
      <c r="Y1666">
        <v>333086</v>
      </c>
      <c r="Z1666">
        <v>0.22996458508256701</v>
      </c>
      <c r="AA1666">
        <v>100</v>
      </c>
    </row>
    <row r="1667" spans="1:27" x14ac:dyDescent="0.2">
      <c r="A1667">
        <v>10</v>
      </c>
      <c r="B1667">
        <v>3</v>
      </c>
      <c r="C1667">
        <v>0.3</v>
      </c>
      <c r="D1667">
        <v>100</v>
      </c>
      <c r="E1667">
        <v>0.79631461872860398</v>
      </c>
      <c r="F1667">
        <v>3</v>
      </c>
      <c r="G1667">
        <v>26.992527129999999</v>
      </c>
      <c r="H1667">
        <v>0.80146706866978301</v>
      </c>
      <c r="I1667">
        <v>3</v>
      </c>
      <c r="J1667">
        <v>0.149804189</v>
      </c>
      <c r="P1667"/>
      <c r="V1667">
        <v>0.80212188082361602</v>
      </c>
      <c r="W1667">
        <v>3</v>
      </c>
      <c r="X1667">
        <v>75378.859360977993</v>
      </c>
      <c r="Y1667">
        <v>372720</v>
      </c>
      <c r="Z1667">
        <v>0.10961533997966399</v>
      </c>
      <c r="AA1667">
        <v>100</v>
      </c>
    </row>
    <row r="1668" spans="1:27" x14ac:dyDescent="0.2">
      <c r="A1668">
        <v>10</v>
      </c>
      <c r="B1668">
        <v>3</v>
      </c>
      <c r="C1668">
        <v>0.3</v>
      </c>
      <c r="D1668">
        <v>100</v>
      </c>
      <c r="E1668">
        <v>0.78616921013125196</v>
      </c>
      <c r="F1668">
        <v>3</v>
      </c>
      <c r="G1668">
        <v>38.658226114000001</v>
      </c>
      <c r="H1668">
        <v>0.84660549823779496</v>
      </c>
      <c r="I1668">
        <v>3</v>
      </c>
      <c r="J1668">
        <v>0.67269895300000004</v>
      </c>
      <c r="P1668"/>
      <c r="V1668">
        <v>0.89420630776457399</v>
      </c>
      <c r="W1668">
        <v>3</v>
      </c>
      <c r="X1668">
        <v>75072.828920989996</v>
      </c>
      <c r="Y1668">
        <v>355196</v>
      </c>
      <c r="Z1668">
        <v>1.21989032127887E-2</v>
      </c>
      <c r="AA1668">
        <v>100</v>
      </c>
    </row>
    <row r="1669" spans="1:27" x14ac:dyDescent="0.2">
      <c r="A1669">
        <v>10</v>
      </c>
      <c r="B1669">
        <v>3</v>
      </c>
      <c r="C1669">
        <v>0.4</v>
      </c>
      <c r="D1669">
        <v>100</v>
      </c>
      <c r="E1669">
        <v>0.60673472095301595</v>
      </c>
      <c r="F1669">
        <v>3</v>
      </c>
      <c r="G1669">
        <v>35.636149273999997</v>
      </c>
      <c r="H1669">
        <v>0.53409547952138803</v>
      </c>
      <c r="I1669">
        <v>3</v>
      </c>
      <c r="J1669">
        <v>0.43391171499999998</v>
      </c>
      <c r="P1669"/>
      <c r="V1669">
        <v>0.53329369407097305</v>
      </c>
      <c r="W1669">
        <v>3</v>
      </c>
      <c r="X1669">
        <v>75058.057948603993</v>
      </c>
      <c r="Y1669">
        <v>383888</v>
      </c>
      <c r="Z1669">
        <v>7.1300185274594696E-2</v>
      </c>
      <c r="AA1669">
        <v>100</v>
      </c>
    </row>
    <row r="1670" spans="1:27" x14ac:dyDescent="0.2">
      <c r="A1670">
        <v>10</v>
      </c>
      <c r="B1670">
        <v>3</v>
      </c>
      <c r="C1670">
        <v>0.3</v>
      </c>
      <c r="D1670">
        <v>100</v>
      </c>
      <c r="E1670">
        <v>0.82642598298593195</v>
      </c>
      <c r="F1670">
        <v>3</v>
      </c>
      <c r="G1670">
        <v>35.776023508999998</v>
      </c>
      <c r="H1670">
        <v>0.82920652089548996</v>
      </c>
      <c r="I1670">
        <v>3</v>
      </c>
      <c r="J1670">
        <v>0.53180889899999995</v>
      </c>
      <c r="P1670"/>
      <c r="V1670">
        <v>0.82921904932391799</v>
      </c>
      <c r="W1670">
        <v>3</v>
      </c>
      <c r="X1670">
        <v>75072.758934554993</v>
      </c>
      <c r="Y1670">
        <v>377198</v>
      </c>
      <c r="Z1670">
        <v>4.0594086986797298E-2</v>
      </c>
      <c r="AA1670">
        <v>100</v>
      </c>
    </row>
    <row r="1671" spans="1:27" x14ac:dyDescent="0.2">
      <c r="A1671">
        <v>10</v>
      </c>
      <c r="B1671">
        <v>3</v>
      </c>
      <c r="C1671">
        <v>0.2</v>
      </c>
      <c r="D1671">
        <v>100</v>
      </c>
      <c r="E1671">
        <v>1.0118195312439</v>
      </c>
      <c r="F1671">
        <v>3</v>
      </c>
      <c r="G1671">
        <v>26.446033895999999</v>
      </c>
      <c r="H1671">
        <v>0.98544047549960001</v>
      </c>
      <c r="I1671">
        <v>3</v>
      </c>
      <c r="J1671">
        <v>0.18764997999999999</v>
      </c>
      <c r="P1671"/>
      <c r="V1671">
        <v>0.98635566387405904</v>
      </c>
      <c r="W1671">
        <v>3</v>
      </c>
      <c r="X1671">
        <v>75034.152315123996</v>
      </c>
      <c r="Y1671">
        <v>491783</v>
      </c>
      <c r="Z1671">
        <v>9.9903090612924808E-3</v>
      </c>
      <c r="AA1671">
        <v>100</v>
      </c>
    </row>
    <row r="1672" spans="1:27" x14ac:dyDescent="0.2">
      <c r="A1672">
        <v>10</v>
      </c>
      <c r="B1672">
        <v>3</v>
      </c>
      <c r="C1672">
        <v>0.4</v>
      </c>
      <c r="D1672">
        <v>100</v>
      </c>
      <c r="E1672">
        <v>0.68695652328453705</v>
      </c>
      <c r="F1672">
        <v>3</v>
      </c>
      <c r="G1672">
        <v>29.264981633000001</v>
      </c>
      <c r="H1672">
        <v>0.69798659698421694</v>
      </c>
      <c r="I1672">
        <v>3</v>
      </c>
      <c r="J1672">
        <v>0.64935490500000004</v>
      </c>
      <c r="P1672"/>
      <c r="V1672">
        <v>0.69781678857199603</v>
      </c>
      <c r="W1672">
        <v>3</v>
      </c>
      <c r="X1672">
        <v>75050.998376835996</v>
      </c>
      <c r="Y1672">
        <v>365733</v>
      </c>
      <c r="Z1672">
        <v>0.33492137709713699</v>
      </c>
      <c r="AA1672">
        <v>100</v>
      </c>
    </row>
    <row r="1673" spans="1:27" x14ac:dyDescent="0.2">
      <c r="A1673">
        <v>10</v>
      </c>
      <c r="B1673">
        <v>3</v>
      </c>
      <c r="C1673">
        <v>0.3</v>
      </c>
      <c r="D1673">
        <v>100</v>
      </c>
      <c r="E1673">
        <v>0.97445259214930902</v>
      </c>
      <c r="F1673">
        <v>3</v>
      </c>
      <c r="G1673">
        <v>36.54257638</v>
      </c>
      <c r="H1673">
        <v>0.74252548455964695</v>
      </c>
      <c r="I1673">
        <v>3</v>
      </c>
      <c r="J1673">
        <v>0.89994434599999995</v>
      </c>
      <c r="P1673"/>
      <c r="V1673">
        <v>0.74385683662876001</v>
      </c>
      <c r="W1673">
        <v>3</v>
      </c>
      <c r="X1673">
        <v>75083.200877807001</v>
      </c>
      <c r="Y1673">
        <v>388925</v>
      </c>
      <c r="Z1673">
        <v>3.3783622905730497E-2</v>
      </c>
      <c r="AA1673">
        <v>100</v>
      </c>
    </row>
    <row r="1674" spans="1:27" x14ac:dyDescent="0.2">
      <c r="A1674">
        <v>10</v>
      </c>
      <c r="B1674">
        <v>3</v>
      </c>
      <c r="C1674">
        <v>0.4</v>
      </c>
      <c r="D1674">
        <v>100</v>
      </c>
      <c r="E1674">
        <v>0.64301093007810295</v>
      </c>
      <c r="F1674">
        <v>3</v>
      </c>
      <c r="G1674">
        <v>37.579245561</v>
      </c>
      <c r="H1674">
        <v>0.52767995247394806</v>
      </c>
      <c r="I1674">
        <v>3</v>
      </c>
      <c r="J1674">
        <v>0.82933016999999998</v>
      </c>
      <c r="P1674"/>
      <c r="V1674">
        <v>0.52631077410054405</v>
      </c>
      <c r="W1674">
        <v>3</v>
      </c>
      <c r="X1674">
        <v>75606.037172626995</v>
      </c>
      <c r="Y1674">
        <v>348098</v>
      </c>
      <c r="Z1674">
        <v>0.33614093300239001</v>
      </c>
      <c r="AA1674">
        <v>100</v>
      </c>
    </row>
    <row r="1675" spans="1:27" x14ac:dyDescent="0.2">
      <c r="A1675">
        <v>10</v>
      </c>
      <c r="B1675">
        <v>3</v>
      </c>
      <c r="C1675">
        <v>0.4</v>
      </c>
      <c r="D1675">
        <v>100</v>
      </c>
      <c r="E1675">
        <v>0.718039716401908</v>
      </c>
      <c r="F1675">
        <v>3</v>
      </c>
      <c r="G1675">
        <v>42.727943015000001</v>
      </c>
      <c r="H1675">
        <v>0.79088228676514805</v>
      </c>
      <c r="I1675">
        <v>3</v>
      </c>
      <c r="J1675">
        <v>0.63879592699999999</v>
      </c>
      <c r="P1675"/>
      <c r="V1675">
        <v>0.791969136102462</v>
      </c>
      <c r="W1675">
        <v>3</v>
      </c>
      <c r="X1675">
        <v>75417.977171307997</v>
      </c>
      <c r="Y1675">
        <v>383679</v>
      </c>
      <c r="Z1675">
        <v>0.21390845359824501</v>
      </c>
      <c r="AA1675">
        <v>100</v>
      </c>
    </row>
    <row r="1676" spans="1:27" x14ac:dyDescent="0.2">
      <c r="A1676">
        <v>10</v>
      </c>
      <c r="B1676">
        <v>3</v>
      </c>
      <c r="C1676">
        <v>0.2</v>
      </c>
      <c r="D1676">
        <v>100</v>
      </c>
      <c r="E1676">
        <v>0.90547459762735205</v>
      </c>
      <c r="F1676">
        <v>3</v>
      </c>
      <c r="G1676">
        <v>38.241365489000003</v>
      </c>
      <c r="H1676">
        <v>0.90120459747989501</v>
      </c>
      <c r="I1676">
        <v>3</v>
      </c>
      <c r="J1676">
        <v>0.264352847</v>
      </c>
      <c r="P1676"/>
      <c r="V1676">
        <v>0.90130356319465299</v>
      </c>
      <c r="W1676">
        <v>3</v>
      </c>
      <c r="X1676">
        <v>75069.997114871003</v>
      </c>
      <c r="Y1676">
        <v>306770</v>
      </c>
      <c r="Z1676">
        <v>2.1921319796828501E-2</v>
      </c>
      <c r="AA1676">
        <v>100</v>
      </c>
    </row>
    <row r="1677" spans="1:27" x14ac:dyDescent="0.2">
      <c r="A1677">
        <v>10</v>
      </c>
      <c r="B1677">
        <v>3</v>
      </c>
      <c r="C1677">
        <v>0.4</v>
      </c>
      <c r="D1677">
        <v>100</v>
      </c>
      <c r="E1677">
        <v>0.75564265932583996</v>
      </c>
      <c r="F1677">
        <v>3</v>
      </c>
      <c r="G1677">
        <v>35.942705130999997</v>
      </c>
      <c r="H1677">
        <v>0.65316701139692701</v>
      </c>
      <c r="I1677">
        <v>3</v>
      </c>
      <c r="J1677">
        <v>0.62056496999999999</v>
      </c>
      <c r="P1677"/>
      <c r="V1677">
        <v>0.65712637011451003</v>
      </c>
      <c r="W1677">
        <v>3</v>
      </c>
      <c r="X1677">
        <v>75089.306889425003</v>
      </c>
      <c r="Y1677">
        <v>332370</v>
      </c>
      <c r="Z1677">
        <v>6.1232452380863799E-2</v>
      </c>
      <c r="AA1677">
        <v>100</v>
      </c>
    </row>
    <row r="1678" spans="1:27" x14ac:dyDescent="0.2">
      <c r="A1678">
        <v>10</v>
      </c>
      <c r="B1678">
        <v>3</v>
      </c>
      <c r="C1678">
        <v>0.3</v>
      </c>
      <c r="D1678">
        <v>100</v>
      </c>
      <c r="E1678">
        <v>0.90779982188320596</v>
      </c>
      <c r="F1678">
        <v>3</v>
      </c>
      <c r="G1678">
        <v>40.387107931999999</v>
      </c>
      <c r="H1678">
        <v>0.82380042765865102</v>
      </c>
      <c r="I1678">
        <v>3</v>
      </c>
      <c r="J1678">
        <v>0.60788873700000001</v>
      </c>
      <c r="P1678"/>
      <c r="V1678">
        <v>0.82410722911044298</v>
      </c>
      <c r="W1678">
        <v>3</v>
      </c>
      <c r="X1678">
        <v>75086.818682241996</v>
      </c>
      <c r="Y1678">
        <v>393594</v>
      </c>
      <c r="Z1678">
        <v>3.2334073399853697E-2</v>
      </c>
      <c r="AA1678">
        <v>100</v>
      </c>
    </row>
    <row r="1679" spans="1:27" x14ac:dyDescent="0.2">
      <c r="A1679">
        <v>10</v>
      </c>
      <c r="B1679">
        <v>3</v>
      </c>
      <c r="C1679">
        <v>0.2</v>
      </c>
      <c r="D1679">
        <v>100</v>
      </c>
      <c r="E1679">
        <v>0.86747423889472397</v>
      </c>
      <c r="F1679">
        <v>3</v>
      </c>
      <c r="G1679">
        <v>33.111545907999997</v>
      </c>
      <c r="H1679">
        <v>0.83768625247705797</v>
      </c>
      <c r="I1679">
        <v>3</v>
      </c>
      <c r="J1679">
        <v>9.9353836000000001E-2</v>
      </c>
      <c r="P1679"/>
      <c r="V1679">
        <v>0.92011788093278302</v>
      </c>
      <c r="W1679">
        <v>3</v>
      </c>
      <c r="X1679">
        <v>74991.871261099994</v>
      </c>
      <c r="Y1679">
        <v>551040</v>
      </c>
      <c r="Z1679">
        <v>4.2517817636284899E-3</v>
      </c>
      <c r="AA1679">
        <v>100</v>
      </c>
    </row>
    <row r="1680" spans="1:27" x14ac:dyDescent="0.2">
      <c r="A1680">
        <v>10</v>
      </c>
      <c r="B1680">
        <v>3</v>
      </c>
      <c r="C1680">
        <v>0.3</v>
      </c>
      <c r="D1680">
        <v>100</v>
      </c>
      <c r="E1680">
        <v>0.98391637922915498</v>
      </c>
      <c r="F1680">
        <v>3</v>
      </c>
      <c r="G1680">
        <v>37.97767271</v>
      </c>
      <c r="H1680">
        <v>0.97468762196969105</v>
      </c>
      <c r="I1680">
        <v>3</v>
      </c>
      <c r="J1680">
        <v>0.38807726300000001</v>
      </c>
      <c r="P1680"/>
      <c r="V1680">
        <v>0.97687308713716103</v>
      </c>
      <c r="W1680">
        <v>3</v>
      </c>
      <c r="X1680">
        <v>75047.446252110007</v>
      </c>
      <c r="Y1680">
        <v>374213</v>
      </c>
      <c r="Z1680">
        <v>3.7322947942070001E-2</v>
      </c>
      <c r="AA1680">
        <v>100</v>
      </c>
    </row>
    <row r="1681" spans="1:27" x14ac:dyDescent="0.2">
      <c r="A1681">
        <v>10</v>
      </c>
      <c r="B1681">
        <v>3</v>
      </c>
      <c r="C1681">
        <v>0.4</v>
      </c>
      <c r="D1681">
        <v>100</v>
      </c>
      <c r="E1681">
        <v>0.69727361872233795</v>
      </c>
      <c r="F1681">
        <v>3</v>
      </c>
      <c r="G1681">
        <v>43.822424724000001</v>
      </c>
      <c r="H1681">
        <v>0.65005164836491802</v>
      </c>
      <c r="I1681">
        <v>3</v>
      </c>
      <c r="J1681">
        <v>0.97490171400000003</v>
      </c>
      <c r="P1681"/>
      <c r="V1681">
        <v>0.65897968688549202</v>
      </c>
      <c r="W1681">
        <v>3</v>
      </c>
      <c r="X1681">
        <v>75409.782940621997</v>
      </c>
      <c r="Y1681">
        <v>341278</v>
      </c>
      <c r="Z1681">
        <v>0.41912648664020902</v>
      </c>
      <c r="AA1681">
        <v>100</v>
      </c>
    </row>
    <row r="1682" spans="1:27" x14ac:dyDescent="0.2">
      <c r="A1682">
        <v>10</v>
      </c>
      <c r="B1682">
        <v>3</v>
      </c>
      <c r="C1682">
        <v>0.3</v>
      </c>
      <c r="D1682">
        <v>100</v>
      </c>
      <c r="E1682">
        <v>0.96109085283917295</v>
      </c>
      <c r="F1682">
        <v>3</v>
      </c>
      <c r="G1682">
        <v>36.461914829000001</v>
      </c>
      <c r="H1682">
        <v>0.93885552857705501</v>
      </c>
      <c r="I1682">
        <v>3</v>
      </c>
      <c r="J1682">
        <v>0.94078580899999997</v>
      </c>
      <c r="P1682"/>
      <c r="V1682">
        <v>0.93999951640826895</v>
      </c>
      <c r="W1682">
        <v>3</v>
      </c>
      <c r="X1682">
        <v>75058.431562779995</v>
      </c>
      <c r="Y1682">
        <v>419506</v>
      </c>
      <c r="Z1682">
        <v>2.63950558019082E-2</v>
      </c>
      <c r="AA1682">
        <v>100</v>
      </c>
    </row>
    <row r="1683" spans="1:27" x14ac:dyDescent="0.2">
      <c r="A1683">
        <v>10</v>
      </c>
      <c r="B1683">
        <v>3</v>
      </c>
      <c r="C1683">
        <v>0.4</v>
      </c>
      <c r="D1683">
        <v>100</v>
      </c>
      <c r="E1683">
        <v>0.81740821329242697</v>
      </c>
      <c r="F1683">
        <v>3</v>
      </c>
      <c r="G1683">
        <v>37.468064263000002</v>
      </c>
      <c r="H1683">
        <v>0.89031341013674803</v>
      </c>
      <c r="I1683">
        <v>3</v>
      </c>
      <c r="J1683">
        <v>0.43806853000000001</v>
      </c>
      <c r="P1683"/>
      <c r="V1683">
        <v>0.89244348066155499</v>
      </c>
      <c r="W1683">
        <v>3</v>
      </c>
      <c r="X1683">
        <v>75089.212732590997</v>
      </c>
      <c r="Y1683">
        <v>375970</v>
      </c>
      <c r="Z1683">
        <v>5.89258368856697E-2</v>
      </c>
      <c r="AA1683">
        <v>100</v>
      </c>
    </row>
    <row r="1684" spans="1:27" x14ac:dyDescent="0.2">
      <c r="A1684">
        <v>10</v>
      </c>
      <c r="B1684">
        <v>3</v>
      </c>
      <c r="C1684">
        <v>0.3</v>
      </c>
      <c r="D1684">
        <v>100</v>
      </c>
      <c r="E1684">
        <v>0.94033039826425602</v>
      </c>
      <c r="F1684">
        <v>3</v>
      </c>
      <c r="G1684">
        <v>34.069533710999998</v>
      </c>
      <c r="H1684">
        <v>0.91499598000083804</v>
      </c>
      <c r="I1684">
        <v>3</v>
      </c>
      <c r="J1684">
        <v>0.31135970899999998</v>
      </c>
      <c r="P1684"/>
      <c r="V1684">
        <v>0.91496685182442605</v>
      </c>
      <c r="W1684">
        <v>3</v>
      </c>
      <c r="X1684">
        <v>75072.763618359997</v>
      </c>
      <c r="Y1684">
        <v>366973</v>
      </c>
      <c r="Z1684">
        <v>2.85968125026556E-2</v>
      </c>
      <c r="AA1684">
        <v>100</v>
      </c>
    </row>
    <row r="1685" spans="1:27" x14ac:dyDescent="0.2">
      <c r="A1685">
        <v>10</v>
      </c>
      <c r="B1685">
        <v>3</v>
      </c>
      <c r="C1685">
        <v>0.4</v>
      </c>
      <c r="D1685">
        <v>100</v>
      </c>
      <c r="E1685">
        <v>0.86205508919013596</v>
      </c>
      <c r="F1685">
        <v>3</v>
      </c>
      <c r="G1685">
        <v>32.413946314999997</v>
      </c>
      <c r="H1685">
        <v>0.81547088685138303</v>
      </c>
      <c r="I1685">
        <v>3</v>
      </c>
      <c r="J1685">
        <v>0.59416996</v>
      </c>
      <c r="P1685"/>
      <c r="V1685">
        <v>0.81528301331620401</v>
      </c>
      <c r="W1685">
        <v>3</v>
      </c>
      <c r="X1685">
        <v>75078.916296747993</v>
      </c>
      <c r="Y1685">
        <v>369397</v>
      </c>
      <c r="Z1685">
        <v>0.133026403098912</v>
      </c>
      <c r="AA1685">
        <v>100</v>
      </c>
    </row>
    <row r="1686" spans="1:27" x14ac:dyDescent="0.2">
      <c r="A1686">
        <v>10</v>
      </c>
      <c r="B1686">
        <v>3</v>
      </c>
      <c r="C1686">
        <v>0.2</v>
      </c>
      <c r="D1686">
        <v>100</v>
      </c>
      <c r="E1686">
        <v>0.90107585054804296</v>
      </c>
      <c r="F1686">
        <v>3</v>
      </c>
      <c r="G1686">
        <v>40.813507948000002</v>
      </c>
      <c r="H1686">
        <v>0.88882759748673301</v>
      </c>
      <c r="I1686">
        <v>3</v>
      </c>
      <c r="J1686">
        <v>0.12864747700000001</v>
      </c>
      <c r="P1686"/>
      <c r="V1686">
        <v>0.888857039633976</v>
      </c>
      <c r="W1686">
        <v>3</v>
      </c>
      <c r="X1686">
        <v>75060.939685713995</v>
      </c>
      <c r="Y1686">
        <v>403767</v>
      </c>
      <c r="Z1686">
        <v>4.7430428710868E-2</v>
      </c>
      <c r="AA1686">
        <v>100</v>
      </c>
    </row>
    <row r="1687" spans="1:27" x14ac:dyDescent="0.2">
      <c r="A1687">
        <v>10</v>
      </c>
      <c r="B1687">
        <v>3</v>
      </c>
      <c r="C1687">
        <v>0.3</v>
      </c>
      <c r="D1687">
        <v>100</v>
      </c>
      <c r="E1687">
        <v>0.99406029345013802</v>
      </c>
      <c r="F1687">
        <v>3</v>
      </c>
      <c r="G1687">
        <v>39.908873730000003</v>
      </c>
      <c r="H1687">
        <v>0.745473999287252</v>
      </c>
      <c r="I1687">
        <v>3</v>
      </c>
      <c r="J1687">
        <v>0.61915862399999999</v>
      </c>
      <c r="P1687"/>
      <c r="V1687">
        <v>0.74687937228343304</v>
      </c>
      <c r="W1687">
        <v>3</v>
      </c>
      <c r="X1687">
        <v>75075.859370310005</v>
      </c>
      <c r="Y1687">
        <v>309560</v>
      </c>
      <c r="Z1687">
        <v>8.3430484282839598E-2</v>
      </c>
      <c r="AA1687">
        <v>100</v>
      </c>
    </row>
    <row r="1688" spans="1:27" x14ac:dyDescent="0.2">
      <c r="A1688">
        <v>10</v>
      </c>
      <c r="B1688">
        <v>3</v>
      </c>
      <c r="C1688">
        <v>0.4</v>
      </c>
      <c r="D1688">
        <v>100</v>
      </c>
      <c r="E1688">
        <v>0.96147371590123998</v>
      </c>
      <c r="F1688">
        <v>3</v>
      </c>
      <c r="G1688">
        <v>33.284454529999998</v>
      </c>
      <c r="H1688">
        <v>0.63711420959118303</v>
      </c>
      <c r="I1688">
        <v>3</v>
      </c>
      <c r="J1688">
        <v>0.74921786599999995</v>
      </c>
      <c r="P1688"/>
      <c r="V1688">
        <v>0.63831460467413603</v>
      </c>
      <c r="W1688">
        <v>3</v>
      </c>
      <c r="X1688">
        <v>75223.821639100002</v>
      </c>
      <c r="Y1688">
        <v>429820</v>
      </c>
      <c r="Z1688">
        <v>0.174659270917121</v>
      </c>
      <c r="AA1688">
        <v>100</v>
      </c>
    </row>
    <row r="1689" spans="1:27" x14ac:dyDescent="0.2">
      <c r="A1689">
        <v>10</v>
      </c>
      <c r="B1689">
        <v>3</v>
      </c>
      <c r="C1689">
        <v>0.3</v>
      </c>
      <c r="D1689">
        <v>100</v>
      </c>
      <c r="E1689">
        <v>1.0553788744989101</v>
      </c>
      <c r="F1689">
        <v>3</v>
      </c>
      <c r="G1689">
        <v>37.395648241000004</v>
      </c>
      <c r="H1689">
        <v>0.91401904007767598</v>
      </c>
      <c r="I1689">
        <v>3</v>
      </c>
      <c r="J1689">
        <v>0.75657633000000002</v>
      </c>
      <c r="P1689"/>
      <c r="V1689">
        <v>0.91474888428495904</v>
      </c>
      <c r="W1689">
        <v>3</v>
      </c>
      <c r="X1689">
        <v>75414.184652645999</v>
      </c>
      <c r="Y1689">
        <v>333217</v>
      </c>
      <c r="Z1689">
        <v>2.0949122294041399E-2</v>
      </c>
      <c r="AA1689">
        <v>100</v>
      </c>
    </row>
    <row r="1690" spans="1:27" x14ac:dyDescent="0.2">
      <c r="A1690">
        <v>10</v>
      </c>
      <c r="B1690">
        <v>3</v>
      </c>
      <c r="C1690">
        <v>0.2</v>
      </c>
      <c r="D1690">
        <v>100</v>
      </c>
      <c r="E1690">
        <v>0.946360450873315</v>
      </c>
      <c r="F1690">
        <v>3</v>
      </c>
      <c r="G1690">
        <v>39.428744334000001</v>
      </c>
      <c r="H1690">
        <v>0.94041182991642203</v>
      </c>
      <c r="I1690">
        <v>3</v>
      </c>
      <c r="J1690">
        <v>0.12602548899999999</v>
      </c>
      <c r="P1690"/>
      <c r="V1690">
        <v>1.0577014345184199</v>
      </c>
      <c r="W1690">
        <v>3</v>
      </c>
      <c r="X1690">
        <v>75425.803409386004</v>
      </c>
      <c r="Y1690">
        <v>344067</v>
      </c>
      <c r="Z1690">
        <v>7.9803757453643497E-3</v>
      </c>
      <c r="AA1690">
        <v>100</v>
      </c>
    </row>
    <row r="1691" spans="1:27" x14ac:dyDescent="0.2">
      <c r="A1691">
        <v>10</v>
      </c>
      <c r="B1691">
        <v>3</v>
      </c>
      <c r="C1691">
        <v>0.4</v>
      </c>
      <c r="D1691">
        <v>100</v>
      </c>
      <c r="E1691">
        <v>0.72545054120713204</v>
      </c>
      <c r="F1691">
        <v>3</v>
      </c>
      <c r="G1691">
        <v>38.374365468999997</v>
      </c>
      <c r="H1691">
        <v>0.75724846864332296</v>
      </c>
      <c r="I1691">
        <v>3</v>
      </c>
      <c r="J1691">
        <v>0.94429252399999997</v>
      </c>
      <c r="P1691"/>
      <c r="V1691">
        <v>0.757989725859047</v>
      </c>
      <c r="W1691">
        <v>3</v>
      </c>
      <c r="X1691">
        <v>75446.342228465001</v>
      </c>
      <c r="Y1691">
        <v>360065</v>
      </c>
      <c r="Z1691">
        <v>4.5417167703505998E-2</v>
      </c>
      <c r="AA1691">
        <v>100</v>
      </c>
    </row>
    <row r="1692" spans="1:27" x14ac:dyDescent="0.2">
      <c r="A1692">
        <v>10</v>
      </c>
      <c r="B1692">
        <v>3</v>
      </c>
      <c r="C1692">
        <v>0.3</v>
      </c>
      <c r="D1692">
        <v>100</v>
      </c>
      <c r="E1692">
        <v>0.846719259672992</v>
      </c>
      <c r="F1692">
        <v>3</v>
      </c>
      <c r="G1692">
        <v>37.756426742000002</v>
      </c>
      <c r="H1692">
        <v>0.84472396952122197</v>
      </c>
      <c r="I1692">
        <v>3</v>
      </c>
      <c r="J1692">
        <v>0.54521281799999999</v>
      </c>
      <c r="P1692"/>
      <c r="V1692">
        <v>0.844795561016083</v>
      </c>
      <c r="W1692">
        <v>3</v>
      </c>
      <c r="X1692">
        <v>75394.728911340004</v>
      </c>
      <c r="Y1692">
        <v>352194</v>
      </c>
      <c r="Z1692">
        <v>6.7421156164892804E-2</v>
      </c>
      <c r="AA1692">
        <v>100</v>
      </c>
    </row>
    <row r="1693" spans="1:27" x14ac:dyDescent="0.2">
      <c r="A1693">
        <v>10</v>
      </c>
      <c r="B1693">
        <v>3</v>
      </c>
      <c r="C1693">
        <v>0.4</v>
      </c>
      <c r="D1693">
        <v>100</v>
      </c>
      <c r="E1693">
        <v>0.70769745770955295</v>
      </c>
      <c r="F1693">
        <v>3</v>
      </c>
      <c r="G1693">
        <v>35.917898811000001</v>
      </c>
      <c r="H1693">
        <v>0.75023244903111896</v>
      </c>
      <c r="I1693">
        <v>3</v>
      </c>
      <c r="J1693">
        <v>0.57948823900000002</v>
      </c>
      <c r="P1693"/>
      <c r="V1693">
        <v>0.75162265462220701</v>
      </c>
      <c r="W1693">
        <v>3</v>
      </c>
      <c r="X1693">
        <v>75083.067224933999</v>
      </c>
      <c r="Y1693">
        <v>355702</v>
      </c>
      <c r="Z1693">
        <v>0.271193352852444</v>
      </c>
      <c r="AA1693">
        <v>100</v>
      </c>
    </row>
    <row r="1694" spans="1:27" x14ac:dyDescent="0.2">
      <c r="A1694">
        <v>10</v>
      </c>
      <c r="B1694">
        <v>3</v>
      </c>
      <c r="C1694">
        <v>0.3</v>
      </c>
      <c r="D1694">
        <v>100</v>
      </c>
      <c r="E1694">
        <v>0.81553230818834799</v>
      </c>
      <c r="F1694">
        <v>3</v>
      </c>
      <c r="G1694">
        <v>36.700755540999999</v>
      </c>
      <c r="H1694">
        <v>0.77098752791649705</v>
      </c>
      <c r="I1694">
        <v>3</v>
      </c>
      <c r="J1694">
        <v>0.45581540599999998</v>
      </c>
      <c r="P1694"/>
      <c r="V1694">
        <v>0.770035269555714</v>
      </c>
      <c r="W1694">
        <v>3</v>
      </c>
      <c r="X1694">
        <v>75053.753116653999</v>
      </c>
      <c r="Y1694">
        <v>317722</v>
      </c>
      <c r="Z1694">
        <v>0.12490443231345499</v>
      </c>
      <c r="AA1694">
        <v>100</v>
      </c>
    </row>
    <row r="1695" spans="1:27" x14ac:dyDescent="0.2">
      <c r="A1695">
        <v>10</v>
      </c>
      <c r="B1695">
        <v>3</v>
      </c>
      <c r="C1695">
        <v>0.3</v>
      </c>
      <c r="D1695">
        <v>100</v>
      </c>
      <c r="E1695">
        <v>1.0569888229730799</v>
      </c>
      <c r="F1695">
        <v>3</v>
      </c>
      <c r="G1695">
        <v>34.771731168000002</v>
      </c>
      <c r="H1695">
        <v>1.0826592756030899</v>
      </c>
      <c r="I1695">
        <v>3</v>
      </c>
      <c r="J1695">
        <v>0.51963709000000002</v>
      </c>
      <c r="P1695"/>
      <c r="V1695">
        <v>0.99022316021457502</v>
      </c>
      <c r="W1695">
        <v>3</v>
      </c>
      <c r="X1695">
        <v>75043.11265825</v>
      </c>
      <c r="Y1695">
        <v>410948</v>
      </c>
      <c r="Z1695">
        <v>6.0419196885871601E-3</v>
      </c>
      <c r="AA1695">
        <v>100</v>
      </c>
    </row>
    <row r="1696" spans="1:27" x14ac:dyDescent="0.2">
      <c r="A1696">
        <v>10</v>
      </c>
      <c r="B1696">
        <v>3</v>
      </c>
      <c r="C1696">
        <v>0.4</v>
      </c>
      <c r="D1696">
        <v>100</v>
      </c>
      <c r="E1696">
        <v>0.82001534438388601</v>
      </c>
      <c r="F1696">
        <v>3</v>
      </c>
      <c r="G1696">
        <v>35.995285688999999</v>
      </c>
      <c r="H1696">
        <v>0.78424602166388102</v>
      </c>
      <c r="I1696">
        <v>3</v>
      </c>
      <c r="J1696">
        <v>0.94197188099999996</v>
      </c>
      <c r="P1696"/>
      <c r="V1696">
        <v>0.87576461391285798</v>
      </c>
      <c r="W1696">
        <v>3</v>
      </c>
      <c r="X1696">
        <v>75092.766551134002</v>
      </c>
      <c r="Y1696">
        <v>464991</v>
      </c>
      <c r="Z1696">
        <v>0.14168936508802199</v>
      </c>
      <c r="AA1696">
        <v>100</v>
      </c>
    </row>
    <row r="1697" spans="1:27" x14ac:dyDescent="0.2">
      <c r="A1697">
        <v>10</v>
      </c>
      <c r="B1697">
        <v>3</v>
      </c>
      <c r="C1697">
        <v>0.4</v>
      </c>
      <c r="D1697">
        <v>100</v>
      </c>
      <c r="E1697">
        <v>0.736184480331878</v>
      </c>
      <c r="F1697">
        <v>3</v>
      </c>
      <c r="G1697">
        <v>36.033973426000003</v>
      </c>
      <c r="H1697">
        <v>0.659877682118026</v>
      </c>
      <c r="I1697">
        <v>3</v>
      </c>
      <c r="J1697">
        <v>0.84201834399999997</v>
      </c>
      <c r="P1697"/>
      <c r="V1697">
        <v>0.83715696600604295</v>
      </c>
      <c r="W1697">
        <v>3</v>
      </c>
      <c r="X1697">
        <v>75411.284318624996</v>
      </c>
      <c r="Y1697">
        <v>332973</v>
      </c>
      <c r="Z1697">
        <v>9.1202351254243197E-2</v>
      </c>
      <c r="AA1697">
        <v>100</v>
      </c>
    </row>
    <row r="1698" spans="1:27" x14ac:dyDescent="0.2">
      <c r="A1698">
        <v>10</v>
      </c>
      <c r="B1698">
        <v>3</v>
      </c>
      <c r="C1698">
        <v>0.3</v>
      </c>
      <c r="D1698">
        <v>100</v>
      </c>
      <c r="E1698">
        <v>0.78456644286320698</v>
      </c>
      <c r="F1698">
        <v>3</v>
      </c>
      <c r="G1698">
        <v>31.882273882</v>
      </c>
      <c r="H1698">
        <v>0.75473089545112504</v>
      </c>
      <c r="I1698">
        <v>3</v>
      </c>
      <c r="J1698">
        <v>0.40331039800000001</v>
      </c>
      <c r="P1698"/>
      <c r="V1698">
        <v>0.75473049198324205</v>
      </c>
      <c r="W1698">
        <v>3</v>
      </c>
      <c r="X1698">
        <v>74990.121366673004</v>
      </c>
      <c r="Y1698">
        <v>397151</v>
      </c>
      <c r="Z1698">
        <v>9.4293352941121605E-3</v>
      </c>
      <c r="AA1698">
        <v>100</v>
      </c>
    </row>
    <row r="1699" spans="1:27" x14ac:dyDescent="0.2">
      <c r="A1699">
        <v>10</v>
      </c>
      <c r="B1699">
        <v>3</v>
      </c>
      <c r="C1699">
        <v>0.2</v>
      </c>
      <c r="D1699">
        <v>100</v>
      </c>
      <c r="E1699">
        <v>0.92826506301032397</v>
      </c>
      <c r="F1699">
        <v>3</v>
      </c>
      <c r="G1699">
        <v>41.507100059000003</v>
      </c>
      <c r="H1699">
        <v>0.92696866458323501</v>
      </c>
      <c r="I1699">
        <v>3</v>
      </c>
      <c r="J1699">
        <v>0.37949555400000001</v>
      </c>
      <c r="P1699"/>
      <c r="V1699">
        <v>0.95860259193421304</v>
      </c>
      <c r="W1699">
        <v>3</v>
      </c>
      <c r="X1699">
        <v>75101.034384931001</v>
      </c>
      <c r="Y1699">
        <v>301865</v>
      </c>
      <c r="Z1699">
        <v>1.81424030232658E-2</v>
      </c>
      <c r="AA1699">
        <v>100</v>
      </c>
    </row>
    <row r="1700" spans="1:27" x14ac:dyDescent="0.2">
      <c r="A1700">
        <v>10</v>
      </c>
      <c r="B1700">
        <v>3</v>
      </c>
      <c r="C1700">
        <v>0.4</v>
      </c>
      <c r="D1700">
        <v>100</v>
      </c>
      <c r="E1700">
        <v>0.68488242093768303</v>
      </c>
      <c r="F1700">
        <v>3</v>
      </c>
      <c r="G1700">
        <v>34.587849546000001</v>
      </c>
      <c r="H1700">
        <v>0.84848544442534701</v>
      </c>
      <c r="I1700">
        <v>3</v>
      </c>
      <c r="J1700">
        <v>0.78494936999999998</v>
      </c>
      <c r="P1700"/>
      <c r="V1700">
        <v>0.82732176840508198</v>
      </c>
      <c r="W1700">
        <v>3</v>
      </c>
      <c r="X1700">
        <v>75110.771920918996</v>
      </c>
      <c r="Y1700">
        <v>389709</v>
      </c>
      <c r="Z1700">
        <v>0.13092374643160701</v>
      </c>
      <c r="AA1700">
        <v>100</v>
      </c>
    </row>
    <row r="1701" spans="1:27" x14ac:dyDescent="0.2">
      <c r="A1701">
        <v>10</v>
      </c>
      <c r="B1701">
        <v>3</v>
      </c>
      <c r="C1701">
        <v>0.3</v>
      </c>
      <c r="D1701">
        <v>100</v>
      </c>
      <c r="E1701">
        <v>0.792363407999915</v>
      </c>
      <c r="F1701">
        <v>3</v>
      </c>
      <c r="G1701">
        <v>26.507081643999999</v>
      </c>
      <c r="H1701">
        <v>0.83116145887566295</v>
      </c>
      <c r="I1701">
        <v>3</v>
      </c>
      <c r="J1701">
        <v>0.319480763</v>
      </c>
      <c r="P1701"/>
      <c r="V1701">
        <v>0.83235055798048296</v>
      </c>
      <c r="W1701">
        <v>3</v>
      </c>
      <c r="X1701">
        <v>75050.409543033005</v>
      </c>
      <c r="Y1701">
        <v>426942</v>
      </c>
      <c r="Z1701">
        <v>0.14154556885540101</v>
      </c>
      <c r="AA1701">
        <v>100</v>
      </c>
    </row>
    <row r="1702" spans="1:27" x14ac:dyDescent="0.2">
      <c r="A1702">
        <v>10</v>
      </c>
      <c r="B1702">
        <v>3</v>
      </c>
      <c r="C1702">
        <v>0.4</v>
      </c>
      <c r="D1702">
        <v>100</v>
      </c>
      <c r="E1702">
        <v>0.81753113852697201</v>
      </c>
      <c r="F1702">
        <v>3</v>
      </c>
      <c r="G1702">
        <v>37.029684799000002</v>
      </c>
      <c r="H1702">
        <v>0.80003823787348705</v>
      </c>
      <c r="I1702">
        <v>3</v>
      </c>
      <c r="J1702">
        <v>0.30466480400000001</v>
      </c>
      <c r="P1702"/>
      <c r="V1702">
        <v>0.80140033927350995</v>
      </c>
      <c r="W1702">
        <v>3</v>
      </c>
      <c r="X1702">
        <v>75051.255085744997</v>
      </c>
      <c r="Y1702">
        <v>361073</v>
      </c>
      <c r="Z1702">
        <v>0.24693401286157499</v>
      </c>
      <c r="AA1702">
        <v>100</v>
      </c>
    </row>
    <row r="1703" spans="1:27" x14ac:dyDescent="0.2">
      <c r="A1703">
        <v>10</v>
      </c>
      <c r="B1703">
        <v>3</v>
      </c>
      <c r="C1703">
        <v>0.3</v>
      </c>
      <c r="D1703">
        <v>100</v>
      </c>
      <c r="E1703">
        <v>0.96236274347384898</v>
      </c>
      <c r="F1703">
        <v>3</v>
      </c>
      <c r="G1703">
        <v>37.119887013000003</v>
      </c>
      <c r="H1703">
        <v>0.93326575355979802</v>
      </c>
      <c r="I1703">
        <v>3</v>
      </c>
      <c r="J1703">
        <v>0.57007454599999996</v>
      </c>
      <c r="P1703"/>
      <c r="V1703">
        <v>0.93419197511923702</v>
      </c>
      <c r="W1703">
        <v>3</v>
      </c>
      <c r="X1703">
        <v>75089.354116785005</v>
      </c>
      <c r="Y1703">
        <v>306203</v>
      </c>
      <c r="Z1703">
        <v>8.3358047795415696E-2</v>
      </c>
      <c r="AA1703">
        <v>100</v>
      </c>
    </row>
    <row r="1704" spans="1:27" x14ac:dyDescent="0.2">
      <c r="A1704">
        <v>10</v>
      </c>
      <c r="B1704">
        <v>3</v>
      </c>
      <c r="C1704">
        <v>0.4</v>
      </c>
      <c r="D1704">
        <v>100</v>
      </c>
      <c r="E1704">
        <v>0.71135618558333003</v>
      </c>
      <c r="F1704">
        <v>3</v>
      </c>
      <c r="G1704">
        <v>35.528987813999997</v>
      </c>
      <c r="H1704">
        <v>0.62556763734372001</v>
      </c>
      <c r="I1704">
        <v>3</v>
      </c>
      <c r="J1704">
        <v>0.883364437</v>
      </c>
      <c r="P1704"/>
      <c r="V1704">
        <v>0.66040252676028</v>
      </c>
      <c r="W1704">
        <v>3</v>
      </c>
      <c r="X1704">
        <v>75100.621988453</v>
      </c>
      <c r="Y1704">
        <v>332337</v>
      </c>
      <c r="Z1704">
        <v>8.7639459238699299E-2</v>
      </c>
      <c r="AA1704">
        <v>100</v>
      </c>
    </row>
    <row r="1705" spans="1:27" x14ac:dyDescent="0.2">
      <c r="A1705">
        <v>10</v>
      </c>
      <c r="B1705">
        <v>3</v>
      </c>
      <c r="C1705">
        <v>0.3</v>
      </c>
      <c r="D1705">
        <v>100</v>
      </c>
      <c r="E1705">
        <v>0.79433787519747501</v>
      </c>
      <c r="F1705">
        <v>3</v>
      </c>
      <c r="G1705">
        <v>35.491729651</v>
      </c>
      <c r="H1705">
        <v>0.79727986214539004</v>
      </c>
      <c r="I1705">
        <v>3</v>
      </c>
      <c r="J1705">
        <v>0.123156128</v>
      </c>
      <c r="P1705"/>
      <c r="V1705">
        <v>0.79771296904115696</v>
      </c>
      <c r="W1705">
        <v>3</v>
      </c>
      <c r="X1705">
        <v>75051.925778452001</v>
      </c>
      <c r="Y1705">
        <v>423163</v>
      </c>
      <c r="Z1705">
        <v>0.10639179058307401</v>
      </c>
      <c r="AA1705">
        <v>100</v>
      </c>
    </row>
    <row r="1706" spans="1:27" x14ac:dyDescent="0.2">
      <c r="A1706">
        <v>10</v>
      </c>
      <c r="B1706">
        <v>3</v>
      </c>
      <c r="C1706">
        <v>0.2</v>
      </c>
      <c r="D1706">
        <v>100</v>
      </c>
      <c r="E1706">
        <v>0.86571001584028795</v>
      </c>
      <c r="F1706">
        <v>3</v>
      </c>
      <c r="G1706">
        <v>33.266892212000002</v>
      </c>
      <c r="H1706">
        <v>0.87271997957799297</v>
      </c>
      <c r="I1706">
        <v>3</v>
      </c>
      <c r="J1706">
        <v>8.3879207999999997E-2</v>
      </c>
      <c r="P1706"/>
      <c r="V1706">
        <v>0.94020181342007203</v>
      </c>
      <c r="W1706">
        <v>3</v>
      </c>
      <c r="X1706">
        <v>75418.694435885001</v>
      </c>
      <c r="Y1706">
        <v>417591</v>
      </c>
      <c r="Z1706">
        <v>9.8701836073413693E-3</v>
      </c>
      <c r="AA1706">
        <v>100</v>
      </c>
    </row>
    <row r="1707" spans="1:27" x14ac:dyDescent="0.2">
      <c r="A1707">
        <v>10</v>
      </c>
      <c r="B1707">
        <v>3</v>
      </c>
      <c r="C1707">
        <v>0.4</v>
      </c>
      <c r="D1707">
        <v>100</v>
      </c>
      <c r="E1707">
        <v>0.79707494803996304</v>
      </c>
      <c r="F1707">
        <v>3</v>
      </c>
      <c r="G1707">
        <v>32.244699773000001</v>
      </c>
      <c r="H1707">
        <v>0.72114776983079898</v>
      </c>
      <c r="I1707">
        <v>3</v>
      </c>
      <c r="J1707">
        <v>0.46163963200000002</v>
      </c>
      <c r="P1707"/>
      <c r="V1707">
        <v>0.72181177766843196</v>
      </c>
      <c r="W1707">
        <v>3</v>
      </c>
      <c r="X1707">
        <v>75276.089017602993</v>
      </c>
      <c r="Y1707">
        <v>338098</v>
      </c>
      <c r="Z1707">
        <v>0.56610735152049796</v>
      </c>
      <c r="AA1707">
        <v>100</v>
      </c>
    </row>
    <row r="1708" spans="1:27" x14ac:dyDescent="0.2">
      <c r="A1708">
        <v>10</v>
      </c>
      <c r="B1708">
        <v>3</v>
      </c>
      <c r="C1708">
        <v>0.4</v>
      </c>
      <c r="D1708">
        <v>100</v>
      </c>
      <c r="E1708">
        <v>0.70015283204937995</v>
      </c>
      <c r="F1708">
        <v>3</v>
      </c>
      <c r="G1708">
        <v>33.391960892</v>
      </c>
      <c r="H1708">
        <v>0.66050421915784197</v>
      </c>
      <c r="I1708">
        <v>3</v>
      </c>
      <c r="J1708">
        <v>0.72306037899999998</v>
      </c>
      <c r="P1708"/>
      <c r="V1708">
        <v>0.65974366649631899</v>
      </c>
      <c r="W1708">
        <v>3</v>
      </c>
      <c r="X1708">
        <v>75058.884523632005</v>
      </c>
      <c r="Y1708">
        <v>466837</v>
      </c>
      <c r="Z1708">
        <v>2.6490447487264802E-2</v>
      </c>
      <c r="AA1708">
        <v>100</v>
      </c>
    </row>
    <row r="1709" spans="1:27" x14ac:dyDescent="0.2">
      <c r="A1709">
        <v>10</v>
      </c>
      <c r="B1709">
        <v>3</v>
      </c>
      <c r="C1709">
        <v>0.2</v>
      </c>
      <c r="D1709">
        <v>100</v>
      </c>
      <c r="E1709">
        <v>0.88876821771402204</v>
      </c>
      <c r="F1709">
        <v>3</v>
      </c>
      <c r="G1709">
        <v>34.413490944999999</v>
      </c>
      <c r="H1709">
        <v>0.85909366224811101</v>
      </c>
      <c r="I1709">
        <v>3</v>
      </c>
      <c r="J1709">
        <v>0.44088571599999998</v>
      </c>
      <c r="P1709"/>
      <c r="V1709">
        <v>0.85920933132385302</v>
      </c>
      <c r="W1709">
        <v>3</v>
      </c>
      <c r="X1709">
        <v>75085.416110496997</v>
      </c>
      <c r="Y1709">
        <v>347364</v>
      </c>
      <c r="Z1709">
        <v>3.5559460091037901E-2</v>
      </c>
      <c r="AA1709">
        <v>100</v>
      </c>
    </row>
    <row r="1710" spans="1:27" x14ac:dyDescent="0.2">
      <c r="A1710">
        <v>10</v>
      </c>
      <c r="B1710">
        <v>3</v>
      </c>
      <c r="C1710">
        <v>0.4</v>
      </c>
      <c r="D1710">
        <v>100</v>
      </c>
      <c r="E1710">
        <v>0.67874428719019697</v>
      </c>
      <c r="F1710">
        <v>3</v>
      </c>
      <c r="G1710">
        <v>31.111631587000002</v>
      </c>
      <c r="H1710">
        <v>0.62188918432693896</v>
      </c>
      <c r="I1710">
        <v>3</v>
      </c>
      <c r="J1710">
        <v>0.460344433</v>
      </c>
      <c r="P1710"/>
      <c r="V1710">
        <v>0.62203941576057398</v>
      </c>
      <c r="W1710">
        <v>3</v>
      </c>
      <c r="X1710">
        <v>75046.215034081994</v>
      </c>
      <c r="Y1710">
        <v>364815</v>
      </c>
      <c r="Z1710">
        <v>0.28804526689600601</v>
      </c>
      <c r="AA1710">
        <v>100</v>
      </c>
    </row>
    <row r="1711" spans="1:27" x14ac:dyDescent="0.2">
      <c r="A1711">
        <v>10</v>
      </c>
      <c r="B1711">
        <v>3</v>
      </c>
      <c r="C1711">
        <v>0.2</v>
      </c>
      <c r="D1711">
        <v>100</v>
      </c>
      <c r="E1711">
        <v>0.93627131545502795</v>
      </c>
      <c r="F1711">
        <v>3</v>
      </c>
      <c r="G1711">
        <v>38.352832694</v>
      </c>
      <c r="H1711">
        <v>0.94389847640323199</v>
      </c>
      <c r="I1711">
        <v>3</v>
      </c>
      <c r="J1711">
        <v>0.20166406100000001</v>
      </c>
      <c r="P1711"/>
      <c r="V1711">
        <v>0.94420492014450197</v>
      </c>
      <c r="W1711">
        <v>3</v>
      </c>
      <c r="X1711">
        <v>75035.815341848996</v>
      </c>
      <c r="Y1711">
        <v>430129</v>
      </c>
      <c r="Z1711">
        <v>1.13376961314114E-2</v>
      </c>
      <c r="AA1711">
        <v>100</v>
      </c>
    </row>
    <row r="1712" spans="1:27" x14ac:dyDescent="0.2">
      <c r="A1712">
        <v>10</v>
      </c>
      <c r="B1712">
        <v>3</v>
      </c>
      <c r="C1712">
        <v>0.3</v>
      </c>
      <c r="D1712">
        <v>100</v>
      </c>
      <c r="E1712">
        <v>0.89629971632322403</v>
      </c>
      <c r="F1712">
        <v>3</v>
      </c>
      <c r="G1712">
        <v>31.977396384999999</v>
      </c>
      <c r="H1712">
        <v>0.88603022839412804</v>
      </c>
      <c r="I1712">
        <v>3</v>
      </c>
      <c r="J1712">
        <v>0.26171168900000003</v>
      </c>
      <c r="P1712"/>
      <c r="V1712">
        <v>0.88766767813067204</v>
      </c>
      <c r="W1712">
        <v>3</v>
      </c>
      <c r="X1712">
        <v>75050.547940015007</v>
      </c>
      <c r="Y1712">
        <v>408771</v>
      </c>
      <c r="Z1712">
        <v>3.7184339578018602E-2</v>
      </c>
      <c r="AA1712">
        <v>100</v>
      </c>
    </row>
    <row r="1713" spans="1:27" x14ac:dyDescent="0.2">
      <c r="A1713">
        <v>10</v>
      </c>
      <c r="B1713">
        <v>3</v>
      </c>
      <c r="C1713">
        <v>0.3</v>
      </c>
      <c r="D1713">
        <v>100</v>
      </c>
      <c r="E1713">
        <v>0.83506874715131896</v>
      </c>
      <c r="F1713">
        <v>3</v>
      </c>
      <c r="G1713">
        <v>33.743022345</v>
      </c>
      <c r="H1713">
        <v>0.84149530034502595</v>
      </c>
      <c r="I1713">
        <v>3</v>
      </c>
      <c r="J1713">
        <v>0.23688157600000001</v>
      </c>
      <c r="P1713"/>
      <c r="V1713">
        <v>0.84218233557901001</v>
      </c>
      <c r="W1713">
        <v>3</v>
      </c>
      <c r="X1713">
        <v>75051.771824224998</v>
      </c>
      <c r="Y1713">
        <v>355074</v>
      </c>
      <c r="Z1713">
        <v>9.2762038400937594E-2</v>
      </c>
      <c r="AA1713">
        <v>100</v>
      </c>
    </row>
    <row r="1714" spans="1:27" x14ac:dyDescent="0.2">
      <c r="A1714">
        <v>10</v>
      </c>
      <c r="B1714">
        <v>3</v>
      </c>
      <c r="C1714">
        <v>0.3</v>
      </c>
      <c r="D1714">
        <v>100</v>
      </c>
      <c r="E1714">
        <v>1.1788482528678099</v>
      </c>
      <c r="F1714">
        <v>3</v>
      </c>
      <c r="G1714">
        <v>35.020762024</v>
      </c>
      <c r="H1714">
        <v>0.77543867548939804</v>
      </c>
      <c r="I1714">
        <v>3</v>
      </c>
      <c r="J1714">
        <v>0.82701965</v>
      </c>
      <c r="P1714"/>
      <c r="V1714">
        <v>0.77651889595463597</v>
      </c>
      <c r="W1714">
        <v>3</v>
      </c>
      <c r="X1714">
        <v>75513.942356832995</v>
      </c>
      <c r="Y1714">
        <v>494882</v>
      </c>
      <c r="Z1714">
        <v>6.56563705864283E-2</v>
      </c>
      <c r="AA1714">
        <v>100</v>
      </c>
    </row>
    <row r="1715" spans="1:27" x14ac:dyDescent="0.2">
      <c r="A1715">
        <v>10</v>
      </c>
      <c r="B1715">
        <v>3</v>
      </c>
      <c r="C1715">
        <v>0.4</v>
      </c>
      <c r="D1715">
        <v>100</v>
      </c>
      <c r="E1715">
        <v>0.83670448038279099</v>
      </c>
      <c r="F1715">
        <v>3</v>
      </c>
      <c r="G1715">
        <v>36.603184464000002</v>
      </c>
      <c r="H1715">
        <v>0.78311010417926197</v>
      </c>
      <c r="I1715">
        <v>3</v>
      </c>
      <c r="J1715">
        <v>0.86335531799999998</v>
      </c>
      <c r="P1715"/>
      <c r="V1715">
        <v>0.94432670020145104</v>
      </c>
      <c r="W1715">
        <v>3</v>
      </c>
      <c r="X1715">
        <v>75499.624596070993</v>
      </c>
      <c r="Y1715">
        <v>459290</v>
      </c>
      <c r="Z1715">
        <v>4.3072975549803001E-2</v>
      </c>
      <c r="AA1715">
        <v>100</v>
      </c>
    </row>
    <row r="1716" spans="1:27" x14ac:dyDescent="0.2">
      <c r="A1716">
        <v>10</v>
      </c>
      <c r="B1716">
        <v>3</v>
      </c>
      <c r="C1716">
        <v>0.4</v>
      </c>
      <c r="D1716">
        <v>100</v>
      </c>
      <c r="E1716">
        <v>0.81870218728214195</v>
      </c>
      <c r="F1716">
        <v>3</v>
      </c>
      <c r="G1716">
        <v>39.437821022999998</v>
      </c>
      <c r="H1716">
        <v>0.826150039435673</v>
      </c>
      <c r="I1716">
        <v>3</v>
      </c>
      <c r="J1716">
        <v>1.067146462</v>
      </c>
      <c r="P1716"/>
      <c r="V1716">
        <v>0.83954475439437604</v>
      </c>
      <c r="W1716">
        <v>3</v>
      </c>
      <c r="X1716">
        <v>75450.505519042999</v>
      </c>
      <c r="Y1716">
        <v>401067</v>
      </c>
      <c r="Z1716">
        <v>5.6532629839783299E-2</v>
      </c>
      <c r="AA1716">
        <v>100</v>
      </c>
    </row>
    <row r="1717" spans="1:27" x14ac:dyDescent="0.2">
      <c r="A1717">
        <v>10</v>
      </c>
      <c r="B1717">
        <v>3</v>
      </c>
      <c r="C1717">
        <v>0.2</v>
      </c>
      <c r="D1717">
        <v>100</v>
      </c>
      <c r="E1717">
        <v>0.93495865415048596</v>
      </c>
      <c r="F1717">
        <v>3</v>
      </c>
      <c r="G1717">
        <v>33.731690720000003</v>
      </c>
      <c r="H1717">
        <v>0.93483008744004303</v>
      </c>
      <c r="I1717">
        <v>3</v>
      </c>
      <c r="J1717">
        <v>0.103799111</v>
      </c>
      <c r="P1717"/>
      <c r="V1717">
        <v>0.98293863302908802</v>
      </c>
      <c r="W1717">
        <v>3</v>
      </c>
      <c r="X1717">
        <v>75381.304193731004</v>
      </c>
      <c r="Y1717">
        <v>432092</v>
      </c>
      <c r="Z1717">
        <v>3.8067682817144802E-3</v>
      </c>
      <c r="AA1717">
        <v>100</v>
      </c>
    </row>
    <row r="1718" spans="1:27" x14ac:dyDescent="0.2">
      <c r="A1718">
        <v>10</v>
      </c>
      <c r="B1718">
        <v>3</v>
      </c>
      <c r="C1718">
        <v>0.4</v>
      </c>
      <c r="D1718">
        <v>100</v>
      </c>
      <c r="E1718">
        <v>0.87104047448035105</v>
      </c>
      <c r="F1718">
        <v>3</v>
      </c>
      <c r="G1718">
        <v>33.387207746999998</v>
      </c>
      <c r="H1718">
        <v>0.72296976084376996</v>
      </c>
      <c r="I1718">
        <v>3</v>
      </c>
      <c r="J1718">
        <v>0.76442010199999999</v>
      </c>
      <c r="P1718"/>
      <c r="V1718">
        <v>0.7228240275626</v>
      </c>
      <c r="W1718">
        <v>3</v>
      </c>
      <c r="X1718">
        <v>75209.616588841003</v>
      </c>
      <c r="Y1718">
        <v>408333</v>
      </c>
      <c r="Z1718">
        <v>0.12224401732924201</v>
      </c>
      <c r="AA1718">
        <v>100</v>
      </c>
    </row>
    <row r="1719" spans="1:27" x14ac:dyDescent="0.2">
      <c r="A1719">
        <v>10</v>
      </c>
      <c r="B1719">
        <v>3</v>
      </c>
      <c r="C1719">
        <v>0.3</v>
      </c>
      <c r="D1719">
        <v>100</v>
      </c>
      <c r="E1719">
        <v>0.93928377218991299</v>
      </c>
      <c r="F1719">
        <v>3</v>
      </c>
      <c r="G1719">
        <v>36.384989812999997</v>
      </c>
      <c r="H1719">
        <v>0.90972598028842999</v>
      </c>
      <c r="I1719">
        <v>3</v>
      </c>
      <c r="J1719">
        <v>0.43827928399999999</v>
      </c>
      <c r="P1719"/>
      <c r="V1719">
        <v>0.91025446537742405</v>
      </c>
      <c r="W1719">
        <v>3</v>
      </c>
      <c r="X1719">
        <v>75099.535496508994</v>
      </c>
      <c r="Y1719">
        <v>348620</v>
      </c>
      <c r="Z1719">
        <v>4.04804023617489E-2</v>
      </c>
      <c r="AA1719">
        <v>100</v>
      </c>
    </row>
    <row r="1720" spans="1:27" x14ac:dyDescent="0.2">
      <c r="A1720">
        <v>10</v>
      </c>
      <c r="B1720">
        <v>3</v>
      </c>
      <c r="C1720">
        <v>0.4</v>
      </c>
      <c r="D1720">
        <v>100</v>
      </c>
      <c r="E1720">
        <v>0.55992278861678701</v>
      </c>
      <c r="F1720">
        <v>3</v>
      </c>
      <c r="G1720">
        <v>33.731725642999997</v>
      </c>
      <c r="H1720">
        <v>0.689628216665508</v>
      </c>
      <c r="I1720">
        <v>3</v>
      </c>
      <c r="J1720">
        <v>0.60353220900000004</v>
      </c>
      <c r="P1720"/>
      <c r="V1720">
        <v>0.70015285714234399</v>
      </c>
      <c r="W1720">
        <v>3</v>
      </c>
      <c r="X1720">
        <v>75059.695361937993</v>
      </c>
      <c r="Y1720">
        <v>434001</v>
      </c>
      <c r="Z1720">
        <v>0.106306417861945</v>
      </c>
      <c r="AA1720">
        <v>100</v>
      </c>
    </row>
    <row r="1721" spans="1:27" x14ac:dyDescent="0.2">
      <c r="A1721">
        <v>10</v>
      </c>
      <c r="B1721">
        <v>3</v>
      </c>
      <c r="C1721">
        <v>0.3</v>
      </c>
      <c r="D1721">
        <v>100</v>
      </c>
      <c r="E1721">
        <v>0.76084492280096205</v>
      </c>
      <c r="F1721">
        <v>3</v>
      </c>
      <c r="G1721">
        <v>30.428505946000001</v>
      </c>
      <c r="H1721">
        <v>0.67076109608290801</v>
      </c>
      <c r="I1721">
        <v>3</v>
      </c>
      <c r="J1721">
        <v>0.421565258</v>
      </c>
      <c r="P1721"/>
      <c r="V1721">
        <v>0.67038680888517699</v>
      </c>
      <c r="W1721">
        <v>3</v>
      </c>
      <c r="X1721">
        <v>75401.204154660998</v>
      </c>
      <c r="Y1721">
        <v>330219</v>
      </c>
      <c r="Z1721">
        <v>7.32615835051212E-2</v>
      </c>
      <c r="AA1721">
        <v>100</v>
      </c>
    </row>
    <row r="1722" spans="1:27" x14ac:dyDescent="0.2">
      <c r="A1722">
        <v>10</v>
      </c>
      <c r="B1722">
        <v>3</v>
      </c>
      <c r="C1722">
        <v>0.4</v>
      </c>
      <c r="D1722">
        <v>100</v>
      </c>
      <c r="E1722">
        <v>0.70107963007919705</v>
      </c>
      <c r="F1722">
        <v>3</v>
      </c>
      <c r="G1722">
        <v>36.183734755000003</v>
      </c>
      <c r="H1722">
        <v>0.72934174883365799</v>
      </c>
      <c r="I1722">
        <v>3</v>
      </c>
      <c r="J1722">
        <v>0.72038814299999998</v>
      </c>
      <c r="P1722"/>
      <c r="V1722">
        <v>0.72955884579881902</v>
      </c>
      <c r="W1722">
        <v>3</v>
      </c>
      <c r="X1722">
        <v>75400.488345872</v>
      </c>
      <c r="Y1722">
        <v>447672</v>
      </c>
      <c r="Z1722">
        <v>8.2586063846727897E-2</v>
      </c>
      <c r="AA1722">
        <v>100</v>
      </c>
    </row>
    <row r="1723" spans="1:27" x14ac:dyDescent="0.2">
      <c r="A1723">
        <v>10</v>
      </c>
      <c r="B1723">
        <v>3</v>
      </c>
      <c r="C1723">
        <v>0.2</v>
      </c>
      <c r="D1723">
        <v>100</v>
      </c>
      <c r="E1723">
        <v>1.1353150142644399</v>
      </c>
      <c r="F1723">
        <v>3</v>
      </c>
      <c r="G1723">
        <v>32.500738472000002</v>
      </c>
      <c r="H1723">
        <v>0.82797556743694001</v>
      </c>
      <c r="I1723">
        <v>3</v>
      </c>
      <c r="J1723">
        <v>0.76153622099999996</v>
      </c>
      <c r="P1723"/>
      <c r="V1723">
        <v>0.82861632724888901</v>
      </c>
      <c r="W1723">
        <v>3</v>
      </c>
      <c r="X1723">
        <v>75039.235796073001</v>
      </c>
      <c r="Y1723">
        <v>340431</v>
      </c>
      <c r="Z1723">
        <v>1.7407304222012799E-2</v>
      </c>
      <c r="AA1723">
        <v>100</v>
      </c>
    </row>
    <row r="1724" spans="1:27" x14ac:dyDescent="0.2">
      <c r="A1724">
        <v>10</v>
      </c>
      <c r="B1724">
        <v>3</v>
      </c>
      <c r="C1724">
        <v>0.4</v>
      </c>
      <c r="D1724">
        <v>100</v>
      </c>
      <c r="E1724">
        <v>0.67857681754453503</v>
      </c>
      <c r="F1724">
        <v>3</v>
      </c>
      <c r="G1724">
        <v>36.695289875999997</v>
      </c>
      <c r="H1724">
        <v>0.75413669479121503</v>
      </c>
      <c r="I1724">
        <v>3</v>
      </c>
      <c r="J1724">
        <v>0.85255579999999997</v>
      </c>
      <c r="P1724"/>
      <c r="V1724">
        <v>0.75498921233931604</v>
      </c>
      <c r="W1724">
        <v>3</v>
      </c>
      <c r="X1724">
        <v>75087.975365559003</v>
      </c>
      <c r="Y1724">
        <v>366050</v>
      </c>
      <c r="Z1724">
        <v>4.1746522889861297E-2</v>
      </c>
      <c r="AA1724">
        <v>100</v>
      </c>
    </row>
    <row r="1725" spans="1:27" x14ac:dyDescent="0.2">
      <c r="A1725">
        <v>10</v>
      </c>
      <c r="B1725">
        <v>3</v>
      </c>
      <c r="C1725">
        <v>0.3</v>
      </c>
      <c r="D1725">
        <v>100</v>
      </c>
      <c r="E1725">
        <v>0.82428243790374101</v>
      </c>
      <c r="F1725">
        <v>3</v>
      </c>
      <c r="G1725">
        <v>31.228884498999999</v>
      </c>
      <c r="H1725">
        <v>0.85633028585668503</v>
      </c>
      <c r="I1725">
        <v>3</v>
      </c>
      <c r="J1725">
        <v>0.32181533000000001</v>
      </c>
      <c r="P1725"/>
      <c r="V1725">
        <v>0.92354011157197302</v>
      </c>
      <c r="W1725">
        <v>3</v>
      </c>
      <c r="X1725">
        <v>75370.425391459998</v>
      </c>
      <c r="Y1725">
        <v>365689</v>
      </c>
      <c r="Z1725">
        <v>6.6106150994311899E-2</v>
      </c>
      <c r="AA1725">
        <v>100</v>
      </c>
    </row>
    <row r="1726" spans="1:27" x14ac:dyDescent="0.2">
      <c r="A1726">
        <v>10</v>
      </c>
      <c r="B1726">
        <v>3</v>
      </c>
      <c r="C1726">
        <v>0.4</v>
      </c>
      <c r="D1726">
        <v>100</v>
      </c>
      <c r="E1726">
        <v>0.880754393823868</v>
      </c>
      <c r="F1726">
        <v>3</v>
      </c>
      <c r="G1726">
        <v>33.484705990000002</v>
      </c>
      <c r="H1726">
        <v>0.89920522552600202</v>
      </c>
      <c r="I1726">
        <v>3</v>
      </c>
      <c r="J1726">
        <v>0.59257823799999998</v>
      </c>
      <c r="P1726"/>
      <c r="V1726">
        <v>0.90082779226689003</v>
      </c>
      <c r="W1726">
        <v>3</v>
      </c>
      <c r="X1726">
        <v>75375.804471588999</v>
      </c>
      <c r="Y1726">
        <v>447913</v>
      </c>
      <c r="Z1726">
        <v>0.11706697516879599</v>
      </c>
      <c r="AA1726">
        <v>100</v>
      </c>
    </row>
    <row r="1727" spans="1:27" x14ac:dyDescent="0.2">
      <c r="A1727">
        <v>10</v>
      </c>
      <c r="B1727">
        <v>3</v>
      </c>
      <c r="C1727">
        <v>0.3</v>
      </c>
      <c r="D1727">
        <v>100</v>
      </c>
      <c r="E1727">
        <v>0.96998733315431895</v>
      </c>
      <c r="F1727">
        <v>3</v>
      </c>
      <c r="G1727">
        <v>40.037562606999998</v>
      </c>
      <c r="H1727">
        <v>0.95825850550277603</v>
      </c>
      <c r="I1727">
        <v>3</v>
      </c>
      <c r="J1727">
        <v>0.73374571700000002</v>
      </c>
      <c r="P1727"/>
      <c r="V1727">
        <v>0.95897157734507799</v>
      </c>
      <c r="W1727">
        <v>3</v>
      </c>
      <c r="X1727">
        <v>75105.529707327005</v>
      </c>
      <c r="Y1727">
        <v>360835</v>
      </c>
      <c r="Z1727">
        <v>3.07556239971985E-2</v>
      </c>
      <c r="AA1727">
        <v>100</v>
      </c>
    </row>
    <row r="1728" spans="1:27" x14ac:dyDescent="0.2">
      <c r="A1728">
        <v>10</v>
      </c>
      <c r="B1728">
        <v>3</v>
      </c>
      <c r="C1728">
        <v>0.4</v>
      </c>
      <c r="D1728">
        <v>100</v>
      </c>
      <c r="E1728">
        <v>1.09304350949138</v>
      </c>
      <c r="F1728">
        <v>3</v>
      </c>
      <c r="G1728">
        <v>39.630534933</v>
      </c>
      <c r="H1728">
        <v>0.94115933913056404</v>
      </c>
      <c r="I1728">
        <v>3</v>
      </c>
      <c r="J1728">
        <v>0.68210561599999997</v>
      </c>
      <c r="P1728"/>
      <c r="V1728">
        <v>0.94312867602756401</v>
      </c>
      <c r="W1728">
        <v>3</v>
      </c>
      <c r="X1728">
        <v>75097.228941826994</v>
      </c>
      <c r="Y1728">
        <v>382782</v>
      </c>
      <c r="Z1728">
        <v>1.99576600841854E-2</v>
      </c>
      <c r="AA1728">
        <v>100</v>
      </c>
    </row>
    <row r="1729" spans="1:27" x14ac:dyDescent="0.2">
      <c r="A1729">
        <v>10</v>
      </c>
      <c r="B1729">
        <v>3</v>
      </c>
      <c r="C1729">
        <v>0.2</v>
      </c>
      <c r="D1729">
        <v>100</v>
      </c>
      <c r="E1729">
        <v>0.94659575536097096</v>
      </c>
      <c r="F1729">
        <v>3</v>
      </c>
      <c r="G1729">
        <v>32.602666051</v>
      </c>
      <c r="H1729">
        <v>0.800736925155483</v>
      </c>
      <c r="I1729">
        <v>3</v>
      </c>
      <c r="J1729">
        <v>0.56704844700000001</v>
      </c>
      <c r="P1729"/>
      <c r="V1729">
        <v>0.80051503361190501</v>
      </c>
      <c r="W1729">
        <v>3</v>
      </c>
      <c r="X1729">
        <v>75042.264676894003</v>
      </c>
      <c r="Y1729">
        <v>361546</v>
      </c>
      <c r="Z1729">
        <v>7.2143304481869494E-2</v>
      </c>
      <c r="AA1729">
        <v>100</v>
      </c>
    </row>
    <row r="1730" spans="1:27" x14ac:dyDescent="0.2">
      <c r="A1730">
        <v>10</v>
      </c>
      <c r="B1730">
        <v>3</v>
      </c>
      <c r="C1730">
        <v>0.3</v>
      </c>
      <c r="D1730">
        <v>100</v>
      </c>
      <c r="E1730">
        <v>0.76104687387510295</v>
      </c>
      <c r="F1730">
        <v>3</v>
      </c>
      <c r="G1730">
        <v>36.834795173000003</v>
      </c>
      <c r="H1730">
        <v>0.72479365584712097</v>
      </c>
      <c r="I1730">
        <v>3</v>
      </c>
      <c r="J1730">
        <v>0.45508174299999998</v>
      </c>
      <c r="P1730"/>
      <c r="V1730">
        <v>1.0342551423694499</v>
      </c>
      <c r="W1730">
        <v>3</v>
      </c>
      <c r="X1730">
        <v>75089.395449624004</v>
      </c>
      <c r="Y1730">
        <v>345461</v>
      </c>
      <c r="Z1730">
        <v>8.8093108269965095E-2</v>
      </c>
      <c r="AA1730">
        <v>100</v>
      </c>
    </row>
    <row r="1731" spans="1:27" x14ac:dyDescent="0.2">
      <c r="A1731">
        <v>10</v>
      </c>
      <c r="B1731">
        <v>3</v>
      </c>
      <c r="C1731">
        <v>0.3</v>
      </c>
      <c r="D1731">
        <v>100</v>
      </c>
      <c r="E1731">
        <v>0.91491437775242002</v>
      </c>
      <c r="F1731">
        <v>3</v>
      </c>
      <c r="G1731">
        <v>33.841006897</v>
      </c>
      <c r="H1731">
        <v>0.852124100194108</v>
      </c>
      <c r="I1731">
        <v>3</v>
      </c>
      <c r="J1731">
        <v>0.63186129000000002</v>
      </c>
      <c r="P1731"/>
      <c r="V1731">
        <v>0.85365446631233599</v>
      </c>
      <c r="W1731">
        <v>3</v>
      </c>
      <c r="X1731">
        <v>75786.082893325001</v>
      </c>
      <c r="Y1731">
        <v>427724</v>
      </c>
      <c r="Z1731">
        <v>3.8174642655755403E-2</v>
      </c>
      <c r="AA1731">
        <v>100</v>
      </c>
    </row>
    <row r="1732" spans="1:27" x14ac:dyDescent="0.2">
      <c r="A1732">
        <v>10</v>
      </c>
      <c r="B1732">
        <v>3</v>
      </c>
      <c r="C1732">
        <v>0.4</v>
      </c>
      <c r="D1732">
        <v>100</v>
      </c>
      <c r="E1732">
        <v>0.69466994684237304</v>
      </c>
      <c r="F1732">
        <v>3</v>
      </c>
      <c r="G1732">
        <v>32.925065433</v>
      </c>
      <c r="H1732">
        <v>0.612218865397406</v>
      </c>
      <c r="I1732">
        <v>3</v>
      </c>
      <c r="J1732">
        <v>0.75668624500000004</v>
      </c>
      <c r="P1732"/>
      <c r="V1732">
        <v>0.61127066228384797</v>
      </c>
      <c r="W1732">
        <v>3</v>
      </c>
      <c r="X1732">
        <v>75046.246129117004</v>
      </c>
      <c r="Y1732">
        <v>353501</v>
      </c>
      <c r="Z1732">
        <v>0.39651083510480201</v>
      </c>
      <c r="AA1732">
        <v>100</v>
      </c>
    </row>
    <row r="1733" spans="1:27" x14ac:dyDescent="0.2">
      <c r="A1733">
        <v>10</v>
      </c>
      <c r="B1733">
        <v>3</v>
      </c>
      <c r="C1733">
        <v>0.3</v>
      </c>
      <c r="D1733">
        <v>100</v>
      </c>
      <c r="E1733">
        <v>0.89243972452741405</v>
      </c>
      <c r="F1733">
        <v>3</v>
      </c>
      <c r="G1733">
        <v>32.317340905000002</v>
      </c>
      <c r="H1733">
        <v>0.89950870870366395</v>
      </c>
      <c r="I1733">
        <v>3</v>
      </c>
      <c r="J1733">
        <v>0.27751266299999999</v>
      </c>
      <c r="P1733"/>
      <c r="V1733">
        <v>0.90111835287011699</v>
      </c>
      <c r="W1733">
        <v>3</v>
      </c>
      <c r="X1733">
        <v>75055.169369449999</v>
      </c>
      <c r="Y1733">
        <v>406013</v>
      </c>
      <c r="Z1733">
        <v>4.1296285043690102E-2</v>
      </c>
      <c r="AA1733">
        <v>100</v>
      </c>
    </row>
    <row r="1734" spans="1:27" x14ac:dyDescent="0.2">
      <c r="A1734">
        <v>10</v>
      </c>
      <c r="B1734">
        <v>3</v>
      </c>
      <c r="C1734">
        <v>0.4</v>
      </c>
      <c r="D1734">
        <v>100</v>
      </c>
      <c r="E1734">
        <v>0.68947794439472099</v>
      </c>
      <c r="F1734">
        <v>3</v>
      </c>
      <c r="G1734">
        <v>37.350998574999998</v>
      </c>
      <c r="H1734">
        <v>0.72198666541050405</v>
      </c>
      <c r="I1734">
        <v>3</v>
      </c>
      <c r="J1734">
        <v>0.63416360599999999</v>
      </c>
      <c r="P1734"/>
      <c r="V1734">
        <v>0.72308486004608197</v>
      </c>
      <c r="W1734">
        <v>3</v>
      </c>
      <c r="X1734">
        <v>75362.454425082004</v>
      </c>
      <c r="Y1734">
        <v>338552</v>
      </c>
      <c r="Z1734">
        <v>9.3287970237279805E-2</v>
      </c>
      <c r="AA1734">
        <v>100</v>
      </c>
    </row>
    <row r="1735" spans="1:27" x14ac:dyDescent="0.2">
      <c r="A1735">
        <v>10</v>
      </c>
      <c r="B1735">
        <v>3</v>
      </c>
      <c r="C1735">
        <v>0.2</v>
      </c>
      <c r="D1735">
        <v>100</v>
      </c>
      <c r="E1735">
        <v>0.89730653907674096</v>
      </c>
      <c r="F1735">
        <v>3</v>
      </c>
      <c r="G1735">
        <v>39.773772796000003</v>
      </c>
      <c r="H1735">
        <v>0.91099075552123998</v>
      </c>
      <c r="I1735">
        <v>3</v>
      </c>
      <c r="J1735">
        <v>0.66148556199999997</v>
      </c>
      <c r="P1735"/>
      <c r="V1735">
        <v>1.22331174863286</v>
      </c>
      <c r="W1735">
        <v>3</v>
      </c>
      <c r="X1735">
        <v>75108.440026573997</v>
      </c>
      <c r="Y1735">
        <v>390175</v>
      </c>
      <c r="Z1735">
        <v>3.1244229457966999E-2</v>
      </c>
      <c r="AA1735">
        <v>100</v>
      </c>
    </row>
    <row r="1736" spans="1:27" x14ac:dyDescent="0.2">
      <c r="A1736">
        <v>10</v>
      </c>
      <c r="B1736">
        <v>3</v>
      </c>
      <c r="C1736">
        <v>0.3</v>
      </c>
      <c r="D1736">
        <v>100</v>
      </c>
      <c r="E1736">
        <v>0.89984798614457795</v>
      </c>
      <c r="F1736">
        <v>3</v>
      </c>
      <c r="G1736">
        <v>34.952035395000003</v>
      </c>
      <c r="H1736">
        <v>0.84179172724455498</v>
      </c>
      <c r="I1736">
        <v>3</v>
      </c>
      <c r="J1736">
        <v>0.29920778100000001</v>
      </c>
      <c r="P1736"/>
      <c r="V1736">
        <v>0.90607397934435396</v>
      </c>
      <c r="W1736">
        <v>3</v>
      </c>
      <c r="X1736">
        <v>75053.262098670006</v>
      </c>
      <c r="Y1736">
        <v>463880</v>
      </c>
      <c r="Z1736">
        <v>0.12966743337599601</v>
      </c>
      <c r="AA1736">
        <v>100</v>
      </c>
    </row>
    <row r="1737" spans="1:27" x14ac:dyDescent="0.2">
      <c r="A1737">
        <v>10</v>
      </c>
      <c r="B1737">
        <v>3</v>
      </c>
      <c r="C1737">
        <v>0.4</v>
      </c>
      <c r="D1737">
        <v>100</v>
      </c>
      <c r="E1737">
        <v>0.74129787491314303</v>
      </c>
      <c r="F1737">
        <v>3</v>
      </c>
      <c r="G1737">
        <v>32.690335828999999</v>
      </c>
      <c r="H1737">
        <v>0.75704172501549705</v>
      </c>
      <c r="I1737">
        <v>3</v>
      </c>
      <c r="J1737">
        <v>0.52426627699999995</v>
      </c>
      <c r="P1737"/>
      <c r="V1737">
        <v>0.75840337088799903</v>
      </c>
      <c r="W1737">
        <v>3</v>
      </c>
      <c r="X1737">
        <v>75374.885141210994</v>
      </c>
      <c r="Y1737">
        <v>386785</v>
      </c>
      <c r="Z1737">
        <v>9.3933885691293503E-3</v>
      </c>
      <c r="AA1737">
        <v>100</v>
      </c>
    </row>
    <row r="1738" spans="1:27" x14ac:dyDescent="0.2">
      <c r="A1738">
        <v>10</v>
      </c>
      <c r="B1738">
        <v>3</v>
      </c>
      <c r="C1738">
        <v>0.2</v>
      </c>
      <c r="D1738">
        <v>100</v>
      </c>
      <c r="E1738">
        <v>0.92815315268034404</v>
      </c>
      <c r="F1738">
        <v>3</v>
      </c>
      <c r="G1738">
        <v>25.558214340999999</v>
      </c>
      <c r="H1738">
        <v>0.89316437895802403</v>
      </c>
      <c r="I1738">
        <v>3</v>
      </c>
      <c r="J1738">
        <v>0.19049268599999999</v>
      </c>
      <c r="P1738"/>
      <c r="V1738">
        <v>0.89326685073815604</v>
      </c>
      <c r="W1738">
        <v>3</v>
      </c>
      <c r="X1738">
        <v>75371.374106540999</v>
      </c>
      <c r="Y1738">
        <v>292566</v>
      </c>
      <c r="Z1738">
        <v>3.6185415295114903E-2</v>
      </c>
      <c r="AA1738">
        <v>100</v>
      </c>
    </row>
    <row r="1739" spans="1:27" x14ac:dyDescent="0.2">
      <c r="A1739">
        <v>10</v>
      </c>
      <c r="B1739">
        <v>3</v>
      </c>
      <c r="C1739">
        <v>0.3</v>
      </c>
      <c r="D1739">
        <v>100</v>
      </c>
      <c r="E1739">
        <v>0.86209842273406101</v>
      </c>
      <c r="F1739">
        <v>3</v>
      </c>
      <c r="G1739">
        <v>25.854671890999999</v>
      </c>
      <c r="H1739">
        <v>0.87600401051620902</v>
      </c>
      <c r="I1739">
        <v>3</v>
      </c>
      <c r="J1739">
        <v>0.18926543500000001</v>
      </c>
      <c r="P1739"/>
      <c r="V1739">
        <v>0.87766094805146899</v>
      </c>
      <c r="W1739">
        <v>3</v>
      </c>
      <c r="X1739">
        <v>75057.311119624006</v>
      </c>
      <c r="Y1739">
        <v>323672</v>
      </c>
      <c r="Z1739">
        <v>9.0243605951850995E-3</v>
      </c>
      <c r="AA1739">
        <v>100</v>
      </c>
    </row>
    <row r="1740" spans="1:27" x14ac:dyDescent="0.2">
      <c r="A1740">
        <v>10</v>
      </c>
      <c r="B1740">
        <v>3</v>
      </c>
      <c r="C1740">
        <v>0.2</v>
      </c>
      <c r="D1740">
        <v>100</v>
      </c>
      <c r="E1740">
        <v>0.94336380134352105</v>
      </c>
      <c r="F1740">
        <v>3</v>
      </c>
      <c r="G1740">
        <v>25.694319846999999</v>
      </c>
      <c r="H1740">
        <v>0.85530695318861105</v>
      </c>
      <c r="I1740">
        <v>3</v>
      </c>
      <c r="J1740">
        <v>0.28789155300000002</v>
      </c>
      <c r="P1740"/>
      <c r="V1740">
        <v>0.85484948730877497</v>
      </c>
      <c r="W1740">
        <v>3</v>
      </c>
      <c r="X1740">
        <v>1221.000496462</v>
      </c>
      <c r="Y1740">
        <v>26137</v>
      </c>
      <c r="Z1740">
        <v>6.1064457513566499E-3</v>
      </c>
      <c r="AA1740">
        <v>1</v>
      </c>
    </row>
    <row r="1741" spans="1:27" x14ac:dyDescent="0.2">
      <c r="A1741">
        <v>10</v>
      </c>
      <c r="B1741">
        <v>3</v>
      </c>
      <c r="C1741">
        <v>0.1</v>
      </c>
      <c r="D1741">
        <v>20</v>
      </c>
      <c r="E1741">
        <v>0.97315075639757898</v>
      </c>
      <c r="F1741">
        <v>3</v>
      </c>
      <c r="G1741">
        <v>36.390251892000002</v>
      </c>
      <c r="H1741">
        <v>0.97284644390733699</v>
      </c>
      <c r="I1741">
        <v>3</v>
      </c>
      <c r="J1741">
        <v>0.101458615</v>
      </c>
      <c r="P1741"/>
      <c r="V1741">
        <v>1.01324319710111</v>
      </c>
      <c r="W1741">
        <v>3</v>
      </c>
      <c r="X1741">
        <v>106.17165644400001</v>
      </c>
      <c r="Y1741">
        <v>13521</v>
      </c>
      <c r="Z1741">
        <v>2.9638404357226701E-4</v>
      </c>
      <c r="AA1741">
        <v>1</v>
      </c>
    </row>
    <row r="1742" spans="1:27" x14ac:dyDescent="0.2">
      <c r="A1742">
        <v>10</v>
      </c>
      <c r="B1742">
        <v>3</v>
      </c>
      <c r="C1742">
        <v>0.2</v>
      </c>
      <c r="D1742">
        <v>20</v>
      </c>
      <c r="E1742">
        <v>0.82904382690596901</v>
      </c>
      <c r="F1742">
        <v>3</v>
      </c>
      <c r="G1742">
        <v>27.376900839000001</v>
      </c>
      <c r="H1742">
        <v>0.82212487314932103</v>
      </c>
      <c r="I1742">
        <v>3</v>
      </c>
      <c r="J1742">
        <v>0.17835258100000001</v>
      </c>
      <c r="P1742"/>
      <c r="V1742">
        <v>0.82249363722642299</v>
      </c>
      <c r="W1742">
        <v>3</v>
      </c>
      <c r="X1742">
        <v>75050.528423708005</v>
      </c>
      <c r="Y1742">
        <v>461714</v>
      </c>
      <c r="Z1742">
        <v>0.39924928898319101</v>
      </c>
      <c r="AA1742">
        <v>100</v>
      </c>
    </row>
    <row r="1743" spans="1:27" x14ac:dyDescent="0.2">
      <c r="A1743">
        <v>10</v>
      </c>
      <c r="B1743">
        <v>3</v>
      </c>
      <c r="C1743">
        <v>0.3</v>
      </c>
      <c r="D1743">
        <v>20</v>
      </c>
      <c r="E1743">
        <v>0.64098739287406203</v>
      </c>
      <c r="F1743">
        <v>3</v>
      </c>
      <c r="G1743">
        <v>28.116011628999999</v>
      </c>
      <c r="H1743">
        <v>0.649825956036575</v>
      </c>
      <c r="I1743">
        <v>3</v>
      </c>
      <c r="J1743">
        <v>0.236610342</v>
      </c>
      <c r="P1743"/>
      <c r="V1743">
        <v>0.65052663395866395</v>
      </c>
      <c r="W1743">
        <v>3</v>
      </c>
      <c r="X1743">
        <v>75403.035349744998</v>
      </c>
      <c r="Y1743">
        <v>387778</v>
      </c>
      <c r="Z1743">
        <v>0.18315584510716701</v>
      </c>
      <c r="AA1743">
        <v>100</v>
      </c>
    </row>
    <row r="1744" spans="1:27" x14ac:dyDescent="0.2">
      <c r="A1744">
        <v>10</v>
      </c>
      <c r="B1744">
        <v>3</v>
      </c>
      <c r="C1744">
        <v>0.4</v>
      </c>
      <c r="D1744">
        <v>20</v>
      </c>
      <c r="E1744">
        <v>0.73845160816681499</v>
      </c>
      <c r="F1744">
        <v>3</v>
      </c>
      <c r="G1744">
        <v>32.134487372999999</v>
      </c>
      <c r="H1744">
        <v>0.71097162827654703</v>
      </c>
      <c r="I1744">
        <v>3</v>
      </c>
      <c r="J1744">
        <v>0.319056954</v>
      </c>
      <c r="P1744"/>
      <c r="V1744">
        <v>0.71011316858325402</v>
      </c>
      <c r="W1744">
        <v>3</v>
      </c>
      <c r="X1744">
        <v>75973.788982190003</v>
      </c>
      <c r="Y1744">
        <v>430490</v>
      </c>
      <c r="Z1744">
        <v>0.120675887260699</v>
      </c>
      <c r="AA1744">
        <v>100</v>
      </c>
    </row>
    <row r="1745" spans="1:27" x14ac:dyDescent="0.2">
      <c r="A1745">
        <v>10</v>
      </c>
      <c r="B1745">
        <v>3</v>
      </c>
      <c r="C1745">
        <v>0.4</v>
      </c>
      <c r="D1745">
        <v>100</v>
      </c>
      <c r="E1745">
        <v>0.64713428344138402</v>
      </c>
      <c r="F1745">
        <v>3</v>
      </c>
      <c r="G1745">
        <v>25.765915153000002</v>
      </c>
      <c r="H1745">
        <v>0.71666023822207303</v>
      </c>
      <c r="I1745">
        <v>3</v>
      </c>
      <c r="J1745">
        <v>0.56735019200000003</v>
      </c>
      <c r="P1745"/>
      <c r="V1745">
        <v>0.98650579464979804</v>
      </c>
      <c r="W1745">
        <v>3</v>
      </c>
      <c r="X1745">
        <v>75069.275304152994</v>
      </c>
      <c r="Y1745">
        <v>414459</v>
      </c>
      <c r="Z1745">
        <v>6.9166070874416605E-2</v>
      </c>
      <c r="AA1745">
        <v>100</v>
      </c>
    </row>
    <row r="1746" spans="1:27" x14ac:dyDescent="0.2">
      <c r="A1746">
        <v>10</v>
      </c>
      <c r="B1746">
        <v>3</v>
      </c>
      <c r="C1746">
        <v>0.3</v>
      </c>
      <c r="D1746">
        <v>100</v>
      </c>
      <c r="E1746">
        <v>0.87612834875101897</v>
      </c>
      <c r="F1746">
        <v>3</v>
      </c>
      <c r="G1746">
        <v>25.966897522</v>
      </c>
      <c r="H1746">
        <v>0.79023521738081504</v>
      </c>
      <c r="I1746">
        <v>3</v>
      </c>
      <c r="J1746">
        <v>0.27473985299999998</v>
      </c>
      <c r="P1746"/>
      <c r="V1746">
        <v>0.790832561584913</v>
      </c>
      <c r="W1746">
        <v>3</v>
      </c>
      <c r="X1746">
        <v>75140.279888075005</v>
      </c>
      <c r="Y1746">
        <v>331846</v>
      </c>
      <c r="Z1746">
        <v>1.9457124531816299E-2</v>
      </c>
      <c r="AA1746">
        <v>100</v>
      </c>
    </row>
    <row r="1747" spans="1:27" x14ac:dyDescent="0.2">
      <c r="A1747">
        <v>10</v>
      </c>
      <c r="B1747">
        <v>3</v>
      </c>
      <c r="C1747">
        <v>0.1</v>
      </c>
      <c r="D1747">
        <v>20</v>
      </c>
      <c r="E1747">
        <v>1.00475509064222</v>
      </c>
      <c r="F1747">
        <v>3</v>
      </c>
      <c r="G1747">
        <v>37.285536323999999</v>
      </c>
      <c r="H1747">
        <v>1.0094106429493199</v>
      </c>
      <c r="I1747">
        <v>3</v>
      </c>
      <c r="J1747">
        <v>0.17681650800000001</v>
      </c>
      <c r="P1747"/>
      <c r="V1747">
        <v>0.98798752181704397</v>
      </c>
      <c r="W1747">
        <v>3</v>
      </c>
      <c r="X1747">
        <v>29431.092671727001</v>
      </c>
      <c r="Y1747">
        <v>528850</v>
      </c>
      <c r="Z1747">
        <v>5.1556965465463398E-3</v>
      </c>
      <c r="AA1747">
        <v>49</v>
      </c>
    </row>
    <row r="1748" spans="1:27" x14ac:dyDescent="0.2">
      <c r="A1748">
        <v>10</v>
      </c>
      <c r="B1748">
        <v>3</v>
      </c>
      <c r="C1748">
        <v>0.2</v>
      </c>
      <c r="D1748">
        <v>20</v>
      </c>
      <c r="E1748">
        <v>0.84782353608087102</v>
      </c>
      <c r="F1748">
        <v>3</v>
      </c>
      <c r="G1748">
        <v>35.944575675000003</v>
      </c>
      <c r="H1748">
        <v>0.85037746511688095</v>
      </c>
      <c r="I1748">
        <v>3</v>
      </c>
      <c r="J1748">
        <v>0.34369870499999999</v>
      </c>
      <c r="P1748"/>
      <c r="V1748">
        <v>0.85422079800968498</v>
      </c>
      <c r="W1748">
        <v>3</v>
      </c>
      <c r="X1748">
        <v>75393.664782003005</v>
      </c>
      <c r="Y1748">
        <v>398141</v>
      </c>
      <c r="Z1748">
        <v>4.26773432283288E-2</v>
      </c>
      <c r="AA1748">
        <v>100</v>
      </c>
    </row>
    <row r="1749" spans="1:27" x14ac:dyDescent="0.2">
      <c r="A1749">
        <v>10</v>
      </c>
      <c r="B1749">
        <v>3</v>
      </c>
      <c r="C1749">
        <v>0.3</v>
      </c>
      <c r="D1749">
        <v>20</v>
      </c>
      <c r="E1749">
        <v>0.81974954562704605</v>
      </c>
      <c r="F1749">
        <v>3</v>
      </c>
      <c r="G1749">
        <v>36.182819874000003</v>
      </c>
      <c r="H1749">
        <v>0.86256714410025503</v>
      </c>
      <c r="I1749">
        <v>3</v>
      </c>
      <c r="J1749">
        <v>0.29764601099999999</v>
      </c>
      <c r="P1749"/>
      <c r="V1749">
        <v>0.86547415616216905</v>
      </c>
      <c r="W1749">
        <v>3</v>
      </c>
      <c r="X1749">
        <v>75564.150548603997</v>
      </c>
      <c r="Y1749">
        <v>398673</v>
      </c>
      <c r="Z1749">
        <v>0.40073892807938499</v>
      </c>
      <c r="AA1749">
        <v>100</v>
      </c>
    </row>
    <row r="1750" spans="1:27" x14ac:dyDescent="0.2">
      <c r="A1750">
        <v>10</v>
      </c>
      <c r="B1750">
        <v>3</v>
      </c>
      <c r="C1750">
        <v>0.4</v>
      </c>
      <c r="D1750">
        <v>20</v>
      </c>
      <c r="E1750">
        <v>0.77300520756336399</v>
      </c>
      <c r="F1750">
        <v>3</v>
      </c>
      <c r="G1750">
        <v>35.075946129000002</v>
      </c>
      <c r="H1750">
        <v>0.81252635179827404</v>
      </c>
      <c r="I1750">
        <v>3</v>
      </c>
      <c r="J1750">
        <v>0.17642835700000001</v>
      </c>
      <c r="P1750"/>
      <c r="V1750">
        <v>0.81751234126072403</v>
      </c>
      <c r="W1750">
        <v>3</v>
      </c>
      <c r="X1750">
        <v>75495.455442363003</v>
      </c>
      <c r="Y1750">
        <v>371392</v>
      </c>
      <c r="Z1750">
        <v>0.26599082038473898</v>
      </c>
      <c r="AA1750">
        <v>100</v>
      </c>
    </row>
    <row r="1751" spans="1:27" x14ac:dyDescent="0.2">
      <c r="A1751">
        <v>10</v>
      </c>
      <c r="B1751">
        <v>3</v>
      </c>
      <c r="C1751">
        <v>0.1</v>
      </c>
      <c r="D1751">
        <v>20</v>
      </c>
      <c r="E1751">
        <v>0.96102799786307203</v>
      </c>
      <c r="F1751">
        <v>3</v>
      </c>
      <c r="G1751">
        <v>38.614094641000001</v>
      </c>
      <c r="H1751">
        <v>0.96102799786307802</v>
      </c>
      <c r="I1751">
        <v>3</v>
      </c>
      <c r="J1751">
        <v>5.2945348000000003E-2</v>
      </c>
      <c r="P1751"/>
      <c r="V1751">
        <v>0.95260525087672798</v>
      </c>
      <c r="W1751">
        <v>3</v>
      </c>
      <c r="X1751">
        <v>579.01042868499997</v>
      </c>
      <c r="Y1751">
        <v>74174</v>
      </c>
      <c r="Z1751">
        <v>1.1506342219910699E-4</v>
      </c>
      <c r="AA1751">
        <v>1</v>
      </c>
    </row>
    <row r="1752" spans="1:27" x14ac:dyDescent="0.2">
      <c r="A1752">
        <v>10</v>
      </c>
      <c r="B1752">
        <v>3</v>
      </c>
      <c r="C1752">
        <v>0.2</v>
      </c>
      <c r="D1752">
        <v>20</v>
      </c>
      <c r="E1752">
        <v>1.0608308796013901</v>
      </c>
      <c r="F1752">
        <v>3</v>
      </c>
      <c r="G1752">
        <v>37.054974778999998</v>
      </c>
      <c r="H1752">
        <v>1.0055683856906801</v>
      </c>
      <c r="I1752">
        <v>3</v>
      </c>
      <c r="J1752">
        <v>0.57315600899999997</v>
      </c>
      <c r="P1752"/>
      <c r="V1752">
        <v>1.00744007704562</v>
      </c>
      <c r="W1752">
        <v>3</v>
      </c>
      <c r="X1752">
        <v>75369.959273697998</v>
      </c>
      <c r="Y1752">
        <v>473046</v>
      </c>
      <c r="Z1752">
        <v>3.3107354256325203E-2</v>
      </c>
      <c r="AA1752">
        <v>100</v>
      </c>
    </row>
    <row r="1753" spans="1:27" x14ac:dyDescent="0.2">
      <c r="A1753">
        <v>10</v>
      </c>
      <c r="B1753">
        <v>3</v>
      </c>
      <c r="C1753">
        <v>0.3</v>
      </c>
      <c r="D1753">
        <v>20</v>
      </c>
      <c r="E1753">
        <v>0.760692660590499</v>
      </c>
      <c r="F1753">
        <v>3</v>
      </c>
      <c r="G1753">
        <v>35.272937765999998</v>
      </c>
      <c r="H1753">
        <v>0.75105089471739295</v>
      </c>
      <c r="I1753">
        <v>3</v>
      </c>
      <c r="J1753">
        <v>0.15547718099999999</v>
      </c>
      <c r="P1753"/>
      <c r="V1753">
        <v>0.750912326752049</v>
      </c>
      <c r="W1753">
        <v>3</v>
      </c>
      <c r="X1753">
        <v>76373.884320505997</v>
      </c>
      <c r="Y1753">
        <v>368123</v>
      </c>
      <c r="Z1753">
        <v>0.32122378918598998</v>
      </c>
      <c r="AA1753">
        <v>100</v>
      </c>
    </row>
    <row r="1754" spans="1:27" x14ac:dyDescent="0.2">
      <c r="A1754">
        <v>10</v>
      </c>
      <c r="B1754">
        <v>3</v>
      </c>
      <c r="C1754">
        <v>0.2</v>
      </c>
      <c r="D1754">
        <v>100</v>
      </c>
      <c r="E1754">
        <v>0.932227746716492</v>
      </c>
      <c r="F1754">
        <v>3</v>
      </c>
      <c r="G1754">
        <v>30.42326697</v>
      </c>
      <c r="H1754">
        <v>0.84707665950756805</v>
      </c>
      <c r="I1754">
        <v>3</v>
      </c>
      <c r="J1754">
        <v>0.38731973600000003</v>
      </c>
      <c r="P1754"/>
      <c r="V1754">
        <v>0.92627335004700095</v>
      </c>
      <c r="W1754">
        <v>3</v>
      </c>
      <c r="X1754">
        <v>3963.7340363220001</v>
      </c>
      <c r="Y1754">
        <v>43370</v>
      </c>
      <c r="Z1754">
        <v>1.98648308512574E-3</v>
      </c>
      <c r="AA1754">
        <v>14</v>
      </c>
    </row>
    <row r="1755" spans="1:27" x14ac:dyDescent="0.2">
      <c r="A1755">
        <v>10</v>
      </c>
      <c r="B1755">
        <v>3</v>
      </c>
      <c r="C1755">
        <v>0.2</v>
      </c>
      <c r="D1755">
        <v>100</v>
      </c>
      <c r="E1755">
        <v>0.97811390019329603</v>
      </c>
      <c r="F1755">
        <v>3</v>
      </c>
      <c r="G1755">
        <v>22.193698055999999</v>
      </c>
      <c r="H1755">
        <v>0.92688673264721899</v>
      </c>
      <c r="I1755">
        <v>3</v>
      </c>
      <c r="J1755">
        <v>0.259680093</v>
      </c>
      <c r="P1755"/>
      <c r="V1755">
        <v>0.92678456358221595</v>
      </c>
      <c r="W1755">
        <v>3</v>
      </c>
      <c r="X1755">
        <v>1217.2426474399999</v>
      </c>
      <c r="Y1755">
        <v>30168</v>
      </c>
      <c r="Z1755">
        <v>1.4339764063264599E-3</v>
      </c>
      <c r="AA1755">
        <v>1</v>
      </c>
    </row>
    <row r="1756" spans="1:27" x14ac:dyDescent="0.2">
      <c r="A1756">
        <v>10</v>
      </c>
      <c r="B1756">
        <v>3</v>
      </c>
      <c r="C1756">
        <v>0.1</v>
      </c>
      <c r="D1756">
        <v>100</v>
      </c>
      <c r="E1756">
        <v>0.95134459123937398</v>
      </c>
      <c r="F1756">
        <v>3</v>
      </c>
      <c r="G1756">
        <v>23.443199519</v>
      </c>
      <c r="H1756">
        <v>0.96941071448875604</v>
      </c>
      <c r="I1756">
        <v>3</v>
      </c>
      <c r="J1756">
        <v>5.2502264999999999E-2</v>
      </c>
      <c r="P1756"/>
      <c r="V1756">
        <v>0.95827144403924902</v>
      </c>
      <c r="W1756">
        <v>3</v>
      </c>
      <c r="X1756">
        <v>1275.7560160370001</v>
      </c>
      <c r="Y1756">
        <v>7368</v>
      </c>
      <c r="Z1756">
        <v>1.61989133072046E-3</v>
      </c>
      <c r="AA1756">
        <v>2</v>
      </c>
    </row>
    <row r="1757" spans="1:27" x14ac:dyDescent="0.2">
      <c r="A1757">
        <v>10</v>
      </c>
      <c r="B1757">
        <v>3</v>
      </c>
      <c r="C1757">
        <v>0.4</v>
      </c>
      <c r="D1757">
        <v>100</v>
      </c>
      <c r="E1757">
        <v>0.73187260834489498</v>
      </c>
      <c r="F1757">
        <v>3</v>
      </c>
      <c r="G1757">
        <v>28.866680374000001</v>
      </c>
      <c r="H1757">
        <v>0.69103414919315598</v>
      </c>
      <c r="I1757">
        <v>3</v>
      </c>
      <c r="J1757">
        <v>0.33870020299999998</v>
      </c>
      <c r="P1757"/>
      <c r="V1757">
        <v>0.69361156816343705</v>
      </c>
      <c r="W1757">
        <v>3</v>
      </c>
      <c r="X1757">
        <v>75080.485498155002</v>
      </c>
      <c r="Y1757">
        <v>439406</v>
      </c>
      <c r="Z1757">
        <v>2.99515187316323E-2</v>
      </c>
      <c r="AA1757">
        <v>100</v>
      </c>
    </row>
    <row r="1758" spans="1:27" x14ac:dyDescent="0.2">
      <c r="A1758">
        <v>10</v>
      </c>
      <c r="B1758">
        <v>3</v>
      </c>
      <c r="C1758">
        <v>0.3</v>
      </c>
      <c r="D1758">
        <v>100</v>
      </c>
      <c r="E1758">
        <v>0.88030371689828102</v>
      </c>
      <c r="F1758">
        <v>3</v>
      </c>
      <c r="G1758">
        <v>26.332807841000001</v>
      </c>
      <c r="H1758">
        <v>0.85345784346138298</v>
      </c>
      <c r="I1758">
        <v>3</v>
      </c>
      <c r="J1758">
        <v>0.30369505099999999</v>
      </c>
      <c r="P1758"/>
      <c r="V1758">
        <v>0.85412156565389996</v>
      </c>
      <c r="W1758">
        <v>3</v>
      </c>
      <c r="X1758">
        <v>75063.720066306007</v>
      </c>
      <c r="Y1758">
        <v>333223</v>
      </c>
      <c r="Z1758">
        <v>3.2599069152780602E-2</v>
      </c>
      <c r="AA1758">
        <v>100</v>
      </c>
    </row>
    <row r="1759" spans="1:27" x14ac:dyDescent="0.2">
      <c r="A1759">
        <v>10</v>
      </c>
      <c r="B1759">
        <v>3</v>
      </c>
      <c r="C1759">
        <v>0.1</v>
      </c>
      <c r="D1759">
        <v>100</v>
      </c>
      <c r="E1759">
        <v>0.90258894624010899</v>
      </c>
      <c r="F1759">
        <v>3</v>
      </c>
      <c r="G1759">
        <v>24.133512177</v>
      </c>
      <c r="H1759">
        <v>0.902586562721583</v>
      </c>
      <c r="I1759">
        <v>3</v>
      </c>
      <c r="J1759">
        <v>4.2866633000000001E-2</v>
      </c>
      <c r="P1759"/>
      <c r="V1759">
        <v>0.95459177177349297</v>
      </c>
      <c r="W1759">
        <v>3</v>
      </c>
      <c r="X1759">
        <v>1277.480892694</v>
      </c>
      <c r="Y1759">
        <v>10447</v>
      </c>
      <c r="Z1759">
        <v>2.73496357872181E-3</v>
      </c>
      <c r="AA1759">
        <v>2</v>
      </c>
    </row>
    <row r="1760" spans="1:27" x14ac:dyDescent="0.2">
      <c r="A1760">
        <v>10</v>
      </c>
      <c r="B1760">
        <v>3</v>
      </c>
      <c r="C1760">
        <v>0.2</v>
      </c>
      <c r="D1760">
        <v>100</v>
      </c>
      <c r="E1760">
        <v>0.98941199527082702</v>
      </c>
      <c r="F1760">
        <v>3</v>
      </c>
      <c r="G1760">
        <v>26.642120537</v>
      </c>
      <c r="H1760">
        <v>0.900204898901518</v>
      </c>
      <c r="I1760">
        <v>3</v>
      </c>
      <c r="J1760">
        <v>0.51926477999999998</v>
      </c>
      <c r="P1760"/>
      <c r="V1760">
        <v>0.96550947122074404</v>
      </c>
      <c r="W1760">
        <v>3</v>
      </c>
      <c r="X1760">
        <v>153.81503880599999</v>
      </c>
      <c r="Y1760">
        <v>9277</v>
      </c>
      <c r="Z1760">
        <v>1.5476142642499001E-3</v>
      </c>
      <c r="AA1760">
        <v>1</v>
      </c>
    </row>
    <row r="1761" spans="1:27" x14ac:dyDescent="0.2">
      <c r="A1761">
        <v>10</v>
      </c>
      <c r="B1761">
        <v>3</v>
      </c>
      <c r="C1761">
        <v>0.1</v>
      </c>
      <c r="D1761">
        <v>100</v>
      </c>
      <c r="E1761">
        <v>0.93948619315193804</v>
      </c>
      <c r="F1761">
        <v>3</v>
      </c>
      <c r="G1761">
        <v>32.519085019000002</v>
      </c>
      <c r="H1761">
        <v>0.98384431803718697</v>
      </c>
      <c r="I1761">
        <v>3</v>
      </c>
      <c r="J1761">
        <v>0.186473481</v>
      </c>
      <c r="P1761"/>
      <c r="V1761">
        <v>0.99553190236492395</v>
      </c>
      <c r="W1761">
        <v>3</v>
      </c>
      <c r="X1761">
        <v>1279.319939367</v>
      </c>
      <c r="Y1761">
        <v>4222</v>
      </c>
      <c r="Z1761">
        <v>8.9680311759860398E-4</v>
      </c>
      <c r="AA1761">
        <v>2</v>
      </c>
    </row>
    <row r="1762" spans="1:27" x14ac:dyDescent="0.2">
      <c r="A1762">
        <v>10</v>
      </c>
      <c r="B1762">
        <v>3</v>
      </c>
      <c r="C1762">
        <v>0.4</v>
      </c>
      <c r="D1762">
        <v>100</v>
      </c>
      <c r="E1762">
        <v>0.85277621879367604</v>
      </c>
      <c r="F1762">
        <v>3</v>
      </c>
      <c r="G1762">
        <v>22.877149968000001</v>
      </c>
      <c r="H1762">
        <v>0.95424868081684</v>
      </c>
      <c r="I1762">
        <v>3</v>
      </c>
      <c r="J1762">
        <v>0.279312018</v>
      </c>
      <c r="P1762"/>
      <c r="V1762">
        <v>0.95602371007736198</v>
      </c>
      <c r="W1762">
        <v>3</v>
      </c>
      <c r="X1762">
        <v>75053.361330550993</v>
      </c>
      <c r="Y1762">
        <v>440749</v>
      </c>
      <c r="Z1762">
        <v>1.07068519741285E-2</v>
      </c>
      <c r="AA1762">
        <v>100</v>
      </c>
    </row>
    <row r="1763" spans="1:27" x14ac:dyDescent="0.2">
      <c r="A1763">
        <v>10</v>
      </c>
      <c r="B1763">
        <v>3</v>
      </c>
      <c r="C1763">
        <v>0.3</v>
      </c>
      <c r="D1763">
        <v>100</v>
      </c>
      <c r="E1763">
        <v>0.84048910340906902</v>
      </c>
      <c r="F1763">
        <v>3</v>
      </c>
      <c r="G1763">
        <v>23.252811108</v>
      </c>
      <c r="H1763">
        <v>0.819588769187237</v>
      </c>
      <c r="I1763">
        <v>3</v>
      </c>
      <c r="J1763">
        <v>0.108027889</v>
      </c>
      <c r="P1763"/>
      <c r="V1763">
        <v>1.14799105570155</v>
      </c>
      <c r="W1763">
        <v>3</v>
      </c>
      <c r="X1763">
        <v>75104.108812701001</v>
      </c>
      <c r="Y1763">
        <v>498765</v>
      </c>
      <c r="Z1763">
        <v>3.4951567990066601E-2</v>
      </c>
      <c r="AA1763">
        <v>100</v>
      </c>
    </row>
    <row r="1764" spans="1:27" x14ac:dyDescent="0.2">
      <c r="A1764">
        <v>10</v>
      </c>
      <c r="B1764">
        <v>3</v>
      </c>
      <c r="C1764">
        <v>0.4</v>
      </c>
      <c r="D1764">
        <v>100</v>
      </c>
      <c r="E1764">
        <v>0.754606334377808</v>
      </c>
      <c r="F1764">
        <v>3</v>
      </c>
      <c r="G1764">
        <v>22.172745066000001</v>
      </c>
      <c r="H1764">
        <v>0.70291637562576104</v>
      </c>
      <c r="I1764">
        <v>3</v>
      </c>
      <c r="J1764">
        <v>0.27175504</v>
      </c>
      <c r="P1764"/>
      <c r="V1764">
        <v>0.65202499005197501</v>
      </c>
      <c r="W1764">
        <v>3</v>
      </c>
      <c r="X1764">
        <v>75055.541551021</v>
      </c>
      <c r="Y1764">
        <v>460050</v>
      </c>
      <c r="Z1764">
        <v>1.6730649151181502E-2</v>
      </c>
      <c r="AA1764">
        <v>100</v>
      </c>
    </row>
    <row r="1765" spans="1:27" x14ac:dyDescent="0.2">
      <c r="A1765">
        <v>10</v>
      </c>
      <c r="B1765">
        <v>3</v>
      </c>
      <c r="C1765">
        <v>0.3</v>
      </c>
      <c r="D1765">
        <v>100</v>
      </c>
      <c r="E1765">
        <v>0.80686774688149998</v>
      </c>
      <c r="F1765">
        <v>3</v>
      </c>
      <c r="G1765">
        <v>21.860940436</v>
      </c>
      <c r="H1765">
        <v>0.82458773097701299</v>
      </c>
      <c r="I1765">
        <v>3</v>
      </c>
      <c r="J1765">
        <v>7.4364010999999994E-2</v>
      </c>
      <c r="P1765"/>
      <c r="V1765">
        <v>0.82595511348793904</v>
      </c>
      <c r="W1765">
        <v>3</v>
      </c>
      <c r="X1765">
        <v>75048.794768516993</v>
      </c>
      <c r="Y1765">
        <v>394648</v>
      </c>
      <c r="Z1765">
        <v>4.6245361554204098E-2</v>
      </c>
      <c r="AA1765">
        <v>100</v>
      </c>
    </row>
    <row r="1766" spans="1:27" x14ac:dyDescent="0.2">
      <c r="A1766">
        <v>10</v>
      </c>
      <c r="B1766">
        <v>3</v>
      </c>
      <c r="C1766">
        <v>0.2</v>
      </c>
      <c r="D1766">
        <v>100</v>
      </c>
      <c r="E1766">
        <v>0.97018650815042295</v>
      </c>
      <c r="F1766">
        <v>3</v>
      </c>
      <c r="G1766">
        <v>26.398815043999999</v>
      </c>
      <c r="H1766">
        <v>0.96828898688178699</v>
      </c>
      <c r="I1766">
        <v>3</v>
      </c>
      <c r="J1766">
        <v>9.5488329999999996E-2</v>
      </c>
      <c r="P1766"/>
      <c r="V1766">
        <v>0.967783562635951</v>
      </c>
      <c r="W1766">
        <v>3</v>
      </c>
      <c r="X1766">
        <v>1218.2155744050001</v>
      </c>
      <c r="Y1766">
        <v>16157</v>
      </c>
      <c r="Z1766">
        <v>1.2146739842016101E-3</v>
      </c>
      <c r="AA1766">
        <v>1</v>
      </c>
    </row>
    <row r="1767" spans="1:27" x14ac:dyDescent="0.2">
      <c r="A1767">
        <v>10</v>
      </c>
      <c r="B1767">
        <v>3</v>
      </c>
      <c r="C1767">
        <v>0.4</v>
      </c>
      <c r="D1767">
        <v>100</v>
      </c>
      <c r="E1767">
        <v>0.81280037653792503</v>
      </c>
      <c r="F1767">
        <v>3</v>
      </c>
      <c r="G1767">
        <v>23.705766297</v>
      </c>
      <c r="H1767">
        <v>0.66674876822516504</v>
      </c>
      <c r="I1767">
        <v>3</v>
      </c>
      <c r="J1767">
        <v>0.52227769599999996</v>
      </c>
      <c r="P1767"/>
      <c r="V1767">
        <v>0.66679127724927201</v>
      </c>
      <c r="W1767">
        <v>3</v>
      </c>
      <c r="X1767">
        <v>75049.760898320994</v>
      </c>
      <c r="Y1767">
        <v>423967</v>
      </c>
      <c r="Z1767">
        <v>8.8716340952158995E-2</v>
      </c>
      <c r="AA1767">
        <v>100</v>
      </c>
    </row>
    <row r="1768" spans="1:27" x14ac:dyDescent="0.2">
      <c r="A1768">
        <v>10</v>
      </c>
      <c r="B1768">
        <v>3</v>
      </c>
      <c r="C1768">
        <v>0.3</v>
      </c>
      <c r="D1768">
        <v>100</v>
      </c>
      <c r="E1768">
        <v>1.06523079122261</v>
      </c>
      <c r="F1768">
        <v>3</v>
      </c>
      <c r="G1768">
        <v>25.879751658</v>
      </c>
      <c r="H1768">
        <v>0.98873139405020705</v>
      </c>
      <c r="I1768">
        <v>3</v>
      </c>
      <c r="J1768">
        <v>0.33078265400000001</v>
      </c>
      <c r="P1768"/>
      <c r="V1768">
        <v>0.98857328132487998</v>
      </c>
      <c r="W1768">
        <v>3</v>
      </c>
      <c r="X1768">
        <v>75058.707328014003</v>
      </c>
      <c r="Y1768">
        <v>487796</v>
      </c>
      <c r="Z1768">
        <v>2.3960137050380501E-2</v>
      </c>
      <c r="AA1768">
        <v>100</v>
      </c>
    </row>
    <row r="1769" spans="1:27" x14ac:dyDescent="0.2">
      <c r="A1769" s="4">
        <v>10</v>
      </c>
      <c r="B1769" s="4">
        <v>3</v>
      </c>
      <c r="C1769" s="4">
        <v>0.4</v>
      </c>
      <c r="D1769" s="4">
        <v>20</v>
      </c>
      <c r="E1769" s="4">
        <v>0.77625582000000004</v>
      </c>
      <c r="F1769" s="4">
        <v>3</v>
      </c>
      <c r="G1769" s="4">
        <v>42.295570599999998</v>
      </c>
      <c r="H1769" s="4">
        <v>0.83179194000000001</v>
      </c>
      <c r="I1769" s="4">
        <v>3</v>
      </c>
      <c r="J1769" s="4">
        <v>0.49638165000000001</v>
      </c>
      <c r="K1769" s="4"/>
      <c r="L1769" s="4"/>
      <c r="M1769" s="4"/>
      <c r="N1769" s="4"/>
      <c r="O1769" s="4"/>
      <c r="P1769" s="4"/>
      <c r="Q1769" s="4"/>
      <c r="R1769" s="4"/>
      <c r="S1769" s="4"/>
      <c r="T1769" s="4"/>
      <c r="U1769" s="4"/>
      <c r="V1769" s="4">
        <v>0.84040013999999996</v>
      </c>
      <c r="W1769" s="4">
        <v>3</v>
      </c>
      <c r="X1769" s="4">
        <v>75979.547999999995</v>
      </c>
      <c r="Y1769" s="4">
        <v>435993</v>
      </c>
      <c r="Z1769" s="4">
        <v>0.34514974999999998</v>
      </c>
      <c r="AA1769" s="4">
        <v>100</v>
      </c>
    </row>
    <row r="1770" spans="1:27" x14ac:dyDescent="0.2">
      <c r="A1770" s="4">
        <v>10</v>
      </c>
      <c r="B1770" s="4">
        <v>3</v>
      </c>
      <c r="C1770" s="4">
        <v>0.2</v>
      </c>
      <c r="D1770" s="4">
        <v>20</v>
      </c>
      <c r="E1770" s="4">
        <v>0.93746786000000004</v>
      </c>
      <c r="F1770" s="4">
        <v>3</v>
      </c>
      <c r="G1770" s="4">
        <v>41.219175399999997</v>
      </c>
      <c r="H1770" s="4">
        <v>0.93512402999999999</v>
      </c>
      <c r="I1770" s="4">
        <v>3</v>
      </c>
      <c r="J1770" s="4">
        <v>9.1621350000000004E-2</v>
      </c>
      <c r="K1770" s="4"/>
      <c r="L1770" s="4"/>
      <c r="M1770" s="4"/>
      <c r="N1770" s="4"/>
      <c r="O1770" s="4"/>
      <c r="P1770" s="4"/>
      <c r="Q1770" s="4"/>
      <c r="R1770" s="4"/>
      <c r="S1770" s="4"/>
      <c r="T1770" s="4"/>
      <c r="U1770" s="4"/>
      <c r="V1770" s="4">
        <v>0.93124861999999997</v>
      </c>
      <c r="W1770" s="4">
        <v>3</v>
      </c>
      <c r="X1770" s="4">
        <v>75081.422099999996</v>
      </c>
      <c r="Y1770" s="4">
        <v>413533</v>
      </c>
      <c r="Z1770" s="4">
        <v>3.3398209999999998E-2</v>
      </c>
      <c r="AA1770" s="4">
        <v>100</v>
      </c>
    </row>
    <row r="1771" spans="1:27" x14ac:dyDescent="0.2">
      <c r="A1771" s="4">
        <v>10</v>
      </c>
      <c r="B1771" s="4">
        <v>3</v>
      </c>
      <c r="C1771" s="4">
        <v>0.3</v>
      </c>
      <c r="D1771" s="4">
        <v>20</v>
      </c>
      <c r="E1771" s="4">
        <v>0.79375709999999999</v>
      </c>
      <c r="F1771" s="4">
        <v>3</v>
      </c>
      <c r="G1771" s="4">
        <v>36.403864599999999</v>
      </c>
      <c r="H1771" s="4">
        <v>0.74892223000000002</v>
      </c>
      <c r="I1771" s="4">
        <v>3</v>
      </c>
      <c r="J1771" s="4">
        <v>0.1971271</v>
      </c>
      <c r="K1771" s="4"/>
      <c r="L1771" s="4"/>
      <c r="M1771" s="4"/>
      <c r="N1771" s="4"/>
      <c r="O1771" s="4"/>
      <c r="P1771" s="4"/>
      <c r="Q1771" s="4"/>
      <c r="R1771" s="4"/>
      <c r="S1771" s="4"/>
      <c r="T1771" s="4"/>
      <c r="U1771" s="4"/>
      <c r="V1771" s="4">
        <v>0.74928618999999996</v>
      </c>
      <c r="W1771" s="4">
        <v>3</v>
      </c>
      <c r="X1771" s="4">
        <v>75075.182700000005</v>
      </c>
      <c r="Y1771" s="4">
        <v>358879</v>
      </c>
      <c r="Z1771" s="4">
        <v>0.29897106000000001</v>
      </c>
      <c r="AA1771" s="4">
        <v>100</v>
      </c>
    </row>
    <row r="1772" spans="1:27" x14ac:dyDescent="0.2">
      <c r="A1772" s="4">
        <v>10</v>
      </c>
      <c r="B1772" s="4">
        <v>3</v>
      </c>
      <c r="C1772" s="4">
        <v>0.1</v>
      </c>
      <c r="D1772" s="4">
        <v>20</v>
      </c>
      <c r="E1772" s="4">
        <v>0.95050785999999998</v>
      </c>
      <c r="F1772" s="4">
        <v>3</v>
      </c>
      <c r="G1772" s="4">
        <v>43.078363799999998</v>
      </c>
      <c r="H1772" s="4">
        <v>0.95052692999999999</v>
      </c>
      <c r="I1772" s="4">
        <v>3</v>
      </c>
      <c r="J1772" s="4">
        <v>0.16017033999999999</v>
      </c>
      <c r="K1772" s="4"/>
      <c r="L1772" s="4"/>
      <c r="M1772" s="4"/>
      <c r="N1772" s="4"/>
      <c r="O1772" s="4"/>
      <c r="P1772" s="4"/>
      <c r="Q1772" s="4"/>
      <c r="R1772" s="4"/>
      <c r="S1772" s="4"/>
      <c r="T1772" s="4"/>
      <c r="U1772" s="4"/>
      <c r="V1772" s="4">
        <v>0.95200101000000004</v>
      </c>
      <c r="W1772" s="4">
        <v>3</v>
      </c>
      <c r="X1772" s="4">
        <v>1283.8896</v>
      </c>
      <c r="Y1772" s="4">
        <v>7153</v>
      </c>
      <c r="Z1772" s="4">
        <v>5.42487E-3</v>
      </c>
      <c r="AA1772" s="4">
        <v>2</v>
      </c>
    </row>
    <row r="1773" spans="1:27" x14ac:dyDescent="0.2">
      <c r="A1773" s="4">
        <v>10</v>
      </c>
      <c r="B1773" s="4">
        <v>3</v>
      </c>
      <c r="C1773" s="4">
        <v>0.4</v>
      </c>
      <c r="D1773" s="4">
        <v>20</v>
      </c>
      <c r="E1773" s="4">
        <v>0.74990716999999996</v>
      </c>
      <c r="F1773" s="4">
        <v>3</v>
      </c>
      <c r="G1773" s="4">
        <v>39.260003599999997</v>
      </c>
      <c r="H1773" s="4">
        <v>0.76754942000000004</v>
      </c>
      <c r="I1773" s="4">
        <v>3</v>
      </c>
      <c r="J1773" s="4">
        <v>0.38964521000000002</v>
      </c>
      <c r="K1773" s="4"/>
      <c r="L1773" s="4"/>
      <c r="M1773" s="4"/>
      <c r="N1773" s="4"/>
      <c r="O1773" s="4"/>
      <c r="P1773" s="4"/>
      <c r="Q1773" s="4"/>
      <c r="R1773" s="4"/>
      <c r="S1773" s="4"/>
      <c r="T1773" s="4"/>
      <c r="U1773" s="4"/>
      <c r="V1773" s="4">
        <v>0.77299249000000003</v>
      </c>
      <c r="W1773" s="4">
        <v>3</v>
      </c>
      <c r="X1773" s="4">
        <v>76473.230899999995</v>
      </c>
      <c r="Y1773" s="4">
        <v>456643</v>
      </c>
      <c r="Z1773" s="4">
        <v>0.49049034000000002</v>
      </c>
      <c r="AA1773" s="4">
        <v>100</v>
      </c>
    </row>
    <row r="1774" spans="1:27" x14ac:dyDescent="0.2">
      <c r="A1774" s="4">
        <v>10</v>
      </c>
      <c r="B1774" s="4">
        <v>3</v>
      </c>
      <c r="C1774" s="4">
        <v>0.1</v>
      </c>
      <c r="D1774" s="4">
        <v>20</v>
      </c>
      <c r="E1774" s="4">
        <v>0.95580891999999995</v>
      </c>
      <c r="F1774" s="4">
        <v>3</v>
      </c>
      <c r="G1774" s="4">
        <v>36.651702200000003</v>
      </c>
      <c r="H1774" s="4">
        <v>0.95318329999999996</v>
      </c>
      <c r="I1774" s="4">
        <v>3</v>
      </c>
      <c r="J1774" s="4">
        <v>8.3269159999999995E-2</v>
      </c>
      <c r="K1774" s="4"/>
      <c r="L1774" s="4"/>
      <c r="M1774" s="4"/>
      <c r="N1774" s="4"/>
      <c r="O1774" s="4"/>
      <c r="P1774" s="4"/>
      <c r="Q1774" s="4"/>
      <c r="R1774" s="4"/>
      <c r="S1774" s="4"/>
      <c r="T1774" s="4"/>
      <c r="U1774" s="4"/>
      <c r="V1774" s="4">
        <v>0.95319118999999997</v>
      </c>
      <c r="W1774" s="4">
        <v>3</v>
      </c>
      <c r="X1774" s="4">
        <v>75102.6204</v>
      </c>
      <c r="Y1774" s="4">
        <v>605441</v>
      </c>
      <c r="Z1774" s="4">
        <v>2.1780859999999999E-2</v>
      </c>
      <c r="AA1774" s="4">
        <v>100</v>
      </c>
    </row>
    <row r="1775" spans="1:27" x14ac:dyDescent="0.2">
      <c r="A1775" s="4">
        <v>10</v>
      </c>
      <c r="B1775" s="4">
        <v>3</v>
      </c>
      <c r="C1775" s="4">
        <v>0.2</v>
      </c>
      <c r="D1775" s="4">
        <v>20</v>
      </c>
      <c r="E1775" s="4">
        <v>0.96855577000000004</v>
      </c>
      <c r="F1775" s="4">
        <v>3</v>
      </c>
      <c r="G1775" s="4">
        <v>40.206930700000001</v>
      </c>
      <c r="H1775" s="4">
        <v>0.93733237999999997</v>
      </c>
      <c r="I1775" s="4">
        <v>3</v>
      </c>
      <c r="J1775" s="4">
        <v>0.21533302000000001</v>
      </c>
      <c r="K1775" s="4"/>
      <c r="L1775" s="4"/>
      <c r="M1775" s="4"/>
      <c r="N1775" s="4"/>
      <c r="O1775" s="4"/>
      <c r="P1775" s="4"/>
      <c r="Q1775" s="4"/>
      <c r="R1775" s="4"/>
      <c r="S1775" s="4"/>
      <c r="T1775" s="4"/>
      <c r="U1775" s="4"/>
      <c r="V1775" s="4">
        <v>0.93689507999999999</v>
      </c>
      <c r="W1775" s="4">
        <v>3</v>
      </c>
      <c r="X1775" s="4">
        <v>7612.0693099999999</v>
      </c>
      <c r="Y1775" s="4">
        <v>74718</v>
      </c>
      <c r="Z1775" s="4">
        <v>8.75073E-3</v>
      </c>
      <c r="AA1775" s="4">
        <v>22</v>
      </c>
    </row>
    <row r="1776" spans="1:27" x14ac:dyDescent="0.2">
      <c r="A1776" s="4">
        <v>10</v>
      </c>
      <c r="B1776" s="4">
        <v>3</v>
      </c>
      <c r="C1776" s="4">
        <v>0.2</v>
      </c>
      <c r="D1776" s="4">
        <v>20</v>
      </c>
      <c r="E1776" s="4">
        <v>0.89708146</v>
      </c>
      <c r="F1776" s="4">
        <v>3</v>
      </c>
      <c r="G1776" s="4">
        <v>37.0216536</v>
      </c>
      <c r="H1776" s="4">
        <v>0.89286293999999999</v>
      </c>
      <c r="I1776" s="4">
        <v>3</v>
      </c>
      <c r="J1776" s="4">
        <v>0.15281785000000001</v>
      </c>
      <c r="K1776" s="4"/>
      <c r="L1776" s="4"/>
      <c r="M1776" s="4"/>
      <c r="N1776" s="4"/>
      <c r="O1776" s="4"/>
      <c r="P1776" s="4"/>
      <c r="Q1776" s="4"/>
      <c r="R1776" s="4"/>
      <c r="S1776" s="4"/>
      <c r="T1776" s="4"/>
      <c r="U1776" s="4"/>
      <c r="V1776" s="4">
        <v>0.91238333000000005</v>
      </c>
      <c r="W1776" s="4">
        <v>3</v>
      </c>
      <c r="X1776" s="4">
        <v>75397.06</v>
      </c>
      <c r="Y1776" s="4">
        <v>391719</v>
      </c>
      <c r="Z1776" s="4">
        <v>4.3235389999999999E-2</v>
      </c>
      <c r="AA1776" s="4">
        <v>100</v>
      </c>
    </row>
    <row r="1777" spans="1:27" x14ac:dyDescent="0.2">
      <c r="A1777" s="4">
        <v>10</v>
      </c>
      <c r="B1777" s="4">
        <v>3</v>
      </c>
      <c r="C1777" s="4">
        <v>0.1</v>
      </c>
      <c r="D1777" s="4">
        <v>20</v>
      </c>
      <c r="E1777" s="4">
        <v>0.95938389000000002</v>
      </c>
      <c r="F1777" s="4">
        <v>3</v>
      </c>
      <c r="G1777" s="4">
        <v>36.084376200000001</v>
      </c>
      <c r="H1777" s="4">
        <v>0.95938371</v>
      </c>
      <c r="I1777" s="4">
        <v>3</v>
      </c>
      <c r="J1777" s="4">
        <v>5.6264670000000003E-2</v>
      </c>
      <c r="K1777" s="4"/>
      <c r="L1777" s="4"/>
      <c r="M1777" s="4"/>
      <c r="N1777" s="4"/>
      <c r="O1777" s="4"/>
      <c r="P1777" s="4"/>
      <c r="Q1777" s="4"/>
      <c r="R1777" s="4"/>
      <c r="S1777" s="4"/>
      <c r="T1777" s="4"/>
      <c r="U1777" s="4"/>
      <c r="V1777" s="4">
        <v>1.1038337199999999</v>
      </c>
      <c r="W1777" s="4">
        <v>3</v>
      </c>
      <c r="X1777" s="4">
        <v>1231.78721</v>
      </c>
      <c r="Y1777" s="4">
        <v>0</v>
      </c>
      <c r="Z1777" s="4">
        <v>2.0468299999999999E-3</v>
      </c>
      <c r="AA1777" s="4">
        <v>2</v>
      </c>
    </row>
    <row r="1778" spans="1:27" x14ac:dyDescent="0.2">
      <c r="A1778" s="4">
        <v>10</v>
      </c>
      <c r="B1778" s="4">
        <v>3</v>
      </c>
      <c r="C1778" s="4">
        <v>0.3</v>
      </c>
      <c r="D1778" s="4">
        <v>20</v>
      </c>
      <c r="E1778" s="4">
        <v>0.84116559000000002</v>
      </c>
      <c r="F1778" s="4">
        <v>3</v>
      </c>
      <c r="G1778" s="4">
        <v>36.570226499999997</v>
      </c>
      <c r="H1778" s="4">
        <v>0.82947594999999996</v>
      </c>
      <c r="I1778" s="4">
        <v>3</v>
      </c>
      <c r="J1778" s="4">
        <v>0.28306825000000002</v>
      </c>
      <c r="K1778" s="4"/>
      <c r="L1778" s="4"/>
      <c r="M1778" s="4"/>
      <c r="N1778" s="4"/>
      <c r="O1778" s="4"/>
      <c r="P1778" s="4"/>
      <c r="Q1778" s="4"/>
      <c r="R1778" s="4"/>
      <c r="S1778" s="4"/>
      <c r="T1778" s="4"/>
      <c r="U1778" s="4"/>
      <c r="V1778" s="4">
        <v>0.82995587999999998</v>
      </c>
      <c r="W1778" s="4">
        <v>3</v>
      </c>
      <c r="X1778" s="4">
        <v>75078.188699999999</v>
      </c>
      <c r="Y1778" s="4">
        <v>404621</v>
      </c>
      <c r="Z1778" s="4">
        <v>0.51823607000000005</v>
      </c>
      <c r="AA1778" s="4">
        <v>100</v>
      </c>
    </row>
    <row r="1779" spans="1:27" x14ac:dyDescent="0.2">
      <c r="A1779" s="4">
        <v>10</v>
      </c>
      <c r="B1779" s="4">
        <v>3</v>
      </c>
      <c r="C1779" s="4">
        <v>0.4</v>
      </c>
      <c r="D1779" s="4">
        <v>20</v>
      </c>
      <c r="E1779" s="4">
        <v>0.79964471000000004</v>
      </c>
      <c r="F1779" s="4">
        <v>3</v>
      </c>
      <c r="G1779" s="4">
        <v>44.627248399999999</v>
      </c>
      <c r="H1779" s="4">
        <v>0.80012198999999995</v>
      </c>
      <c r="I1779" s="4">
        <v>3</v>
      </c>
      <c r="J1779" s="4">
        <v>0.29943639999999999</v>
      </c>
      <c r="K1779" s="4"/>
      <c r="L1779" s="4"/>
      <c r="M1779" s="4"/>
      <c r="N1779" s="4"/>
      <c r="O1779" s="4"/>
      <c r="P1779" s="4"/>
      <c r="Q1779" s="4"/>
      <c r="R1779" s="4"/>
      <c r="S1779" s="4"/>
      <c r="T1779" s="4"/>
      <c r="U1779" s="4"/>
      <c r="V1779" s="4">
        <v>0.80164546999999997</v>
      </c>
      <c r="W1779" s="4">
        <v>3</v>
      </c>
      <c r="X1779" s="4">
        <v>75712.828699999998</v>
      </c>
      <c r="Y1779" s="4">
        <v>432072</v>
      </c>
      <c r="Z1779" s="4">
        <v>0.1745679</v>
      </c>
      <c r="AA1779" s="4">
        <v>100</v>
      </c>
    </row>
    <row r="1780" spans="1:27" x14ac:dyDescent="0.2">
      <c r="A1780" s="4">
        <v>10</v>
      </c>
      <c r="B1780" s="4">
        <v>3</v>
      </c>
      <c r="C1780" s="4">
        <v>0.3</v>
      </c>
      <c r="D1780" s="4">
        <v>20</v>
      </c>
      <c r="E1780" s="4">
        <v>0.76621600999999995</v>
      </c>
      <c r="F1780" s="4">
        <v>3</v>
      </c>
      <c r="G1780" s="4">
        <v>36.2768789</v>
      </c>
      <c r="H1780" s="4">
        <v>0.81070511999999995</v>
      </c>
      <c r="I1780" s="4">
        <v>3</v>
      </c>
      <c r="J1780" s="4">
        <v>0.28214818000000003</v>
      </c>
      <c r="K1780" s="4"/>
      <c r="L1780" s="4"/>
      <c r="M1780" s="4"/>
      <c r="N1780" s="4"/>
      <c r="O1780" s="4"/>
      <c r="P1780" s="4"/>
      <c r="Q1780" s="4"/>
      <c r="R1780" s="4"/>
      <c r="S1780" s="4"/>
      <c r="T1780" s="4"/>
      <c r="U1780" s="4"/>
      <c r="V1780" s="4">
        <v>0.81660935000000001</v>
      </c>
      <c r="W1780" s="4">
        <v>3</v>
      </c>
      <c r="X1780" s="4">
        <v>75516.583100000003</v>
      </c>
      <c r="Y1780" s="4">
        <v>360838</v>
      </c>
      <c r="Z1780" s="4">
        <v>0.52589876999999996</v>
      </c>
      <c r="AA1780" s="4">
        <v>100</v>
      </c>
    </row>
    <row r="1781" spans="1:27" x14ac:dyDescent="0.2">
      <c r="A1781" s="4">
        <v>10</v>
      </c>
      <c r="B1781" s="4">
        <v>3</v>
      </c>
      <c r="C1781" s="4">
        <v>0.4</v>
      </c>
      <c r="D1781" s="4">
        <v>20</v>
      </c>
      <c r="E1781" s="4">
        <v>0.65837634</v>
      </c>
      <c r="F1781" s="4">
        <v>3</v>
      </c>
      <c r="G1781" s="4">
        <v>33.992230300000003</v>
      </c>
      <c r="H1781" s="4">
        <v>0.75492049000000006</v>
      </c>
      <c r="I1781" s="4">
        <v>3</v>
      </c>
      <c r="J1781" s="4">
        <v>0.58930813000000004</v>
      </c>
      <c r="K1781" s="4"/>
      <c r="L1781" s="4"/>
      <c r="M1781" s="4"/>
      <c r="N1781" s="4"/>
      <c r="O1781" s="4"/>
      <c r="P1781" s="4"/>
      <c r="Q1781" s="4"/>
      <c r="R1781" s="4"/>
      <c r="S1781" s="4"/>
      <c r="T1781" s="4"/>
      <c r="U1781" s="4"/>
      <c r="V1781" s="4">
        <v>0.76355244</v>
      </c>
      <c r="W1781" s="4">
        <v>3</v>
      </c>
      <c r="X1781" s="4">
        <v>75416.181899999996</v>
      </c>
      <c r="Y1781" s="4">
        <v>423979</v>
      </c>
      <c r="Z1781" s="4">
        <v>0.17334933999999999</v>
      </c>
      <c r="AA1781" s="4">
        <v>100</v>
      </c>
    </row>
    <row r="1782" spans="1:27" x14ac:dyDescent="0.2">
      <c r="A1782" s="4">
        <v>10</v>
      </c>
      <c r="B1782" s="4">
        <v>3</v>
      </c>
      <c r="C1782" s="4">
        <v>0.2</v>
      </c>
      <c r="D1782" s="4">
        <v>20</v>
      </c>
      <c r="E1782" s="4">
        <v>0.91219340999999998</v>
      </c>
      <c r="F1782" s="4">
        <v>3</v>
      </c>
      <c r="G1782" s="4">
        <v>35.434584200000003</v>
      </c>
      <c r="H1782" s="4">
        <v>0.92395581000000004</v>
      </c>
      <c r="I1782" s="4">
        <v>3</v>
      </c>
      <c r="J1782" s="4">
        <v>0.19713791</v>
      </c>
      <c r="K1782" s="4"/>
      <c r="L1782" s="4"/>
      <c r="M1782" s="4"/>
      <c r="N1782" s="4"/>
      <c r="O1782" s="4"/>
      <c r="P1782" s="4"/>
      <c r="Q1782" s="4"/>
      <c r="R1782" s="4"/>
      <c r="S1782" s="4"/>
      <c r="T1782" s="4"/>
      <c r="U1782" s="4"/>
      <c r="V1782" s="4">
        <v>0.98445645999999998</v>
      </c>
      <c r="W1782" s="4">
        <v>3</v>
      </c>
      <c r="X1782" s="4">
        <v>75403.193499999994</v>
      </c>
      <c r="Y1782" s="4">
        <v>476444</v>
      </c>
      <c r="Z1782" s="4">
        <v>0.14864005999999999</v>
      </c>
      <c r="AA1782" s="4">
        <v>100</v>
      </c>
    </row>
    <row r="1783" spans="1:27" x14ac:dyDescent="0.2">
      <c r="A1783" s="4">
        <v>10</v>
      </c>
      <c r="B1783" s="4">
        <v>3</v>
      </c>
      <c r="C1783" s="4">
        <v>0.3</v>
      </c>
      <c r="D1783" s="4">
        <v>20</v>
      </c>
      <c r="E1783" s="4">
        <v>0.83116312000000003</v>
      </c>
      <c r="F1783" s="4">
        <v>3</v>
      </c>
      <c r="G1783" s="4">
        <v>35.914438500000003</v>
      </c>
      <c r="H1783" s="4">
        <v>0.83283145000000003</v>
      </c>
      <c r="I1783" s="4">
        <v>3</v>
      </c>
      <c r="J1783" s="4">
        <v>0.41788330000000001</v>
      </c>
      <c r="K1783" s="4"/>
      <c r="L1783" s="4"/>
      <c r="M1783" s="4"/>
      <c r="N1783" s="4"/>
      <c r="O1783" s="4"/>
      <c r="P1783" s="4"/>
      <c r="Q1783" s="4"/>
      <c r="R1783" s="4"/>
      <c r="S1783" s="4"/>
      <c r="T1783" s="4"/>
      <c r="U1783" s="4"/>
      <c r="V1783" s="4">
        <v>0.83446845000000003</v>
      </c>
      <c r="W1783" s="4">
        <v>3</v>
      </c>
      <c r="X1783" s="4">
        <v>75439.635699999999</v>
      </c>
      <c r="Y1783" s="4">
        <v>382823</v>
      </c>
      <c r="Z1783" s="4">
        <v>4.7010549999999998E-2</v>
      </c>
      <c r="AA1783" s="4">
        <v>100</v>
      </c>
    </row>
    <row r="1784" spans="1:27" x14ac:dyDescent="0.2">
      <c r="A1784" s="4">
        <v>10</v>
      </c>
      <c r="B1784" s="4">
        <v>3</v>
      </c>
      <c r="C1784" s="4">
        <v>0.2</v>
      </c>
      <c r="D1784" s="4">
        <v>20</v>
      </c>
      <c r="E1784" s="4">
        <v>0.98287199999999997</v>
      </c>
      <c r="F1784" s="4">
        <v>3</v>
      </c>
      <c r="G1784" s="4">
        <v>35.470943300000002</v>
      </c>
      <c r="H1784" s="4">
        <v>0.95214898999999997</v>
      </c>
      <c r="I1784" s="4">
        <v>3</v>
      </c>
      <c r="J1784" s="4">
        <v>0.33651963000000001</v>
      </c>
      <c r="K1784" s="4"/>
      <c r="L1784" s="4"/>
      <c r="M1784" s="4"/>
      <c r="N1784" s="4"/>
      <c r="O1784" s="4"/>
      <c r="P1784" s="4"/>
      <c r="Q1784" s="4"/>
      <c r="R1784" s="4"/>
      <c r="S1784" s="4"/>
      <c r="T1784" s="4"/>
      <c r="U1784" s="4"/>
      <c r="V1784" s="4">
        <v>0.96348581</v>
      </c>
      <c r="W1784" s="4">
        <v>3</v>
      </c>
      <c r="X1784" s="4">
        <v>4220.6176599999999</v>
      </c>
      <c r="Y1784" s="4">
        <v>182715</v>
      </c>
      <c r="Z1784" s="4">
        <v>1.2127500000000001E-3</v>
      </c>
      <c r="AA1784" s="4">
        <v>40</v>
      </c>
    </row>
    <row r="1785" spans="1:27" x14ac:dyDescent="0.2">
      <c r="A1785" s="4">
        <v>10</v>
      </c>
      <c r="B1785" s="4">
        <v>3</v>
      </c>
      <c r="C1785" s="4">
        <v>0.4</v>
      </c>
      <c r="D1785" s="4">
        <v>20</v>
      </c>
      <c r="E1785" s="4">
        <v>0.65016594000000005</v>
      </c>
      <c r="F1785" s="4">
        <v>3</v>
      </c>
      <c r="G1785" s="4">
        <v>37.742163900000001</v>
      </c>
      <c r="H1785" s="4">
        <v>0.62260101000000001</v>
      </c>
      <c r="I1785" s="4">
        <v>3</v>
      </c>
      <c r="J1785" s="4">
        <v>0.27579179999999998</v>
      </c>
      <c r="K1785" s="4"/>
      <c r="L1785" s="4"/>
      <c r="M1785" s="4"/>
      <c r="N1785" s="4"/>
      <c r="O1785" s="4"/>
      <c r="P1785" s="4"/>
      <c r="Q1785" s="4"/>
      <c r="R1785" s="4"/>
      <c r="S1785" s="4"/>
      <c r="T1785" s="4"/>
      <c r="U1785" s="4"/>
      <c r="V1785" s="4">
        <v>0.62073107999999999</v>
      </c>
      <c r="W1785" s="4">
        <v>3</v>
      </c>
      <c r="X1785" s="4">
        <v>77407.770900000003</v>
      </c>
      <c r="Y1785" s="4">
        <v>465872</v>
      </c>
      <c r="Z1785" s="4">
        <v>0.19061418999999999</v>
      </c>
      <c r="AA1785" s="4">
        <v>100</v>
      </c>
    </row>
    <row r="1786" spans="1:27" x14ac:dyDescent="0.2">
      <c r="A1786" s="4">
        <v>10</v>
      </c>
      <c r="B1786" s="4">
        <v>3</v>
      </c>
      <c r="C1786" s="4">
        <v>0.1</v>
      </c>
      <c r="D1786" s="4">
        <v>20</v>
      </c>
      <c r="E1786" s="4">
        <v>0.91993804000000001</v>
      </c>
      <c r="F1786" s="4">
        <v>3</v>
      </c>
      <c r="G1786" s="4">
        <v>39.785834399999999</v>
      </c>
      <c r="H1786" s="4">
        <v>0.91902539999999999</v>
      </c>
      <c r="I1786" s="4">
        <v>3</v>
      </c>
      <c r="J1786" s="4">
        <v>5.2896029999999997E-2</v>
      </c>
      <c r="K1786" s="4"/>
      <c r="L1786" s="4"/>
      <c r="M1786" s="4"/>
      <c r="N1786" s="4"/>
      <c r="O1786" s="4"/>
      <c r="P1786" s="4"/>
      <c r="Q1786" s="4"/>
      <c r="R1786" s="4"/>
      <c r="S1786" s="4"/>
      <c r="T1786" s="4"/>
      <c r="U1786" s="4"/>
      <c r="V1786" s="4">
        <v>0.95206615000000006</v>
      </c>
      <c r="W1786" s="4">
        <v>3</v>
      </c>
      <c r="X1786" s="4">
        <v>75382.672699999996</v>
      </c>
      <c r="Y1786" s="4">
        <v>617660</v>
      </c>
      <c r="Z1786" s="4">
        <v>1.2259620000000001E-2</v>
      </c>
      <c r="AA1786" s="4">
        <v>100</v>
      </c>
    </row>
    <row r="1787" spans="1:27" x14ac:dyDescent="0.2">
      <c r="A1787" s="4">
        <v>10</v>
      </c>
      <c r="B1787" s="4">
        <v>3</v>
      </c>
      <c r="C1787" s="4">
        <v>0.2</v>
      </c>
      <c r="D1787" s="4">
        <v>20</v>
      </c>
      <c r="E1787" s="4">
        <v>0.78652898999999998</v>
      </c>
      <c r="F1787" s="4">
        <v>3</v>
      </c>
      <c r="G1787" s="4">
        <v>40.974222400000002</v>
      </c>
      <c r="H1787" s="4">
        <v>0.82253124</v>
      </c>
      <c r="I1787" s="4">
        <v>3</v>
      </c>
      <c r="J1787" s="4">
        <v>0.32481641999999999</v>
      </c>
      <c r="K1787" s="4"/>
      <c r="L1787" s="4"/>
      <c r="M1787" s="4"/>
      <c r="N1787" s="4"/>
      <c r="O1787" s="4"/>
      <c r="P1787" s="4"/>
      <c r="Q1787" s="4"/>
      <c r="R1787" s="4"/>
      <c r="S1787" s="4"/>
      <c r="T1787" s="4"/>
      <c r="U1787" s="4"/>
      <c r="V1787" s="4">
        <v>0.86926691</v>
      </c>
      <c r="W1787" s="4">
        <v>3</v>
      </c>
      <c r="X1787" s="4">
        <v>75078.2935</v>
      </c>
      <c r="Y1787" s="4">
        <v>389123</v>
      </c>
      <c r="Z1787" s="4">
        <v>0.46665010000000001</v>
      </c>
      <c r="AA1787" s="4">
        <v>100</v>
      </c>
    </row>
    <row r="1788" spans="1:27" x14ac:dyDescent="0.2">
      <c r="A1788" s="4">
        <v>10</v>
      </c>
      <c r="B1788" s="4">
        <v>3</v>
      </c>
      <c r="C1788" s="4">
        <v>0.4</v>
      </c>
      <c r="D1788" s="4">
        <v>20</v>
      </c>
      <c r="E1788" s="4">
        <v>0.81316182999999997</v>
      </c>
      <c r="F1788" s="4">
        <v>3</v>
      </c>
      <c r="G1788" s="4">
        <v>41.437792799999997</v>
      </c>
      <c r="H1788" s="4">
        <v>0.79279217000000002</v>
      </c>
      <c r="I1788" s="4">
        <v>3</v>
      </c>
      <c r="J1788" s="4">
        <v>0.16403803</v>
      </c>
      <c r="K1788" s="4"/>
      <c r="L1788" s="4"/>
      <c r="M1788" s="4"/>
      <c r="N1788" s="4"/>
      <c r="O1788" s="4"/>
      <c r="P1788" s="4"/>
      <c r="Q1788" s="4"/>
      <c r="R1788" s="4"/>
      <c r="S1788" s="4"/>
      <c r="T1788" s="4"/>
      <c r="U1788" s="4"/>
      <c r="V1788" s="4">
        <v>0.79271966999999999</v>
      </c>
      <c r="W1788" s="4">
        <v>3</v>
      </c>
      <c r="X1788" s="4">
        <v>75524.680900000007</v>
      </c>
      <c r="Y1788" s="4">
        <v>411523</v>
      </c>
      <c r="Z1788" s="4">
        <v>8.7359489999999998E-2</v>
      </c>
      <c r="AA1788" s="4">
        <v>100</v>
      </c>
    </row>
    <row r="1789" spans="1:27" x14ac:dyDescent="0.2">
      <c r="A1789" s="4">
        <v>10</v>
      </c>
      <c r="B1789" s="4">
        <v>3</v>
      </c>
      <c r="C1789" s="4">
        <v>0.1</v>
      </c>
      <c r="D1789" s="4">
        <v>20</v>
      </c>
      <c r="E1789" s="4">
        <v>0.95702111000000001</v>
      </c>
      <c r="F1789" s="4">
        <v>3</v>
      </c>
      <c r="G1789" s="4">
        <v>40.119746200000002</v>
      </c>
      <c r="H1789" s="4">
        <v>0.93295300000000003</v>
      </c>
      <c r="I1789" s="4">
        <v>3</v>
      </c>
      <c r="J1789" s="4">
        <v>0.53444977000000005</v>
      </c>
      <c r="K1789" s="4"/>
      <c r="L1789" s="4"/>
      <c r="M1789" s="4"/>
      <c r="N1789" s="4"/>
      <c r="O1789" s="4"/>
      <c r="P1789" s="4"/>
      <c r="Q1789" s="4"/>
      <c r="R1789" s="4"/>
      <c r="S1789" s="4"/>
      <c r="T1789" s="4"/>
      <c r="U1789" s="4"/>
      <c r="V1789" s="4">
        <v>0.94136372000000001</v>
      </c>
      <c r="W1789" s="4">
        <v>3</v>
      </c>
      <c r="X1789" s="4">
        <v>75378.736999999994</v>
      </c>
      <c r="Y1789" s="4">
        <v>608114</v>
      </c>
      <c r="Z1789" s="4">
        <v>2.7963490000000001E-2</v>
      </c>
      <c r="AA1789" s="4">
        <v>100</v>
      </c>
    </row>
    <row r="1790" spans="1:27" x14ac:dyDescent="0.2">
      <c r="A1790" s="4">
        <v>10</v>
      </c>
      <c r="B1790" s="4">
        <v>3</v>
      </c>
      <c r="C1790" s="4">
        <v>0.3</v>
      </c>
      <c r="D1790" s="4">
        <v>20</v>
      </c>
      <c r="E1790" s="4">
        <v>0.70621093000000001</v>
      </c>
      <c r="F1790" s="4">
        <v>3</v>
      </c>
      <c r="G1790" s="4">
        <v>35.588796199999997</v>
      </c>
      <c r="H1790" s="4">
        <v>0.71134527000000003</v>
      </c>
      <c r="I1790" s="4">
        <v>3</v>
      </c>
      <c r="J1790" s="4">
        <v>8.2514480000000001E-2</v>
      </c>
      <c r="K1790" s="4"/>
      <c r="L1790" s="4"/>
      <c r="M1790" s="4"/>
      <c r="N1790" s="4"/>
      <c r="O1790" s="4"/>
      <c r="P1790" s="4"/>
      <c r="Q1790" s="4"/>
      <c r="R1790" s="4"/>
      <c r="S1790" s="4"/>
      <c r="T1790" s="4"/>
      <c r="U1790" s="4"/>
      <c r="V1790" s="4">
        <v>0.71359112999999996</v>
      </c>
      <c r="W1790" s="4">
        <v>3</v>
      </c>
      <c r="X1790" s="4">
        <v>75188.392300000007</v>
      </c>
      <c r="Y1790" s="4">
        <v>377183</v>
      </c>
      <c r="Z1790" s="4">
        <v>0.47825041000000001</v>
      </c>
      <c r="AA1790" s="4">
        <v>100</v>
      </c>
    </row>
    <row r="1791" spans="1:27" x14ac:dyDescent="0.2">
      <c r="A1791" s="4">
        <v>10</v>
      </c>
      <c r="B1791" s="4">
        <v>3</v>
      </c>
      <c r="C1791" s="4">
        <v>0.1</v>
      </c>
      <c r="D1791" s="4">
        <v>20</v>
      </c>
      <c r="E1791" s="4">
        <v>0.96939295000000003</v>
      </c>
      <c r="F1791" s="4">
        <v>3</v>
      </c>
      <c r="G1791" s="4">
        <v>34.059033800000002</v>
      </c>
      <c r="H1791" s="4">
        <v>0.98551434999999998</v>
      </c>
      <c r="I1791" s="4">
        <v>3</v>
      </c>
      <c r="J1791" s="4">
        <v>0.16964069000000001</v>
      </c>
      <c r="K1791" s="4"/>
      <c r="L1791" s="4"/>
      <c r="M1791" s="4"/>
      <c r="N1791" s="4"/>
      <c r="O1791" s="4"/>
      <c r="P1791" s="4"/>
      <c r="Q1791" s="4"/>
      <c r="R1791" s="4"/>
      <c r="S1791" s="4"/>
      <c r="T1791" s="4"/>
      <c r="U1791" s="4"/>
      <c r="V1791" s="4">
        <v>0.95725769000000005</v>
      </c>
      <c r="W1791" s="4">
        <v>3</v>
      </c>
      <c r="X1791" s="4">
        <v>197.999302</v>
      </c>
      <c r="Y1791" s="4">
        <v>14774</v>
      </c>
      <c r="Z1791" s="4">
        <v>1.5626999999999999E-4</v>
      </c>
      <c r="AA1791" s="4">
        <v>1</v>
      </c>
    </row>
    <row r="1792" spans="1:27" x14ac:dyDescent="0.2">
      <c r="A1792" s="4">
        <v>10</v>
      </c>
      <c r="B1792" s="4">
        <v>3</v>
      </c>
      <c r="C1792" s="4">
        <v>0.4</v>
      </c>
      <c r="D1792" s="4">
        <v>20</v>
      </c>
      <c r="E1792" s="4">
        <v>0.68656622</v>
      </c>
      <c r="F1792" s="4">
        <v>3</v>
      </c>
      <c r="G1792" s="4">
        <v>38.980305199999997</v>
      </c>
      <c r="H1792" s="4">
        <v>0.76159317999999998</v>
      </c>
      <c r="I1792" s="4">
        <v>3</v>
      </c>
      <c r="J1792" s="4">
        <v>0.25639130999999998</v>
      </c>
      <c r="K1792" s="4"/>
      <c r="L1792" s="4"/>
      <c r="M1792" s="4"/>
      <c r="N1792" s="4"/>
      <c r="O1792" s="4"/>
      <c r="P1792" s="4"/>
      <c r="Q1792" s="4"/>
      <c r="R1792" s="4"/>
      <c r="S1792" s="4"/>
      <c r="T1792" s="4"/>
      <c r="U1792" s="4"/>
      <c r="V1792" s="4">
        <v>0.76559257999999997</v>
      </c>
      <c r="W1792" s="4">
        <v>3</v>
      </c>
      <c r="X1792" s="4">
        <v>75383.978099999993</v>
      </c>
      <c r="Y1792" s="4">
        <v>363450</v>
      </c>
      <c r="Z1792" s="4">
        <v>0.44640699</v>
      </c>
      <c r="AA1792" s="4">
        <v>100</v>
      </c>
    </row>
    <row r="1793" spans="1:27" x14ac:dyDescent="0.2">
      <c r="A1793">
        <v>10</v>
      </c>
      <c r="B1793">
        <v>3</v>
      </c>
      <c r="C1793">
        <v>0.2</v>
      </c>
      <c r="D1793">
        <v>100</v>
      </c>
      <c r="E1793">
        <v>0.95115280467057906</v>
      </c>
      <c r="F1793">
        <v>3</v>
      </c>
      <c r="G1793">
        <v>25.924945375</v>
      </c>
      <c r="H1793">
        <v>0.95617302782930902</v>
      </c>
      <c r="I1793">
        <v>3</v>
      </c>
      <c r="J1793">
        <v>5.3104997000000001E-2</v>
      </c>
      <c r="P1793"/>
      <c r="V1793">
        <v>1.0148344554650699</v>
      </c>
      <c r="W1793">
        <v>3</v>
      </c>
      <c r="X1793">
        <v>1218.0426537610001</v>
      </c>
      <c r="Y1793">
        <v>38617</v>
      </c>
      <c r="Z1793">
        <v>2.7568732279665401E-3</v>
      </c>
      <c r="AA1793">
        <v>1</v>
      </c>
    </row>
    <row r="1794" spans="1:27" x14ac:dyDescent="0.2">
      <c r="A1794">
        <v>10</v>
      </c>
      <c r="B1794">
        <v>3</v>
      </c>
      <c r="C1794">
        <v>0.2</v>
      </c>
      <c r="D1794">
        <v>100</v>
      </c>
      <c r="E1794">
        <v>0.98363304038212795</v>
      </c>
      <c r="F1794">
        <v>3</v>
      </c>
      <c r="G1794">
        <v>26.640296629000002</v>
      </c>
      <c r="H1794">
        <v>0.93125402297349003</v>
      </c>
      <c r="I1794">
        <v>3</v>
      </c>
      <c r="J1794">
        <v>0.219338177</v>
      </c>
      <c r="P1794"/>
      <c r="V1794">
        <v>0.93146605151371498</v>
      </c>
      <c r="W1794">
        <v>3</v>
      </c>
      <c r="X1794">
        <v>1217.1061110529999</v>
      </c>
      <c r="Y1794">
        <v>32357</v>
      </c>
      <c r="Z1794">
        <v>4.6538858969142798E-3</v>
      </c>
      <c r="AA1794">
        <v>1</v>
      </c>
    </row>
    <row r="1795" spans="1:27" x14ac:dyDescent="0.2">
      <c r="A1795">
        <v>10</v>
      </c>
      <c r="B1795">
        <v>3</v>
      </c>
      <c r="C1795">
        <v>0.4</v>
      </c>
      <c r="D1795">
        <v>100</v>
      </c>
      <c r="E1795">
        <v>0.71346247309118804</v>
      </c>
      <c r="F1795">
        <v>3</v>
      </c>
      <c r="G1795">
        <v>24.277323379999999</v>
      </c>
      <c r="H1795">
        <v>0.74744394984453699</v>
      </c>
      <c r="I1795">
        <v>3</v>
      </c>
      <c r="J1795">
        <v>0.69830072899999995</v>
      </c>
      <c r="P1795"/>
      <c r="V1795">
        <v>0.74855093417839802</v>
      </c>
      <c r="W1795">
        <v>3</v>
      </c>
      <c r="X1795">
        <v>75063.072172497996</v>
      </c>
      <c r="Y1795">
        <v>417204</v>
      </c>
      <c r="Z1795">
        <v>0.38380225309187299</v>
      </c>
      <c r="AA1795">
        <v>100</v>
      </c>
    </row>
    <row r="1796" spans="1:27" x14ac:dyDescent="0.2">
      <c r="A1796">
        <v>10</v>
      </c>
      <c r="B1796">
        <v>3</v>
      </c>
      <c r="C1796">
        <v>0.1</v>
      </c>
      <c r="D1796">
        <v>100</v>
      </c>
      <c r="E1796">
        <v>0.93804851659367705</v>
      </c>
      <c r="F1796">
        <v>3</v>
      </c>
      <c r="G1796">
        <v>26.698072494000002</v>
      </c>
      <c r="H1796">
        <v>0.93804851659367805</v>
      </c>
      <c r="I1796">
        <v>3</v>
      </c>
      <c r="J1796">
        <v>2.9940721999999999E-2</v>
      </c>
      <c r="P1796"/>
      <c r="V1796">
        <v>0.98472373148949399</v>
      </c>
      <c r="W1796">
        <v>3</v>
      </c>
      <c r="X1796">
        <v>115.772403967</v>
      </c>
      <c r="Y1796">
        <v>19795</v>
      </c>
      <c r="Z1796" s="1">
        <v>5.1842677450689102E-5</v>
      </c>
      <c r="AA1796">
        <v>1</v>
      </c>
    </row>
    <row r="1797" spans="1:27" x14ac:dyDescent="0.2">
      <c r="A1797">
        <v>10</v>
      </c>
      <c r="B1797">
        <v>3</v>
      </c>
      <c r="C1797">
        <v>0.3</v>
      </c>
      <c r="D1797">
        <v>100</v>
      </c>
      <c r="E1797">
        <v>0.87592525781796005</v>
      </c>
      <c r="F1797">
        <v>3</v>
      </c>
      <c r="G1797">
        <v>26.186457038</v>
      </c>
      <c r="H1797">
        <v>0.81999985810104303</v>
      </c>
      <c r="I1797">
        <v>3</v>
      </c>
      <c r="J1797">
        <v>0.30168630600000002</v>
      </c>
      <c r="P1797"/>
      <c r="V1797">
        <v>0.82037257596485003</v>
      </c>
      <c r="W1797">
        <v>3</v>
      </c>
      <c r="X1797">
        <v>75062.917973156</v>
      </c>
      <c r="Y1797">
        <v>419144</v>
      </c>
      <c r="Z1797">
        <v>7.4875679272463802E-2</v>
      </c>
      <c r="AA1797">
        <v>100</v>
      </c>
    </row>
    <row r="1798" spans="1:27" x14ac:dyDescent="0.2">
      <c r="A1798">
        <v>10</v>
      </c>
      <c r="B1798">
        <v>3</v>
      </c>
      <c r="C1798">
        <v>0.2</v>
      </c>
      <c r="D1798">
        <v>100</v>
      </c>
      <c r="E1798">
        <v>0.95037594813180104</v>
      </c>
      <c r="F1798">
        <v>3</v>
      </c>
      <c r="G1798">
        <v>28.231625688000001</v>
      </c>
      <c r="H1798">
        <v>0.96226010152112795</v>
      </c>
      <c r="I1798">
        <v>3</v>
      </c>
      <c r="J1798">
        <v>0.20650059000000001</v>
      </c>
      <c r="P1798"/>
      <c r="V1798">
        <v>0.93448089275729695</v>
      </c>
      <c r="W1798">
        <v>3</v>
      </c>
      <c r="X1798">
        <v>1219.29237844</v>
      </c>
      <c r="Y1798">
        <v>34004</v>
      </c>
      <c r="Z1798">
        <v>5.4743057365856998E-4</v>
      </c>
      <c r="AA1798">
        <v>1</v>
      </c>
    </row>
    <row r="1799" spans="1:27" x14ac:dyDescent="0.2">
      <c r="A1799">
        <v>10</v>
      </c>
      <c r="B1799">
        <v>3</v>
      </c>
      <c r="C1799">
        <v>0.1</v>
      </c>
      <c r="D1799">
        <v>20</v>
      </c>
      <c r="E1799">
        <v>0.89094492115290602</v>
      </c>
      <c r="F1799">
        <v>3</v>
      </c>
      <c r="G1799">
        <v>43.591945195000001</v>
      </c>
      <c r="H1799">
        <v>0.89097853374472002</v>
      </c>
      <c r="I1799">
        <v>3</v>
      </c>
      <c r="J1799">
        <v>6.0011960000000003E-2</v>
      </c>
      <c r="P1799"/>
      <c r="V1799">
        <v>0.89108389974931101</v>
      </c>
      <c r="W1799">
        <v>3</v>
      </c>
      <c r="X1799">
        <v>75068.397251028</v>
      </c>
      <c r="Y1799">
        <v>802984</v>
      </c>
      <c r="Z1799">
        <v>4.9137873884109597E-2</v>
      </c>
      <c r="AA1799">
        <v>100</v>
      </c>
    </row>
    <row r="1800" spans="1:27" x14ac:dyDescent="0.2">
      <c r="A1800">
        <v>10</v>
      </c>
      <c r="B1800">
        <v>3</v>
      </c>
      <c r="C1800">
        <v>0.4</v>
      </c>
      <c r="D1800">
        <v>100</v>
      </c>
      <c r="E1800">
        <v>0.497329754333874</v>
      </c>
      <c r="F1800">
        <v>3</v>
      </c>
      <c r="G1800">
        <v>25.618028936000002</v>
      </c>
      <c r="H1800">
        <v>0.46365311119036701</v>
      </c>
      <c r="I1800">
        <v>3</v>
      </c>
      <c r="J1800">
        <v>0.37764359800000002</v>
      </c>
      <c r="P1800"/>
      <c r="V1800">
        <v>0.463144959309441</v>
      </c>
      <c r="W1800">
        <v>3</v>
      </c>
      <c r="X1800">
        <v>75382.263541751003</v>
      </c>
      <c r="Y1800">
        <v>530088</v>
      </c>
      <c r="Z1800">
        <v>3.99006063558702E-2</v>
      </c>
      <c r="AA1800">
        <v>100</v>
      </c>
    </row>
    <row r="1801" spans="1:27" x14ac:dyDescent="0.2">
      <c r="A1801">
        <v>10</v>
      </c>
      <c r="B1801">
        <v>3</v>
      </c>
      <c r="C1801">
        <v>0.3</v>
      </c>
      <c r="D1801">
        <v>100</v>
      </c>
      <c r="E1801">
        <v>0.88549273250823202</v>
      </c>
      <c r="F1801">
        <v>3</v>
      </c>
      <c r="G1801">
        <v>27.459882134000001</v>
      </c>
      <c r="H1801">
        <v>0.84307195062179796</v>
      </c>
      <c r="I1801">
        <v>3</v>
      </c>
      <c r="J1801">
        <v>0.32355004199999998</v>
      </c>
      <c r="P1801"/>
      <c r="V1801">
        <v>0.84337488631165403</v>
      </c>
      <c r="W1801">
        <v>3</v>
      </c>
      <c r="X1801">
        <v>75050.211360025001</v>
      </c>
      <c r="Y1801">
        <v>412319</v>
      </c>
      <c r="Z1801">
        <v>6.6552763104482396E-2</v>
      </c>
      <c r="AA1801">
        <v>100</v>
      </c>
    </row>
    <row r="1802" spans="1:27" x14ac:dyDescent="0.2">
      <c r="A1802">
        <v>10</v>
      </c>
      <c r="B1802">
        <v>3</v>
      </c>
      <c r="C1802">
        <v>0.4</v>
      </c>
      <c r="D1802">
        <v>100</v>
      </c>
      <c r="E1802">
        <v>0.86520652419793198</v>
      </c>
      <c r="F1802">
        <v>3</v>
      </c>
      <c r="G1802">
        <v>26.046761378999999</v>
      </c>
      <c r="H1802">
        <v>0.94459099985048101</v>
      </c>
      <c r="I1802">
        <v>3</v>
      </c>
      <c r="J1802">
        <v>0.54782145900000001</v>
      </c>
      <c r="P1802"/>
      <c r="V1802">
        <v>0.94981642101354802</v>
      </c>
      <c r="W1802">
        <v>3</v>
      </c>
      <c r="X1802">
        <v>75045.048049620993</v>
      </c>
      <c r="Y1802">
        <v>461460</v>
      </c>
      <c r="Z1802">
        <v>1.1369794757503601E-2</v>
      </c>
      <c r="AA1802">
        <v>100</v>
      </c>
    </row>
    <row r="1803" spans="1:27" x14ac:dyDescent="0.2">
      <c r="A1803">
        <v>10</v>
      </c>
      <c r="B1803">
        <v>3</v>
      </c>
      <c r="C1803">
        <v>0.2</v>
      </c>
      <c r="D1803">
        <v>100</v>
      </c>
      <c r="E1803">
        <v>0.91590305306743203</v>
      </c>
      <c r="F1803">
        <v>3</v>
      </c>
      <c r="G1803">
        <v>25.33049192</v>
      </c>
      <c r="H1803">
        <v>0.91602386861569296</v>
      </c>
      <c r="I1803">
        <v>3</v>
      </c>
      <c r="J1803">
        <v>3.1699374000000002E-2</v>
      </c>
      <c r="P1803"/>
      <c r="V1803">
        <v>0.91576840364414702</v>
      </c>
      <c r="W1803">
        <v>3</v>
      </c>
      <c r="X1803">
        <v>75044.853517131996</v>
      </c>
      <c r="Y1803">
        <v>396223</v>
      </c>
      <c r="Z1803">
        <v>2.61048120319173E-2</v>
      </c>
      <c r="AA1803">
        <v>100</v>
      </c>
    </row>
    <row r="1804" spans="1:27" x14ac:dyDescent="0.2">
      <c r="A1804">
        <v>10</v>
      </c>
      <c r="B1804">
        <v>3</v>
      </c>
      <c r="C1804">
        <v>0.3</v>
      </c>
      <c r="D1804">
        <v>100</v>
      </c>
      <c r="E1804">
        <v>0.99607529127504901</v>
      </c>
      <c r="F1804">
        <v>3</v>
      </c>
      <c r="G1804">
        <v>38.753426413</v>
      </c>
      <c r="H1804">
        <v>0.90539456911281002</v>
      </c>
      <c r="I1804">
        <v>3</v>
      </c>
      <c r="J1804">
        <v>0.443471638</v>
      </c>
      <c r="P1804"/>
      <c r="V1804">
        <v>0.90621392751258301</v>
      </c>
      <c r="W1804">
        <v>3</v>
      </c>
      <c r="X1804">
        <v>75128.831762018002</v>
      </c>
      <c r="Y1804">
        <v>338442</v>
      </c>
      <c r="Z1804">
        <v>7.1505287726566997E-3</v>
      </c>
      <c r="AA1804">
        <v>100</v>
      </c>
    </row>
    <row r="1805" spans="1:27" x14ac:dyDescent="0.2">
      <c r="A1805">
        <v>10</v>
      </c>
      <c r="B1805">
        <v>3</v>
      </c>
      <c r="C1805">
        <v>0.4</v>
      </c>
      <c r="D1805">
        <v>100</v>
      </c>
      <c r="E1805">
        <v>0.60047383096277596</v>
      </c>
      <c r="F1805">
        <v>3</v>
      </c>
      <c r="G1805">
        <v>36.407193243999998</v>
      </c>
      <c r="H1805">
        <v>0.59805725118261099</v>
      </c>
      <c r="I1805">
        <v>3</v>
      </c>
      <c r="J1805">
        <v>0.244589905</v>
      </c>
      <c r="P1805"/>
      <c r="V1805">
        <v>0.60277759506808803</v>
      </c>
      <c r="W1805">
        <v>3</v>
      </c>
      <c r="X1805">
        <v>75401.804999433007</v>
      </c>
      <c r="Y1805">
        <v>349397</v>
      </c>
      <c r="Z1805">
        <v>0.18686772770215501</v>
      </c>
      <c r="AA1805">
        <v>100</v>
      </c>
    </row>
    <row r="1806" spans="1:27" x14ac:dyDescent="0.2">
      <c r="A1806">
        <v>10</v>
      </c>
      <c r="B1806">
        <v>3</v>
      </c>
      <c r="C1806">
        <v>0.2</v>
      </c>
      <c r="D1806">
        <v>100</v>
      </c>
      <c r="E1806">
        <v>0.90346966641509197</v>
      </c>
      <c r="F1806">
        <v>3</v>
      </c>
      <c r="G1806">
        <v>26.381253294</v>
      </c>
      <c r="H1806">
        <v>0.88026285369668</v>
      </c>
      <c r="I1806">
        <v>3</v>
      </c>
      <c r="J1806">
        <v>0.52261723599999999</v>
      </c>
      <c r="P1806"/>
      <c r="V1806">
        <v>0.98706756382584604</v>
      </c>
      <c r="W1806">
        <v>3</v>
      </c>
      <c r="X1806">
        <v>75048.796097507002</v>
      </c>
      <c r="Y1806">
        <v>410709</v>
      </c>
      <c r="Z1806">
        <v>3.41008039095958E-2</v>
      </c>
      <c r="AA1806">
        <v>100</v>
      </c>
    </row>
    <row r="1807" spans="1:27" x14ac:dyDescent="0.2">
      <c r="A1807">
        <v>10</v>
      </c>
      <c r="B1807">
        <v>3</v>
      </c>
      <c r="C1807">
        <v>0.4</v>
      </c>
      <c r="D1807">
        <v>100</v>
      </c>
      <c r="E1807">
        <v>0.704637598633436</v>
      </c>
      <c r="F1807">
        <v>3</v>
      </c>
      <c r="G1807">
        <v>26.043665004000001</v>
      </c>
      <c r="H1807">
        <v>0.66690311879789199</v>
      </c>
      <c r="I1807">
        <v>3</v>
      </c>
      <c r="J1807">
        <v>0.61725506600000002</v>
      </c>
      <c r="P1807"/>
      <c r="V1807">
        <v>0.89896165370246195</v>
      </c>
      <c r="W1807">
        <v>3</v>
      </c>
      <c r="X1807">
        <v>75050.330474414994</v>
      </c>
      <c r="Y1807">
        <v>491829</v>
      </c>
      <c r="Z1807">
        <v>5.8485724176954898E-2</v>
      </c>
      <c r="AA1807">
        <v>100</v>
      </c>
    </row>
    <row r="1808" spans="1:27" x14ac:dyDescent="0.2">
      <c r="A1808">
        <v>10</v>
      </c>
      <c r="B1808">
        <v>3</v>
      </c>
      <c r="C1808">
        <v>0.3</v>
      </c>
      <c r="D1808">
        <v>100</v>
      </c>
      <c r="E1808">
        <v>0.86273477690529699</v>
      </c>
      <c r="F1808">
        <v>3</v>
      </c>
      <c r="G1808">
        <v>27.026670642999999</v>
      </c>
      <c r="H1808">
        <v>0.82039268391293396</v>
      </c>
      <c r="I1808">
        <v>3</v>
      </c>
      <c r="J1808">
        <v>0.376266991</v>
      </c>
      <c r="P1808"/>
      <c r="V1808">
        <v>0.82050387586220497</v>
      </c>
      <c r="W1808">
        <v>3</v>
      </c>
      <c r="X1808">
        <v>75090.878555136995</v>
      </c>
      <c r="Y1808">
        <v>321716</v>
      </c>
      <c r="Z1808">
        <v>5.2432044079681502E-2</v>
      </c>
      <c r="AA1808">
        <v>100</v>
      </c>
    </row>
    <row r="1809" spans="1:27" x14ac:dyDescent="0.2">
      <c r="A1809">
        <v>10</v>
      </c>
      <c r="B1809">
        <v>3</v>
      </c>
      <c r="C1809">
        <v>0.1</v>
      </c>
      <c r="D1809">
        <v>100</v>
      </c>
      <c r="E1809">
        <v>0.95706921712663995</v>
      </c>
      <c r="F1809">
        <v>3</v>
      </c>
      <c r="G1809">
        <v>30.110919378999998</v>
      </c>
      <c r="H1809">
        <v>0.957066927136768</v>
      </c>
      <c r="I1809">
        <v>3</v>
      </c>
      <c r="J1809">
        <v>3.7893148000000001E-2</v>
      </c>
      <c r="P1809"/>
      <c r="V1809">
        <v>0.95706587051234404</v>
      </c>
      <c r="W1809">
        <v>3</v>
      </c>
      <c r="X1809">
        <v>75071.855108489995</v>
      </c>
      <c r="Y1809">
        <v>586693</v>
      </c>
      <c r="Z1809">
        <v>8.4857275141985104E-3</v>
      </c>
      <c r="AA1809">
        <v>100</v>
      </c>
    </row>
    <row r="1810" spans="1:27" x14ac:dyDescent="0.2">
      <c r="A1810">
        <v>10</v>
      </c>
      <c r="B1810">
        <v>3</v>
      </c>
      <c r="C1810">
        <v>0.2</v>
      </c>
      <c r="D1810">
        <v>100</v>
      </c>
      <c r="E1810">
        <v>1.15003366241088</v>
      </c>
      <c r="F1810">
        <v>3</v>
      </c>
      <c r="G1810">
        <v>29.519739375</v>
      </c>
      <c r="H1810">
        <v>0.95676491911754202</v>
      </c>
      <c r="I1810">
        <v>3</v>
      </c>
      <c r="J1810">
        <v>0.40352993100000001</v>
      </c>
      <c r="P1810"/>
      <c r="V1810">
        <v>0.99001184793443697</v>
      </c>
      <c r="W1810">
        <v>3</v>
      </c>
      <c r="X1810">
        <v>75071.452018819997</v>
      </c>
      <c r="Y1810">
        <v>433714</v>
      </c>
      <c r="Z1810">
        <v>8.6629477826355092E-3</v>
      </c>
      <c r="AA1810">
        <v>100</v>
      </c>
    </row>
    <row r="1811" spans="1:27" x14ac:dyDescent="0.2">
      <c r="A1811">
        <v>10</v>
      </c>
      <c r="B1811">
        <v>3</v>
      </c>
      <c r="C1811">
        <v>0.3</v>
      </c>
      <c r="D1811">
        <v>100</v>
      </c>
      <c r="E1811">
        <v>0.79630472958252696</v>
      </c>
      <c r="F1811">
        <v>3</v>
      </c>
      <c r="G1811">
        <v>29.083052313</v>
      </c>
      <c r="H1811">
        <v>0.80216760336016801</v>
      </c>
      <c r="I1811">
        <v>3</v>
      </c>
      <c r="J1811">
        <v>0.25795990099999999</v>
      </c>
      <c r="P1811"/>
      <c r="V1811">
        <v>0.80388029769451597</v>
      </c>
      <c r="W1811">
        <v>3</v>
      </c>
      <c r="X1811">
        <v>75070.824320836997</v>
      </c>
      <c r="Y1811">
        <v>436212</v>
      </c>
      <c r="Z1811">
        <v>7.3576495379571394E-2</v>
      </c>
      <c r="AA1811">
        <v>100</v>
      </c>
    </row>
    <row r="1812" spans="1:27" x14ac:dyDescent="0.2">
      <c r="A1812">
        <v>10</v>
      </c>
      <c r="B1812">
        <v>3</v>
      </c>
      <c r="C1812">
        <v>0.4</v>
      </c>
      <c r="D1812">
        <v>100</v>
      </c>
      <c r="E1812">
        <v>0.48625745962022299</v>
      </c>
      <c r="F1812">
        <v>3</v>
      </c>
      <c r="G1812">
        <v>29.293788895999999</v>
      </c>
      <c r="H1812">
        <v>0.54023805452083495</v>
      </c>
      <c r="I1812">
        <v>3</v>
      </c>
      <c r="J1812">
        <v>0.47739406899999998</v>
      </c>
      <c r="P1812"/>
      <c r="V1812">
        <v>0.54089960318513597</v>
      </c>
      <c r="W1812">
        <v>3</v>
      </c>
      <c r="X1812">
        <v>75058.388444573997</v>
      </c>
      <c r="Y1812">
        <v>388356</v>
      </c>
      <c r="Z1812">
        <v>0.39421063955657298</v>
      </c>
      <c r="AA1812">
        <v>100</v>
      </c>
    </row>
    <row r="1813" spans="1:27" x14ac:dyDescent="0.2">
      <c r="A1813">
        <v>10</v>
      </c>
      <c r="B1813">
        <v>3</v>
      </c>
      <c r="C1813">
        <v>0.3</v>
      </c>
      <c r="D1813">
        <v>100</v>
      </c>
      <c r="E1813">
        <v>0.876289350849355</v>
      </c>
      <c r="F1813">
        <v>3</v>
      </c>
      <c r="G1813">
        <v>26.122851305000001</v>
      </c>
      <c r="H1813">
        <v>0.921096753825842</v>
      </c>
      <c r="I1813">
        <v>3</v>
      </c>
      <c r="J1813">
        <v>0.46305703500000001</v>
      </c>
      <c r="P1813"/>
      <c r="V1813">
        <v>1.0282647317226701</v>
      </c>
      <c r="W1813">
        <v>3</v>
      </c>
      <c r="X1813">
        <v>75048.045166709999</v>
      </c>
      <c r="Y1813">
        <v>450505</v>
      </c>
      <c r="Z1813">
        <v>1.70882445309294E-2</v>
      </c>
      <c r="AA1813">
        <v>100</v>
      </c>
    </row>
    <row r="1814" spans="1:27" x14ac:dyDescent="0.2">
      <c r="A1814">
        <v>10</v>
      </c>
      <c r="B1814">
        <v>3</v>
      </c>
      <c r="C1814">
        <v>0.4</v>
      </c>
      <c r="D1814">
        <v>100</v>
      </c>
      <c r="E1814">
        <v>0.61994802231039403</v>
      </c>
      <c r="F1814">
        <v>3</v>
      </c>
      <c r="G1814">
        <v>21.862608026</v>
      </c>
      <c r="H1814">
        <v>0.58048173169060102</v>
      </c>
      <c r="I1814">
        <v>3</v>
      </c>
      <c r="J1814">
        <v>0.411573403</v>
      </c>
      <c r="P1814"/>
      <c r="V1814">
        <v>0.58200218656705505</v>
      </c>
      <c r="W1814">
        <v>3</v>
      </c>
      <c r="X1814">
        <v>75167.738282713006</v>
      </c>
      <c r="Y1814">
        <v>417254</v>
      </c>
      <c r="Z1814">
        <v>0.13940808103143301</v>
      </c>
      <c r="AA1814">
        <v>100</v>
      </c>
    </row>
    <row r="1815" spans="1:27" x14ac:dyDescent="0.2">
      <c r="A1815">
        <v>10</v>
      </c>
      <c r="B1815">
        <v>3</v>
      </c>
      <c r="C1815">
        <v>0.2</v>
      </c>
      <c r="D1815">
        <v>100</v>
      </c>
      <c r="E1815">
        <v>0.85704673604648496</v>
      </c>
      <c r="F1815">
        <v>3</v>
      </c>
      <c r="G1815">
        <v>28.298482405000001</v>
      </c>
      <c r="H1815">
        <v>0.85350366871368899</v>
      </c>
      <c r="I1815">
        <v>3</v>
      </c>
      <c r="J1815">
        <v>4.1788199999999998E-2</v>
      </c>
      <c r="P1815"/>
      <c r="V1815">
        <v>0.85316461768380603</v>
      </c>
      <c r="W1815">
        <v>3</v>
      </c>
      <c r="X1815">
        <v>75075.787276632997</v>
      </c>
      <c r="Y1815">
        <v>385762</v>
      </c>
      <c r="Z1815">
        <v>8.6773425094576806E-2</v>
      </c>
      <c r="AA1815">
        <v>100</v>
      </c>
    </row>
    <row r="1816" spans="1:27" x14ac:dyDescent="0.2">
      <c r="A1816">
        <v>10</v>
      </c>
      <c r="B1816">
        <v>3</v>
      </c>
      <c r="C1816">
        <v>0.3</v>
      </c>
      <c r="D1816">
        <v>100</v>
      </c>
      <c r="E1816">
        <v>1.01602026686832</v>
      </c>
      <c r="F1816">
        <v>3</v>
      </c>
      <c r="G1816">
        <v>24.798260298999999</v>
      </c>
      <c r="H1816">
        <v>0.96213143143171298</v>
      </c>
      <c r="I1816">
        <v>3</v>
      </c>
      <c r="J1816">
        <v>0.217146645</v>
      </c>
      <c r="P1816"/>
      <c r="V1816">
        <v>0.96237165861749197</v>
      </c>
      <c r="W1816">
        <v>3</v>
      </c>
      <c r="X1816">
        <v>75063.126622652999</v>
      </c>
      <c r="Y1816">
        <v>355318</v>
      </c>
      <c r="Z1816">
        <v>9.4115919115010799E-3</v>
      </c>
      <c r="AA1816">
        <v>100</v>
      </c>
    </row>
    <row r="1817" spans="1:27" x14ac:dyDescent="0.2">
      <c r="A1817">
        <v>10</v>
      </c>
      <c r="B1817">
        <v>3</v>
      </c>
      <c r="C1817">
        <v>0.4</v>
      </c>
      <c r="D1817">
        <v>100</v>
      </c>
      <c r="E1817">
        <v>0.382975966855929</v>
      </c>
      <c r="F1817">
        <v>3</v>
      </c>
      <c r="G1817">
        <v>43.783329064</v>
      </c>
      <c r="H1817">
        <v>0.422097400676408</v>
      </c>
      <c r="I1817">
        <v>3</v>
      </c>
      <c r="J1817">
        <v>0.54573549499999996</v>
      </c>
      <c r="P1817"/>
      <c r="V1817">
        <v>0.42250301511148203</v>
      </c>
      <c r="W1817">
        <v>3</v>
      </c>
      <c r="X1817">
        <v>75487.460759702997</v>
      </c>
      <c r="Y1817">
        <v>296321</v>
      </c>
      <c r="Z1817">
        <v>0.60515575944004796</v>
      </c>
      <c r="AA1817">
        <v>100</v>
      </c>
    </row>
    <row r="1818" spans="1:27" x14ac:dyDescent="0.2">
      <c r="A1818">
        <v>10</v>
      </c>
      <c r="B1818">
        <v>3</v>
      </c>
      <c r="C1818">
        <v>0.3</v>
      </c>
      <c r="D1818">
        <v>100</v>
      </c>
      <c r="E1818">
        <v>0.56106136730426104</v>
      </c>
      <c r="F1818">
        <v>3</v>
      </c>
      <c r="G1818">
        <v>27.232916672000002</v>
      </c>
      <c r="H1818">
        <v>0.565688464839882</v>
      </c>
      <c r="I1818">
        <v>3</v>
      </c>
      <c r="J1818">
        <v>0.37549797699999998</v>
      </c>
      <c r="P1818"/>
      <c r="V1818">
        <v>0.56648686089052902</v>
      </c>
      <c r="W1818">
        <v>3</v>
      </c>
      <c r="X1818">
        <v>75064.998528723998</v>
      </c>
      <c r="Y1818">
        <v>330260</v>
      </c>
      <c r="Z1818">
        <v>0.28917469400453599</v>
      </c>
      <c r="AA1818">
        <v>100</v>
      </c>
    </row>
    <row r="1819" spans="1:27" x14ac:dyDescent="0.2">
      <c r="A1819">
        <v>10</v>
      </c>
      <c r="B1819">
        <v>3</v>
      </c>
      <c r="C1819">
        <v>0.4</v>
      </c>
      <c r="D1819">
        <v>100</v>
      </c>
      <c r="E1819">
        <v>0.94431776122546995</v>
      </c>
      <c r="F1819">
        <v>3</v>
      </c>
      <c r="G1819">
        <v>26.182635778000002</v>
      </c>
      <c r="H1819">
        <v>0.78154651885944904</v>
      </c>
      <c r="I1819">
        <v>3</v>
      </c>
      <c r="J1819">
        <v>0.49168614599999999</v>
      </c>
      <c r="P1819"/>
      <c r="V1819">
        <v>0.781765326196596</v>
      </c>
      <c r="W1819">
        <v>3</v>
      </c>
      <c r="X1819">
        <v>75358.169864629002</v>
      </c>
      <c r="Y1819">
        <v>485746</v>
      </c>
      <c r="Z1819">
        <v>1.6223863261406402E-2</v>
      </c>
      <c r="AA1819">
        <v>100</v>
      </c>
    </row>
    <row r="1820" spans="1:27" x14ac:dyDescent="0.2">
      <c r="A1820">
        <v>10</v>
      </c>
      <c r="B1820">
        <v>3</v>
      </c>
      <c r="C1820">
        <v>0.1</v>
      </c>
      <c r="D1820">
        <v>100</v>
      </c>
      <c r="E1820">
        <v>0.92634738500051605</v>
      </c>
      <c r="F1820">
        <v>3</v>
      </c>
      <c r="G1820">
        <v>26.776722675999999</v>
      </c>
      <c r="H1820">
        <v>0.92624555243856699</v>
      </c>
      <c r="I1820">
        <v>3</v>
      </c>
      <c r="J1820">
        <v>3.4119666E-2</v>
      </c>
      <c r="P1820"/>
      <c r="V1820">
        <v>0.92624536533890001</v>
      </c>
      <c r="W1820">
        <v>3</v>
      </c>
      <c r="X1820">
        <v>75090.724228966996</v>
      </c>
      <c r="Y1820">
        <v>443888</v>
      </c>
      <c r="Z1820">
        <v>2.7137832344503701E-3</v>
      </c>
      <c r="AA1820">
        <v>100</v>
      </c>
    </row>
    <row r="1821" spans="1:27" x14ac:dyDescent="0.2">
      <c r="A1821">
        <v>10</v>
      </c>
      <c r="B1821">
        <v>3</v>
      </c>
      <c r="C1821">
        <v>0.1</v>
      </c>
      <c r="D1821">
        <v>100</v>
      </c>
      <c r="E1821">
        <v>0.929920740613564</v>
      </c>
      <c r="F1821">
        <v>3</v>
      </c>
      <c r="G1821">
        <v>26.313134988000002</v>
      </c>
      <c r="H1821">
        <v>0.92985005964117995</v>
      </c>
      <c r="I1821">
        <v>3</v>
      </c>
      <c r="J1821">
        <v>3.0744127999999999E-2</v>
      </c>
      <c r="P1821"/>
      <c r="V1821">
        <v>0.972186085275348</v>
      </c>
      <c r="W1821">
        <v>3</v>
      </c>
      <c r="X1821">
        <v>75414.883816810005</v>
      </c>
      <c r="Y1821">
        <v>557803</v>
      </c>
      <c r="Z1821">
        <v>1.09667308337671E-2</v>
      </c>
      <c r="AA1821">
        <v>100</v>
      </c>
    </row>
    <row r="1822" spans="1:27" x14ac:dyDescent="0.2">
      <c r="A1822">
        <v>10</v>
      </c>
      <c r="B1822">
        <v>3</v>
      </c>
      <c r="C1822">
        <v>0.3</v>
      </c>
      <c r="D1822">
        <v>100</v>
      </c>
      <c r="E1822">
        <v>0.794592390847636</v>
      </c>
      <c r="F1822">
        <v>3</v>
      </c>
      <c r="G1822">
        <v>27.55835918</v>
      </c>
      <c r="H1822">
        <v>0.75095842043765204</v>
      </c>
      <c r="I1822">
        <v>3</v>
      </c>
      <c r="J1822">
        <v>0.29510451300000001</v>
      </c>
      <c r="P1822"/>
      <c r="V1822">
        <v>0.75185834665310602</v>
      </c>
      <c r="W1822">
        <v>3</v>
      </c>
      <c r="X1822">
        <v>75039.585585280001</v>
      </c>
      <c r="Y1822">
        <v>412250</v>
      </c>
      <c r="Z1822">
        <v>9.6556455291647497E-2</v>
      </c>
      <c r="AA1822">
        <v>100</v>
      </c>
    </row>
    <row r="1823" spans="1:27" x14ac:dyDescent="0.2">
      <c r="A1823">
        <v>10</v>
      </c>
      <c r="B1823">
        <v>3</v>
      </c>
      <c r="C1823">
        <v>0.4</v>
      </c>
      <c r="D1823">
        <v>100</v>
      </c>
      <c r="E1823">
        <v>0.58399821458767698</v>
      </c>
      <c r="F1823">
        <v>3</v>
      </c>
      <c r="G1823">
        <v>27.851857161000002</v>
      </c>
      <c r="H1823">
        <v>0.57857059333412197</v>
      </c>
      <c r="I1823">
        <v>3</v>
      </c>
      <c r="J1823">
        <v>0.237053035</v>
      </c>
      <c r="P1823"/>
      <c r="V1823">
        <v>0.576500516122741</v>
      </c>
      <c r="W1823">
        <v>3</v>
      </c>
      <c r="X1823">
        <v>75041.759676090005</v>
      </c>
      <c r="Y1823">
        <v>443917</v>
      </c>
      <c r="Z1823">
        <v>9.4152403362386394E-2</v>
      </c>
      <c r="AA1823">
        <v>100</v>
      </c>
    </row>
    <row r="1824" spans="1:27" x14ac:dyDescent="0.2">
      <c r="A1824">
        <v>10</v>
      </c>
      <c r="B1824">
        <v>3</v>
      </c>
      <c r="C1824">
        <v>0.3</v>
      </c>
      <c r="D1824">
        <v>100</v>
      </c>
      <c r="E1824">
        <v>0.96233278486469698</v>
      </c>
      <c r="F1824">
        <v>3</v>
      </c>
      <c r="G1824">
        <v>28.416496153000001</v>
      </c>
      <c r="H1824">
        <v>0.79298057996037696</v>
      </c>
      <c r="I1824">
        <v>3</v>
      </c>
      <c r="J1824">
        <v>0.23947901199999999</v>
      </c>
      <c r="P1824"/>
      <c r="V1824">
        <v>0.79345392299609596</v>
      </c>
      <c r="W1824">
        <v>3</v>
      </c>
      <c r="X1824">
        <v>75074.515711590997</v>
      </c>
      <c r="Y1824">
        <v>461970</v>
      </c>
      <c r="Z1824">
        <v>9.8119322719867307E-3</v>
      </c>
      <c r="AA1824">
        <v>100</v>
      </c>
    </row>
    <row r="1825" spans="1:27" x14ac:dyDescent="0.2">
      <c r="A1825">
        <v>10</v>
      </c>
      <c r="B1825">
        <v>3</v>
      </c>
      <c r="C1825">
        <v>0.4</v>
      </c>
      <c r="D1825">
        <v>100</v>
      </c>
      <c r="E1825">
        <v>0.93952964087913904</v>
      </c>
      <c r="F1825">
        <v>3</v>
      </c>
      <c r="G1825">
        <v>26.276923366999998</v>
      </c>
      <c r="H1825">
        <v>1.01417866653681</v>
      </c>
      <c r="I1825">
        <v>3</v>
      </c>
      <c r="J1825">
        <v>0.58867096399999996</v>
      </c>
      <c r="P1825"/>
      <c r="V1825">
        <v>1.0168764025319501</v>
      </c>
      <c r="W1825">
        <v>3</v>
      </c>
      <c r="X1825">
        <v>75419.978387807001</v>
      </c>
      <c r="Y1825">
        <v>344517</v>
      </c>
      <c r="Z1825">
        <v>9.3251004791778294E-2</v>
      </c>
      <c r="AA1825">
        <v>100</v>
      </c>
    </row>
    <row r="1826" spans="1:27" x14ac:dyDescent="0.2">
      <c r="A1826">
        <v>10</v>
      </c>
      <c r="B1826">
        <v>3</v>
      </c>
      <c r="C1826">
        <v>0.3</v>
      </c>
      <c r="D1826">
        <v>100</v>
      </c>
      <c r="E1826">
        <v>0.78007198675621103</v>
      </c>
      <c r="F1826">
        <v>3</v>
      </c>
      <c r="G1826">
        <v>27.963044794000002</v>
      </c>
      <c r="H1826">
        <v>0.79816950742583803</v>
      </c>
      <c r="I1826">
        <v>3</v>
      </c>
      <c r="J1826">
        <v>0.16701453699999999</v>
      </c>
      <c r="P1826"/>
      <c r="V1826">
        <v>0.79860612389683705</v>
      </c>
      <c r="W1826">
        <v>3</v>
      </c>
      <c r="X1826">
        <v>75438.483399139004</v>
      </c>
      <c r="Y1826">
        <v>471636</v>
      </c>
      <c r="Z1826">
        <v>2.6421198621392201E-2</v>
      </c>
      <c r="AA1826">
        <v>100</v>
      </c>
    </row>
    <row r="1827" spans="1:27" x14ac:dyDescent="0.2">
      <c r="A1827">
        <v>10</v>
      </c>
      <c r="B1827">
        <v>3</v>
      </c>
      <c r="C1827">
        <v>0.2</v>
      </c>
      <c r="D1827">
        <v>20</v>
      </c>
      <c r="E1827">
        <v>0.84106366887483996</v>
      </c>
      <c r="F1827">
        <v>3</v>
      </c>
      <c r="G1827">
        <v>36.049308345</v>
      </c>
      <c r="H1827">
        <v>0.84382348500945703</v>
      </c>
      <c r="I1827">
        <v>3</v>
      </c>
      <c r="J1827">
        <v>0.105076225</v>
      </c>
      <c r="P1827"/>
      <c r="V1827">
        <v>0.84425959068810996</v>
      </c>
      <c r="W1827">
        <v>3</v>
      </c>
      <c r="X1827">
        <v>75259.307301673005</v>
      </c>
      <c r="Y1827">
        <v>448115</v>
      </c>
      <c r="Z1827">
        <v>2.90739387843547E-2</v>
      </c>
      <c r="AA1827">
        <v>100</v>
      </c>
    </row>
    <row r="1828" spans="1:27" x14ac:dyDescent="0.2">
      <c r="A1828">
        <v>10</v>
      </c>
      <c r="B1828">
        <v>3</v>
      </c>
      <c r="C1828">
        <v>0.3</v>
      </c>
      <c r="D1828">
        <v>20</v>
      </c>
      <c r="E1828">
        <v>0.756062328688626</v>
      </c>
      <c r="F1828">
        <v>3</v>
      </c>
      <c r="G1828">
        <v>35.266198037000002</v>
      </c>
      <c r="H1828">
        <v>0.74897872464686899</v>
      </c>
      <c r="I1828">
        <v>3</v>
      </c>
      <c r="J1828">
        <v>0.159566659</v>
      </c>
      <c r="P1828"/>
      <c r="V1828">
        <v>0.75039072427503295</v>
      </c>
      <c r="W1828">
        <v>3</v>
      </c>
      <c r="X1828">
        <v>75064.292986397995</v>
      </c>
      <c r="Y1828">
        <v>335843</v>
      </c>
      <c r="Z1828">
        <v>0.64780332204632396</v>
      </c>
      <c r="AA1828">
        <v>100</v>
      </c>
    </row>
    <row r="1829" spans="1:27" x14ac:dyDescent="0.2">
      <c r="A1829">
        <v>10</v>
      </c>
      <c r="B1829">
        <v>3</v>
      </c>
      <c r="C1829">
        <v>0.4</v>
      </c>
      <c r="D1829">
        <v>20</v>
      </c>
      <c r="E1829">
        <v>0.68382115820603395</v>
      </c>
      <c r="F1829">
        <v>3</v>
      </c>
      <c r="G1829">
        <v>37.320398349000001</v>
      </c>
      <c r="H1829">
        <v>0.70129335597818798</v>
      </c>
      <c r="I1829">
        <v>3</v>
      </c>
      <c r="J1829">
        <v>0.310147436</v>
      </c>
      <c r="P1829"/>
      <c r="V1829">
        <v>0.702390877058366</v>
      </c>
      <c r="W1829">
        <v>3</v>
      </c>
      <c r="X1829">
        <v>75067.733709041</v>
      </c>
      <c r="Y1829">
        <v>387046</v>
      </c>
      <c r="Z1829">
        <v>0.238856262432568</v>
      </c>
      <c r="AA1829">
        <v>100</v>
      </c>
    </row>
    <row r="1830" spans="1:27" x14ac:dyDescent="0.2">
      <c r="A1830">
        <v>10</v>
      </c>
      <c r="B1830">
        <v>3</v>
      </c>
      <c r="C1830">
        <v>0.2</v>
      </c>
      <c r="D1830">
        <v>20</v>
      </c>
      <c r="E1830">
        <v>0.93574154811028298</v>
      </c>
      <c r="F1830">
        <v>3</v>
      </c>
      <c r="G1830">
        <v>36.659817545999999</v>
      </c>
      <c r="H1830">
        <v>0.89354487658688397</v>
      </c>
      <c r="I1830">
        <v>3</v>
      </c>
      <c r="J1830">
        <v>0.26521229099999999</v>
      </c>
      <c r="P1830"/>
      <c r="V1830">
        <v>0.893960903164841</v>
      </c>
      <c r="W1830">
        <v>3</v>
      </c>
      <c r="X1830">
        <v>75073.810028542997</v>
      </c>
      <c r="Y1830">
        <v>349557</v>
      </c>
      <c r="Z1830">
        <v>0.15568345019933</v>
      </c>
      <c r="AA1830">
        <v>100</v>
      </c>
    </row>
    <row r="1831" spans="1:27" x14ac:dyDescent="0.2">
      <c r="A1831">
        <v>10</v>
      </c>
      <c r="B1831">
        <v>3</v>
      </c>
      <c r="C1831">
        <v>0.3</v>
      </c>
      <c r="D1831">
        <v>20</v>
      </c>
      <c r="E1831">
        <v>0.97936491316063001</v>
      </c>
      <c r="F1831">
        <v>3</v>
      </c>
      <c r="G1831">
        <v>42.335005641000002</v>
      </c>
      <c r="H1831">
        <v>0.99116053370791102</v>
      </c>
      <c r="I1831">
        <v>3</v>
      </c>
      <c r="J1831">
        <v>0.43749787400000001</v>
      </c>
      <c r="P1831"/>
      <c r="V1831">
        <v>0.99443848999429396</v>
      </c>
      <c r="W1831">
        <v>3</v>
      </c>
      <c r="X1831">
        <v>75394.474268064005</v>
      </c>
      <c r="Y1831">
        <v>367492</v>
      </c>
      <c r="Z1831">
        <v>9.5615077179938598E-2</v>
      </c>
      <c r="AA1831">
        <v>100</v>
      </c>
    </row>
    <row r="1832" spans="1:27" x14ac:dyDescent="0.2">
      <c r="A1832">
        <v>10</v>
      </c>
      <c r="B1832">
        <v>3</v>
      </c>
      <c r="C1832">
        <v>0.1</v>
      </c>
      <c r="D1832">
        <v>20</v>
      </c>
      <c r="E1832">
        <v>0.98608119859642596</v>
      </c>
      <c r="F1832">
        <v>3</v>
      </c>
      <c r="G1832">
        <v>41.513842412000002</v>
      </c>
      <c r="H1832">
        <v>1.0017168965285801</v>
      </c>
      <c r="I1832">
        <v>3</v>
      </c>
      <c r="J1832">
        <v>0.18471879099999999</v>
      </c>
      <c r="P1832"/>
      <c r="V1832">
        <v>0.96514293019391595</v>
      </c>
      <c r="W1832">
        <v>3</v>
      </c>
      <c r="X1832">
        <v>100.69874593900001</v>
      </c>
      <c r="Y1832">
        <v>9670</v>
      </c>
      <c r="Z1832">
        <v>5.8578079405088802E-4</v>
      </c>
      <c r="AA1832">
        <v>1</v>
      </c>
    </row>
    <row r="1833" spans="1:27" x14ac:dyDescent="0.2">
      <c r="A1833">
        <v>10</v>
      </c>
      <c r="B1833">
        <v>3</v>
      </c>
      <c r="C1833">
        <v>0.4</v>
      </c>
      <c r="D1833">
        <v>20</v>
      </c>
      <c r="E1833">
        <v>0.65362204829078396</v>
      </c>
      <c r="F1833">
        <v>3</v>
      </c>
      <c r="G1833">
        <v>40.966092306999997</v>
      </c>
      <c r="H1833">
        <v>0.61905553008233805</v>
      </c>
      <c r="I1833">
        <v>3</v>
      </c>
      <c r="J1833">
        <v>0.295118349</v>
      </c>
      <c r="P1833"/>
      <c r="V1833">
        <v>0.61926434895664395</v>
      </c>
      <c r="W1833">
        <v>3</v>
      </c>
      <c r="X1833">
        <v>75321.210059143996</v>
      </c>
      <c r="Y1833">
        <v>366065</v>
      </c>
      <c r="Z1833">
        <v>0.56143532255630102</v>
      </c>
      <c r="AA1833">
        <v>100</v>
      </c>
    </row>
    <row r="1834" spans="1:27" x14ac:dyDescent="0.2">
      <c r="A1834">
        <v>10</v>
      </c>
      <c r="B1834">
        <v>3</v>
      </c>
      <c r="C1834">
        <v>0.2</v>
      </c>
      <c r="D1834">
        <v>100</v>
      </c>
      <c r="E1834">
        <v>0.93532403872780201</v>
      </c>
      <c r="F1834">
        <v>3</v>
      </c>
      <c r="G1834">
        <v>27.836413446000002</v>
      </c>
      <c r="H1834">
        <v>0.93535193476589396</v>
      </c>
      <c r="I1834">
        <v>3</v>
      </c>
      <c r="J1834">
        <v>3.7029557999999997E-2</v>
      </c>
      <c r="P1834"/>
      <c r="V1834">
        <v>0.93551595076917504</v>
      </c>
      <c r="W1834">
        <v>3</v>
      </c>
      <c r="X1834">
        <v>75047.595207952007</v>
      </c>
      <c r="Y1834">
        <v>404993</v>
      </c>
      <c r="Z1834">
        <v>2.3324821197093101E-2</v>
      </c>
      <c r="AA1834">
        <v>100</v>
      </c>
    </row>
    <row r="1835" spans="1:27" x14ac:dyDescent="0.2">
      <c r="A1835">
        <v>10</v>
      </c>
      <c r="B1835">
        <v>3</v>
      </c>
      <c r="C1835">
        <v>0.4</v>
      </c>
      <c r="D1835">
        <v>100</v>
      </c>
      <c r="E1835">
        <v>0.65901922708735605</v>
      </c>
      <c r="F1835">
        <v>3</v>
      </c>
      <c r="G1835">
        <v>26.678854270999999</v>
      </c>
      <c r="H1835">
        <v>0.48995052392410499</v>
      </c>
      <c r="I1835">
        <v>3</v>
      </c>
      <c r="J1835">
        <v>0.58222469300000002</v>
      </c>
      <c r="P1835"/>
      <c r="V1835">
        <v>0.49170022310568701</v>
      </c>
      <c r="W1835">
        <v>3</v>
      </c>
      <c r="X1835">
        <v>75413.684877798005</v>
      </c>
      <c r="Y1835">
        <v>329754</v>
      </c>
      <c r="Z1835">
        <v>0.15555330090137401</v>
      </c>
      <c r="AA1835">
        <v>100</v>
      </c>
    </row>
    <row r="1836" spans="1:27" x14ac:dyDescent="0.2">
      <c r="A1836">
        <v>20</v>
      </c>
      <c r="B1836">
        <v>3</v>
      </c>
      <c r="C1836">
        <v>0.3</v>
      </c>
      <c r="D1836">
        <v>100</v>
      </c>
      <c r="E1836">
        <v>0.51193013763262196</v>
      </c>
      <c r="F1836">
        <v>3</v>
      </c>
      <c r="G1836">
        <v>27.942715657000001</v>
      </c>
      <c r="H1836">
        <v>0.412441386507926</v>
      </c>
      <c r="I1836">
        <v>3</v>
      </c>
      <c r="J1836">
        <v>0.864921622</v>
      </c>
      <c r="P1836"/>
      <c r="V1836">
        <v>0.405931205814269</v>
      </c>
      <c r="W1836">
        <v>3</v>
      </c>
      <c r="X1836">
        <v>76062.845114639</v>
      </c>
      <c r="Y1836">
        <v>3871</v>
      </c>
      <c r="Z1836">
        <v>0.26878552396919903</v>
      </c>
      <c r="AA1836">
        <v>100</v>
      </c>
    </row>
    <row r="1837" spans="1:27" x14ac:dyDescent="0.2">
      <c r="A1837">
        <v>40</v>
      </c>
      <c r="B1837">
        <v>2</v>
      </c>
      <c r="C1837">
        <v>0.1</v>
      </c>
      <c r="D1837">
        <v>100</v>
      </c>
      <c r="E1837">
        <v>0.92520647451731197</v>
      </c>
      <c r="F1837">
        <v>2</v>
      </c>
      <c r="G1837">
        <v>27.485365542</v>
      </c>
      <c r="H1837">
        <v>0.88609555271539497</v>
      </c>
      <c r="I1837">
        <v>2</v>
      </c>
      <c r="J1837">
        <v>1.8204271240000001</v>
      </c>
      <c r="P1837"/>
      <c r="V1837">
        <v>0.88692837999017304</v>
      </c>
      <c r="W1837">
        <v>2</v>
      </c>
      <c r="X1837">
        <v>75945.748969506996</v>
      </c>
      <c r="Y1837">
        <v>16372</v>
      </c>
      <c r="Z1837">
        <v>0.29121066923546801</v>
      </c>
      <c r="AA1837">
        <v>100</v>
      </c>
    </row>
    <row r="1838" spans="1:27" x14ac:dyDescent="0.2">
      <c r="A1838">
        <v>10</v>
      </c>
      <c r="B1838">
        <v>3</v>
      </c>
      <c r="C1838">
        <v>0.1</v>
      </c>
      <c r="D1838">
        <v>20</v>
      </c>
      <c r="E1838">
        <v>0.95282560885776202</v>
      </c>
      <c r="F1838">
        <v>3</v>
      </c>
      <c r="G1838">
        <v>36.707790752999998</v>
      </c>
      <c r="H1838">
        <v>0.95250728438899002</v>
      </c>
      <c r="I1838">
        <v>3</v>
      </c>
      <c r="J1838">
        <v>5.6417907000000003E-2</v>
      </c>
      <c r="P1838"/>
      <c r="V1838">
        <v>0.98221472817657396</v>
      </c>
      <c r="W1838">
        <v>3</v>
      </c>
      <c r="X1838">
        <v>75379.523718590004</v>
      </c>
      <c r="Y1838">
        <v>610572</v>
      </c>
      <c r="Z1838">
        <v>1.3755594652152999E-2</v>
      </c>
      <c r="AA1838">
        <v>100</v>
      </c>
    </row>
    <row r="1839" spans="1:27" x14ac:dyDescent="0.2">
      <c r="A1839">
        <v>10</v>
      </c>
      <c r="B1839">
        <v>3</v>
      </c>
      <c r="C1839">
        <v>0.2</v>
      </c>
      <c r="D1839">
        <v>20</v>
      </c>
      <c r="E1839">
        <v>0.85895251702135</v>
      </c>
      <c r="F1839">
        <v>3</v>
      </c>
      <c r="G1839">
        <v>39.355768032</v>
      </c>
      <c r="H1839">
        <v>0.87077460597607803</v>
      </c>
      <c r="I1839">
        <v>3</v>
      </c>
      <c r="J1839">
        <v>0.376110045</v>
      </c>
      <c r="P1839"/>
      <c r="V1839">
        <v>0.93877443658850401</v>
      </c>
      <c r="W1839">
        <v>3</v>
      </c>
      <c r="X1839">
        <v>75118.557560328001</v>
      </c>
      <c r="Y1839">
        <v>533649</v>
      </c>
      <c r="Z1839">
        <v>5.9078078749479103E-2</v>
      </c>
      <c r="AA1839">
        <v>100</v>
      </c>
    </row>
    <row r="1840" spans="1:27" x14ac:dyDescent="0.2">
      <c r="A1840">
        <v>10</v>
      </c>
      <c r="B1840">
        <v>3</v>
      </c>
      <c r="C1840">
        <v>0.3</v>
      </c>
      <c r="D1840">
        <v>20</v>
      </c>
      <c r="E1840">
        <v>0.86908507586954897</v>
      </c>
      <c r="F1840">
        <v>3</v>
      </c>
      <c r="G1840">
        <v>39.467446830999997</v>
      </c>
      <c r="H1840">
        <v>0.83031210544798695</v>
      </c>
      <c r="I1840">
        <v>3</v>
      </c>
      <c r="J1840">
        <v>0.31158964900000002</v>
      </c>
      <c r="P1840"/>
      <c r="V1840">
        <v>0.83158904257390998</v>
      </c>
      <c r="W1840">
        <v>3</v>
      </c>
      <c r="X1840">
        <v>75359.679647090001</v>
      </c>
      <c r="Y1840">
        <v>369571</v>
      </c>
      <c r="Z1840">
        <v>7.6347952965009805E-2</v>
      </c>
      <c r="AA1840">
        <v>100</v>
      </c>
    </row>
    <row r="1841" spans="1:27" x14ac:dyDescent="0.2">
      <c r="A1841" s="4">
        <v>20</v>
      </c>
      <c r="B1841" s="4">
        <v>3</v>
      </c>
      <c r="C1841" s="4">
        <v>0.1</v>
      </c>
      <c r="D1841" s="4">
        <v>100</v>
      </c>
      <c r="E1841" s="4">
        <v>1.0976751199999999</v>
      </c>
      <c r="F1841" s="4">
        <v>3</v>
      </c>
      <c r="G1841" s="4">
        <v>28.942413899999998</v>
      </c>
      <c r="H1841" s="4">
        <v>1.03368302</v>
      </c>
      <c r="I1841" s="4">
        <v>3</v>
      </c>
      <c r="J1841" s="4">
        <v>0.90623717000000004</v>
      </c>
      <c r="K1841" s="4"/>
      <c r="L1841" s="4"/>
      <c r="M1841" s="4"/>
      <c r="N1841" s="4"/>
      <c r="O1841" s="4"/>
      <c r="P1841" s="4"/>
      <c r="Q1841" s="4"/>
      <c r="R1841" s="4"/>
      <c r="S1841" s="4"/>
      <c r="T1841" s="4"/>
      <c r="U1841" s="4"/>
      <c r="V1841" s="4">
        <v>1.03387421</v>
      </c>
      <c r="W1841" s="4">
        <v>3</v>
      </c>
      <c r="X1841" s="4">
        <v>75070.796199999997</v>
      </c>
      <c r="Y1841" s="4">
        <v>281310</v>
      </c>
      <c r="Z1841" s="4">
        <v>8.5615299999999995E-3</v>
      </c>
      <c r="AA1841" s="4">
        <v>100</v>
      </c>
    </row>
    <row r="1842" spans="1:27" x14ac:dyDescent="0.2">
      <c r="A1842" s="4">
        <v>20</v>
      </c>
      <c r="B1842" s="4">
        <v>3</v>
      </c>
      <c r="C1842" s="4">
        <v>0.2</v>
      </c>
      <c r="D1842" s="4">
        <v>100</v>
      </c>
      <c r="E1842" s="4">
        <v>0.89943024000000005</v>
      </c>
      <c r="F1842" s="4">
        <v>3</v>
      </c>
      <c r="G1842" s="4">
        <v>29.546666500000001</v>
      </c>
      <c r="H1842" s="4">
        <v>0.75857496000000002</v>
      </c>
      <c r="I1842" s="4">
        <v>3</v>
      </c>
      <c r="J1842" s="4">
        <v>0.93876369999999998</v>
      </c>
      <c r="K1842" s="4"/>
      <c r="L1842" s="4"/>
      <c r="M1842" s="4"/>
      <c r="N1842" s="4"/>
      <c r="O1842" s="4"/>
      <c r="P1842" s="4"/>
      <c r="Q1842" s="4"/>
      <c r="R1842" s="4"/>
      <c r="S1842" s="4"/>
      <c r="T1842" s="4"/>
      <c r="U1842" s="4"/>
      <c r="V1842" s="4">
        <v>0.75966489999999998</v>
      </c>
      <c r="W1842" s="4">
        <v>3</v>
      </c>
      <c r="X1842" s="4">
        <v>75901.585800000001</v>
      </c>
      <c r="Y1842" s="4">
        <v>103174</v>
      </c>
      <c r="Z1842" s="4">
        <v>0.18361535000000001</v>
      </c>
      <c r="AA1842" s="4">
        <v>100</v>
      </c>
    </row>
    <row r="1843" spans="1:27" x14ac:dyDescent="0.2">
      <c r="A1843">
        <v>40</v>
      </c>
      <c r="B1843">
        <v>2</v>
      </c>
      <c r="C1843">
        <v>0.1</v>
      </c>
      <c r="D1843">
        <v>100</v>
      </c>
      <c r="E1843">
        <v>0.67063249405049397</v>
      </c>
      <c r="F1843">
        <v>2</v>
      </c>
      <c r="G1843">
        <v>30.316434003000001</v>
      </c>
      <c r="H1843">
        <v>0.54032750389953599</v>
      </c>
      <c r="I1843">
        <v>2</v>
      </c>
      <c r="J1843">
        <v>2.0174645369999999</v>
      </c>
      <c r="P1843"/>
      <c r="V1843">
        <v>0.53756086142479498</v>
      </c>
      <c r="W1843">
        <v>2</v>
      </c>
      <c r="X1843">
        <v>76333.225116635003</v>
      </c>
      <c r="Y1843">
        <v>20289</v>
      </c>
      <c r="Z1843">
        <v>0.48958525546531501</v>
      </c>
      <c r="AA1843">
        <v>100</v>
      </c>
    </row>
    <row r="1844" spans="1:27" x14ac:dyDescent="0.2">
      <c r="A1844">
        <v>40</v>
      </c>
      <c r="B1844">
        <v>2</v>
      </c>
      <c r="C1844">
        <v>0.1</v>
      </c>
      <c r="D1844">
        <v>100</v>
      </c>
      <c r="E1844">
        <v>0.87760986050296896</v>
      </c>
      <c r="F1844">
        <v>2</v>
      </c>
      <c r="G1844">
        <v>27.349079785000001</v>
      </c>
      <c r="H1844">
        <v>1.0064907546980699</v>
      </c>
      <c r="I1844">
        <v>2</v>
      </c>
      <c r="J1844">
        <v>2.8461903419999999</v>
      </c>
      <c r="P1844"/>
      <c r="V1844">
        <v>1.01162865335872</v>
      </c>
      <c r="W1844">
        <v>2</v>
      </c>
      <c r="X1844">
        <v>76303.578345684</v>
      </c>
      <c r="Y1844">
        <v>6199</v>
      </c>
      <c r="Z1844">
        <v>0.33957189883767003</v>
      </c>
      <c r="AA1844">
        <v>100</v>
      </c>
    </row>
    <row r="1845" spans="1:27" x14ac:dyDescent="0.2">
      <c r="A1845">
        <v>40</v>
      </c>
      <c r="B1845">
        <v>2</v>
      </c>
      <c r="C1845">
        <v>0.1</v>
      </c>
      <c r="D1845">
        <v>100</v>
      </c>
      <c r="E1845">
        <v>0.79940953702744499</v>
      </c>
      <c r="F1845">
        <v>2</v>
      </c>
      <c r="G1845">
        <v>26.681678191</v>
      </c>
      <c r="H1845">
        <v>0.58950043583321798</v>
      </c>
      <c r="I1845">
        <v>2</v>
      </c>
      <c r="J1845">
        <v>1.706324199</v>
      </c>
      <c r="P1845"/>
      <c r="V1845">
        <v>0.58616517267638502</v>
      </c>
      <c r="W1845">
        <v>2</v>
      </c>
      <c r="X1845">
        <v>76321.241438163997</v>
      </c>
      <c r="Y1845">
        <v>24407</v>
      </c>
      <c r="Z1845">
        <v>0.37915067115324902</v>
      </c>
      <c r="AA1845">
        <v>100</v>
      </c>
    </row>
    <row r="1846" spans="1:27" x14ac:dyDescent="0.2">
      <c r="A1846">
        <v>40</v>
      </c>
      <c r="B1846">
        <v>2</v>
      </c>
      <c r="C1846">
        <v>0.1</v>
      </c>
      <c r="D1846">
        <v>100</v>
      </c>
      <c r="E1846">
        <v>0.90005930451128902</v>
      </c>
      <c r="F1846">
        <v>2</v>
      </c>
      <c r="G1846">
        <v>24.490688114000001</v>
      </c>
      <c r="H1846">
        <v>0.37344646600467701</v>
      </c>
      <c r="I1846">
        <v>2</v>
      </c>
      <c r="J1846">
        <v>1.7640634580000001</v>
      </c>
      <c r="P1846"/>
      <c r="V1846">
        <v>0.37028057504533601</v>
      </c>
      <c r="W1846">
        <v>2</v>
      </c>
      <c r="X1846">
        <v>75806.408389128002</v>
      </c>
      <c r="Y1846">
        <v>18310</v>
      </c>
      <c r="Z1846">
        <v>0.37472041518152599</v>
      </c>
      <c r="AA1846">
        <v>100</v>
      </c>
    </row>
    <row r="1847" spans="1:27" x14ac:dyDescent="0.2">
      <c r="A1847">
        <v>40</v>
      </c>
      <c r="B1847">
        <v>2</v>
      </c>
      <c r="C1847">
        <v>0.1</v>
      </c>
      <c r="D1847">
        <v>100</v>
      </c>
      <c r="E1847">
        <v>0.84382384237174302</v>
      </c>
      <c r="F1847">
        <v>2</v>
      </c>
      <c r="G1847">
        <v>25.666914016</v>
      </c>
      <c r="H1847">
        <v>0.59140742054436402</v>
      </c>
      <c r="I1847">
        <v>2</v>
      </c>
      <c r="J1847">
        <v>1.602607645</v>
      </c>
      <c r="P1847"/>
      <c r="V1847">
        <v>0.59139310332323602</v>
      </c>
      <c r="W1847">
        <v>2</v>
      </c>
      <c r="X1847">
        <v>75689.710831659002</v>
      </c>
      <c r="Y1847">
        <v>19721</v>
      </c>
      <c r="Z1847">
        <v>0.37793084008469502</v>
      </c>
      <c r="AA1847">
        <v>100</v>
      </c>
    </row>
    <row r="1848" spans="1:27" x14ac:dyDescent="0.2">
      <c r="A1848">
        <v>40</v>
      </c>
      <c r="B1848">
        <v>2</v>
      </c>
      <c r="C1848">
        <v>0.1</v>
      </c>
      <c r="D1848">
        <v>100</v>
      </c>
      <c r="E1848">
        <v>0.56159073964242201</v>
      </c>
      <c r="F1848">
        <v>2</v>
      </c>
      <c r="G1848">
        <v>28.498900811999999</v>
      </c>
      <c r="H1848">
        <v>0.36630886774843802</v>
      </c>
      <c r="I1848">
        <v>2</v>
      </c>
      <c r="J1848">
        <v>1.830836302</v>
      </c>
      <c r="P1848"/>
      <c r="V1848">
        <v>0.36054286752738501</v>
      </c>
      <c r="W1848">
        <v>2</v>
      </c>
      <c r="X1848">
        <v>76897.651484076006</v>
      </c>
      <c r="Y1848">
        <v>8906</v>
      </c>
      <c r="Z1848">
        <v>0.77053981467367805</v>
      </c>
      <c r="AA1848">
        <v>100</v>
      </c>
    </row>
    <row r="1849" spans="1:27" x14ac:dyDescent="0.2">
      <c r="A1849">
        <v>40</v>
      </c>
      <c r="B1849">
        <v>2</v>
      </c>
      <c r="C1849">
        <v>0.1</v>
      </c>
      <c r="D1849">
        <v>100</v>
      </c>
      <c r="E1849">
        <v>0.63359378217298301</v>
      </c>
      <c r="F1849">
        <v>2</v>
      </c>
      <c r="G1849">
        <v>33.045153362999997</v>
      </c>
      <c r="H1849">
        <v>0.62024351672856903</v>
      </c>
      <c r="I1849">
        <v>2</v>
      </c>
      <c r="J1849">
        <v>2.1939556410000001</v>
      </c>
      <c r="P1849"/>
      <c r="V1849">
        <v>0.61842212701242705</v>
      </c>
      <c r="W1849">
        <v>2</v>
      </c>
      <c r="X1849">
        <v>76097.416801918996</v>
      </c>
      <c r="Y1849">
        <v>7155</v>
      </c>
      <c r="Z1849">
        <v>0.36713850058444703</v>
      </c>
      <c r="AA1849">
        <v>100</v>
      </c>
    </row>
    <row r="1850" spans="1:27" x14ac:dyDescent="0.2">
      <c r="A1850">
        <v>40</v>
      </c>
      <c r="B1850">
        <v>2</v>
      </c>
      <c r="C1850">
        <v>0.1</v>
      </c>
      <c r="D1850">
        <v>100</v>
      </c>
      <c r="E1850">
        <v>0.67101707321237802</v>
      </c>
      <c r="F1850">
        <v>2</v>
      </c>
      <c r="G1850">
        <v>29.015084038000001</v>
      </c>
      <c r="H1850">
        <v>0.56807424513415605</v>
      </c>
      <c r="I1850">
        <v>2</v>
      </c>
      <c r="J1850">
        <v>1.8478678319999999</v>
      </c>
      <c r="P1850"/>
      <c r="V1850">
        <v>0.56660374717861495</v>
      </c>
      <c r="W1850">
        <v>2</v>
      </c>
      <c r="X1850">
        <v>75571.709291136998</v>
      </c>
      <c r="Y1850">
        <v>18196</v>
      </c>
      <c r="Z1850">
        <v>0.471574572379311</v>
      </c>
      <c r="AA1850">
        <v>100</v>
      </c>
    </row>
    <row r="1851" spans="1:27" x14ac:dyDescent="0.2">
      <c r="A1851">
        <v>40</v>
      </c>
      <c r="B1851">
        <v>2</v>
      </c>
      <c r="C1851">
        <v>0.1</v>
      </c>
      <c r="D1851">
        <v>100</v>
      </c>
      <c r="E1851">
        <v>1.1434276243680599</v>
      </c>
      <c r="F1851">
        <v>2</v>
      </c>
      <c r="G1851">
        <v>32.178426264999999</v>
      </c>
      <c r="H1851">
        <v>0.87558023672227403</v>
      </c>
      <c r="I1851">
        <v>2</v>
      </c>
      <c r="J1851">
        <v>2.21502694</v>
      </c>
      <c r="P1851"/>
      <c r="V1851">
        <v>0.884388874143753</v>
      </c>
      <c r="W1851">
        <v>2</v>
      </c>
      <c r="X1851">
        <v>76086.838538790005</v>
      </c>
      <c r="Y1851">
        <v>6360</v>
      </c>
      <c r="Z1851">
        <v>0.32428768540349601</v>
      </c>
      <c r="AA1851">
        <v>100</v>
      </c>
    </row>
    <row r="1852" spans="1:27" x14ac:dyDescent="0.2">
      <c r="A1852">
        <v>40</v>
      </c>
      <c r="B1852">
        <v>2</v>
      </c>
      <c r="C1852">
        <v>0.1</v>
      </c>
      <c r="D1852">
        <v>100</v>
      </c>
      <c r="E1852">
        <v>0.70401914388973597</v>
      </c>
      <c r="F1852">
        <v>2</v>
      </c>
      <c r="G1852">
        <v>29.159014054</v>
      </c>
      <c r="H1852">
        <v>0.68698815901452204</v>
      </c>
      <c r="I1852">
        <v>2</v>
      </c>
      <c r="J1852">
        <v>2.021747365</v>
      </c>
      <c r="P1852"/>
      <c r="V1852">
        <v>0.68325738590763097</v>
      </c>
      <c r="W1852">
        <v>2</v>
      </c>
      <c r="X1852">
        <v>76101.260211400993</v>
      </c>
      <c r="Y1852">
        <v>8330</v>
      </c>
      <c r="Z1852">
        <v>0.384498348060895</v>
      </c>
      <c r="AA1852">
        <v>100</v>
      </c>
    </row>
    <row r="1853" spans="1:27" x14ac:dyDescent="0.2">
      <c r="A1853">
        <v>40</v>
      </c>
      <c r="B1853">
        <v>2</v>
      </c>
      <c r="C1853">
        <v>0.1</v>
      </c>
      <c r="D1853">
        <v>100</v>
      </c>
      <c r="E1853">
        <v>0.73890002701970303</v>
      </c>
      <c r="F1853">
        <v>2</v>
      </c>
      <c r="G1853">
        <v>29.752237188999999</v>
      </c>
      <c r="H1853">
        <v>0.60084817761945997</v>
      </c>
      <c r="I1853">
        <v>2</v>
      </c>
      <c r="J1853">
        <v>1.9511548649999999</v>
      </c>
      <c r="P1853"/>
      <c r="V1853">
        <v>0.60312963712512702</v>
      </c>
      <c r="W1853">
        <v>2</v>
      </c>
      <c r="X1853">
        <v>76048.669342310997</v>
      </c>
      <c r="Y1853">
        <v>11560</v>
      </c>
      <c r="Z1853">
        <v>0.70891367415970297</v>
      </c>
      <c r="AA1853">
        <v>100</v>
      </c>
    </row>
    <row r="1854" spans="1:27" x14ac:dyDescent="0.2">
      <c r="A1854">
        <v>40</v>
      </c>
      <c r="B1854">
        <v>2</v>
      </c>
      <c r="C1854">
        <v>0.1</v>
      </c>
      <c r="D1854">
        <v>100</v>
      </c>
      <c r="E1854">
        <v>0.93703870623155106</v>
      </c>
      <c r="F1854">
        <v>2</v>
      </c>
      <c r="G1854">
        <v>31.351819698</v>
      </c>
      <c r="H1854">
        <v>0.92786448069642502</v>
      </c>
      <c r="I1854">
        <v>2</v>
      </c>
      <c r="J1854">
        <v>2.1298382469999999</v>
      </c>
      <c r="P1854"/>
      <c r="V1854">
        <v>0.93574092992069802</v>
      </c>
      <c r="W1854">
        <v>2</v>
      </c>
      <c r="X1854">
        <v>76085.515084419007</v>
      </c>
      <c r="Y1854">
        <v>8098</v>
      </c>
      <c r="Z1854">
        <v>0.47402649102370897</v>
      </c>
      <c r="AA1854">
        <v>100</v>
      </c>
    </row>
    <row r="1855" spans="1:27" x14ac:dyDescent="0.2">
      <c r="A1855">
        <v>40</v>
      </c>
      <c r="B1855">
        <v>2</v>
      </c>
      <c r="C1855">
        <v>0.1</v>
      </c>
      <c r="D1855">
        <v>100</v>
      </c>
      <c r="E1855">
        <v>1.03337421976303</v>
      </c>
      <c r="F1855">
        <v>2</v>
      </c>
      <c r="G1855">
        <v>30.310529030000001</v>
      </c>
      <c r="H1855">
        <v>0.76455479149143402</v>
      </c>
      <c r="I1855">
        <v>2</v>
      </c>
      <c r="J1855">
        <v>2.0485915399999999</v>
      </c>
      <c r="P1855"/>
      <c r="V1855">
        <v>0.78713713986293499</v>
      </c>
      <c r="W1855">
        <v>2</v>
      </c>
      <c r="X1855">
        <v>76106.636267769994</v>
      </c>
      <c r="Y1855">
        <v>7690</v>
      </c>
      <c r="Z1855">
        <v>0.53806452949729899</v>
      </c>
      <c r="AA1855">
        <v>100</v>
      </c>
    </row>
    <row r="1856" spans="1:27" x14ac:dyDescent="0.2">
      <c r="A1856">
        <v>40</v>
      </c>
      <c r="B1856">
        <v>2</v>
      </c>
      <c r="C1856">
        <v>0.1</v>
      </c>
      <c r="D1856">
        <v>100</v>
      </c>
      <c r="E1856">
        <v>1.07323079187847</v>
      </c>
      <c r="F1856">
        <v>2</v>
      </c>
      <c r="G1856">
        <v>30.401701399</v>
      </c>
      <c r="H1856">
        <v>0.86189938055014603</v>
      </c>
      <c r="I1856">
        <v>2</v>
      </c>
      <c r="J1856">
        <v>2.1081220219999999</v>
      </c>
      <c r="P1856"/>
      <c r="V1856">
        <v>0.86416380195390796</v>
      </c>
      <c r="W1856">
        <v>2</v>
      </c>
      <c r="X1856">
        <v>76335.269237293993</v>
      </c>
      <c r="Y1856">
        <v>13031</v>
      </c>
      <c r="Z1856">
        <v>0.416146740635021</v>
      </c>
      <c r="AA1856">
        <v>100</v>
      </c>
    </row>
    <row r="1857" spans="1:27" x14ac:dyDescent="0.2">
      <c r="A1857">
        <v>40</v>
      </c>
      <c r="B1857">
        <v>2</v>
      </c>
      <c r="C1857">
        <v>0.1</v>
      </c>
      <c r="D1857">
        <v>100</v>
      </c>
      <c r="E1857">
        <v>0.75724810813398102</v>
      </c>
      <c r="F1857">
        <v>2</v>
      </c>
      <c r="G1857">
        <v>31.226078920999999</v>
      </c>
      <c r="H1857">
        <v>0.55273295939610001</v>
      </c>
      <c r="I1857">
        <v>2</v>
      </c>
      <c r="J1857">
        <v>2.0528422860000002</v>
      </c>
      <c r="P1857"/>
      <c r="V1857">
        <v>0.550391929481304</v>
      </c>
      <c r="W1857">
        <v>2</v>
      </c>
      <c r="X1857">
        <v>76386.198533207003</v>
      </c>
      <c r="Y1857">
        <v>8083</v>
      </c>
      <c r="Z1857">
        <v>0.61490460349881804</v>
      </c>
      <c r="AA1857">
        <v>100</v>
      </c>
    </row>
    <row r="1858" spans="1:27" x14ac:dyDescent="0.2">
      <c r="A1858">
        <v>40</v>
      </c>
      <c r="B1858">
        <v>2</v>
      </c>
      <c r="C1858">
        <v>0.1</v>
      </c>
      <c r="D1858">
        <v>100</v>
      </c>
      <c r="E1858">
        <v>0.69275431223552697</v>
      </c>
      <c r="F1858">
        <v>2</v>
      </c>
      <c r="G1858">
        <v>31.567676706</v>
      </c>
      <c r="H1858">
        <v>0.58062562283850905</v>
      </c>
      <c r="I1858">
        <v>2</v>
      </c>
      <c r="J1858">
        <v>2.4478581319999999</v>
      </c>
      <c r="P1858"/>
      <c r="V1858">
        <v>0.58227579734934498</v>
      </c>
      <c r="W1858">
        <v>2</v>
      </c>
      <c r="X1858">
        <v>76443.925152473006</v>
      </c>
      <c r="Y1858">
        <v>9407</v>
      </c>
      <c r="Z1858">
        <v>0.53072813709331901</v>
      </c>
      <c r="AA1858">
        <v>100</v>
      </c>
    </row>
    <row r="1859" spans="1:27" x14ac:dyDescent="0.2">
      <c r="A1859">
        <v>40</v>
      </c>
      <c r="B1859">
        <v>2</v>
      </c>
      <c r="C1859">
        <v>0.1</v>
      </c>
      <c r="D1859">
        <v>100</v>
      </c>
      <c r="E1859">
        <v>0.75951214654014798</v>
      </c>
      <c r="F1859">
        <v>2</v>
      </c>
      <c r="G1859">
        <v>31.563280153000001</v>
      </c>
      <c r="H1859">
        <v>0.44075823690365501</v>
      </c>
      <c r="I1859">
        <v>2</v>
      </c>
      <c r="J1859">
        <v>2.0878064319999998</v>
      </c>
      <c r="P1859"/>
      <c r="V1859">
        <v>0.44235186290488498</v>
      </c>
      <c r="W1859">
        <v>2</v>
      </c>
      <c r="X1859">
        <v>76566.633237510003</v>
      </c>
      <c r="Y1859">
        <v>18921</v>
      </c>
      <c r="Z1859">
        <v>0.45005080642005202</v>
      </c>
      <c r="AA1859">
        <v>100</v>
      </c>
    </row>
    <row r="1860" spans="1:27" x14ac:dyDescent="0.2">
      <c r="A1860">
        <v>40</v>
      </c>
      <c r="B1860">
        <v>2</v>
      </c>
      <c r="C1860">
        <v>0.1</v>
      </c>
      <c r="D1860">
        <v>100</v>
      </c>
      <c r="E1860">
        <v>0.99976710630364896</v>
      </c>
      <c r="F1860">
        <v>2</v>
      </c>
      <c r="G1860">
        <v>32.320980028000001</v>
      </c>
      <c r="H1860">
        <v>0.97271796322675297</v>
      </c>
      <c r="I1860">
        <v>2</v>
      </c>
      <c r="J1860">
        <v>2.147308008</v>
      </c>
      <c r="P1860"/>
      <c r="V1860">
        <v>0.97612138872529297</v>
      </c>
      <c r="W1860">
        <v>2</v>
      </c>
      <c r="X1860">
        <v>76662.392635384997</v>
      </c>
      <c r="Y1860">
        <v>7485</v>
      </c>
      <c r="Z1860">
        <v>0.24839954806901199</v>
      </c>
      <c r="AA1860">
        <v>100</v>
      </c>
    </row>
    <row r="1861" spans="1:27" x14ac:dyDescent="0.2">
      <c r="A1861">
        <v>10</v>
      </c>
      <c r="B1861">
        <v>3</v>
      </c>
      <c r="C1861">
        <v>0.4</v>
      </c>
      <c r="D1861">
        <v>20</v>
      </c>
      <c r="E1861">
        <v>0.65477447648606002</v>
      </c>
      <c r="F1861">
        <v>3</v>
      </c>
      <c r="G1861">
        <v>36.775804714000003</v>
      </c>
      <c r="H1861">
        <v>0.67008375000444398</v>
      </c>
      <c r="I1861">
        <v>3</v>
      </c>
      <c r="J1861">
        <v>0.44407933799999999</v>
      </c>
      <c r="P1861"/>
      <c r="V1861">
        <v>0.66871794508335702</v>
      </c>
      <c r="W1861">
        <v>3</v>
      </c>
      <c r="X1861">
        <v>75084.030918325996</v>
      </c>
      <c r="Y1861">
        <v>353520</v>
      </c>
      <c r="Z1861">
        <v>0.80861644981227698</v>
      </c>
      <c r="AA1861">
        <v>100</v>
      </c>
    </row>
    <row r="1862" spans="1:27" x14ac:dyDescent="0.2">
      <c r="A1862">
        <v>10</v>
      </c>
      <c r="B1862">
        <v>3</v>
      </c>
      <c r="C1862">
        <v>0.2</v>
      </c>
      <c r="D1862">
        <v>20</v>
      </c>
      <c r="E1862">
        <v>0.91430582233028601</v>
      </c>
      <c r="F1862">
        <v>3</v>
      </c>
      <c r="G1862">
        <v>42.369319853999997</v>
      </c>
      <c r="H1862">
        <v>0.91235782417494304</v>
      </c>
      <c r="I1862">
        <v>3</v>
      </c>
      <c r="J1862">
        <v>0.21283431799999999</v>
      </c>
      <c r="P1862"/>
      <c r="V1862">
        <v>0.91314275559562597</v>
      </c>
      <c r="W1862">
        <v>3</v>
      </c>
      <c r="X1862">
        <v>75085.950614494999</v>
      </c>
      <c r="Y1862">
        <v>413283</v>
      </c>
      <c r="Z1862">
        <v>6.4135663270432797E-2</v>
      </c>
      <c r="AA1862">
        <v>100</v>
      </c>
    </row>
    <row r="1863" spans="1:27" x14ac:dyDescent="0.2">
      <c r="A1863">
        <v>10</v>
      </c>
      <c r="B1863">
        <v>3</v>
      </c>
      <c r="C1863">
        <v>0.3</v>
      </c>
      <c r="D1863">
        <v>20</v>
      </c>
      <c r="E1863">
        <v>0.790959203126674</v>
      </c>
      <c r="F1863">
        <v>3</v>
      </c>
      <c r="G1863">
        <v>41.345770209999998</v>
      </c>
      <c r="H1863">
        <v>0.79606521758778903</v>
      </c>
      <c r="I1863">
        <v>3</v>
      </c>
      <c r="J1863">
        <v>0.19620454000000001</v>
      </c>
      <c r="P1863"/>
      <c r="V1863">
        <v>0.79660971198602104</v>
      </c>
      <c r="W1863">
        <v>3</v>
      </c>
      <c r="X1863">
        <v>75070.450477252001</v>
      </c>
      <c r="Y1863">
        <v>343917</v>
      </c>
      <c r="Z1863">
        <v>0.37742713227998997</v>
      </c>
      <c r="AA1863">
        <v>100</v>
      </c>
    </row>
    <row r="1864" spans="1:27" x14ac:dyDescent="0.2">
      <c r="A1864">
        <v>10</v>
      </c>
      <c r="B1864">
        <v>3</v>
      </c>
      <c r="C1864">
        <v>0.1</v>
      </c>
      <c r="D1864">
        <v>20</v>
      </c>
      <c r="E1864">
        <v>0.98517149057652598</v>
      </c>
      <c r="F1864">
        <v>3</v>
      </c>
      <c r="G1864">
        <v>38.163257874000003</v>
      </c>
      <c r="H1864">
        <v>0.98516955988848998</v>
      </c>
      <c r="I1864">
        <v>3</v>
      </c>
      <c r="J1864">
        <v>4.505646E-2</v>
      </c>
      <c r="P1864"/>
      <c r="V1864">
        <v>0.98274572955039996</v>
      </c>
      <c r="W1864">
        <v>3</v>
      </c>
      <c r="X1864">
        <v>530.35583574600003</v>
      </c>
      <c r="Y1864">
        <v>66750</v>
      </c>
      <c r="Z1864">
        <v>1.4558171794427899E-4</v>
      </c>
      <c r="AA1864">
        <v>1</v>
      </c>
    </row>
    <row r="1865" spans="1:27" x14ac:dyDescent="0.2">
      <c r="A1865">
        <v>30</v>
      </c>
      <c r="B1865">
        <v>3</v>
      </c>
      <c r="C1865">
        <v>0.1</v>
      </c>
      <c r="D1865">
        <v>20</v>
      </c>
      <c r="E1865">
        <v>0.93279776585229701</v>
      </c>
      <c r="F1865">
        <v>3</v>
      </c>
      <c r="G1865">
        <v>37.983519905999998</v>
      </c>
      <c r="H1865">
        <v>0.96938917455996398</v>
      </c>
      <c r="I1865">
        <v>3</v>
      </c>
      <c r="J1865">
        <v>1.837381224</v>
      </c>
      <c r="P1865"/>
      <c r="V1865">
        <v>0.97142242534400502</v>
      </c>
      <c r="W1865">
        <v>3</v>
      </c>
      <c r="X1865">
        <v>76038.571354872998</v>
      </c>
      <c r="Y1865">
        <v>17973</v>
      </c>
      <c r="Z1865">
        <v>0.15614244865162</v>
      </c>
      <c r="AA1865">
        <v>100</v>
      </c>
    </row>
    <row r="1866" spans="1:27" x14ac:dyDescent="0.2">
      <c r="A1866">
        <v>10</v>
      </c>
      <c r="B1866">
        <v>3</v>
      </c>
      <c r="C1866">
        <v>0.1</v>
      </c>
      <c r="D1866">
        <v>20</v>
      </c>
      <c r="E1866">
        <v>0.93965121890157799</v>
      </c>
      <c r="F1866">
        <v>3</v>
      </c>
      <c r="G1866">
        <v>28.134026432999999</v>
      </c>
      <c r="H1866">
        <v>0.91917201147346494</v>
      </c>
      <c r="I1866">
        <v>3</v>
      </c>
      <c r="J1866">
        <v>8.6835649000000001E-2</v>
      </c>
      <c r="P1866"/>
      <c r="V1866">
        <v>0.97494354240390302</v>
      </c>
      <c r="W1866">
        <v>3</v>
      </c>
      <c r="X1866">
        <v>1217.397393639</v>
      </c>
      <c r="Y1866">
        <v>65396</v>
      </c>
      <c r="Z1866">
        <v>5.5775497272072903E-3</v>
      </c>
      <c r="AA1866">
        <v>1</v>
      </c>
    </row>
    <row r="1867" spans="1:27" x14ac:dyDescent="0.2">
      <c r="A1867">
        <v>10</v>
      </c>
      <c r="B1867">
        <v>3</v>
      </c>
      <c r="C1867">
        <v>0.2</v>
      </c>
      <c r="D1867">
        <v>20</v>
      </c>
      <c r="E1867">
        <v>1.0035082737294001</v>
      </c>
      <c r="F1867">
        <v>3</v>
      </c>
      <c r="G1867">
        <v>28.740212633999999</v>
      </c>
      <c r="H1867">
        <v>0.96354309806708405</v>
      </c>
      <c r="I1867">
        <v>3</v>
      </c>
      <c r="J1867">
        <v>0.285105355</v>
      </c>
      <c r="P1867"/>
      <c r="V1867">
        <v>0.963441704616112</v>
      </c>
      <c r="W1867">
        <v>3</v>
      </c>
      <c r="X1867">
        <v>1219.8930550729999</v>
      </c>
      <c r="Y1867">
        <v>33649</v>
      </c>
      <c r="Z1867">
        <v>5.892374424106E-3</v>
      </c>
      <c r="AA1867">
        <v>1</v>
      </c>
    </row>
    <row r="1868" spans="1:27" x14ac:dyDescent="0.2">
      <c r="A1868">
        <v>10</v>
      </c>
      <c r="B1868">
        <v>3</v>
      </c>
      <c r="C1868">
        <v>0.2</v>
      </c>
      <c r="D1868">
        <v>20</v>
      </c>
      <c r="E1868">
        <v>0.91189437988489197</v>
      </c>
      <c r="F1868">
        <v>3</v>
      </c>
      <c r="G1868">
        <v>37.025923231</v>
      </c>
      <c r="H1868">
        <v>0.898870848232876</v>
      </c>
      <c r="I1868">
        <v>3</v>
      </c>
      <c r="J1868">
        <v>0.64910899499999997</v>
      </c>
      <c r="P1868"/>
      <c r="V1868">
        <v>0.89955850587696196</v>
      </c>
      <c r="W1868">
        <v>3</v>
      </c>
      <c r="X1868">
        <v>1229.5135285040001</v>
      </c>
      <c r="Y1868">
        <v>25096</v>
      </c>
      <c r="Z1868">
        <v>8.18545179794955E-3</v>
      </c>
      <c r="AA1868">
        <v>1</v>
      </c>
    </row>
    <row r="1869" spans="1:27" x14ac:dyDescent="0.2">
      <c r="A1869">
        <v>30</v>
      </c>
      <c r="B1869">
        <v>3</v>
      </c>
      <c r="C1869">
        <v>0.1</v>
      </c>
      <c r="D1869">
        <v>20</v>
      </c>
      <c r="E1869">
        <v>1.0416734627283</v>
      </c>
      <c r="F1869">
        <v>3</v>
      </c>
      <c r="G1869">
        <v>42.328343883999999</v>
      </c>
      <c r="H1869">
        <v>1.0161263552779001</v>
      </c>
      <c r="I1869">
        <v>3</v>
      </c>
      <c r="J1869">
        <v>2.4182309580000001</v>
      </c>
      <c r="P1869"/>
      <c r="V1869">
        <v>1.0191434631969301</v>
      </c>
      <c r="W1869">
        <v>3</v>
      </c>
      <c r="X1869">
        <v>76330.443975553993</v>
      </c>
      <c r="Y1869">
        <v>21369</v>
      </c>
      <c r="Z1869">
        <v>0.246614987987097</v>
      </c>
      <c r="AA1869">
        <v>100</v>
      </c>
    </row>
    <row r="1870" spans="1:27" x14ac:dyDescent="0.2">
      <c r="A1870">
        <v>10</v>
      </c>
      <c r="B1870">
        <v>3</v>
      </c>
      <c r="C1870">
        <v>0.1</v>
      </c>
      <c r="D1870">
        <v>20</v>
      </c>
      <c r="E1870">
        <v>0.96231757376581795</v>
      </c>
      <c r="F1870">
        <v>3</v>
      </c>
      <c r="G1870">
        <v>40.626202223</v>
      </c>
      <c r="H1870">
        <v>0.96245548555639404</v>
      </c>
      <c r="I1870">
        <v>3</v>
      </c>
      <c r="J1870">
        <v>0.17697054500000001</v>
      </c>
      <c r="P1870"/>
      <c r="V1870">
        <v>0.96227163171902297</v>
      </c>
      <c r="W1870">
        <v>3</v>
      </c>
      <c r="X1870">
        <v>12944.2326306</v>
      </c>
      <c r="Y1870">
        <v>445772</v>
      </c>
      <c r="Z1870">
        <v>8.8292899618054501E-4</v>
      </c>
      <c r="AA1870">
        <v>30</v>
      </c>
    </row>
    <row r="1871" spans="1:27" x14ac:dyDescent="0.2">
      <c r="A1871">
        <v>30</v>
      </c>
      <c r="B1871">
        <v>3</v>
      </c>
      <c r="C1871">
        <v>0.1</v>
      </c>
      <c r="D1871">
        <v>20</v>
      </c>
      <c r="E1871">
        <v>1.02947595834134</v>
      </c>
      <c r="F1871">
        <v>3</v>
      </c>
      <c r="G1871">
        <v>32.508353442999997</v>
      </c>
      <c r="H1871">
        <v>0.96240105031539103</v>
      </c>
      <c r="I1871">
        <v>3</v>
      </c>
      <c r="J1871">
        <v>1.3932418689999999</v>
      </c>
      <c r="P1871"/>
      <c r="V1871">
        <v>0.96509331634329898</v>
      </c>
      <c r="W1871">
        <v>3</v>
      </c>
      <c r="X1871">
        <v>76179.846342965</v>
      </c>
      <c r="Y1871">
        <v>17098</v>
      </c>
      <c r="Z1871">
        <v>0.197947139128681</v>
      </c>
      <c r="AA1871">
        <v>100</v>
      </c>
    </row>
    <row r="1872" spans="1:27" x14ac:dyDescent="0.2">
      <c r="A1872">
        <v>40</v>
      </c>
      <c r="B1872">
        <v>2</v>
      </c>
      <c r="C1872">
        <v>0.1</v>
      </c>
      <c r="D1872">
        <v>100</v>
      </c>
      <c r="E1872">
        <v>1.02769978951553</v>
      </c>
      <c r="F1872">
        <v>2</v>
      </c>
      <c r="G1872">
        <v>30.186758320999999</v>
      </c>
      <c r="H1872">
        <v>0.94599737284507801</v>
      </c>
      <c r="I1872">
        <v>2</v>
      </c>
      <c r="J1872">
        <v>2.0902864010000002</v>
      </c>
      <c r="P1872"/>
      <c r="V1872">
        <v>0.96347579288998098</v>
      </c>
      <c r="W1872">
        <v>2</v>
      </c>
      <c r="X1872">
        <v>77205.221475949002</v>
      </c>
      <c r="Y1872">
        <v>23788</v>
      </c>
      <c r="Z1872">
        <v>0.55371018035439601</v>
      </c>
      <c r="AA1872">
        <v>100</v>
      </c>
    </row>
    <row r="1873" spans="1:27" x14ac:dyDescent="0.2">
      <c r="A1873">
        <v>40</v>
      </c>
      <c r="B1873">
        <v>2</v>
      </c>
      <c r="C1873">
        <v>0.1</v>
      </c>
      <c r="D1873">
        <v>100</v>
      </c>
      <c r="E1873">
        <v>0.73456755778421401</v>
      </c>
      <c r="F1873">
        <v>2</v>
      </c>
      <c r="G1873">
        <v>27.230006070999998</v>
      </c>
      <c r="H1873">
        <v>0.70616950084923003</v>
      </c>
      <c r="I1873">
        <v>2</v>
      </c>
      <c r="J1873">
        <v>1.760807129</v>
      </c>
      <c r="P1873"/>
      <c r="V1873">
        <v>0.70782026331154302</v>
      </c>
      <c r="W1873">
        <v>2</v>
      </c>
      <c r="X1873">
        <v>76215.328708065004</v>
      </c>
      <c r="Y1873">
        <v>16401</v>
      </c>
      <c r="Z1873">
        <v>0.418865285028649</v>
      </c>
      <c r="AA1873">
        <v>100</v>
      </c>
    </row>
    <row r="1874" spans="1:27" x14ac:dyDescent="0.2">
      <c r="A1874">
        <v>40</v>
      </c>
      <c r="B1874">
        <v>2</v>
      </c>
      <c r="C1874">
        <v>0.1</v>
      </c>
      <c r="D1874">
        <v>100</v>
      </c>
      <c r="E1874">
        <v>0.761586901351755</v>
      </c>
      <c r="F1874">
        <v>2</v>
      </c>
      <c r="G1874">
        <v>32.986065623999998</v>
      </c>
      <c r="H1874">
        <v>0.70483016089862605</v>
      </c>
      <c r="I1874">
        <v>2</v>
      </c>
      <c r="J1874">
        <v>2.1744097779999998</v>
      </c>
      <c r="P1874"/>
      <c r="V1874">
        <v>0.70701596485718499</v>
      </c>
      <c r="W1874">
        <v>2</v>
      </c>
      <c r="X1874">
        <v>77244.912556483003</v>
      </c>
      <c r="Y1874">
        <v>24631</v>
      </c>
      <c r="Z1874">
        <v>0.33460392903491298</v>
      </c>
      <c r="AA1874">
        <v>100</v>
      </c>
    </row>
    <row r="1875" spans="1:27" x14ac:dyDescent="0.2">
      <c r="A1875">
        <v>40</v>
      </c>
      <c r="B1875">
        <v>2</v>
      </c>
      <c r="C1875">
        <v>0.1</v>
      </c>
      <c r="D1875">
        <v>100</v>
      </c>
      <c r="E1875">
        <v>0.85680141320166603</v>
      </c>
      <c r="F1875">
        <v>2</v>
      </c>
      <c r="G1875">
        <v>33.142681080000003</v>
      </c>
      <c r="H1875">
        <v>0.68383978609957896</v>
      </c>
      <c r="I1875">
        <v>2</v>
      </c>
      <c r="J1875">
        <v>2.208026051</v>
      </c>
      <c r="P1875"/>
      <c r="V1875">
        <v>0.68632486482880595</v>
      </c>
      <c r="W1875">
        <v>2</v>
      </c>
      <c r="X1875">
        <v>76308.821676970998</v>
      </c>
      <c r="Y1875">
        <v>12557</v>
      </c>
      <c r="Z1875">
        <v>0.36424768561039</v>
      </c>
      <c r="AA1875">
        <v>100</v>
      </c>
    </row>
    <row r="1876" spans="1:27" x14ac:dyDescent="0.2">
      <c r="A1876">
        <v>40</v>
      </c>
      <c r="B1876">
        <v>2</v>
      </c>
      <c r="C1876">
        <v>0.1</v>
      </c>
      <c r="D1876">
        <v>100</v>
      </c>
      <c r="E1876">
        <v>0.84386222058930604</v>
      </c>
      <c r="F1876">
        <v>2</v>
      </c>
      <c r="G1876">
        <v>35.280178049</v>
      </c>
      <c r="H1876">
        <v>0.79740474457768695</v>
      </c>
      <c r="I1876">
        <v>2</v>
      </c>
      <c r="J1876">
        <v>2.3234477560000002</v>
      </c>
      <c r="P1876"/>
      <c r="V1876">
        <v>0.80100839422979497</v>
      </c>
      <c r="W1876">
        <v>2</v>
      </c>
      <c r="X1876">
        <v>76312.707410924995</v>
      </c>
      <c r="Y1876">
        <v>6634</v>
      </c>
      <c r="Z1876">
        <v>0.62502908721767103</v>
      </c>
      <c r="AA1876">
        <v>100</v>
      </c>
    </row>
    <row r="1877" spans="1:27" x14ac:dyDescent="0.2">
      <c r="A1877">
        <v>40</v>
      </c>
      <c r="B1877">
        <v>2</v>
      </c>
      <c r="C1877">
        <v>0.1</v>
      </c>
      <c r="D1877">
        <v>100</v>
      </c>
      <c r="E1877">
        <v>0.82317259117518304</v>
      </c>
      <c r="F1877">
        <v>2</v>
      </c>
      <c r="G1877">
        <v>36.421297494000001</v>
      </c>
      <c r="H1877">
        <v>0.65903055532433996</v>
      </c>
      <c r="I1877">
        <v>2</v>
      </c>
      <c r="J1877">
        <v>2.368264028</v>
      </c>
      <c r="P1877"/>
      <c r="V1877">
        <v>0.66541538508042497</v>
      </c>
      <c r="W1877">
        <v>2</v>
      </c>
      <c r="X1877">
        <v>76347.675387287003</v>
      </c>
      <c r="Y1877">
        <v>11342</v>
      </c>
      <c r="Z1877">
        <v>0.49602966866838699</v>
      </c>
      <c r="AA1877">
        <v>100</v>
      </c>
    </row>
    <row r="1878" spans="1:27" x14ac:dyDescent="0.2">
      <c r="A1878">
        <v>40</v>
      </c>
      <c r="B1878">
        <v>2</v>
      </c>
      <c r="C1878">
        <v>0.1</v>
      </c>
      <c r="D1878">
        <v>100</v>
      </c>
      <c r="E1878">
        <v>0.83709212553847101</v>
      </c>
      <c r="F1878">
        <v>2</v>
      </c>
      <c r="G1878">
        <v>41.137499124000001</v>
      </c>
      <c r="H1878">
        <v>0.71044111540103405</v>
      </c>
      <c r="I1878">
        <v>2</v>
      </c>
      <c r="J1878">
        <v>2.4758457649999999</v>
      </c>
      <c r="P1878"/>
      <c r="V1878">
        <v>0.71009611113180504</v>
      </c>
      <c r="W1878">
        <v>2</v>
      </c>
      <c r="X1878">
        <v>76183.683599682001</v>
      </c>
      <c r="Y1878">
        <v>8811</v>
      </c>
      <c r="Z1878">
        <v>0.365011717366305</v>
      </c>
      <c r="AA1878">
        <v>100</v>
      </c>
    </row>
    <row r="1879" spans="1:27" x14ac:dyDescent="0.2">
      <c r="A1879">
        <v>40</v>
      </c>
      <c r="B1879">
        <v>2</v>
      </c>
      <c r="C1879">
        <v>0.1</v>
      </c>
      <c r="D1879">
        <v>100</v>
      </c>
      <c r="E1879">
        <v>0.66095468542569702</v>
      </c>
      <c r="F1879">
        <v>2</v>
      </c>
      <c r="G1879">
        <v>36.349443207</v>
      </c>
      <c r="H1879">
        <v>0.43652415931112598</v>
      </c>
      <c r="I1879">
        <v>2</v>
      </c>
      <c r="J1879">
        <v>2.3904417840000001</v>
      </c>
      <c r="P1879"/>
      <c r="V1879">
        <v>0.43226819044882098</v>
      </c>
      <c r="W1879">
        <v>2</v>
      </c>
      <c r="X1879">
        <v>76331.833988309998</v>
      </c>
      <c r="Y1879">
        <v>10612</v>
      </c>
      <c r="Z1879">
        <v>0.59924037549353604</v>
      </c>
      <c r="AA1879">
        <v>100</v>
      </c>
    </row>
    <row r="1880" spans="1:27" x14ac:dyDescent="0.2">
      <c r="A1880">
        <v>40</v>
      </c>
      <c r="B1880">
        <v>2</v>
      </c>
      <c r="C1880">
        <v>0.1</v>
      </c>
      <c r="D1880">
        <v>100</v>
      </c>
      <c r="E1880">
        <v>0.96899046893099805</v>
      </c>
      <c r="F1880">
        <v>2</v>
      </c>
      <c r="G1880">
        <v>35.457089146000001</v>
      </c>
      <c r="H1880">
        <v>0.64753342709676898</v>
      </c>
      <c r="I1880">
        <v>2</v>
      </c>
      <c r="J1880">
        <v>2.2126936989999999</v>
      </c>
      <c r="P1880"/>
      <c r="V1880">
        <v>0.64646550156127403</v>
      </c>
      <c r="W1880">
        <v>2</v>
      </c>
      <c r="X1880">
        <v>76674.181793701995</v>
      </c>
      <c r="Y1880">
        <v>20278</v>
      </c>
      <c r="Z1880">
        <v>0.27596036928342599</v>
      </c>
      <c r="AA1880">
        <v>100</v>
      </c>
    </row>
    <row r="1881" spans="1:27" x14ac:dyDescent="0.2">
      <c r="A1881">
        <v>40</v>
      </c>
      <c r="B1881">
        <v>2</v>
      </c>
      <c r="C1881">
        <v>0.1</v>
      </c>
      <c r="D1881">
        <v>100</v>
      </c>
      <c r="E1881">
        <v>0.87124872293375999</v>
      </c>
      <c r="F1881">
        <v>2</v>
      </c>
      <c r="G1881">
        <v>31.921825335000001</v>
      </c>
      <c r="H1881">
        <v>0.86509220770567696</v>
      </c>
      <c r="I1881">
        <v>2</v>
      </c>
      <c r="J1881">
        <v>2.1513594610000002</v>
      </c>
      <c r="P1881"/>
      <c r="V1881">
        <v>0.86432977344838502</v>
      </c>
      <c r="W1881">
        <v>2</v>
      </c>
      <c r="X1881">
        <v>76534.979395695002</v>
      </c>
      <c r="Y1881">
        <v>14872</v>
      </c>
      <c r="Z1881">
        <v>0.45399803773226199</v>
      </c>
      <c r="AA1881">
        <v>100</v>
      </c>
    </row>
    <row r="1882" spans="1:27" x14ac:dyDescent="0.2">
      <c r="A1882">
        <v>40</v>
      </c>
      <c r="B1882">
        <v>2</v>
      </c>
      <c r="C1882">
        <v>0.1</v>
      </c>
      <c r="D1882">
        <v>100</v>
      </c>
      <c r="E1882">
        <v>0.80168437686156502</v>
      </c>
      <c r="F1882">
        <v>2</v>
      </c>
      <c r="G1882">
        <v>30.078011709999998</v>
      </c>
      <c r="H1882">
        <v>0.85137864788503104</v>
      </c>
      <c r="I1882">
        <v>2</v>
      </c>
      <c r="J1882">
        <v>2.0919108560000002</v>
      </c>
      <c r="P1882"/>
      <c r="V1882">
        <v>0.85436231914653304</v>
      </c>
      <c r="W1882">
        <v>2</v>
      </c>
      <c r="X1882">
        <v>76602.902831333995</v>
      </c>
      <c r="Y1882">
        <v>22902</v>
      </c>
      <c r="Z1882">
        <v>0.57142931507744699</v>
      </c>
      <c r="AA1882">
        <v>100</v>
      </c>
    </row>
    <row r="1883" spans="1:27" x14ac:dyDescent="0.2">
      <c r="A1883">
        <v>40</v>
      </c>
      <c r="B1883">
        <v>2</v>
      </c>
      <c r="C1883">
        <v>0.1</v>
      </c>
      <c r="D1883">
        <v>100</v>
      </c>
      <c r="E1883">
        <v>0.86113318899025604</v>
      </c>
      <c r="F1883">
        <v>2</v>
      </c>
      <c r="G1883">
        <v>33.814503825000003</v>
      </c>
      <c r="H1883">
        <v>0.88693767031684601</v>
      </c>
      <c r="I1883">
        <v>2</v>
      </c>
      <c r="J1883">
        <v>2.344845072</v>
      </c>
      <c r="P1883"/>
      <c r="V1883">
        <v>0.88824427929288596</v>
      </c>
      <c r="W1883">
        <v>2</v>
      </c>
      <c r="X1883">
        <v>76257.925192961004</v>
      </c>
      <c r="Y1883">
        <v>9573</v>
      </c>
      <c r="Z1883">
        <v>0.40245391021016902</v>
      </c>
      <c r="AA1883">
        <v>100</v>
      </c>
    </row>
    <row r="1884" spans="1:27" x14ac:dyDescent="0.2">
      <c r="A1884">
        <v>40</v>
      </c>
      <c r="B1884">
        <v>2</v>
      </c>
      <c r="C1884">
        <v>0.1</v>
      </c>
      <c r="D1884">
        <v>100</v>
      </c>
      <c r="E1884">
        <v>0.75878515522579204</v>
      </c>
      <c r="F1884">
        <v>2</v>
      </c>
      <c r="G1884">
        <v>29.457160801000001</v>
      </c>
      <c r="H1884">
        <v>0.54948680974297603</v>
      </c>
      <c r="I1884">
        <v>2</v>
      </c>
      <c r="J1884">
        <v>1.85957968</v>
      </c>
      <c r="P1884"/>
      <c r="V1884">
        <v>0.55001112860260504</v>
      </c>
      <c r="W1884">
        <v>2</v>
      </c>
      <c r="X1884">
        <v>76147.507913138994</v>
      </c>
      <c r="Y1884">
        <v>5480</v>
      </c>
      <c r="Z1884">
        <v>0.38406365480230398</v>
      </c>
      <c r="AA1884">
        <v>100</v>
      </c>
    </row>
    <row r="1885" spans="1:27" x14ac:dyDescent="0.2">
      <c r="A1885">
        <v>40</v>
      </c>
      <c r="B1885">
        <v>2</v>
      </c>
      <c r="C1885">
        <v>0.1</v>
      </c>
      <c r="D1885">
        <v>100</v>
      </c>
      <c r="E1885">
        <v>0.69168527437697602</v>
      </c>
      <c r="F1885">
        <v>2</v>
      </c>
      <c r="G1885">
        <v>33.428113715000002</v>
      </c>
      <c r="H1885">
        <v>0.49751111995436997</v>
      </c>
      <c r="I1885">
        <v>2</v>
      </c>
      <c r="J1885">
        <v>2.1869769190000001</v>
      </c>
      <c r="P1885"/>
      <c r="V1885">
        <v>0.48969852667457903</v>
      </c>
      <c r="W1885">
        <v>2</v>
      </c>
      <c r="X1885">
        <v>76272.793120697999</v>
      </c>
      <c r="Y1885">
        <v>7126</v>
      </c>
      <c r="Z1885">
        <v>0.36149249580023601</v>
      </c>
      <c r="AA1885">
        <v>100</v>
      </c>
    </row>
    <row r="1886" spans="1:27" x14ac:dyDescent="0.2">
      <c r="A1886">
        <v>40</v>
      </c>
      <c r="B1886">
        <v>2</v>
      </c>
      <c r="C1886">
        <v>0.1</v>
      </c>
      <c r="D1886">
        <v>100</v>
      </c>
      <c r="E1886">
        <v>0.68060163150255004</v>
      </c>
      <c r="F1886">
        <v>2</v>
      </c>
      <c r="G1886">
        <v>29.358857894</v>
      </c>
      <c r="H1886">
        <v>0.57659755221741105</v>
      </c>
      <c r="I1886">
        <v>2</v>
      </c>
      <c r="J1886">
        <v>1.931883711</v>
      </c>
      <c r="P1886"/>
      <c r="V1886">
        <v>0.57708560153558097</v>
      </c>
      <c r="W1886">
        <v>2</v>
      </c>
      <c r="X1886">
        <v>76198.116293048006</v>
      </c>
      <c r="Y1886">
        <v>10182</v>
      </c>
      <c r="Z1886">
        <v>0.44670631293158197</v>
      </c>
      <c r="AA1886">
        <v>100</v>
      </c>
    </row>
    <row r="1887" spans="1:27" x14ac:dyDescent="0.2">
      <c r="A1887">
        <v>40</v>
      </c>
      <c r="B1887">
        <v>2</v>
      </c>
      <c r="C1887">
        <v>0.1</v>
      </c>
      <c r="D1887">
        <v>100</v>
      </c>
      <c r="E1887">
        <v>0.72311255614451297</v>
      </c>
      <c r="F1887">
        <v>2</v>
      </c>
      <c r="G1887">
        <v>29.477494498999999</v>
      </c>
      <c r="H1887">
        <v>0.57594657785528203</v>
      </c>
      <c r="I1887">
        <v>2</v>
      </c>
      <c r="J1887">
        <v>2.3205681999999999</v>
      </c>
      <c r="P1887"/>
      <c r="V1887">
        <v>0.57558469131196899</v>
      </c>
      <c r="W1887">
        <v>2</v>
      </c>
      <c r="X1887">
        <v>76207.007421104994</v>
      </c>
      <c r="Y1887">
        <v>26858</v>
      </c>
      <c r="Z1887">
        <v>0.46427947558661897</v>
      </c>
      <c r="AA1887">
        <v>100</v>
      </c>
    </row>
    <row r="1888" spans="1:27" x14ac:dyDescent="0.2">
      <c r="A1888" s="4">
        <v>20</v>
      </c>
      <c r="B1888" s="4">
        <v>3</v>
      </c>
      <c r="C1888" s="4">
        <v>0.1</v>
      </c>
      <c r="D1888" s="4">
        <v>100</v>
      </c>
      <c r="E1888" s="4">
        <v>0.91009715000000002</v>
      </c>
      <c r="F1888" s="4">
        <v>3</v>
      </c>
      <c r="G1888" s="4">
        <v>28.731415599999998</v>
      </c>
      <c r="H1888" s="4">
        <v>0.91796959</v>
      </c>
      <c r="I1888" s="4">
        <v>3</v>
      </c>
      <c r="J1888" s="4">
        <v>0.84643100999999998</v>
      </c>
      <c r="K1888" s="4"/>
      <c r="L1888" s="4"/>
      <c r="M1888" s="4"/>
      <c r="N1888" s="4"/>
      <c r="O1888" s="4"/>
      <c r="P1888" s="4"/>
      <c r="Q1888" s="4"/>
      <c r="R1888" s="4"/>
      <c r="S1888" s="4"/>
      <c r="T1888" s="4"/>
      <c r="U1888" s="4"/>
      <c r="V1888" s="4">
        <v>0.91832701000000005</v>
      </c>
      <c r="W1888" s="4">
        <v>3</v>
      </c>
      <c r="X1888" s="4">
        <v>75115.042499999996</v>
      </c>
      <c r="Y1888" s="4">
        <v>91527</v>
      </c>
      <c r="Z1888" s="4">
        <v>3.4228479999999999E-2</v>
      </c>
      <c r="AA1888" s="4">
        <v>100</v>
      </c>
    </row>
    <row r="1889" spans="1:27" x14ac:dyDescent="0.2">
      <c r="A1889" s="4">
        <v>20</v>
      </c>
      <c r="B1889" s="4">
        <v>3</v>
      </c>
      <c r="C1889" s="4">
        <v>0.3</v>
      </c>
      <c r="D1889" s="4">
        <v>100</v>
      </c>
      <c r="E1889" s="4">
        <v>0.80846748999999996</v>
      </c>
      <c r="F1889" s="4">
        <v>3</v>
      </c>
      <c r="G1889" s="4">
        <v>31.0242085</v>
      </c>
      <c r="H1889" s="4">
        <v>0.19007621</v>
      </c>
      <c r="I1889" s="4">
        <v>3</v>
      </c>
      <c r="J1889" s="4">
        <v>1.0547890799999999</v>
      </c>
      <c r="K1889" s="4"/>
      <c r="L1889" s="4"/>
      <c r="M1889" s="4"/>
      <c r="N1889" s="4"/>
      <c r="O1889" s="4"/>
      <c r="P1889" s="4"/>
      <c r="Q1889" s="4"/>
      <c r="R1889" s="4"/>
      <c r="S1889" s="4"/>
      <c r="T1889" s="4"/>
      <c r="U1889" s="4"/>
      <c r="V1889" s="4">
        <v>0.17689619000000001</v>
      </c>
      <c r="W1889" s="4">
        <v>3</v>
      </c>
      <c r="X1889" s="4">
        <v>76698.013000000006</v>
      </c>
      <c r="Y1889" s="4">
        <v>3721</v>
      </c>
      <c r="Z1889" s="4">
        <v>0.60337627999999999</v>
      </c>
      <c r="AA1889" s="4">
        <v>100</v>
      </c>
    </row>
    <row r="1890" spans="1:27" x14ac:dyDescent="0.2">
      <c r="A1890" s="4">
        <v>20</v>
      </c>
      <c r="B1890" s="4">
        <v>3</v>
      </c>
      <c r="C1890" s="4">
        <v>0.2</v>
      </c>
      <c r="D1890" s="4">
        <v>100</v>
      </c>
      <c r="E1890" s="4">
        <v>0.85179194999999996</v>
      </c>
      <c r="F1890" s="4">
        <v>3</v>
      </c>
      <c r="G1890" s="4">
        <v>23.3609665</v>
      </c>
      <c r="H1890" s="4">
        <v>0.86142845999999995</v>
      </c>
      <c r="I1890" s="4">
        <v>3</v>
      </c>
      <c r="J1890" s="4">
        <v>0.72871374</v>
      </c>
      <c r="K1890" s="4"/>
      <c r="L1890" s="4"/>
      <c r="M1890" s="4"/>
      <c r="N1890" s="4"/>
      <c r="O1890" s="4"/>
      <c r="P1890" s="4"/>
      <c r="Q1890" s="4"/>
      <c r="R1890" s="4"/>
      <c r="S1890" s="4"/>
      <c r="T1890" s="4"/>
      <c r="U1890" s="4"/>
      <c r="V1890" s="4">
        <v>0.86269403</v>
      </c>
      <c r="W1890" s="4">
        <v>3</v>
      </c>
      <c r="X1890" s="4">
        <v>76002.600200000001</v>
      </c>
      <c r="Y1890" s="4">
        <v>5236</v>
      </c>
      <c r="Z1890" s="4">
        <v>0.1392591</v>
      </c>
      <c r="AA1890" s="4">
        <v>100</v>
      </c>
    </row>
    <row r="1891" spans="1:27" x14ac:dyDescent="0.2">
      <c r="A1891" s="4">
        <v>20</v>
      </c>
      <c r="B1891" s="4">
        <v>3</v>
      </c>
      <c r="C1891" s="4">
        <v>0.4</v>
      </c>
      <c r="D1891" s="4">
        <v>100</v>
      </c>
      <c r="E1891" s="4">
        <v>0.36210027</v>
      </c>
      <c r="F1891" s="4">
        <v>3</v>
      </c>
      <c r="G1891" s="4">
        <v>29.738694200000001</v>
      </c>
      <c r="H1891" s="4">
        <v>8.6591260000000003E-2</v>
      </c>
      <c r="I1891" s="4">
        <v>3</v>
      </c>
      <c r="J1891" s="4">
        <v>0.45239099999999999</v>
      </c>
      <c r="K1891" s="4"/>
      <c r="L1891" s="4"/>
      <c r="M1891" s="4"/>
      <c r="N1891" s="4"/>
      <c r="O1891" s="4"/>
      <c r="P1891" s="4"/>
      <c r="Q1891" s="4"/>
      <c r="R1891" s="4"/>
      <c r="S1891" s="4"/>
      <c r="T1891" s="4"/>
      <c r="U1891" s="4"/>
      <c r="V1891" s="4">
        <v>7.867615E-2</v>
      </c>
      <c r="W1891" s="4">
        <v>3</v>
      </c>
      <c r="X1891" s="4">
        <v>77860.821100000001</v>
      </c>
      <c r="Y1891" s="4">
        <v>108198</v>
      </c>
      <c r="Z1891" s="4">
        <v>0.60320910000000005</v>
      </c>
      <c r="AA1891" s="4">
        <v>100</v>
      </c>
    </row>
    <row r="1892" spans="1:27" x14ac:dyDescent="0.2">
      <c r="A1892" s="4">
        <v>20</v>
      </c>
      <c r="B1892" s="4">
        <v>3</v>
      </c>
      <c r="C1892" s="4">
        <v>0.1</v>
      </c>
      <c r="D1892" s="4">
        <v>100</v>
      </c>
      <c r="E1892" s="4">
        <v>1.15129445</v>
      </c>
      <c r="F1892" s="4">
        <v>3</v>
      </c>
      <c r="G1892" s="4">
        <v>28.161760099999999</v>
      </c>
      <c r="H1892" s="4">
        <v>0.92823520000000004</v>
      </c>
      <c r="I1892" s="4">
        <v>3</v>
      </c>
      <c r="J1892" s="4">
        <v>0.67408902999999998</v>
      </c>
      <c r="K1892" s="4"/>
      <c r="L1892" s="4"/>
      <c r="M1892" s="4"/>
      <c r="N1892" s="4"/>
      <c r="O1892" s="4"/>
      <c r="P1892" s="4"/>
      <c r="Q1892" s="4"/>
      <c r="R1892" s="4"/>
      <c r="S1892" s="4"/>
      <c r="T1892" s="4"/>
      <c r="U1892" s="4"/>
      <c r="V1892" s="4">
        <v>0.92843750999999997</v>
      </c>
      <c r="W1892" s="4">
        <v>3</v>
      </c>
      <c r="X1892" s="4">
        <v>1245.4101000000001</v>
      </c>
      <c r="Y1892" s="4">
        <v>5666</v>
      </c>
      <c r="Z1892" s="4">
        <v>4.9059200000000002E-3</v>
      </c>
      <c r="AA1892" s="4">
        <v>1</v>
      </c>
    </row>
    <row r="1893" spans="1:27" x14ac:dyDescent="0.2">
      <c r="A1893" s="4">
        <v>20</v>
      </c>
      <c r="B1893" s="4">
        <v>3</v>
      </c>
      <c r="C1893" s="4">
        <v>0.3</v>
      </c>
      <c r="D1893" s="4">
        <v>100</v>
      </c>
      <c r="E1893" s="4">
        <v>0.64104399000000001</v>
      </c>
      <c r="F1893" s="4">
        <v>3</v>
      </c>
      <c r="G1893" s="4">
        <v>30.538650100000002</v>
      </c>
      <c r="H1893" s="4">
        <v>0.31072602999999999</v>
      </c>
      <c r="I1893" s="4">
        <v>3</v>
      </c>
      <c r="J1893" s="4">
        <v>0.91683318000000003</v>
      </c>
      <c r="K1893" s="4"/>
      <c r="L1893" s="4"/>
      <c r="M1893" s="4"/>
      <c r="N1893" s="4"/>
      <c r="O1893" s="4"/>
      <c r="P1893" s="4"/>
      <c r="Q1893" s="4"/>
      <c r="R1893" s="4"/>
      <c r="S1893" s="4"/>
      <c r="T1893" s="4"/>
      <c r="U1893" s="4"/>
      <c r="V1893" s="4">
        <v>0.31140067999999999</v>
      </c>
      <c r="W1893" s="4">
        <v>3</v>
      </c>
      <c r="X1893" s="4">
        <v>75771.575299999997</v>
      </c>
      <c r="Y1893" s="4">
        <v>3974</v>
      </c>
      <c r="Z1893" s="4">
        <v>0.37441625000000001</v>
      </c>
      <c r="AA1893" s="4">
        <v>100</v>
      </c>
    </row>
    <row r="1894" spans="1:27" x14ac:dyDescent="0.2">
      <c r="A1894" s="4">
        <v>20</v>
      </c>
      <c r="B1894" s="4">
        <v>3</v>
      </c>
      <c r="C1894" s="4">
        <v>0.4</v>
      </c>
      <c r="D1894" s="4">
        <v>100</v>
      </c>
      <c r="E1894" s="4">
        <v>0.26327253</v>
      </c>
      <c r="F1894" s="4">
        <v>3</v>
      </c>
      <c r="G1894" s="4">
        <v>26.337197799999998</v>
      </c>
      <c r="H1894" s="4">
        <v>7.4842309999999995E-2</v>
      </c>
      <c r="I1894" s="4">
        <v>3</v>
      </c>
      <c r="J1894" s="4">
        <v>0.68675596999999999</v>
      </c>
      <c r="K1894" s="4"/>
      <c r="L1894" s="4"/>
      <c r="M1894" s="4"/>
      <c r="N1894" s="4"/>
      <c r="O1894" s="4"/>
      <c r="P1894" s="4"/>
      <c r="Q1894" s="4"/>
      <c r="R1894" s="4"/>
      <c r="S1894" s="4"/>
      <c r="T1894" s="4"/>
      <c r="U1894" s="4"/>
      <c r="V1894" s="4">
        <v>6.9676390000000005E-2</v>
      </c>
      <c r="W1894" s="4">
        <v>3</v>
      </c>
      <c r="X1894" s="4">
        <v>75576.3318</v>
      </c>
      <c r="Y1894" s="4">
        <v>6559</v>
      </c>
      <c r="Z1894" s="4">
        <v>0.80745127000000005</v>
      </c>
      <c r="AA1894" s="4">
        <v>100</v>
      </c>
    </row>
    <row r="1895" spans="1:27" x14ac:dyDescent="0.2">
      <c r="A1895" s="4">
        <v>20</v>
      </c>
      <c r="B1895" s="4">
        <v>3</v>
      </c>
      <c r="C1895" s="4">
        <v>0.1</v>
      </c>
      <c r="D1895" s="4">
        <v>100</v>
      </c>
      <c r="E1895" s="4">
        <v>1.0594616400000001</v>
      </c>
      <c r="F1895" s="4">
        <v>3</v>
      </c>
      <c r="G1895" s="4">
        <v>25.533904700000001</v>
      </c>
      <c r="H1895" s="4">
        <v>0.94621005000000002</v>
      </c>
      <c r="I1895" s="4">
        <v>3</v>
      </c>
      <c r="J1895" s="4">
        <v>0.80693479999999995</v>
      </c>
      <c r="K1895" s="4"/>
      <c r="L1895" s="4"/>
      <c r="M1895" s="4"/>
      <c r="N1895" s="4"/>
      <c r="O1895" s="4"/>
      <c r="P1895" s="4"/>
      <c r="Q1895" s="4"/>
      <c r="R1895" s="4"/>
      <c r="S1895" s="4"/>
      <c r="T1895" s="4"/>
      <c r="U1895" s="4"/>
      <c r="V1895" s="4">
        <v>1.1542972300000001</v>
      </c>
      <c r="W1895" s="4">
        <v>3</v>
      </c>
      <c r="X1895" s="4">
        <v>75312.883400000006</v>
      </c>
      <c r="Y1895" s="4">
        <v>108089</v>
      </c>
      <c r="Z1895" s="4">
        <v>1.094994E-2</v>
      </c>
      <c r="AA1895" s="4">
        <v>100</v>
      </c>
    </row>
    <row r="1896" spans="1:27" x14ac:dyDescent="0.2">
      <c r="A1896" s="4">
        <v>20</v>
      </c>
      <c r="B1896" s="4">
        <v>3</v>
      </c>
      <c r="C1896" s="4">
        <v>0.2</v>
      </c>
      <c r="D1896" s="4">
        <v>100</v>
      </c>
      <c r="E1896" s="4">
        <v>0.84553537999999995</v>
      </c>
      <c r="F1896" s="4">
        <v>3</v>
      </c>
      <c r="G1896" s="4">
        <v>24.597781399999999</v>
      </c>
      <c r="H1896" s="4">
        <v>0.76938278999999998</v>
      </c>
      <c r="I1896" s="4">
        <v>3</v>
      </c>
      <c r="J1896" s="4">
        <v>0.78400407000000005</v>
      </c>
      <c r="K1896" s="4"/>
      <c r="L1896" s="4"/>
      <c r="M1896" s="4"/>
      <c r="N1896" s="4"/>
      <c r="O1896" s="4"/>
      <c r="P1896" s="4"/>
      <c r="Q1896" s="4"/>
      <c r="R1896" s="4"/>
      <c r="S1896" s="4"/>
      <c r="T1896" s="4"/>
      <c r="U1896" s="4"/>
      <c r="V1896" s="4">
        <v>0.77293902999999997</v>
      </c>
      <c r="W1896" s="4">
        <v>3</v>
      </c>
      <c r="X1896" s="4">
        <v>75104.734299999996</v>
      </c>
      <c r="Y1896" s="4">
        <v>137464</v>
      </c>
      <c r="Z1896" s="4">
        <v>8.9483839999999995E-2</v>
      </c>
      <c r="AA1896" s="4">
        <v>100</v>
      </c>
    </row>
    <row r="1897" spans="1:27" x14ac:dyDescent="0.2">
      <c r="A1897" s="4">
        <v>20</v>
      </c>
      <c r="B1897" s="4">
        <v>3</v>
      </c>
      <c r="C1897" s="4">
        <v>0.3</v>
      </c>
      <c r="D1897" s="4">
        <v>100</v>
      </c>
      <c r="E1897" s="4">
        <v>0.58818011000000003</v>
      </c>
      <c r="F1897" s="4">
        <v>3</v>
      </c>
      <c r="G1897" s="4">
        <v>27.4729171</v>
      </c>
      <c r="H1897" s="4">
        <v>0.61043910999999995</v>
      </c>
      <c r="I1897" s="4">
        <v>3</v>
      </c>
      <c r="J1897" s="4">
        <v>0.93670587999999999</v>
      </c>
      <c r="K1897" s="4"/>
      <c r="L1897" s="4"/>
      <c r="M1897" s="4"/>
      <c r="N1897" s="4"/>
      <c r="O1897" s="4"/>
      <c r="P1897" s="4"/>
      <c r="Q1897" s="4"/>
      <c r="R1897" s="4"/>
      <c r="S1897" s="4"/>
      <c r="T1897" s="4"/>
      <c r="U1897" s="4"/>
      <c r="V1897" s="4">
        <v>0.61238627000000001</v>
      </c>
      <c r="W1897" s="4">
        <v>3</v>
      </c>
      <c r="X1897" s="4">
        <v>75598.133000000002</v>
      </c>
      <c r="Y1897" s="4">
        <v>6030</v>
      </c>
      <c r="Z1897" s="4">
        <v>0.38024891</v>
      </c>
      <c r="AA1897" s="4">
        <v>100</v>
      </c>
    </row>
    <row r="1898" spans="1:27" x14ac:dyDescent="0.2">
      <c r="A1898" s="4">
        <v>20</v>
      </c>
      <c r="B1898" s="4">
        <v>3</v>
      </c>
      <c r="C1898" s="4">
        <v>0.1</v>
      </c>
      <c r="D1898" s="4">
        <v>100</v>
      </c>
      <c r="E1898" s="4">
        <v>0.96197849999999996</v>
      </c>
      <c r="F1898" s="4">
        <v>3</v>
      </c>
      <c r="G1898" s="4">
        <v>24.500944400000002</v>
      </c>
      <c r="H1898" s="4">
        <v>0.96447209</v>
      </c>
      <c r="I1898" s="4">
        <v>3</v>
      </c>
      <c r="J1898" s="4">
        <v>0.54858099000000005</v>
      </c>
      <c r="K1898" s="4"/>
      <c r="L1898" s="4"/>
      <c r="M1898" s="4"/>
      <c r="N1898" s="4"/>
      <c r="O1898" s="4"/>
      <c r="P1898" s="4"/>
      <c r="Q1898" s="4"/>
      <c r="R1898" s="4"/>
      <c r="S1898" s="4"/>
      <c r="T1898" s="4"/>
      <c r="U1898" s="4"/>
      <c r="V1898" s="4">
        <v>1.01399656</v>
      </c>
      <c r="W1898" s="4">
        <v>3</v>
      </c>
      <c r="X1898" s="4">
        <v>75466.720199999996</v>
      </c>
      <c r="Y1898" s="4">
        <v>157768</v>
      </c>
      <c r="Z1898" s="4">
        <v>1.328732E-2</v>
      </c>
      <c r="AA1898" s="4">
        <v>100</v>
      </c>
    </row>
    <row r="1899" spans="1:27" x14ac:dyDescent="0.2">
      <c r="A1899" s="4">
        <v>20</v>
      </c>
      <c r="B1899" s="4">
        <v>3</v>
      </c>
      <c r="C1899" s="4">
        <v>0.4</v>
      </c>
      <c r="D1899" s="4">
        <v>100</v>
      </c>
      <c r="E1899" s="4">
        <v>0.37682681000000001</v>
      </c>
      <c r="F1899" s="4">
        <v>3</v>
      </c>
      <c r="G1899" s="4">
        <v>26.421878199999998</v>
      </c>
      <c r="H1899" s="4">
        <v>0.1219621</v>
      </c>
      <c r="I1899" s="4">
        <v>3</v>
      </c>
      <c r="J1899" s="4">
        <v>0.35931643000000002</v>
      </c>
      <c r="K1899" s="4"/>
      <c r="L1899" s="4"/>
      <c r="M1899" s="4"/>
      <c r="N1899" s="4"/>
      <c r="O1899" s="4"/>
      <c r="P1899" s="4"/>
      <c r="Q1899" s="4"/>
      <c r="R1899" s="4"/>
      <c r="S1899" s="4"/>
      <c r="T1899" s="4"/>
      <c r="U1899" s="4"/>
      <c r="V1899" s="4">
        <v>0.11468323</v>
      </c>
      <c r="W1899" s="4">
        <v>3</v>
      </c>
      <c r="X1899" s="4">
        <v>75645.145300000004</v>
      </c>
      <c r="Y1899" s="4">
        <v>5013</v>
      </c>
      <c r="Z1899" s="4">
        <v>0.45343882000000002</v>
      </c>
      <c r="AA1899" s="4">
        <v>100</v>
      </c>
    </row>
    <row r="1900" spans="1:27" x14ac:dyDescent="0.2">
      <c r="A1900" s="4">
        <v>20</v>
      </c>
      <c r="B1900" s="4">
        <v>3</v>
      </c>
      <c r="C1900" s="4">
        <v>0.2</v>
      </c>
      <c r="D1900" s="4">
        <v>100</v>
      </c>
      <c r="E1900" s="4">
        <v>0.89161919999999995</v>
      </c>
      <c r="F1900" s="4">
        <v>3</v>
      </c>
      <c r="G1900" s="4">
        <v>24.154035700000001</v>
      </c>
      <c r="H1900" s="4">
        <v>0.90671223000000001</v>
      </c>
      <c r="I1900" s="4">
        <v>3</v>
      </c>
      <c r="J1900" s="4">
        <v>0.76633043999999995</v>
      </c>
      <c r="K1900" s="4"/>
      <c r="L1900" s="4"/>
      <c r="M1900" s="4"/>
      <c r="N1900" s="4"/>
      <c r="O1900" s="4"/>
      <c r="P1900" s="4"/>
      <c r="Q1900" s="4"/>
      <c r="R1900" s="4"/>
      <c r="S1900" s="4"/>
      <c r="T1900" s="4"/>
      <c r="U1900" s="4"/>
      <c r="V1900" s="4">
        <v>0.90925275999999999</v>
      </c>
      <c r="W1900" s="4">
        <v>3</v>
      </c>
      <c r="X1900" s="4">
        <v>75456.767500000002</v>
      </c>
      <c r="Y1900" s="4">
        <v>182030</v>
      </c>
      <c r="Z1900" s="4">
        <v>9.9319930000000001E-2</v>
      </c>
      <c r="AA1900" s="4">
        <v>100</v>
      </c>
    </row>
    <row r="1901" spans="1:27" x14ac:dyDescent="0.2">
      <c r="A1901" s="4">
        <v>20</v>
      </c>
      <c r="B1901" s="4">
        <v>3</v>
      </c>
      <c r="C1901" s="4">
        <v>0.4</v>
      </c>
      <c r="D1901" s="4">
        <v>100</v>
      </c>
      <c r="E1901" s="4">
        <v>0.41361047000000001</v>
      </c>
      <c r="F1901" s="4">
        <v>3</v>
      </c>
      <c r="G1901" s="4">
        <v>26.6380163</v>
      </c>
      <c r="H1901" s="4">
        <v>0.31264160000000002</v>
      </c>
      <c r="I1901" s="4">
        <v>3</v>
      </c>
      <c r="J1901" s="4">
        <v>0.47662233999999998</v>
      </c>
      <c r="K1901" s="4"/>
      <c r="L1901" s="4"/>
      <c r="M1901" s="4"/>
      <c r="N1901" s="4"/>
      <c r="O1901" s="4"/>
      <c r="P1901" s="4"/>
      <c r="Q1901" s="4"/>
      <c r="R1901" s="4"/>
      <c r="S1901" s="4"/>
      <c r="T1901" s="4"/>
      <c r="U1901" s="4"/>
      <c r="V1901" s="4">
        <v>0.31220888000000002</v>
      </c>
      <c r="W1901" s="4">
        <v>3</v>
      </c>
      <c r="X1901" s="4">
        <v>75154.662299999996</v>
      </c>
      <c r="Y1901" s="4">
        <v>129558</v>
      </c>
      <c r="Z1901" s="4">
        <v>1.1507888100000001</v>
      </c>
      <c r="AA1901" s="4">
        <v>100</v>
      </c>
    </row>
    <row r="1902" spans="1:27" x14ac:dyDescent="0.2">
      <c r="A1902" s="4">
        <v>20</v>
      </c>
      <c r="B1902" s="4">
        <v>3</v>
      </c>
      <c r="C1902" s="4">
        <v>0.1</v>
      </c>
      <c r="D1902" s="4">
        <v>100</v>
      </c>
      <c r="E1902" s="4">
        <v>0.94776159999999998</v>
      </c>
      <c r="F1902" s="4">
        <v>3</v>
      </c>
      <c r="G1902" s="4">
        <v>29.313371700000001</v>
      </c>
      <c r="H1902" s="4">
        <v>0.95185470000000005</v>
      </c>
      <c r="I1902" s="4">
        <v>3</v>
      </c>
      <c r="J1902" s="4">
        <v>0.30760990999999999</v>
      </c>
      <c r="K1902" s="4"/>
      <c r="L1902" s="4"/>
      <c r="M1902" s="4"/>
      <c r="N1902" s="4"/>
      <c r="O1902" s="4"/>
      <c r="P1902" s="4"/>
      <c r="Q1902" s="4"/>
      <c r="R1902" s="4"/>
      <c r="S1902" s="4"/>
      <c r="T1902" s="4"/>
      <c r="U1902" s="4"/>
      <c r="V1902" s="4">
        <v>0.95184299000000006</v>
      </c>
      <c r="W1902" s="4">
        <v>3</v>
      </c>
      <c r="X1902" s="4">
        <v>75245.637499999997</v>
      </c>
      <c r="Y1902" s="4">
        <v>88398</v>
      </c>
      <c r="Z1902" s="4">
        <v>8.6405100000000006E-3</v>
      </c>
      <c r="AA1902" s="4">
        <v>100</v>
      </c>
    </row>
    <row r="1903" spans="1:27" x14ac:dyDescent="0.2">
      <c r="A1903" s="4">
        <v>20</v>
      </c>
      <c r="B1903" s="4">
        <v>3</v>
      </c>
      <c r="C1903" s="4">
        <v>0.3</v>
      </c>
      <c r="D1903" s="4">
        <v>100</v>
      </c>
      <c r="E1903" s="4">
        <v>0.61833868000000003</v>
      </c>
      <c r="F1903" s="4">
        <v>3</v>
      </c>
      <c r="G1903" s="4">
        <v>26.676815099999999</v>
      </c>
      <c r="H1903" s="4">
        <v>0.72907208000000001</v>
      </c>
      <c r="I1903" s="4">
        <v>3</v>
      </c>
      <c r="J1903" s="4">
        <v>0.90768515000000005</v>
      </c>
      <c r="K1903" s="4"/>
      <c r="L1903" s="4"/>
      <c r="M1903" s="4"/>
      <c r="N1903" s="4"/>
      <c r="O1903" s="4"/>
      <c r="P1903" s="4"/>
      <c r="Q1903" s="4"/>
      <c r="R1903" s="4"/>
      <c r="S1903" s="4"/>
      <c r="T1903" s="4"/>
      <c r="U1903" s="4"/>
      <c r="V1903" s="4">
        <v>0.74095016000000002</v>
      </c>
      <c r="W1903" s="4">
        <v>3</v>
      </c>
      <c r="X1903" s="4">
        <v>76488.485400000005</v>
      </c>
      <c r="Y1903" s="4">
        <v>3517</v>
      </c>
      <c r="Z1903" s="4">
        <v>0.60874300999999997</v>
      </c>
      <c r="AA1903" s="4">
        <v>100</v>
      </c>
    </row>
    <row r="1904" spans="1:27" x14ac:dyDescent="0.2">
      <c r="A1904" s="4">
        <v>20</v>
      </c>
      <c r="B1904" s="4">
        <v>3</v>
      </c>
      <c r="C1904" s="4">
        <v>0.2</v>
      </c>
      <c r="D1904" s="4">
        <v>100</v>
      </c>
      <c r="E1904" s="4">
        <v>0.93381122000000005</v>
      </c>
      <c r="F1904" s="4">
        <v>3</v>
      </c>
      <c r="G1904" s="4">
        <v>27.821336200000001</v>
      </c>
      <c r="H1904" s="4">
        <v>0.97083976999999999</v>
      </c>
      <c r="I1904" s="4">
        <v>3</v>
      </c>
      <c r="J1904" s="4">
        <v>0.89255277</v>
      </c>
      <c r="K1904" s="4"/>
      <c r="L1904" s="4"/>
      <c r="M1904" s="4"/>
      <c r="N1904" s="4"/>
      <c r="O1904" s="4"/>
      <c r="P1904" s="4"/>
      <c r="Q1904" s="4"/>
      <c r="R1904" s="4"/>
      <c r="S1904" s="4"/>
      <c r="T1904" s="4"/>
      <c r="U1904" s="4"/>
      <c r="V1904" s="4">
        <v>0.97462778000000005</v>
      </c>
      <c r="W1904" s="4">
        <v>3</v>
      </c>
      <c r="X1904" s="4">
        <v>76219.081999999995</v>
      </c>
      <c r="Y1904" s="4">
        <v>3418</v>
      </c>
      <c r="Z1904" s="4">
        <v>0.22752757000000001</v>
      </c>
      <c r="AA1904" s="4">
        <v>100</v>
      </c>
    </row>
    <row r="1905" spans="1:27" x14ac:dyDescent="0.2">
      <c r="A1905" s="4">
        <v>20</v>
      </c>
      <c r="B1905" s="4">
        <v>3</v>
      </c>
      <c r="C1905" s="4">
        <v>0.3</v>
      </c>
      <c r="D1905" s="4">
        <v>100</v>
      </c>
      <c r="E1905" s="4">
        <v>0.52650538999999996</v>
      </c>
      <c r="F1905" s="4">
        <v>3</v>
      </c>
      <c r="G1905" s="4">
        <v>26.3354666</v>
      </c>
      <c r="H1905" s="4">
        <v>0.28247591999999999</v>
      </c>
      <c r="I1905" s="4">
        <v>3</v>
      </c>
      <c r="J1905" s="4">
        <v>0.47030316999999999</v>
      </c>
      <c r="K1905" s="4"/>
      <c r="L1905" s="4"/>
      <c r="M1905" s="4"/>
      <c r="N1905" s="4"/>
      <c r="O1905" s="4"/>
      <c r="P1905" s="4"/>
      <c r="Q1905" s="4"/>
      <c r="R1905" s="4"/>
      <c r="S1905" s="4"/>
      <c r="T1905" s="4"/>
      <c r="U1905" s="4"/>
      <c r="V1905" s="4">
        <v>0.28113427000000002</v>
      </c>
      <c r="W1905" s="4">
        <v>3</v>
      </c>
      <c r="X1905" s="4">
        <v>75439.354200000002</v>
      </c>
      <c r="Y1905" s="4">
        <v>196813</v>
      </c>
      <c r="Z1905" s="4">
        <v>0.26687508999999998</v>
      </c>
      <c r="AA1905" s="4">
        <v>100</v>
      </c>
    </row>
    <row r="1906" spans="1:27" x14ac:dyDescent="0.2">
      <c r="A1906" s="4">
        <v>20</v>
      </c>
      <c r="B1906" s="4">
        <v>3</v>
      </c>
      <c r="C1906" s="4">
        <v>0.1</v>
      </c>
      <c r="D1906" s="4">
        <v>100</v>
      </c>
      <c r="E1906" s="4">
        <v>1.1530379900000001</v>
      </c>
      <c r="F1906" s="4">
        <v>3</v>
      </c>
      <c r="G1906" s="4">
        <v>32.3809015</v>
      </c>
      <c r="H1906" s="4">
        <v>1.0292514800000001</v>
      </c>
      <c r="I1906" s="4">
        <v>3</v>
      </c>
      <c r="J1906" s="4">
        <v>1.0111181</v>
      </c>
      <c r="K1906" s="4"/>
      <c r="L1906" s="4"/>
      <c r="M1906" s="4"/>
      <c r="N1906" s="4"/>
      <c r="O1906" s="4"/>
      <c r="P1906" s="4"/>
      <c r="Q1906" s="4"/>
      <c r="R1906" s="4"/>
      <c r="S1906" s="4"/>
      <c r="T1906" s="4"/>
      <c r="U1906" s="4"/>
      <c r="V1906" s="4">
        <v>1.0991607000000001</v>
      </c>
      <c r="W1906" s="4">
        <v>3</v>
      </c>
      <c r="X1906" s="4">
        <v>75437.662700000001</v>
      </c>
      <c r="Y1906" s="4">
        <v>88229</v>
      </c>
      <c r="Z1906" s="4">
        <v>4.6540899999999996E-3</v>
      </c>
      <c r="AA1906" s="4">
        <v>100</v>
      </c>
    </row>
    <row r="1907" spans="1:27" x14ac:dyDescent="0.2">
      <c r="A1907" s="4">
        <v>20</v>
      </c>
      <c r="B1907" s="4">
        <v>3</v>
      </c>
      <c r="C1907" s="4">
        <v>0.2</v>
      </c>
      <c r="D1907" s="4">
        <v>100</v>
      </c>
      <c r="E1907" s="4">
        <v>0.86959542999999995</v>
      </c>
      <c r="F1907" s="4">
        <v>3</v>
      </c>
      <c r="G1907" s="4">
        <v>30.292015200000002</v>
      </c>
      <c r="H1907" s="4">
        <v>0.83570118000000004</v>
      </c>
      <c r="I1907" s="4">
        <v>3</v>
      </c>
      <c r="J1907" s="4">
        <v>0.96352236000000002</v>
      </c>
      <c r="K1907" s="4"/>
      <c r="L1907" s="4"/>
      <c r="M1907" s="4"/>
      <c r="N1907" s="4"/>
      <c r="O1907" s="4"/>
      <c r="P1907" s="4"/>
      <c r="Q1907" s="4"/>
      <c r="R1907" s="4"/>
      <c r="S1907" s="4"/>
      <c r="T1907" s="4"/>
      <c r="U1907" s="4"/>
      <c r="V1907" s="4">
        <v>0.83792648000000003</v>
      </c>
      <c r="W1907" s="4">
        <v>3</v>
      </c>
      <c r="X1907" s="4">
        <v>75143.632700000002</v>
      </c>
      <c r="Y1907" s="4">
        <v>180937</v>
      </c>
      <c r="Z1907" s="4">
        <v>0.21492464</v>
      </c>
      <c r="AA1907" s="4">
        <v>100</v>
      </c>
    </row>
    <row r="1908" spans="1:27" x14ac:dyDescent="0.2">
      <c r="A1908" s="4">
        <v>20</v>
      </c>
      <c r="B1908" s="4">
        <v>3</v>
      </c>
      <c r="C1908" s="4">
        <v>0.4</v>
      </c>
      <c r="D1908" s="4">
        <v>100</v>
      </c>
      <c r="E1908" s="4">
        <v>0.34954295000000002</v>
      </c>
      <c r="F1908" s="4">
        <v>3</v>
      </c>
      <c r="G1908" s="4">
        <v>26.458913599999999</v>
      </c>
      <c r="H1908" s="4">
        <v>0.11163893</v>
      </c>
      <c r="I1908" s="4">
        <v>3</v>
      </c>
      <c r="J1908" s="4">
        <v>0.65955492000000004</v>
      </c>
      <c r="K1908" s="4"/>
      <c r="L1908" s="4"/>
      <c r="M1908" s="4"/>
      <c r="N1908" s="4"/>
      <c r="O1908" s="4"/>
      <c r="P1908" s="4"/>
      <c r="Q1908" s="4"/>
      <c r="R1908" s="4"/>
      <c r="S1908" s="4"/>
      <c r="T1908" s="4"/>
      <c r="U1908" s="4"/>
      <c r="V1908" s="4">
        <v>0.10327587000000001</v>
      </c>
      <c r="W1908" s="4">
        <v>3</v>
      </c>
      <c r="X1908" s="4">
        <v>78634.645399999994</v>
      </c>
      <c r="Y1908" s="4">
        <v>103092</v>
      </c>
      <c r="Z1908" s="4">
        <v>0.72023696999999998</v>
      </c>
      <c r="AA1908" s="4">
        <v>100</v>
      </c>
    </row>
    <row r="1909" spans="1:27" x14ac:dyDescent="0.2">
      <c r="A1909" s="4">
        <v>20</v>
      </c>
      <c r="B1909" s="4">
        <v>3</v>
      </c>
      <c r="C1909" s="4">
        <v>0.2</v>
      </c>
      <c r="D1909" s="4">
        <v>100</v>
      </c>
      <c r="E1909" s="4">
        <v>0.84773226999999995</v>
      </c>
      <c r="F1909" s="4">
        <v>3</v>
      </c>
      <c r="G1909" s="4">
        <v>28.432918900000001</v>
      </c>
      <c r="H1909" s="4">
        <v>0.78419260999999996</v>
      </c>
      <c r="I1909" s="4">
        <v>3</v>
      </c>
      <c r="J1909" s="4">
        <v>0.90059043999999999</v>
      </c>
      <c r="K1909" s="4"/>
      <c r="L1909" s="4"/>
      <c r="M1909" s="4"/>
      <c r="N1909" s="4"/>
      <c r="O1909" s="4"/>
      <c r="P1909" s="4"/>
      <c r="Q1909" s="4"/>
      <c r="R1909" s="4"/>
      <c r="S1909" s="4"/>
      <c r="T1909" s="4"/>
      <c r="U1909" s="4"/>
      <c r="V1909" s="4">
        <v>0.78431269000000003</v>
      </c>
      <c r="W1909" s="4">
        <v>3</v>
      </c>
      <c r="X1909" s="4">
        <v>75550.647299999997</v>
      </c>
      <c r="Y1909" s="4">
        <v>65208</v>
      </c>
      <c r="Z1909" s="4">
        <v>8.8993240000000001E-2</v>
      </c>
      <c r="AA1909" s="4">
        <v>100</v>
      </c>
    </row>
    <row r="1910" spans="1:27" x14ac:dyDescent="0.2">
      <c r="A1910" s="4">
        <v>20</v>
      </c>
      <c r="B1910" s="4">
        <v>3</v>
      </c>
      <c r="C1910" s="4">
        <v>0.1</v>
      </c>
      <c r="D1910" s="4">
        <v>100</v>
      </c>
      <c r="E1910" s="4">
        <v>1.6856784499999999</v>
      </c>
      <c r="F1910" s="4">
        <v>3</v>
      </c>
      <c r="G1910" s="4">
        <v>29.096353100000002</v>
      </c>
      <c r="H1910" s="4">
        <v>0.98568986999999997</v>
      </c>
      <c r="I1910" s="4">
        <v>3</v>
      </c>
      <c r="J1910" s="4">
        <v>0.89996052999999998</v>
      </c>
      <c r="K1910" s="4"/>
      <c r="L1910" s="4"/>
      <c r="M1910" s="4"/>
      <c r="N1910" s="4"/>
      <c r="O1910" s="4"/>
      <c r="P1910" s="4"/>
      <c r="Q1910" s="4"/>
      <c r="R1910" s="4"/>
      <c r="S1910" s="4"/>
      <c r="T1910" s="4"/>
      <c r="U1910" s="4"/>
      <c r="V1910" s="4">
        <v>0.98591969000000002</v>
      </c>
      <c r="W1910" s="4">
        <v>3</v>
      </c>
      <c r="X1910" s="4">
        <v>75287.016099999993</v>
      </c>
      <c r="Y1910" s="4">
        <v>78144</v>
      </c>
      <c r="Z1910" s="4">
        <v>1.2115269999999999E-2</v>
      </c>
      <c r="AA1910" s="4">
        <v>100</v>
      </c>
    </row>
    <row r="1911" spans="1:27" x14ac:dyDescent="0.2">
      <c r="A1911" s="4">
        <v>20</v>
      </c>
      <c r="B1911" s="4">
        <v>3</v>
      </c>
      <c r="C1911" s="4">
        <v>0.3</v>
      </c>
      <c r="D1911" s="4">
        <v>100</v>
      </c>
      <c r="E1911" s="4">
        <v>0.60767758000000005</v>
      </c>
      <c r="F1911" s="4">
        <v>3</v>
      </c>
      <c r="G1911" s="4">
        <v>29.988935999999999</v>
      </c>
      <c r="H1911" s="4">
        <v>0.29262287999999997</v>
      </c>
      <c r="I1911" s="4">
        <v>3</v>
      </c>
      <c r="J1911" s="4">
        <v>1.0072020100000001</v>
      </c>
      <c r="K1911" s="4"/>
      <c r="L1911" s="4"/>
      <c r="M1911" s="4"/>
      <c r="N1911" s="4"/>
      <c r="O1911" s="4"/>
      <c r="P1911" s="4"/>
      <c r="Q1911" s="4"/>
      <c r="R1911" s="4"/>
      <c r="S1911" s="4"/>
      <c r="T1911" s="4"/>
      <c r="U1911" s="4"/>
      <c r="V1911" s="4">
        <v>0.28975792</v>
      </c>
      <c r="W1911" s="4">
        <v>3</v>
      </c>
      <c r="X1911" s="4">
        <v>75357.480299999996</v>
      </c>
      <c r="Y1911" s="4">
        <v>135835</v>
      </c>
      <c r="Z1911" s="4">
        <v>0.70297198999999999</v>
      </c>
      <c r="AA1911" s="4">
        <v>100</v>
      </c>
    </row>
    <row r="1912" spans="1:27" x14ac:dyDescent="0.2">
      <c r="A1912" s="4">
        <v>20</v>
      </c>
      <c r="B1912" s="4">
        <v>3</v>
      </c>
      <c r="C1912" s="4">
        <v>0.4</v>
      </c>
      <c r="D1912" s="4">
        <v>100</v>
      </c>
      <c r="E1912" s="4">
        <v>0.38264479000000001</v>
      </c>
      <c r="F1912" s="4">
        <v>3</v>
      </c>
      <c r="G1912" s="4">
        <v>30.9948795</v>
      </c>
      <c r="H1912" s="4">
        <v>0.17879701000000001</v>
      </c>
      <c r="I1912" s="4">
        <v>3</v>
      </c>
      <c r="J1912" s="4">
        <v>0.48858691999999998</v>
      </c>
      <c r="K1912" s="4"/>
      <c r="L1912" s="4"/>
      <c r="M1912" s="4"/>
      <c r="N1912" s="4"/>
      <c r="O1912" s="4"/>
      <c r="P1912" s="4"/>
      <c r="Q1912" s="4"/>
      <c r="R1912" s="4"/>
      <c r="S1912" s="4"/>
      <c r="T1912" s="4"/>
      <c r="U1912" s="4"/>
      <c r="V1912" s="4">
        <v>0.1631195</v>
      </c>
      <c r="W1912" s="4">
        <v>3</v>
      </c>
      <c r="X1912" s="4">
        <v>75246.2739</v>
      </c>
      <c r="Y1912" s="4">
        <v>92461</v>
      </c>
      <c r="Z1912" s="4">
        <v>0.30898184000000001</v>
      </c>
      <c r="AA1912" s="4">
        <v>100</v>
      </c>
    </row>
    <row r="1913" spans="1:27" x14ac:dyDescent="0.2">
      <c r="A1913" s="4">
        <v>20</v>
      </c>
      <c r="B1913" s="4">
        <v>3</v>
      </c>
      <c r="C1913" s="4">
        <v>0.1</v>
      </c>
      <c r="D1913" s="4">
        <v>100</v>
      </c>
      <c r="E1913" s="4">
        <v>1.03238052</v>
      </c>
      <c r="F1913" s="4">
        <v>3</v>
      </c>
      <c r="G1913" s="4">
        <v>30.054969499999999</v>
      </c>
      <c r="H1913" s="4">
        <v>0.98378129999999997</v>
      </c>
      <c r="I1913" s="4">
        <v>3</v>
      </c>
      <c r="J1913" s="4">
        <v>0.90592152000000004</v>
      </c>
      <c r="K1913" s="4"/>
      <c r="L1913" s="4"/>
      <c r="M1913" s="4"/>
      <c r="N1913" s="4"/>
      <c r="O1913" s="4"/>
      <c r="P1913" s="4"/>
      <c r="Q1913" s="4"/>
      <c r="R1913" s="4"/>
      <c r="S1913" s="4"/>
      <c r="T1913" s="4"/>
      <c r="U1913" s="4"/>
      <c r="V1913" s="4">
        <v>1.10009691</v>
      </c>
      <c r="W1913" s="4">
        <v>3</v>
      </c>
      <c r="X1913" s="4">
        <v>75251.407900000006</v>
      </c>
      <c r="Y1913" s="4">
        <v>78630</v>
      </c>
      <c r="Z1913" s="4">
        <v>1.3325470000000001E-2</v>
      </c>
      <c r="AA1913" s="4">
        <v>100</v>
      </c>
    </row>
    <row r="1914" spans="1:27" x14ac:dyDescent="0.2">
      <c r="A1914" s="4">
        <v>20</v>
      </c>
      <c r="B1914" s="4">
        <v>3</v>
      </c>
      <c r="C1914" s="4">
        <v>0.3</v>
      </c>
      <c r="D1914" s="4">
        <v>100</v>
      </c>
      <c r="E1914" s="4">
        <v>0.51732816000000004</v>
      </c>
      <c r="F1914" s="4">
        <v>3</v>
      </c>
      <c r="G1914" s="4">
        <v>28.459459899999999</v>
      </c>
      <c r="H1914" s="4">
        <v>0.33395613000000002</v>
      </c>
      <c r="I1914" s="4">
        <v>3</v>
      </c>
      <c r="J1914" s="4">
        <v>0.54928003999999997</v>
      </c>
      <c r="K1914" s="4"/>
      <c r="L1914" s="4"/>
      <c r="M1914" s="4"/>
      <c r="N1914" s="4"/>
      <c r="O1914" s="4"/>
      <c r="P1914" s="4"/>
      <c r="Q1914" s="4"/>
      <c r="R1914" s="4"/>
      <c r="S1914" s="4"/>
      <c r="T1914" s="4"/>
      <c r="U1914" s="4"/>
      <c r="V1914" s="4">
        <v>0.33102873999999999</v>
      </c>
      <c r="W1914" s="4">
        <v>3</v>
      </c>
      <c r="X1914" s="4">
        <v>75840.796499999997</v>
      </c>
      <c r="Y1914" s="4">
        <v>8515</v>
      </c>
      <c r="Z1914" s="4">
        <v>0.73189645999999997</v>
      </c>
      <c r="AA1914" s="4">
        <v>100</v>
      </c>
    </row>
    <row r="1915" spans="1:27" x14ac:dyDescent="0.2">
      <c r="A1915" s="4">
        <v>20</v>
      </c>
      <c r="B1915" s="4">
        <v>3</v>
      </c>
      <c r="C1915" s="4">
        <v>0.2</v>
      </c>
      <c r="D1915" s="4">
        <v>100</v>
      </c>
      <c r="E1915" s="4">
        <v>1.0180016000000001</v>
      </c>
      <c r="F1915" s="4">
        <v>3</v>
      </c>
      <c r="G1915" s="4">
        <v>28.7716849</v>
      </c>
      <c r="H1915" s="4">
        <v>0.97152090999999996</v>
      </c>
      <c r="I1915" s="4">
        <v>3</v>
      </c>
      <c r="J1915" s="4">
        <v>0.92082430000000004</v>
      </c>
      <c r="K1915" s="4"/>
      <c r="L1915" s="4"/>
      <c r="M1915" s="4"/>
      <c r="N1915" s="4"/>
      <c r="O1915" s="4"/>
      <c r="P1915" s="4"/>
      <c r="Q1915" s="4"/>
      <c r="R1915" s="4"/>
      <c r="S1915" s="4"/>
      <c r="T1915" s="4"/>
      <c r="U1915" s="4"/>
      <c r="V1915" s="4">
        <v>0.97267113000000005</v>
      </c>
      <c r="W1915" s="4">
        <v>3</v>
      </c>
      <c r="X1915" s="4">
        <v>75527.112299999993</v>
      </c>
      <c r="Y1915" s="4">
        <v>6241</v>
      </c>
      <c r="Z1915" s="4">
        <v>4.8847620000000001E-2</v>
      </c>
      <c r="AA1915" s="4">
        <v>100</v>
      </c>
    </row>
    <row r="1916" spans="1:27" x14ac:dyDescent="0.2">
      <c r="A1916" s="4">
        <v>20</v>
      </c>
      <c r="B1916" s="4">
        <v>3</v>
      </c>
      <c r="C1916" s="4">
        <v>0.3</v>
      </c>
      <c r="D1916" s="4">
        <v>100</v>
      </c>
      <c r="E1916" s="4">
        <v>0.68624163000000005</v>
      </c>
      <c r="F1916" s="4">
        <v>3</v>
      </c>
      <c r="G1916" s="4">
        <v>30.298910200000002</v>
      </c>
      <c r="H1916" s="4">
        <v>0.70377831999999996</v>
      </c>
      <c r="I1916" s="4">
        <v>3</v>
      </c>
      <c r="J1916" s="4">
        <v>0.99503332</v>
      </c>
      <c r="K1916" s="4"/>
      <c r="L1916" s="4"/>
      <c r="M1916" s="4"/>
      <c r="N1916" s="4"/>
      <c r="O1916" s="4"/>
      <c r="P1916" s="4"/>
      <c r="Q1916" s="4"/>
      <c r="R1916" s="4"/>
      <c r="S1916" s="4"/>
      <c r="T1916" s="4"/>
      <c r="U1916" s="4"/>
      <c r="V1916" s="4">
        <v>0.71430009000000005</v>
      </c>
      <c r="W1916" s="4">
        <v>3</v>
      </c>
      <c r="X1916" s="4">
        <v>75488.125599999999</v>
      </c>
      <c r="Y1916" s="4">
        <v>161060</v>
      </c>
      <c r="Z1916" s="4">
        <v>0.46158591999999998</v>
      </c>
      <c r="AA1916" s="4">
        <v>100</v>
      </c>
    </row>
    <row r="1917" spans="1:27" x14ac:dyDescent="0.2">
      <c r="A1917" s="4">
        <v>20</v>
      </c>
      <c r="B1917" s="4">
        <v>3</v>
      </c>
      <c r="C1917" s="4">
        <v>0.1</v>
      </c>
      <c r="D1917" s="4">
        <v>100</v>
      </c>
      <c r="E1917" s="4">
        <v>1.0128613099999999</v>
      </c>
      <c r="F1917" s="4">
        <v>3</v>
      </c>
      <c r="G1917" s="4">
        <v>27.8085439</v>
      </c>
      <c r="H1917" s="4">
        <v>0.97601163000000002</v>
      </c>
      <c r="I1917" s="4">
        <v>3</v>
      </c>
      <c r="J1917" s="4">
        <v>0.80469029999999997</v>
      </c>
      <c r="K1917" s="4"/>
      <c r="L1917" s="4"/>
      <c r="M1917" s="4"/>
      <c r="N1917" s="4"/>
      <c r="O1917" s="4"/>
      <c r="P1917" s="4"/>
      <c r="Q1917" s="4"/>
      <c r="R1917" s="4"/>
      <c r="S1917" s="4"/>
      <c r="T1917" s="4"/>
      <c r="U1917" s="4"/>
      <c r="V1917" s="4">
        <v>1.1038185899999999</v>
      </c>
      <c r="W1917" s="4">
        <v>3</v>
      </c>
      <c r="X1917" s="4">
        <v>75366.86</v>
      </c>
      <c r="Y1917" s="4">
        <v>98563</v>
      </c>
      <c r="Z1917" s="4">
        <v>1.253519E-2</v>
      </c>
      <c r="AA1917" s="4">
        <v>100</v>
      </c>
    </row>
    <row r="1918" spans="1:27" x14ac:dyDescent="0.2">
      <c r="A1918" s="4">
        <v>20</v>
      </c>
      <c r="B1918" s="4">
        <v>3</v>
      </c>
      <c r="C1918" s="4">
        <v>0.4</v>
      </c>
      <c r="D1918" s="4">
        <v>100</v>
      </c>
      <c r="E1918" s="4">
        <v>0.24289129000000001</v>
      </c>
      <c r="F1918" s="4">
        <v>3</v>
      </c>
      <c r="G1918" s="4">
        <v>29.120921500000001</v>
      </c>
      <c r="H1918" s="4">
        <v>4.546327E-2</v>
      </c>
      <c r="I1918" s="4">
        <v>3</v>
      </c>
      <c r="J1918" s="4">
        <v>0.42693621999999998</v>
      </c>
      <c r="K1918" s="4"/>
      <c r="L1918" s="4"/>
      <c r="M1918" s="4"/>
      <c r="N1918" s="4"/>
      <c r="O1918" s="4"/>
      <c r="P1918" s="4"/>
      <c r="Q1918" s="4"/>
      <c r="R1918" s="4"/>
      <c r="S1918" s="4"/>
      <c r="T1918" s="4"/>
      <c r="U1918" s="4"/>
      <c r="V1918" s="4">
        <v>3.684631E-2</v>
      </c>
      <c r="W1918" s="4">
        <v>3</v>
      </c>
      <c r="X1918" s="4">
        <v>75549.102400000003</v>
      </c>
      <c r="Y1918" s="4">
        <v>77075</v>
      </c>
      <c r="Z1918" s="4">
        <v>0.43393872999999999</v>
      </c>
      <c r="AA1918" s="4">
        <v>100</v>
      </c>
    </row>
    <row r="1919" spans="1:27" x14ac:dyDescent="0.2">
      <c r="A1919" s="4">
        <v>20</v>
      </c>
      <c r="B1919" s="4">
        <v>3</v>
      </c>
      <c r="C1919" s="4">
        <v>0.4</v>
      </c>
      <c r="D1919" s="4">
        <v>100</v>
      </c>
      <c r="E1919" s="4">
        <v>0.36614688000000001</v>
      </c>
      <c r="F1919" s="4">
        <v>3</v>
      </c>
      <c r="G1919" s="4">
        <v>27.594272</v>
      </c>
      <c r="H1919" s="4">
        <v>6.9447259999999997E-2</v>
      </c>
      <c r="I1919" s="4">
        <v>3</v>
      </c>
      <c r="J1919" s="4">
        <v>0.39793073000000001</v>
      </c>
      <c r="K1919" s="4"/>
      <c r="L1919" s="4"/>
      <c r="M1919" s="4"/>
      <c r="N1919" s="4"/>
      <c r="O1919" s="4"/>
      <c r="P1919" s="4"/>
      <c r="Q1919" s="4"/>
      <c r="R1919" s="4"/>
      <c r="S1919" s="4"/>
      <c r="T1919" s="4"/>
      <c r="U1919" s="4"/>
      <c r="V1919" s="4">
        <v>5.9156729999999998E-2</v>
      </c>
      <c r="W1919" s="4">
        <v>3</v>
      </c>
      <c r="X1919" s="4">
        <v>75500.754499999995</v>
      </c>
      <c r="Y1919" s="4">
        <v>78260</v>
      </c>
      <c r="Z1919" s="4">
        <v>0.30777678000000003</v>
      </c>
      <c r="AA1919" s="4">
        <v>100</v>
      </c>
    </row>
    <row r="1920" spans="1:27" x14ac:dyDescent="0.2">
      <c r="A1920" s="4">
        <v>20</v>
      </c>
      <c r="B1920" s="4">
        <v>3</v>
      </c>
      <c r="C1920" s="4">
        <v>0.2</v>
      </c>
      <c r="D1920" s="4">
        <v>100</v>
      </c>
      <c r="E1920" s="4">
        <v>0.94356256000000005</v>
      </c>
      <c r="F1920" s="4">
        <v>3</v>
      </c>
      <c r="G1920" s="4">
        <v>30.288645200000001</v>
      </c>
      <c r="H1920" s="4">
        <v>0.89992892000000002</v>
      </c>
      <c r="I1920" s="4">
        <v>3</v>
      </c>
      <c r="J1920" s="4">
        <v>0.96445599000000004</v>
      </c>
      <c r="K1920" s="4"/>
      <c r="L1920" s="4"/>
      <c r="M1920" s="4"/>
      <c r="N1920" s="4"/>
      <c r="O1920" s="4"/>
      <c r="P1920" s="4"/>
      <c r="Q1920" s="4"/>
      <c r="R1920" s="4"/>
      <c r="S1920" s="4"/>
      <c r="T1920" s="4"/>
      <c r="U1920" s="4"/>
      <c r="V1920" s="4">
        <v>0.90284458999999995</v>
      </c>
      <c r="W1920" s="4">
        <v>3</v>
      </c>
      <c r="X1920" s="4">
        <v>75620.6633</v>
      </c>
      <c r="Y1920" s="4">
        <v>7672</v>
      </c>
      <c r="Z1920" s="4">
        <v>0.10889532</v>
      </c>
      <c r="AA1920" s="4">
        <v>100</v>
      </c>
    </row>
    <row r="1921" spans="1:27" x14ac:dyDescent="0.2">
      <c r="A1921" s="4">
        <v>20</v>
      </c>
      <c r="B1921" s="4">
        <v>3</v>
      </c>
      <c r="C1921" s="4">
        <v>0.4</v>
      </c>
      <c r="D1921" s="4">
        <v>100</v>
      </c>
      <c r="E1921" s="4">
        <v>0.28628991999999998</v>
      </c>
      <c r="F1921" s="4">
        <v>3</v>
      </c>
      <c r="G1921" s="4">
        <v>28.528295499999999</v>
      </c>
      <c r="H1921" s="4">
        <v>0.10933696</v>
      </c>
      <c r="I1921" s="4">
        <v>3</v>
      </c>
      <c r="J1921" s="4">
        <v>0.51987211</v>
      </c>
      <c r="K1921" s="4"/>
      <c r="L1921" s="4"/>
      <c r="M1921" s="4"/>
      <c r="N1921" s="4"/>
      <c r="O1921" s="4"/>
      <c r="P1921" s="4"/>
      <c r="Q1921" s="4"/>
      <c r="R1921" s="4"/>
      <c r="S1921" s="4"/>
      <c r="T1921" s="4"/>
      <c r="U1921" s="4"/>
      <c r="V1921" s="4">
        <v>0.10244141</v>
      </c>
      <c r="W1921" s="4">
        <v>3</v>
      </c>
      <c r="X1921" s="4">
        <v>76273.211599999995</v>
      </c>
      <c r="Y1921" s="4">
        <v>3660</v>
      </c>
      <c r="Z1921" s="4">
        <v>0.64825531999999997</v>
      </c>
      <c r="AA1921" s="4">
        <v>100</v>
      </c>
    </row>
    <row r="1922" spans="1:27" x14ac:dyDescent="0.2">
      <c r="A1922" s="4">
        <v>20</v>
      </c>
      <c r="B1922" s="4">
        <v>3</v>
      </c>
      <c r="C1922" s="4">
        <v>0.3</v>
      </c>
      <c r="D1922" s="4">
        <v>100</v>
      </c>
      <c r="E1922" s="4">
        <v>0.52113465000000003</v>
      </c>
      <c r="F1922" s="4">
        <v>3</v>
      </c>
      <c r="G1922" s="4">
        <v>27.798103699999999</v>
      </c>
      <c r="H1922" s="4">
        <v>0.26316687</v>
      </c>
      <c r="I1922" s="4">
        <v>3</v>
      </c>
      <c r="J1922" s="4">
        <v>0.90713014000000003</v>
      </c>
      <c r="K1922" s="4"/>
      <c r="L1922" s="4"/>
      <c r="M1922" s="4"/>
      <c r="N1922" s="4"/>
      <c r="O1922" s="4"/>
      <c r="P1922" s="4"/>
      <c r="Q1922" s="4"/>
      <c r="R1922" s="4"/>
      <c r="S1922" s="4"/>
      <c r="T1922" s="4"/>
      <c r="U1922" s="4"/>
      <c r="V1922" s="4">
        <v>0.25592714</v>
      </c>
      <c r="W1922" s="4">
        <v>3</v>
      </c>
      <c r="X1922" s="4">
        <v>75782.577699999994</v>
      </c>
      <c r="Y1922" s="4">
        <v>6529</v>
      </c>
      <c r="Z1922" s="4">
        <v>0.59553756000000002</v>
      </c>
      <c r="AA1922" s="4">
        <v>100</v>
      </c>
    </row>
    <row r="1923" spans="1:27" x14ac:dyDescent="0.2">
      <c r="A1923" s="4">
        <v>20</v>
      </c>
      <c r="B1923" s="4">
        <v>3</v>
      </c>
      <c r="C1923" s="4">
        <v>0.3</v>
      </c>
      <c r="D1923" s="4">
        <v>100</v>
      </c>
      <c r="E1923" s="4">
        <v>0.77618887999999997</v>
      </c>
      <c r="F1923" s="4">
        <v>3</v>
      </c>
      <c r="G1923" s="4">
        <v>31.1088311</v>
      </c>
      <c r="H1923" s="4">
        <v>0.52555973</v>
      </c>
      <c r="I1923" s="4">
        <v>3</v>
      </c>
      <c r="J1923" s="4">
        <v>1.0137264100000001</v>
      </c>
      <c r="K1923" s="4"/>
      <c r="L1923" s="4"/>
      <c r="M1923" s="4"/>
      <c r="N1923" s="4"/>
      <c r="O1923" s="4"/>
      <c r="P1923" s="4"/>
      <c r="Q1923" s="4"/>
      <c r="R1923" s="4"/>
      <c r="S1923" s="4"/>
      <c r="T1923" s="4"/>
      <c r="U1923" s="4"/>
      <c r="V1923" s="4">
        <v>0.52671831999999996</v>
      </c>
      <c r="W1923" s="4">
        <v>3</v>
      </c>
      <c r="X1923" s="4">
        <v>75869.815900000001</v>
      </c>
      <c r="Y1923" s="4">
        <v>3992</v>
      </c>
      <c r="Z1923" s="4">
        <v>0.76797848000000002</v>
      </c>
      <c r="AA1923" s="4">
        <v>100</v>
      </c>
    </row>
    <row r="1924" spans="1:27" x14ac:dyDescent="0.2">
      <c r="A1924" s="4">
        <v>20</v>
      </c>
      <c r="B1924" s="4">
        <v>3</v>
      </c>
      <c r="C1924" s="4">
        <v>0.2</v>
      </c>
      <c r="D1924" s="4">
        <v>100</v>
      </c>
      <c r="E1924" s="4">
        <v>1.0490198900000001</v>
      </c>
      <c r="F1924" s="4">
        <v>3</v>
      </c>
      <c r="G1924" s="4">
        <v>27.521214000000001</v>
      </c>
      <c r="H1924" s="4">
        <v>0.95292312999999995</v>
      </c>
      <c r="I1924" s="4">
        <v>3</v>
      </c>
      <c r="J1924" s="4">
        <v>0.87375175999999999</v>
      </c>
      <c r="K1924" s="4"/>
      <c r="L1924" s="4"/>
      <c r="M1924" s="4"/>
      <c r="N1924" s="4"/>
      <c r="O1924" s="4"/>
      <c r="P1924" s="4"/>
      <c r="Q1924" s="4"/>
      <c r="R1924" s="4"/>
      <c r="S1924" s="4"/>
      <c r="T1924" s="4"/>
      <c r="U1924" s="4"/>
      <c r="V1924" s="4">
        <v>0.95474376000000005</v>
      </c>
      <c r="W1924" s="4">
        <v>3</v>
      </c>
      <c r="X1924" s="4">
        <v>76009.983999999997</v>
      </c>
      <c r="Y1924" s="4">
        <v>3684</v>
      </c>
      <c r="Z1924" s="4">
        <v>0.14882699999999999</v>
      </c>
      <c r="AA1924" s="4">
        <v>100</v>
      </c>
    </row>
    <row r="1925" spans="1:27" x14ac:dyDescent="0.2">
      <c r="A1925">
        <v>20</v>
      </c>
      <c r="B1925">
        <v>3</v>
      </c>
      <c r="C1925">
        <v>0.4</v>
      </c>
      <c r="D1925" s="4">
        <v>100</v>
      </c>
      <c r="E1925">
        <v>0.38685872971510399</v>
      </c>
      <c r="F1925">
        <v>3</v>
      </c>
      <c r="G1925">
        <v>28.261910369999999</v>
      </c>
      <c r="H1925">
        <v>0.1246127595181</v>
      </c>
      <c r="I1925">
        <v>3</v>
      </c>
      <c r="J1925">
        <v>0.68241014200000005</v>
      </c>
      <c r="P1925"/>
      <c r="V1925">
        <v>0.11642227561190301</v>
      </c>
      <c r="W1925">
        <v>3</v>
      </c>
      <c r="X1925">
        <v>78081.273731171997</v>
      </c>
      <c r="Y1925">
        <v>104225</v>
      </c>
      <c r="Z1925">
        <v>0.57649297653668297</v>
      </c>
      <c r="AA1925">
        <v>100</v>
      </c>
    </row>
    <row r="1926" spans="1:27" x14ac:dyDescent="0.2">
      <c r="A1926" s="4">
        <v>40</v>
      </c>
      <c r="B1926" s="4">
        <v>2</v>
      </c>
      <c r="C1926" s="4">
        <v>0.1</v>
      </c>
      <c r="D1926" s="4">
        <v>100</v>
      </c>
      <c r="E1926" s="4">
        <v>0.69019719999999996</v>
      </c>
      <c r="F1926" s="4">
        <v>2</v>
      </c>
      <c r="G1926" s="4">
        <v>35.555563399999997</v>
      </c>
      <c r="H1926" s="4">
        <v>0.60419453999999995</v>
      </c>
      <c r="I1926" s="4">
        <v>2</v>
      </c>
      <c r="J1926" s="4">
        <v>2.3077344499999999</v>
      </c>
      <c r="K1926" s="4"/>
      <c r="L1926" s="4"/>
      <c r="M1926" s="4"/>
      <c r="N1926" s="4"/>
      <c r="O1926" s="4"/>
      <c r="P1926" s="4"/>
      <c r="Q1926" s="4"/>
      <c r="R1926" s="4"/>
      <c r="S1926" s="4"/>
      <c r="T1926" s="4"/>
      <c r="U1926" s="4"/>
      <c r="V1926" s="4">
        <v>0.60255658000000001</v>
      </c>
      <c r="W1926" s="4">
        <v>2</v>
      </c>
      <c r="X1926" s="4">
        <v>75807.486999999994</v>
      </c>
      <c r="Y1926" s="4">
        <v>16327</v>
      </c>
      <c r="Z1926" s="4">
        <v>0.47294496000000003</v>
      </c>
      <c r="AA1926" s="4">
        <v>100</v>
      </c>
    </row>
    <row r="1927" spans="1:27" x14ac:dyDescent="0.2">
      <c r="A1927" s="4">
        <v>40</v>
      </c>
      <c r="B1927" s="4">
        <v>2</v>
      </c>
      <c r="C1927" s="4">
        <v>0.1</v>
      </c>
      <c r="D1927" s="4">
        <v>100</v>
      </c>
      <c r="E1927" s="4">
        <v>0.82961041999999996</v>
      </c>
      <c r="F1927" s="4">
        <v>2</v>
      </c>
      <c r="G1927" s="4">
        <v>30.301569099999998</v>
      </c>
      <c r="H1927" s="4">
        <v>0.76161023000000005</v>
      </c>
      <c r="I1927" s="4">
        <v>2</v>
      </c>
      <c r="J1927" s="4">
        <v>2.1989041600000001</v>
      </c>
      <c r="K1927" s="4"/>
      <c r="L1927" s="4"/>
      <c r="M1927" s="4"/>
      <c r="N1927" s="4"/>
      <c r="O1927" s="4"/>
      <c r="P1927" s="4"/>
      <c r="Q1927" s="4"/>
      <c r="R1927" s="4"/>
      <c r="S1927" s="4"/>
      <c r="T1927" s="4"/>
      <c r="U1927" s="4"/>
      <c r="V1927" s="4">
        <v>0.76302031999999997</v>
      </c>
      <c r="W1927" s="4">
        <v>2</v>
      </c>
      <c r="X1927" s="4">
        <v>76288.701400000005</v>
      </c>
      <c r="Y1927" s="4">
        <v>15270</v>
      </c>
      <c r="Z1927" s="4">
        <v>0.66231551</v>
      </c>
      <c r="AA1927" s="4">
        <v>100</v>
      </c>
    </row>
    <row r="1928" spans="1:27" x14ac:dyDescent="0.2">
      <c r="A1928" s="4">
        <v>40</v>
      </c>
      <c r="B1928" s="4">
        <v>2</v>
      </c>
      <c r="C1928" s="4">
        <v>0.1</v>
      </c>
      <c r="D1928" s="4">
        <v>100</v>
      </c>
      <c r="E1928" s="4">
        <v>0.76945174000000005</v>
      </c>
      <c r="F1928" s="4">
        <v>2</v>
      </c>
      <c r="G1928" s="4">
        <v>26.162503699999998</v>
      </c>
      <c r="H1928" s="4">
        <v>0.75887884000000005</v>
      </c>
      <c r="I1928" s="4">
        <v>2</v>
      </c>
      <c r="J1928" s="4">
        <v>2.1622525800000001</v>
      </c>
      <c r="K1928" s="4"/>
      <c r="L1928" s="4"/>
      <c r="M1928" s="4"/>
      <c r="N1928" s="4"/>
      <c r="O1928" s="4"/>
      <c r="P1928" s="4"/>
      <c r="Q1928" s="4"/>
      <c r="R1928" s="4"/>
      <c r="S1928" s="4"/>
      <c r="T1928" s="4"/>
      <c r="U1928" s="4"/>
      <c r="V1928" s="4">
        <v>0.76423516000000002</v>
      </c>
      <c r="W1928" s="4">
        <v>2</v>
      </c>
      <c r="X1928" s="4">
        <v>76034.779699999999</v>
      </c>
      <c r="Y1928" s="4">
        <v>8131</v>
      </c>
      <c r="Z1928" s="4">
        <v>0.47502791999999999</v>
      </c>
      <c r="AA1928" s="4">
        <v>100</v>
      </c>
    </row>
    <row r="1929" spans="1:27" x14ac:dyDescent="0.2">
      <c r="A1929" s="4">
        <v>40</v>
      </c>
      <c r="B1929" s="4">
        <v>2</v>
      </c>
      <c r="C1929" s="4">
        <v>0.1</v>
      </c>
      <c r="D1929" s="4">
        <v>100</v>
      </c>
      <c r="E1929" s="4">
        <v>0.96770299999999998</v>
      </c>
      <c r="F1929" s="4">
        <v>2</v>
      </c>
      <c r="G1929" s="4">
        <v>34.132365999999998</v>
      </c>
      <c r="H1929" s="4">
        <v>0.81662517000000001</v>
      </c>
      <c r="I1929" s="4">
        <v>2</v>
      </c>
      <c r="J1929" s="4">
        <v>2.2642711200000001</v>
      </c>
      <c r="K1929" s="4"/>
      <c r="L1929" s="4"/>
      <c r="M1929" s="4"/>
      <c r="N1929" s="4"/>
      <c r="O1929" s="4"/>
      <c r="P1929" s="4"/>
      <c r="Q1929" s="4"/>
      <c r="R1929" s="4"/>
      <c r="S1929" s="4"/>
      <c r="T1929" s="4"/>
      <c r="U1929" s="4"/>
      <c r="V1929" s="4">
        <v>0.82067855000000001</v>
      </c>
      <c r="W1929" s="4">
        <v>2</v>
      </c>
      <c r="X1929" s="4">
        <v>76396.770099999994</v>
      </c>
      <c r="Y1929" s="4">
        <v>9227</v>
      </c>
      <c r="Z1929" s="4">
        <v>0.28921205</v>
      </c>
      <c r="AA1929" s="4">
        <v>100</v>
      </c>
    </row>
    <row r="1930" spans="1:27" x14ac:dyDescent="0.2">
      <c r="A1930" s="4">
        <v>40</v>
      </c>
      <c r="B1930" s="4">
        <v>2</v>
      </c>
      <c r="C1930" s="4">
        <v>0.1</v>
      </c>
      <c r="D1930" s="4">
        <v>100</v>
      </c>
      <c r="E1930" s="4">
        <v>0.87309281999999999</v>
      </c>
      <c r="F1930" s="4">
        <v>2</v>
      </c>
      <c r="G1930" s="4">
        <v>41.7848866</v>
      </c>
      <c r="H1930" s="4">
        <v>0.66965991999999996</v>
      </c>
      <c r="I1930" s="4">
        <v>2</v>
      </c>
      <c r="J1930" s="4">
        <v>2.3051590499999999</v>
      </c>
      <c r="K1930" s="4"/>
      <c r="L1930" s="4"/>
      <c r="M1930" s="4"/>
      <c r="N1930" s="4"/>
      <c r="O1930" s="4"/>
      <c r="P1930" s="4"/>
      <c r="Q1930" s="4"/>
      <c r="R1930" s="4"/>
      <c r="S1930" s="4"/>
      <c r="T1930" s="4"/>
      <c r="U1930" s="4"/>
      <c r="V1930" s="4">
        <v>0.66987092000000004</v>
      </c>
      <c r="W1930" s="4">
        <v>2</v>
      </c>
      <c r="X1930" s="4">
        <v>76331.447100000005</v>
      </c>
      <c r="Y1930" s="4">
        <v>8305</v>
      </c>
      <c r="Z1930" s="4">
        <v>0.45287557000000001</v>
      </c>
      <c r="AA1930" s="4">
        <v>100</v>
      </c>
    </row>
    <row r="1931" spans="1:27" x14ac:dyDescent="0.2">
      <c r="A1931" s="4">
        <v>40</v>
      </c>
      <c r="B1931" s="4">
        <v>2</v>
      </c>
      <c r="C1931" s="4">
        <v>0.1</v>
      </c>
      <c r="D1931" s="4">
        <v>100</v>
      </c>
      <c r="E1931" s="4">
        <v>0.63882640999999996</v>
      </c>
      <c r="F1931" s="4">
        <v>2</v>
      </c>
      <c r="G1931" s="4">
        <v>37.192411</v>
      </c>
      <c r="H1931" s="4">
        <v>0.54000099000000001</v>
      </c>
      <c r="I1931" s="4">
        <v>2</v>
      </c>
      <c r="J1931" s="4">
        <v>2.2382343100000002</v>
      </c>
      <c r="K1931" s="4"/>
      <c r="L1931" s="4"/>
      <c r="M1931" s="4"/>
      <c r="N1931" s="4"/>
      <c r="O1931" s="4"/>
      <c r="P1931" s="4"/>
      <c r="Q1931" s="4"/>
      <c r="R1931" s="4"/>
      <c r="S1931" s="4"/>
      <c r="T1931" s="4"/>
      <c r="U1931" s="4"/>
      <c r="V1931" s="4">
        <v>0.53924108000000004</v>
      </c>
      <c r="W1931" s="4">
        <v>2</v>
      </c>
      <c r="X1931" s="4">
        <v>76075.381500000003</v>
      </c>
      <c r="Y1931" s="4">
        <v>20262</v>
      </c>
      <c r="Z1931" s="4">
        <v>0.56890247000000005</v>
      </c>
      <c r="AA1931" s="4">
        <v>100</v>
      </c>
    </row>
    <row r="1932" spans="1:27" x14ac:dyDescent="0.2">
      <c r="A1932" s="4">
        <v>40</v>
      </c>
      <c r="B1932" s="4">
        <v>2</v>
      </c>
      <c r="C1932" s="4">
        <v>0.1</v>
      </c>
      <c r="D1932" s="4">
        <v>100</v>
      </c>
      <c r="E1932" s="4">
        <v>0.75913039000000004</v>
      </c>
      <c r="F1932" s="4">
        <v>2</v>
      </c>
      <c r="G1932" s="4">
        <v>40.715421200000002</v>
      </c>
      <c r="H1932" s="4">
        <v>0.62884974000000005</v>
      </c>
      <c r="I1932" s="4">
        <v>2</v>
      </c>
      <c r="J1932" s="4">
        <v>2.46116679</v>
      </c>
      <c r="K1932" s="4"/>
      <c r="L1932" s="4"/>
      <c r="M1932" s="4"/>
      <c r="N1932" s="4"/>
      <c r="O1932" s="4"/>
      <c r="P1932" s="4"/>
      <c r="Q1932" s="4"/>
      <c r="R1932" s="4"/>
      <c r="S1932" s="4"/>
      <c r="T1932" s="4"/>
      <c r="U1932" s="4"/>
      <c r="V1932" s="4">
        <v>0.62885709999999995</v>
      </c>
      <c r="W1932" s="4">
        <v>2</v>
      </c>
      <c r="X1932" s="4">
        <v>76138.809099999999</v>
      </c>
      <c r="Y1932" s="4">
        <v>16713</v>
      </c>
      <c r="Z1932" s="4">
        <v>0.29589557999999999</v>
      </c>
      <c r="AA1932" s="4">
        <v>100</v>
      </c>
    </row>
    <row r="1933" spans="1:27" x14ac:dyDescent="0.2">
      <c r="A1933" s="4">
        <v>40</v>
      </c>
      <c r="B1933" s="4">
        <v>2</v>
      </c>
      <c r="C1933" s="4">
        <v>0.1</v>
      </c>
      <c r="D1933" s="4">
        <v>100</v>
      </c>
      <c r="E1933" s="4">
        <v>0.60593041000000003</v>
      </c>
      <c r="F1933" s="4">
        <v>2</v>
      </c>
      <c r="G1933" s="4">
        <v>36.023612200000002</v>
      </c>
      <c r="H1933" s="4">
        <v>0.50382283000000005</v>
      </c>
      <c r="I1933" s="4">
        <v>2</v>
      </c>
      <c r="J1933" s="4">
        <v>2.35278375</v>
      </c>
      <c r="K1933" s="4"/>
      <c r="L1933" s="4"/>
      <c r="M1933" s="4"/>
      <c r="N1933" s="4"/>
      <c r="O1933" s="4"/>
      <c r="P1933" s="4"/>
      <c r="Q1933" s="4"/>
      <c r="R1933" s="4"/>
      <c r="S1933" s="4"/>
      <c r="T1933" s="4"/>
      <c r="U1933" s="4"/>
      <c r="V1933" s="4">
        <v>0.49994812</v>
      </c>
      <c r="W1933" s="4">
        <v>2</v>
      </c>
      <c r="X1933" s="4">
        <v>75660.010999999999</v>
      </c>
      <c r="Y1933" s="4">
        <v>16882</v>
      </c>
      <c r="Z1933" s="4">
        <v>0.76160269999999997</v>
      </c>
      <c r="AA1933" s="4">
        <v>100</v>
      </c>
    </row>
    <row r="1934" spans="1:27" x14ac:dyDescent="0.2">
      <c r="A1934" s="4">
        <v>40</v>
      </c>
      <c r="B1934" s="4">
        <v>2</v>
      </c>
      <c r="C1934" s="4">
        <v>0.1</v>
      </c>
      <c r="D1934" s="4">
        <v>100</v>
      </c>
      <c r="E1934" s="4">
        <v>0.73273275000000004</v>
      </c>
      <c r="F1934" s="4">
        <v>2</v>
      </c>
      <c r="G1934" s="4">
        <v>36.974600500000001</v>
      </c>
      <c r="H1934" s="4">
        <v>0.39985757</v>
      </c>
      <c r="I1934" s="4">
        <v>2</v>
      </c>
      <c r="J1934" s="4">
        <v>2.0153948599999998</v>
      </c>
      <c r="K1934" s="4"/>
      <c r="L1934" s="4"/>
      <c r="M1934" s="4"/>
      <c r="N1934" s="4"/>
      <c r="O1934" s="4"/>
      <c r="P1934" s="4"/>
      <c r="Q1934" s="4"/>
      <c r="R1934" s="4"/>
      <c r="S1934" s="4"/>
      <c r="T1934" s="4"/>
      <c r="U1934" s="4"/>
      <c r="V1934" s="4">
        <v>0.39439592000000001</v>
      </c>
      <c r="W1934" s="4">
        <v>2</v>
      </c>
      <c r="X1934" s="4">
        <v>76103.503800000006</v>
      </c>
      <c r="Y1934" s="4">
        <v>12774</v>
      </c>
      <c r="Z1934" s="4">
        <v>0.37431341000000001</v>
      </c>
      <c r="AA1934" s="4">
        <v>100</v>
      </c>
    </row>
    <row r="1935" spans="1:27" x14ac:dyDescent="0.2">
      <c r="A1935" s="4">
        <v>40</v>
      </c>
      <c r="B1935" s="4">
        <v>2</v>
      </c>
      <c r="C1935" s="4">
        <v>0.1</v>
      </c>
      <c r="D1935" s="4">
        <v>100</v>
      </c>
      <c r="E1935" s="4">
        <v>0.74831183999999995</v>
      </c>
      <c r="F1935" s="4">
        <v>2</v>
      </c>
      <c r="G1935" s="4">
        <v>33.4535421</v>
      </c>
      <c r="H1935" s="4">
        <v>0.79036216000000004</v>
      </c>
      <c r="I1935" s="4">
        <v>2</v>
      </c>
      <c r="J1935" s="4">
        <v>2.2061166600000002</v>
      </c>
      <c r="K1935" s="4"/>
      <c r="L1935" s="4"/>
      <c r="M1935" s="4"/>
      <c r="N1935" s="4"/>
      <c r="O1935" s="4"/>
      <c r="P1935" s="4"/>
      <c r="Q1935" s="4"/>
      <c r="R1935" s="4"/>
      <c r="S1935" s="4"/>
      <c r="T1935" s="4"/>
      <c r="U1935" s="4"/>
      <c r="V1935" s="4">
        <v>0.78800499000000002</v>
      </c>
      <c r="W1935" s="4">
        <v>2</v>
      </c>
      <c r="X1935" s="4">
        <v>76013.846000000005</v>
      </c>
      <c r="Y1935" s="4">
        <v>5943</v>
      </c>
      <c r="Z1935" s="4">
        <v>0.28671152999999999</v>
      </c>
      <c r="AA1935" s="4">
        <v>100</v>
      </c>
    </row>
    <row r="1936" spans="1:27" x14ac:dyDescent="0.2">
      <c r="A1936" s="4">
        <v>40</v>
      </c>
      <c r="B1936" s="4">
        <v>2</v>
      </c>
      <c r="C1936" s="4">
        <v>0.1</v>
      </c>
      <c r="D1936" s="4">
        <v>100</v>
      </c>
      <c r="E1936" s="4">
        <v>0.54068852000000001</v>
      </c>
      <c r="F1936" s="4">
        <v>2</v>
      </c>
      <c r="G1936" s="4">
        <v>30.6668311</v>
      </c>
      <c r="H1936" s="4">
        <v>0.43071618</v>
      </c>
      <c r="I1936" s="4">
        <v>2</v>
      </c>
      <c r="J1936" s="4">
        <v>2.0613627499999998</v>
      </c>
      <c r="K1936" s="4"/>
      <c r="L1936" s="4"/>
      <c r="M1936" s="4"/>
      <c r="N1936" s="4"/>
      <c r="O1936" s="4"/>
      <c r="P1936" s="4"/>
      <c r="Q1936" s="4"/>
      <c r="R1936" s="4"/>
      <c r="S1936" s="4"/>
      <c r="T1936" s="4"/>
      <c r="U1936" s="4"/>
      <c r="V1936" s="4">
        <v>0.43068041000000001</v>
      </c>
      <c r="W1936" s="4">
        <v>2</v>
      </c>
      <c r="X1936" s="4">
        <v>75841.596000000005</v>
      </c>
      <c r="Y1936" s="4">
        <v>20341</v>
      </c>
      <c r="Z1936" s="4">
        <v>0.58147601000000004</v>
      </c>
      <c r="AA1936" s="4">
        <v>100</v>
      </c>
    </row>
    <row r="1937" spans="1:27" x14ac:dyDescent="0.2">
      <c r="A1937" s="4">
        <v>40</v>
      </c>
      <c r="B1937" s="4">
        <v>2</v>
      </c>
      <c r="C1937" s="4">
        <v>0.1</v>
      </c>
      <c r="D1937" s="4">
        <v>100</v>
      </c>
      <c r="E1937" s="4">
        <v>0.66622908000000003</v>
      </c>
      <c r="F1937" s="4">
        <v>2</v>
      </c>
      <c r="G1937" s="4">
        <v>34.964505500000001</v>
      </c>
      <c r="H1937" s="4">
        <v>0.65756119999999996</v>
      </c>
      <c r="I1937" s="4">
        <v>2</v>
      </c>
      <c r="J1937" s="4">
        <v>2.24133703</v>
      </c>
      <c r="K1937" s="4"/>
      <c r="L1937" s="4"/>
      <c r="M1937" s="4"/>
      <c r="N1937" s="4"/>
      <c r="O1937" s="4"/>
      <c r="P1937" s="4"/>
      <c r="Q1937" s="4"/>
      <c r="R1937" s="4"/>
      <c r="S1937" s="4"/>
      <c r="T1937" s="4"/>
      <c r="U1937" s="4"/>
      <c r="V1937" s="4">
        <v>0.65694911</v>
      </c>
      <c r="W1937" s="4">
        <v>2</v>
      </c>
      <c r="X1937" s="4">
        <v>76242.899799999999</v>
      </c>
      <c r="Y1937" s="4">
        <v>14598</v>
      </c>
      <c r="Z1937" s="4">
        <v>0.37090192</v>
      </c>
      <c r="AA1937" s="4">
        <v>100</v>
      </c>
    </row>
    <row r="1938" spans="1:27" x14ac:dyDescent="0.2">
      <c r="A1938" s="4">
        <v>40</v>
      </c>
      <c r="B1938" s="4">
        <v>2</v>
      </c>
      <c r="C1938" s="4">
        <v>0.1</v>
      </c>
      <c r="D1938" s="4">
        <v>100</v>
      </c>
      <c r="E1938" s="4">
        <v>1.0014465100000001</v>
      </c>
      <c r="F1938" s="4">
        <v>2</v>
      </c>
      <c r="G1938" s="4">
        <v>29.834924699999998</v>
      </c>
      <c r="H1938" s="4">
        <v>0.81809337999999998</v>
      </c>
      <c r="I1938" s="4">
        <v>2</v>
      </c>
      <c r="J1938" s="4">
        <v>1.9635520900000001</v>
      </c>
      <c r="K1938" s="4"/>
      <c r="L1938" s="4"/>
      <c r="M1938" s="4"/>
      <c r="N1938" s="4"/>
      <c r="O1938" s="4"/>
      <c r="P1938" s="4"/>
      <c r="Q1938" s="4"/>
      <c r="R1938" s="4"/>
      <c r="S1938" s="4"/>
      <c r="T1938" s="4"/>
      <c r="U1938" s="4"/>
      <c r="V1938" s="4">
        <v>0.83634158000000003</v>
      </c>
      <c r="W1938" s="4">
        <v>2</v>
      </c>
      <c r="X1938" s="4">
        <v>76052.640799999994</v>
      </c>
      <c r="Y1938" s="4">
        <v>9096</v>
      </c>
      <c r="Z1938" s="4">
        <v>0.41051890000000002</v>
      </c>
      <c r="AA1938" s="4">
        <v>100</v>
      </c>
    </row>
    <row r="1939" spans="1:27" x14ac:dyDescent="0.2">
      <c r="A1939" s="4">
        <v>40</v>
      </c>
      <c r="B1939" s="4">
        <v>2</v>
      </c>
      <c r="C1939" s="4">
        <v>0.1</v>
      </c>
      <c r="D1939" s="4">
        <v>100</v>
      </c>
      <c r="E1939" s="4">
        <v>0.95352049999999999</v>
      </c>
      <c r="F1939" s="4">
        <v>2</v>
      </c>
      <c r="G1939" s="4">
        <v>29.848135800000001</v>
      </c>
      <c r="H1939" s="4">
        <v>0.83352758000000005</v>
      </c>
      <c r="I1939" s="4">
        <v>2</v>
      </c>
      <c r="J1939" s="4">
        <v>2.0270948799999999</v>
      </c>
      <c r="K1939" s="4"/>
      <c r="L1939" s="4"/>
      <c r="M1939" s="4"/>
      <c r="N1939" s="4"/>
      <c r="O1939" s="4"/>
      <c r="P1939" s="4"/>
      <c r="Q1939" s="4"/>
      <c r="R1939" s="4"/>
      <c r="S1939" s="4"/>
      <c r="T1939" s="4"/>
      <c r="U1939" s="4"/>
      <c r="V1939" s="4">
        <v>0.83722032000000002</v>
      </c>
      <c r="W1939" s="4">
        <v>2</v>
      </c>
      <c r="X1939" s="4">
        <v>76379.692899999995</v>
      </c>
      <c r="Y1939" s="4">
        <v>8054</v>
      </c>
      <c r="Z1939" s="4">
        <v>0.64891880999999996</v>
      </c>
      <c r="AA1939" s="4">
        <v>100</v>
      </c>
    </row>
    <row r="1940" spans="1:27" x14ac:dyDescent="0.2">
      <c r="A1940" s="4">
        <v>40</v>
      </c>
      <c r="B1940" s="4">
        <v>2</v>
      </c>
      <c r="C1940" s="4">
        <v>0.4</v>
      </c>
      <c r="D1940" s="4">
        <v>100</v>
      </c>
      <c r="E1940" s="4">
        <v>1.3951089999999999E-2</v>
      </c>
      <c r="F1940" s="4">
        <v>2</v>
      </c>
      <c r="G1940" s="4">
        <v>33.794195600000002</v>
      </c>
      <c r="H1940" s="4">
        <v>1.670922E-2</v>
      </c>
      <c r="I1940" s="4">
        <v>2</v>
      </c>
      <c r="J1940" s="4">
        <v>0.37601187000000003</v>
      </c>
      <c r="K1940" s="4"/>
      <c r="L1940" s="4"/>
      <c r="M1940" s="4"/>
      <c r="N1940" s="4"/>
      <c r="O1940" s="4"/>
      <c r="P1940" s="4"/>
      <c r="Q1940" s="4"/>
      <c r="R1940" s="4"/>
      <c r="S1940" s="4"/>
      <c r="T1940" s="4"/>
      <c r="U1940" s="4"/>
      <c r="V1940" s="4">
        <v>1.0608940000000001E-2</v>
      </c>
      <c r="W1940" s="4">
        <v>2</v>
      </c>
      <c r="X1940" s="4">
        <v>75960.053599999999</v>
      </c>
      <c r="Y1940" s="4">
        <v>8296</v>
      </c>
      <c r="Z1940" s="4">
        <v>2.0575212199999999</v>
      </c>
      <c r="AA1940" s="4">
        <v>100</v>
      </c>
    </row>
    <row r="1941" spans="1:27" x14ac:dyDescent="0.2">
      <c r="A1941" s="4">
        <v>40</v>
      </c>
      <c r="B1941" s="4">
        <v>2</v>
      </c>
      <c r="C1941" s="4">
        <v>0.1</v>
      </c>
      <c r="D1941" s="4">
        <v>100</v>
      </c>
      <c r="E1941" s="4">
        <v>0.70984988000000004</v>
      </c>
      <c r="F1941" s="4">
        <v>2</v>
      </c>
      <c r="G1941" s="4">
        <v>27.3136017</v>
      </c>
      <c r="H1941" s="4">
        <v>0.44287780999999998</v>
      </c>
      <c r="I1941" s="4">
        <v>2</v>
      </c>
      <c r="J1941" s="4">
        <v>1.79470591</v>
      </c>
      <c r="K1941" s="4"/>
      <c r="L1941" s="4"/>
      <c r="M1941" s="4"/>
      <c r="N1941" s="4"/>
      <c r="O1941" s="4"/>
      <c r="P1941" s="4"/>
      <c r="Q1941" s="4"/>
      <c r="R1941" s="4"/>
      <c r="S1941" s="4"/>
      <c r="T1941" s="4"/>
      <c r="U1941" s="4"/>
      <c r="V1941" s="4">
        <v>0.43923521999999998</v>
      </c>
      <c r="W1941" s="4">
        <v>2</v>
      </c>
      <c r="X1941" s="4">
        <v>76785.671199999997</v>
      </c>
      <c r="Y1941" s="4">
        <v>17053</v>
      </c>
      <c r="Z1941" s="4">
        <v>0.46320043</v>
      </c>
      <c r="AA1941" s="4">
        <v>100</v>
      </c>
    </row>
    <row r="1942" spans="1:27" x14ac:dyDescent="0.2">
      <c r="A1942" s="4">
        <v>40</v>
      </c>
      <c r="B1942" s="4">
        <v>2</v>
      </c>
      <c r="C1942" s="4">
        <v>0.2</v>
      </c>
      <c r="D1942" s="4">
        <v>100</v>
      </c>
      <c r="E1942" s="4">
        <v>0.23248684999999999</v>
      </c>
      <c r="F1942" s="4">
        <v>2</v>
      </c>
      <c r="G1942" s="4">
        <v>37.133606700000001</v>
      </c>
      <c r="H1942" s="4">
        <v>8.9130210000000001E-2</v>
      </c>
      <c r="I1942" s="4">
        <v>2</v>
      </c>
      <c r="J1942" s="4">
        <v>1.6303977599999999</v>
      </c>
      <c r="K1942" s="4"/>
      <c r="L1942" s="4"/>
      <c r="M1942" s="4"/>
      <c r="N1942" s="4"/>
      <c r="O1942" s="4"/>
      <c r="P1942" s="4"/>
      <c r="Q1942" s="4"/>
      <c r="R1942" s="4"/>
      <c r="S1942" s="4"/>
      <c r="T1942" s="4"/>
      <c r="U1942" s="4"/>
      <c r="V1942" s="4">
        <v>7.8108399999999995E-2</v>
      </c>
      <c r="W1942" s="4">
        <v>2</v>
      </c>
      <c r="X1942" s="4">
        <v>76412.266099999993</v>
      </c>
      <c r="Y1942" s="4">
        <v>4726</v>
      </c>
      <c r="Z1942" s="4">
        <v>2.0470928800000001</v>
      </c>
      <c r="AA1942" s="4">
        <v>100</v>
      </c>
    </row>
    <row r="1943" spans="1:27" x14ac:dyDescent="0.2">
      <c r="A1943" s="4">
        <v>40</v>
      </c>
      <c r="B1943" s="4">
        <v>2</v>
      </c>
      <c r="C1943" s="4">
        <v>0.1</v>
      </c>
      <c r="D1943" s="4">
        <v>100</v>
      </c>
      <c r="E1943" s="4">
        <v>0.73667806000000002</v>
      </c>
      <c r="F1943" s="4">
        <v>2</v>
      </c>
      <c r="G1943" s="4">
        <v>32.370474600000001</v>
      </c>
      <c r="H1943" s="4">
        <v>0.59522951999999996</v>
      </c>
      <c r="I1943" s="4">
        <v>2</v>
      </c>
      <c r="J1943" s="4">
        <v>2.4045589600000001</v>
      </c>
      <c r="K1943" s="4"/>
      <c r="L1943" s="4"/>
      <c r="M1943" s="4"/>
      <c r="N1943" s="4"/>
      <c r="O1943" s="4"/>
      <c r="P1943" s="4"/>
      <c r="Q1943" s="4"/>
      <c r="R1943" s="4"/>
      <c r="S1943" s="4"/>
      <c r="T1943" s="4"/>
      <c r="U1943" s="4"/>
      <c r="V1943" s="4">
        <v>0.59339070999999999</v>
      </c>
      <c r="W1943" s="4">
        <v>2</v>
      </c>
      <c r="X1943" s="4">
        <v>76307.009399999995</v>
      </c>
      <c r="Y1943" s="4">
        <v>7093</v>
      </c>
      <c r="Z1943" s="4">
        <v>0.53112753999999995</v>
      </c>
      <c r="AA1943" s="4">
        <v>100</v>
      </c>
    </row>
    <row r="1944" spans="1:27" x14ac:dyDescent="0.2">
      <c r="A1944" s="4">
        <v>40</v>
      </c>
      <c r="B1944" s="4">
        <v>2</v>
      </c>
      <c r="C1944" s="4">
        <v>0.2</v>
      </c>
      <c r="D1944" s="4">
        <v>100</v>
      </c>
      <c r="E1944" s="4">
        <v>0.33210615999999998</v>
      </c>
      <c r="F1944" s="4">
        <v>2</v>
      </c>
      <c r="G1944" s="4">
        <v>39.140281799999997</v>
      </c>
      <c r="H1944" s="4">
        <v>0.1225174</v>
      </c>
      <c r="I1944" s="4">
        <v>2</v>
      </c>
      <c r="J1944" s="4">
        <v>1.7352988199999999</v>
      </c>
      <c r="K1944" s="4"/>
      <c r="L1944" s="4"/>
      <c r="M1944" s="4"/>
      <c r="N1944" s="4"/>
      <c r="O1944" s="4"/>
      <c r="P1944" s="4"/>
      <c r="Q1944" s="4"/>
      <c r="R1944" s="4"/>
      <c r="S1944" s="4"/>
      <c r="T1944" s="4"/>
      <c r="U1944" s="4"/>
      <c r="V1944" s="4">
        <v>0.11586755999999999</v>
      </c>
      <c r="W1944" s="4">
        <v>2</v>
      </c>
      <c r="X1944" s="4">
        <v>77064.618100000007</v>
      </c>
      <c r="Y1944" s="4">
        <v>4705</v>
      </c>
      <c r="Z1944" s="4">
        <v>1.84382175</v>
      </c>
      <c r="AA1944" s="4">
        <v>100</v>
      </c>
    </row>
    <row r="1945" spans="1:27" x14ac:dyDescent="0.2">
      <c r="A1945" s="4">
        <v>40</v>
      </c>
      <c r="B1945" s="4">
        <v>2</v>
      </c>
      <c r="C1945" s="4">
        <v>0.1</v>
      </c>
      <c r="D1945" s="4">
        <v>100</v>
      </c>
      <c r="E1945" s="4">
        <v>0.93149665000000004</v>
      </c>
      <c r="F1945" s="4">
        <v>2</v>
      </c>
      <c r="G1945" s="4">
        <v>31.3633816</v>
      </c>
      <c r="H1945" s="4">
        <v>0.93235082999999996</v>
      </c>
      <c r="I1945" s="4">
        <v>2</v>
      </c>
      <c r="J1945" s="4">
        <v>2.1009264600000002</v>
      </c>
      <c r="K1945" s="4"/>
      <c r="L1945" s="4"/>
      <c r="M1945" s="4"/>
      <c r="N1945" s="4"/>
      <c r="O1945" s="4"/>
      <c r="P1945" s="4"/>
      <c r="Q1945" s="4"/>
      <c r="R1945" s="4"/>
      <c r="S1945" s="4"/>
      <c r="T1945" s="4"/>
      <c r="U1945" s="4"/>
      <c r="V1945" s="4">
        <v>0.95929463999999998</v>
      </c>
      <c r="W1945" s="4">
        <v>2</v>
      </c>
      <c r="X1945" s="4">
        <v>76217.143800000005</v>
      </c>
      <c r="Y1945" s="4">
        <v>8694</v>
      </c>
      <c r="Z1945" s="4">
        <v>0.68918219000000003</v>
      </c>
      <c r="AA1945" s="4">
        <v>100</v>
      </c>
    </row>
    <row r="1946" spans="1:27" x14ac:dyDescent="0.2">
      <c r="A1946" s="4">
        <v>40</v>
      </c>
      <c r="B1946" s="4">
        <v>2</v>
      </c>
      <c r="C1946" s="4">
        <v>0.1</v>
      </c>
      <c r="D1946" s="4">
        <v>100</v>
      </c>
      <c r="E1946" s="4">
        <v>0.84971258000000005</v>
      </c>
      <c r="F1946" s="4">
        <v>2</v>
      </c>
      <c r="G1946" s="4">
        <v>29.470661400000001</v>
      </c>
      <c r="H1946" s="4">
        <v>0.92502837000000004</v>
      </c>
      <c r="I1946" s="4">
        <v>2</v>
      </c>
      <c r="J1946" s="4">
        <v>2.0690693800000002</v>
      </c>
      <c r="K1946" s="4"/>
      <c r="L1946" s="4"/>
      <c r="M1946" s="4"/>
      <c r="N1946" s="4"/>
      <c r="O1946" s="4"/>
      <c r="P1946" s="4"/>
      <c r="Q1946" s="4"/>
      <c r="R1946" s="4"/>
      <c r="S1946" s="4"/>
      <c r="T1946" s="4"/>
      <c r="U1946" s="4"/>
      <c r="V1946" s="4">
        <v>0.92798499000000001</v>
      </c>
      <c r="W1946" s="4">
        <v>2</v>
      </c>
      <c r="X1946" s="4">
        <v>76732.506200000003</v>
      </c>
      <c r="Y1946" s="4">
        <v>9124</v>
      </c>
      <c r="Z1946" s="4">
        <v>0.50191015000000005</v>
      </c>
      <c r="AA1946" s="4">
        <v>100</v>
      </c>
    </row>
    <row r="1947" spans="1:27" x14ac:dyDescent="0.2">
      <c r="A1947" s="4">
        <v>40</v>
      </c>
      <c r="B1947" s="4">
        <v>2</v>
      </c>
      <c r="C1947" s="4">
        <v>0.1</v>
      </c>
      <c r="D1947" s="4">
        <v>100</v>
      </c>
      <c r="E1947" s="4">
        <v>0.96128018000000004</v>
      </c>
      <c r="F1947" s="4">
        <v>2</v>
      </c>
      <c r="G1947" s="4">
        <v>31.818522099999999</v>
      </c>
      <c r="H1947" s="4">
        <v>0.86972190000000005</v>
      </c>
      <c r="I1947" s="4">
        <v>2</v>
      </c>
      <c r="J1947" s="4">
        <v>2.09108933</v>
      </c>
      <c r="K1947" s="4"/>
      <c r="L1947" s="4"/>
      <c r="M1947" s="4"/>
      <c r="N1947" s="4"/>
      <c r="O1947" s="4"/>
      <c r="P1947" s="4"/>
      <c r="Q1947" s="4"/>
      <c r="R1947" s="4"/>
      <c r="S1947" s="4"/>
      <c r="T1947" s="4"/>
      <c r="U1947" s="4"/>
      <c r="V1947" s="4">
        <v>0.87440203000000005</v>
      </c>
      <c r="W1947" s="4">
        <v>2</v>
      </c>
      <c r="X1947" s="4">
        <v>76082.224499999997</v>
      </c>
      <c r="Y1947" s="4">
        <v>10818</v>
      </c>
      <c r="Z1947" s="4">
        <v>0.49375267</v>
      </c>
      <c r="AA1947" s="4">
        <v>100</v>
      </c>
    </row>
    <row r="1948" spans="1:27" x14ac:dyDescent="0.2">
      <c r="A1948" s="4">
        <v>10</v>
      </c>
      <c r="B1948" s="4">
        <v>3</v>
      </c>
      <c r="C1948" s="4">
        <v>0.1</v>
      </c>
      <c r="D1948" s="4">
        <v>20</v>
      </c>
      <c r="E1948" s="4">
        <v>0.96424156999999999</v>
      </c>
      <c r="F1948" s="4">
        <v>3</v>
      </c>
      <c r="G1948" s="4">
        <v>29.229606499999999</v>
      </c>
      <c r="H1948" s="4">
        <v>0.96670637999999998</v>
      </c>
      <c r="I1948" s="4">
        <v>3</v>
      </c>
      <c r="J1948" s="4">
        <v>6.399349E-2</v>
      </c>
      <c r="K1948" s="4"/>
      <c r="L1948" s="4"/>
      <c r="M1948" s="4"/>
      <c r="N1948" s="4"/>
      <c r="O1948" s="4"/>
      <c r="P1948" s="4"/>
      <c r="Q1948" s="4"/>
      <c r="R1948" s="4"/>
      <c r="S1948" s="4"/>
      <c r="T1948" s="4"/>
      <c r="U1948" s="4"/>
      <c r="V1948" s="4">
        <v>1.0293339500000001</v>
      </c>
      <c r="W1948" s="4">
        <v>3</v>
      </c>
      <c r="X1948" s="4">
        <v>75361.825700000001</v>
      </c>
      <c r="Y1948" s="4">
        <v>770116</v>
      </c>
      <c r="Z1948" s="4">
        <v>1.625805E-2</v>
      </c>
      <c r="AA1948" s="4">
        <v>100</v>
      </c>
    </row>
    <row r="1949" spans="1:27" x14ac:dyDescent="0.2">
      <c r="A1949" s="4">
        <v>10</v>
      </c>
      <c r="B1949" s="4">
        <v>3</v>
      </c>
      <c r="C1949" s="4">
        <v>0.3</v>
      </c>
      <c r="D1949" s="4">
        <v>20</v>
      </c>
      <c r="E1949" s="4">
        <v>1.02249547</v>
      </c>
      <c r="F1949" s="4">
        <v>3</v>
      </c>
      <c r="G1949" s="4">
        <v>30.388934299999999</v>
      </c>
      <c r="H1949" s="4">
        <v>0.95959930000000004</v>
      </c>
      <c r="I1949" s="4">
        <v>3</v>
      </c>
      <c r="J1949" s="4">
        <v>0.41435895</v>
      </c>
      <c r="K1949" s="4"/>
      <c r="L1949" s="4"/>
      <c r="M1949" s="4"/>
      <c r="N1949" s="4"/>
      <c r="O1949" s="4"/>
      <c r="P1949" s="4"/>
      <c r="Q1949" s="4"/>
      <c r="R1949" s="4"/>
      <c r="S1949" s="4"/>
      <c r="T1949" s="4"/>
      <c r="U1949" s="4"/>
      <c r="V1949" s="4">
        <v>0.96678830000000004</v>
      </c>
      <c r="W1949" s="4">
        <v>3</v>
      </c>
      <c r="X1949" s="4">
        <v>75837.555500000002</v>
      </c>
      <c r="Y1949" s="4">
        <v>446574</v>
      </c>
      <c r="Z1949" s="4">
        <v>0.11073338000000001</v>
      </c>
      <c r="AA1949" s="4">
        <v>100</v>
      </c>
    </row>
    <row r="1950" spans="1:27" x14ac:dyDescent="0.2">
      <c r="A1950" s="4">
        <v>10</v>
      </c>
      <c r="B1950" s="4">
        <v>3</v>
      </c>
      <c r="C1950" s="4">
        <v>0.4</v>
      </c>
      <c r="D1950" s="4">
        <v>20</v>
      </c>
      <c r="E1950" s="4">
        <v>0.67891851999999997</v>
      </c>
      <c r="F1950" s="4">
        <v>3</v>
      </c>
      <c r="G1950" s="4">
        <v>30.017392099999999</v>
      </c>
      <c r="H1950" s="4">
        <v>0.85374278000000003</v>
      </c>
      <c r="I1950" s="4">
        <v>3</v>
      </c>
      <c r="J1950" s="4">
        <v>0.39493506</v>
      </c>
      <c r="K1950" s="4"/>
      <c r="L1950" s="4"/>
      <c r="M1950" s="4"/>
      <c r="N1950" s="4"/>
      <c r="O1950" s="4"/>
      <c r="P1950" s="4"/>
      <c r="Q1950" s="4"/>
      <c r="R1950" s="4"/>
      <c r="S1950" s="4"/>
      <c r="T1950" s="4"/>
      <c r="U1950" s="4"/>
      <c r="V1950" s="4">
        <v>0.68179014000000004</v>
      </c>
      <c r="W1950" s="4">
        <v>3</v>
      </c>
      <c r="X1950" s="4">
        <v>75375.604699999996</v>
      </c>
      <c r="Y1950" s="4">
        <v>481266</v>
      </c>
      <c r="Z1950" s="4">
        <v>0.69983326000000001</v>
      </c>
      <c r="AA1950" s="4">
        <v>100</v>
      </c>
    </row>
    <row r="1951" spans="1:27" x14ac:dyDescent="0.2">
      <c r="A1951" s="4">
        <v>30</v>
      </c>
      <c r="B1951" s="4">
        <v>3</v>
      </c>
      <c r="C1951" s="4">
        <v>0.2</v>
      </c>
      <c r="D1951" s="4">
        <v>20</v>
      </c>
      <c r="E1951" s="4">
        <v>0.78183592999999996</v>
      </c>
      <c r="F1951" s="4">
        <v>3</v>
      </c>
      <c r="G1951" s="4">
        <v>38.067036700000003</v>
      </c>
      <c r="H1951" s="4">
        <v>0.80946903999999997</v>
      </c>
      <c r="I1951" s="4">
        <v>3</v>
      </c>
      <c r="J1951" s="4">
        <v>2.03529882</v>
      </c>
      <c r="K1951" s="4"/>
      <c r="L1951" s="4"/>
      <c r="M1951" s="4"/>
      <c r="N1951" s="4"/>
      <c r="O1951" s="4"/>
      <c r="P1951" s="4"/>
      <c r="Q1951" s="4"/>
      <c r="R1951" s="4"/>
      <c r="S1951" s="4"/>
      <c r="T1951" s="4"/>
      <c r="U1951" s="4"/>
      <c r="V1951" s="4">
        <v>0.81572423999999999</v>
      </c>
      <c r="W1951" s="4">
        <v>3</v>
      </c>
      <c r="X1951" s="4">
        <v>78367.780199999994</v>
      </c>
      <c r="Y1951" s="4">
        <v>2736</v>
      </c>
      <c r="Z1951" s="4">
        <v>3.64450838</v>
      </c>
      <c r="AA1951" s="4">
        <v>100</v>
      </c>
    </row>
    <row r="1952" spans="1:27" x14ac:dyDescent="0.2">
      <c r="A1952" s="4">
        <v>10</v>
      </c>
      <c r="B1952" s="4">
        <v>3</v>
      </c>
      <c r="C1952" s="4">
        <v>0.1</v>
      </c>
      <c r="D1952" s="4">
        <v>20</v>
      </c>
      <c r="E1952" s="4">
        <v>0.92146598999999996</v>
      </c>
      <c r="F1952" s="4">
        <v>3</v>
      </c>
      <c r="G1952" s="4">
        <v>31.8373575</v>
      </c>
      <c r="H1952" s="4">
        <v>0.91902349999999999</v>
      </c>
      <c r="I1952" s="4">
        <v>3</v>
      </c>
      <c r="J1952" s="4">
        <v>0.18128425000000001</v>
      </c>
      <c r="K1952" s="4"/>
      <c r="L1952" s="4"/>
      <c r="M1952" s="4"/>
      <c r="N1952" s="4"/>
      <c r="O1952" s="4"/>
      <c r="P1952" s="4"/>
      <c r="Q1952" s="4"/>
      <c r="R1952" s="4"/>
      <c r="S1952" s="4"/>
      <c r="T1952" s="4"/>
      <c r="U1952" s="4"/>
      <c r="V1952" s="4">
        <v>0.91903219999999997</v>
      </c>
      <c r="W1952" s="4">
        <v>3</v>
      </c>
      <c r="X1952" s="4">
        <v>75064.474100000007</v>
      </c>
      <c r="Y1952" s="4">
        <v>743525</v>
      </c>
      <c r="Z1952" s="4">
        <v>1.15014E-2</v>
      </c>
      <c r="AA1952" s="4">
        <v>100</v>
      </c>
    </row>
    <row r="1953" spans="1:27" x14ac:dyDescent="0.2">
      <c r="A1953" s="4">
        <v>10</v>
      </c>
      <c r="B1953" s="4">
        <v>3</v>
      </c>
      <c r="C1953" s="4">
        <v>0.4</v>
      </c>
      <c r="D1953" s="4">
        <v>20</v>
      </c>
      <c r="E1953" s="4">
        <v>0.78426978999999997</v>
      </c>
      <c r="F1953" s="4">
        <v>3</v>
      </c>
      <c r="G1953" s="4">
        <v>28.848054699999999</v>
      </c>
      <c r="H1953" s="4">
        <v>0.77520765000000003</v>
      </c>
      <c r="I1953" s="4">
        <v>3</v>
      </c>
      <c r="J1953" s="4">
        <v>0.12191212999999999</v>
      </c>
      <c r="K1953" s="4"/>
      <c r="L1953" s="4"/>
      <c r="M1953" s="4"/>
      <c r="N1953" s="4"/>
      <c r="O1953" s="4"/>
      <c r="P1953" s="4"/>
      <c r="Q1953" s="4"/>
      <c r="R1953" s="4"/>
      <c r="S1953" s="4"/>
      <c r="T1953" s="4"/>
      <c r="U1953" s="4"/>
      <c r="V1953" s="4">
        <v>0.78542160000000005</v>
      </c>
      <c r="W1953" s="4">
        <v>3</v>
      </c>
      <c r="X1953" s="4">
        <v>75486.858300000007</v>
      </c>
      <c r="Y1953" s="4">
        <v>377094</v>
      </c>
      <c r="Z1953" s="4">
        <v>0.38770884999999999</v>
      </c>
      <c r="AA1953" s="4">
        <v>100</v>
      </c>
    </row>
    <row r="1954" spans="1:27" x14ac:dyDescent="0.2">
      <c r="A1954" s="4">
        <v>10</v>
      </c>
      <c r="B1954" s="4">
        <v>3</v>
      </c>
      <c r="C1954" s="4">
        <v>0.3</v>
      </c>
      <c r="D1954" s="4">
        <v>20</v>
      </c>
      <c r="E1954" s="4">
        <v>0.83700525999999997</v>
      </c>
      <c r="F1954" s="4">
        <v>3</v>
      </c>
      <c r="G1954" s="4">
        <v>28.709542899999999</v>
      </c>
      <c r="H1954" s="4">
        <v>0.81310260000000001</v>
      </c>
      <c r="I1954" s="4">
        <v>3</v>
      </c>
      <c r="J1954" s="4">
        <v>0.32039528</v>
      </c>
      <c r="K1954" s="4"/>
      <c r="L1954" s="4"/>
      <c r="M1954" s="4"/>
      <c r="N1954" s="4"/>
      <c r="O1954" s="4"/>
      <c r="P1954" s="4"/>
      <c r="Q1954" s="4"/>
      <c r="R1954" s="4"/>
      <c r="S1954" s="4"/>
      <c r="T1954" s="4"/>
      <c r="U1954" s="4"/>
      <c r="V1954" s="4">
        <v>0.81357972999999995</v>
      </c>
      <c r="W1954" s="4">
        <v>3</v>
      </c>
      <c r="X1954" s="4">
        <v>75563.251099999994</v>
      </c>
      <c r="Y1954" s="4">
        <v>413756</v>
      </c>
      <c r="Z1954" s="4">
        <v>0.25166687999999998</v>
      </c>
      <c r="AA1954" s="4">
        <v>100</v>
      </c>
    </row>
    <row r="1955" spans="1:27" x14ac:dyDescent="0.2">
      <c r="A1955" s="4">
        <v>10</v>
      </c>
      <c r="B1955" s="4">
        <v>3</v>
      </c>
      <c r="C1955" s="4">
        <v>0.2</v>
      </c>
      <c r="D1955" s="4">
        <v>20</v>
      </c>
      <c r="E1955" s="4">
        <v>0.81232453999999998</v>
      </c>
      <c r="F1955" s="4">
        <v>3</v>
      </c>
      <c r="G1955" s="4">
        <v>41.678978700000002</v>
      </c>
      <c r="H1955" s="4">
        <v>0.81160608999999995</v>
      </c>
      <c r="I1955" s="4">
        <v>3</v>
      </c>
      <c r="J1955" s="4">
        <v>0.41368472000000001</v>
      </c>
      <c r="K1955" s="4"/>
      <c r="L1955" s="4"/>
      <c r="M1955" s="4"/>
      <c r="N1955" s="4"/>
      <c r="O1955" s="4"/>
      <c r="P1955" s="4"/>
      <c r="Q1955" s="4"/>
      <c r="R1955" s="4"/>
      <c r="S1955" s="4"/>
      <c r="T1955" s="4"/>
      <c r="U1955" s="4"/>
      <c r="V1955" s="4">
        <v>0.81174089000000005</v>
      </c>
      <c r="W1955" s="4">
        <v>3</v>
      </c>
      <c r="X1955" s="4">
        <v>75059.8943</v>
      </c>
      <c r="Y1955" s="4">
        <v>433233</v>
      </c>
      <c r="Z1955" s="4">
        <v>0.37460925</v>
      </c>
      <c r="AA1955" s="4">
        <v>100</v>
      </c>
    </row>
    <row r="1956" spans="1:27" x14ac:dyDescent="0.2">
      <c r="A1956" s="4">
        <v>10</v>
      </c>
      <c r="B1956" s="4">
        <v>3</v>
      </c>
      <c r="C1956" s="4">
        <v>0.3</v>
      </c>
      <c r="D1956" s="4">
        <v>20</v>
      </c>
      <c r="E1956" s="4">
        <v>0.91758417000000003</v>
      </c>
      <c r="F1956" s="4">
        <v>3</v>
      </c>
      <c r="G1956" s="4">
        <v>33.010437799999998</v>
      </c>
      <c r="H1956" s="4">
        <v>0.91971267999999995</v>
      </c>
      <c r="I1956" s="4">
        <v>3</v>
      </c>
      <c r="J1956" s="4">
        <v>0.2282525</v>
      </c>
      <c r="K1956" s="4"/>
      <c r="L1956" s="4"/>
      <c r="M1956" s="4"/>
      <c r="N1956" s="4"/>
      <c r="O1956" s="4"/>
      <c r="P1956" s="4"/>
      <c r="Q1956" s="4"/>
      <c r="R1956" s="4"/>
      <c r="S1956" s="4"/>
      <c r="T1956" s="4"/>
      <c r="U1956" s="4"/>
      <c r="V1956" s="4">
        <v>0.92114220000000002</v>
      </c>
      <c r="W1956" s="4">
        <v>3</v>
      </c>
      <c r="X1956" s="4">
        <v>75488.732199999999</v>
      </c>
      <c r="Y1956" s="4">
        <v>466977</v>
      </c>
      <c r="Z1956" s="4">
        <v>4.7142509999999999E-2</v>
      </c>
      <c r="AA1956" s="4">
        <v>100</v>
      </c>
    </row>
    <row r="1957" spans="1:27" x14ac:dyDescent="0.2">
      <c r="A1957" s="4">
        <v>10</v>
      </c>
      <c r="B1957" s="4">
        <v>3</v>
      </c>
      <c r="C1957" s="4">
        <v>0.4</v>
      </c>
      <c r="D1957" s="4">
        <v>20</v>
      </c>
      <c r="E1957" s="4">
        <v>0.62485891999999998</v>
      </c>
      <c r="F1957" s="4">
        <v>3</v>
      </c>
      <c r="G1957" s="4">
        <v>29.334031</v>
      </c>
      <c r="H1957" s="4">
        <v>0.63352651999999998</v>
      </c>
      <c r="I1957" s="4">
        <v>3</v>
      </c>
      <c r="J1957" s="4">
        <v>0.33465244</v>
      </c>
      <c r="K1957" s="4"/>
      <c r="L1957" s="4"/>
      <c r="M1957" s="4"/>
      <c r="N1957" s="4"/>
      <c r="O1957" s="4"/>
      <c r="P1957" s="4"/>
      <c r="Q1957" s="4"/>
      <c r="R1957" s="4"/>
      <c r="S1957" s="4"/>
      <c r="T1957" s="4"/>
      <c r="U1957" s="4"/>
      <c r="V1957" s="4">
        <v>0.63389381</v>
      </c>
      <c r="W1957" s="4">
        <v>3</v>
      </c>
      <c r="X1957" s="4">
        <v>75164.846999999994</v>
      </c>
      <c r="Y1957" s="4">
        <v>488771</v>
      </c>
      <c r="Z1957" s="4">
        <v>0.33221806999999998</v>
      </c>
      <c r="AA1957" s="4">
        <v>100</v>
      </c>
    </row>
    <row r="1958" spans="1:27" x14ac:dyDescent="0.2">
      <c r="A1958" s="4">
        <v>10</v>
      </c>
      <c r="B1958" s="4">
        <v>3</v>
      </c>
      <c r="C1958" s="4">
        <v>0.3</v>
      </c>
      <c r="D1958" s="4">
        <v>20</v>
      </c>
      <c r="E1958" s="4">
        <v>0.79165927000000003</v>
      </c>
      <c r="F1958" s="4">
        <v>3</v>
      </c>
      <c r="G1958" s="4">
        <v>31.343340600000001</v>
      </c>
      <c r="H1958" s="4">
        <v>0.78397733000000003</v>
      </c>
      <c r="I1958" s="4">
        <v>3</v>
      </c>
      <c r="J1958" s="4">
        <v>0.21910985999999999</v>
      </c>
      <c r="K1958" s="4"/>
      <c r="L1958" s="4"/>
      <c r="M1958" s="4"/>
      <c r="N1958" s="4"/>
      <c r="O1958" s="4"/>
      <c r="P1958" s="4"/>
      <c r="Q1958" s="4"/>
      <c r="R1958" s="4"/>
      <c r="S1958" s="4"/>
      <c r="T1958" s="4"/>
      <c r="U1958" s="4"/>
      <c r="V1958" s="4">
        <v>0.78696124999999995</v>
      </c>
      <c r="W1958" s="4">
        <v>3</v>
      </c>
      <c r="X1958" s="4">
        <v>75072.939100000003</v>
      </c>
      <c r="Y1958" s="4">
        <v>393387</v>
      </c>
      <c r="Z1958" s="4">
        <v>0.36681745999999998</v>
      </c>
      <c r="AA1958" s="4">
        <v>100</v>
      </c>
    </row>
    <row r="1959" spans="1:27" x14ac:dyDescent="0.2">
      <c r="A1959" s="4">
        <v>10</v>
      </c>
      <c r="B1959" s="4">
        <v>3</v>
      </c>
      <c r="C1959" s="4">
        <v>0.1</v>
      </c>
      <c r="D1959" s="4">
        <v>20</v>
      </c>
      <c r="E1959" s="4">
        <v>0.95598072000000001</v>
      </c>
      <c r="F1959" s="4">
        <v>3</v>
      </c>
      <c r="G1959" s="4">
        <v>30.973362600000002</v>
      </c>
      <c r="H1959" s="4">
        <v>0.95597542000000002</v>
      </c>
      <c r="I1959" s="4">
        <v>3</v>
      </c>
      <c r="J1959" s="4">
        <v>4.8787110000000002E-2</v>
      </c>
      <c r="K1959" s="4"/>
      <c r="L1959" s="4"/>
      <c r="M1959" s="4"/>
      <c r="N1959" s="4"/>
      <c r="O1959" s="4"/>
      <c r="P1959" s="4"/>
      <c r="Q1959" s="4"/>
      <c r="R1959" s="4"/>
      <c r="S1959" s="4"/>
      <c r="T1959" s="4"/>
      <c r="U1959" s="4"/>
      <c r="V1959" s="4">
        <v>0.94617404999999999</v>
      </c>
      <c r="W1959" s="4">
        <v>3</v>
      </c>
      <c r="X1959" s="4">
        <v>75388.732799999998</v>
      </c>
      <c r="Y1959" s="4">
        <v>722165</v>
      </c>
      <c r="Z1959" s="4">
        <v>7.0159999999999997E-3</v>
      </c>
      <c r="AA1959" s="4">
        <v>100</v>
      </c>
    </row>
    <row r="1960" spans="1:27" x14ac:dyDescent="0.2">
      <c r="A1960" s="4">
        <v>10</v>
      </c>
      <c r="B1960" s="4">
        <v>3</v>
      </c>
      <c r="C1960" s="4">
        <v>0.2</v>
      </c>
      <c r="D1960" s="4">
        <v>20</v>
      </c>
      <c r="E1960" s="4">
        <v>0.95216202999999999</v>
      </c>
      <c r="F1960" s="4">
        <v>3</v>
      </c>
      <c r="G1960" s="4">
        <v>29.263651400000001</v>
      </c>
      <c r="H1960" s="4">
        <v>0.95135652000000004</v>
      </c>
      <c r="I1960" s="4">
        <v>3</v>
      </c>
      <c r="J1960" s="4">
        <v>0.14384711</v>
      </c>
      <c r="K1960" s="4"/>
      <c r="L1960" s="4"/>
      <c r="M1960" s="4"/>
      <c r="N1960" s="4"/>
      <c r="O1960" s="4"/>
      <c r="P1960" s="4"/>
      <c r="Q1960" s="4"/>
      <c r="R1960" s="4"/>
      <c r="S1960" s="4"/>
      <c r="T1960" s="4"/>
      <c r="U1960" s="4"/>
      <c r="V1960" s="4">
        <v>0.97814736999999996</v>
      </c>
      <c r="W1960" s="4">
        <v>3</v>
      </c>
      <c r="X1960" s="4">
        <v>75680.327900000004</v>
      </c>
      <c r="Y1960" s="4">
        <v>371214</v>
      </c>
      <c r="Z1960" s="4">
        <v>1.497863E-2</v>
      </c>
      <c r="AA1960" s="4">
        <v>100</v>
      </c>
    </row>
    <row r="1961" spans="1:27" x14ac:dyDescent="0.2">
      <c r="A1961" s="4">
        <v>10</v>
      </c>
      <c r="B1961" s="4">
        <v>3</v>
      </c>
      <c r="C1961" s="4">
        <v>0.4</v>
      </c>
      <c r="D1961" s="4">
        <v>20</v>
      </c>
      <c r="E1961" s="4">
        <v>0.78888917000000003</v>
      </c>
      <c r="F1961" s="4">
        <v>3</v>
      </c>
      <c r="G1961" s="4">
        <v>30.960910399999999</v>
      </c>
      <c r="H1961" s="4">
        <v>0.79904491</v>
      </c>
      <c r="I1961" s="4">
        <v>3</v>
      </c>
      <c r="J1961" s="4">
        <v>0.31163839999999998</v>
      </c>
      <c r="K1961" s="4"/>
      <c r="L1961" s="4"/>
      <c r="M1961" s="4"/>
      <c r="N1961" s="4"/>
      <c r="O1961" s="4"/>
      <c r="P1961" s="4"/>
      <c r="Q1961" s="4"/>
      <c r="R1961" s="4"/>
      <c r="S1961" s="4"/>
      <c r="T1961" s="4"/>
      <c r="U1961" s="4"/>
      <c r="V1961" s="4">
        <v>0.80129992000000005</v>
      </c>
      <c r="W1961" s="4">
        <v>3</v>
      </c>
      <c r="X1961" s="4">
        <v>75671.218800000002</v>
      </c>
      <c r="Y1961" s="4">
        <v>407181</v>
      </c>
      <c r="Z1961" s="4">
        <v>0.54738385000000001</v>
      </c>
      <c r="AA1961" s="4">
        <v>100</v>
      </c>
    </row>
    <row r="1962" spans="1:27" x14ac:dyDescent="0.2">
      <c r="A1962" s="4">
        <v>10</v>
      </c>
      <c r="B1962" s="4">
        <v>3</v>
      </c>
      <c r="C1962" s="4">
        <v>0.1</v>
      </c>
      <c r="D1962" s="4">
        <v>20</v>
      </c>
      <c r="E1962" s="4">
        <v>0.98845930000000004</v>
      </c>
      <c r="F1962" s="4">
        <v>3</v>
      </c>
      <c r="G1962" s="4">
        <v>35.8914185</v>
      </c>
      <c r="H1962" s="4">
        <v>0.98805920999999997</v>
      </c>
      <c r="I1962" s="4">
        <v>3</v>
      </c>
      <c r="J1962" s="4">
        <v>7.5877420000000001E-2</v>
      </c>
      <c r="K1962" s="4"/>
      <c r="L1962" s="4"/>
      <c r="M1962" s="4"/>
      <c r="N1962" s="4"/>
      <c r="O1962" s="4"/>
      <c r="P1962" s="4"/>
      <c r="Q1962" s="4"/>
      <c r="R1962" s="4"/>
      <c r="S1962" s="4"/>
      <c r="T1962" s="4"/>
      <c r="U1962" s="4"/>
      <c r="V1962" s="4">
        <v>0.96339622000000003</v>
      </c>
      <c r="W1962" s="4">
        <v>3</v>
      </c>
      <c r="X1962" s="4">
        <v>75362.313899999994</v>
      </c>
      <c r="Y1962" s="4">
        <v>583894</v>
      </c>
      <c r="Z1962" s="4">
        <v>1.3085289999999999E-2</v>
      </c>
      <c r="AA1962" s="4">
        <v>100</v>
      </c>
    </row>
    <row r="1963" spans="1:27" x14ac:dyDescent="0.2">
      <c r="A1963" s="4">
        <v>10</v>
      </c>
      <c r="B1963" s="4">
        <v>3</v>
      </c>
      <c r="C1963" s="4">
        <v>0.2</v>
      </c>
      <c r="D1963" s="4">
        <v>20</v>
      </c>
      <c r="E1963" s="4">
        <v>0.86242635000000001</v>
      </c>
      <c r="F1963" s="4">
        <v>3</v>
      </c>
      <c r="G1963" s="4">
        <v>35.152881000000001</v>
      </c>
      <c r="H1963" s="4">
        <v>0.88758292000000005</v>
      </c>
      <c r="I1963" s="4">
        <v>3</v>
      </c>
      <c r="J1963" s="4">
        <v>0.33426820000000002</v>
      </c>
      <c r="K1963" s="4"/>
      <c r="L1963" s="4"/>
      <c r="M1963" s="4"/>
      <c r="N1963" s="4"/>
      <c r="O1963" s="4"/>
      <c r="P1963" s="4"/>
      <c r="Q1963" s="4"/>
      <c r="R1963" s="4"/>
      <c r="S1963" s="4"/>
      <c r="T1963" s="4"/>
      <c r="U1963" s="4"/>
      <c r="V1963" s="4">
        <v>0.88955576999999997</v>
      </c>
      <c r="W1963" s="4">
        <v>3</v>
      </c>
      <c r="X1963" s="4">
        <v>75221.138500000001</v>
      </c>
      <c r="Y1963" s="4">
        <v>434176</v>
      </c>
      <c r="Z1963" s="4">
        <v>0.19897026000000001</v>
      </c>
      <c r="AA1963" s="4">
        <v>100</v>
      </c>
    </row>
    <row r="1964" spans="1:27" x14ac:dyDescent="0.2">
      <c r="A1964" s="4">
        <v>10</v>
      </c>
      <c r="B1964" s="4">
        <v>3</v>
      </c>
      <c r="C1964" s="4">
        <v>0.2</v>
      </c>
      <c r="D1964" s="4">
        <v>20</v>
      </c>
      <c r="E1964" s="4">
        <v>0.77548320999999998</v>
      </c>
      <c r="F1964" s="4">
        <v>3</v>
      </c>
      <c r="G1964" s="4">
        <v>31.069434099999999</v>
      </c>
      <c r="H1964" s="4">
        <v>0.78557511000000002</v>
      </c>
      <c r="I1964" s="4">
        <v>3</v>
      </c>
      <c r="J1964" s="4">
        <v>0.39268059999999999</v>
      </c>
      <c r="K1964" s="4"/>
      <c r="L1964" s="4"/>
      <c r="M1964" s="4"/>
      <c r="N1964" s="4"/>
      <c r="O1964" s="4"/>
      <c r="P1964" s="4"/>
      <c r="Q1964" s="4"/>
      <c r="R1964" s="4"/>
      <c r="S1964" s="4"/>
      <c r="T1964" s="4"/>
      <c r="U1964" s="4"/>
      <c r="V1964" s="4">
        <v>0.83879309999999996</v>
      </c>
      <c r="W1964" s="4">
        <v>3</v>
      </c>
      <c r="X1964" s="4">
        <v>75104.979900000006</v>
      </c>
      <c r="Y1964" s="4">
        <v>536653</v>
      </c>
      <c r="Z1964" s="4">
        <v>0.28970686000000001</v>
      </c>
      <c r="AA1964" s="4">
        <v>100</v>
      </c>
    </row>
    <row r="1965" spans="1:27" x14ac:dyDescent="0.2">
      <c r="A1965" s="4">
        <v>10</v>
      </c>
      <c r="B1965" s="4">
        <v>3</v>
      </c>
      <c r="C1965" s="4">
        <v>0.3</v>
      </c>
      <c r="D1965" s="4">
        <v>20</v>
      </c>
      <c r="E1965" s="4">
        <v>0.81457425999999999</v>
      </c>
      <c r="F1965" s="4">
        <v>3</v>
      </c>
      <c r="G1965" s="4">
        <v>36.319209000000001</v>
      </c>
      <c r="H1965" s="4">
        <v>0.81278406999999997</v>
      </c>
      <c r="I1965" s="4">
        <v>3</v>
      </c>
      <c r="J1965" s="4">
        <v>0.25365713000000001</v>
      </c>
      <c r="K1965" s="4"/>
      <c r="L1965" s="4"/>
      <c r="M1965" s="4"/>
      <c r="N1965" s="4"/>
      <c r="O1965" s="4"/>
      <c r="P1965" s="4"/>
      <c r="Q1965" s="4"/>
      <c r="R1965" s="4"/>
      <c r="S1965" s="4"/>
      <c r="T1965" s="4"/>
      <c r="U1965" s="4"/>
      <c r="V1965" s="4">
        <v>0.81471760999999998</v>
      </c>
      <c r="W1965" s="4">
        <v>3</v>
      </c>
      <c r="X1965" s="4">
        <v>75412.205600000001</v>
      </c>
      <c r="Y1965" s="4">
        <v>458852</v>
      </c>
      <c r="Z1965" s="4">
        <v>6.4219929999999995E-2</v>
      </c>
      <c r="AA1965" s="4">
        <v>100</v>
      </c>
    </row>
    <row r="1966" spans="1:27" x14ac:dyDescent="0.2">
      <c r="A1966" s="4">
        <v>10</v>
      </c>
      <c r="B1966" s="4">
        <v>3</v>
      </c>
      <c r="C1966" s="4">
        <v>0.3</v>
      </c>
      <c r="D1966" s="4">
        <v>20</v>
      </c>
      <c r="E1966" s="4">
        <v>0.87355994000000003</v>
      </c>
      <c r="F1966" s="4">
        <v>3</v>
      </c>
      <c r="G1966" s="4">
        <v>28.5612399</v>
      </c>
      <c r="H1966" s="4">
        <v>0.88597398000000005</v>
      </c>
      <c r="I1966" s="4">
        <v>3</v>
      </c>
      <c r="J1966" s="4">
        <v>0.11096984</v>
      </c>
      <c r="K1966" s="4"/>
      <c r="L1966" s="4"/>
      <c r="M1966" s="4"/>
      <c r="N1966" s="4"/>
      <c r="O1966" s="4"/>
      <c r="P1966" s="4"/>
      <c r="Q1966" s="4"/>
      <c r="R1966" s="4"/>
      <c r="S1966" s="4"/>
      <c r="T1966" s="4"/>
      <c r="U1966" s="4"/>
      <c r="V1966" s="4">
        <v>0.88904183000000003</v>
      </c>
      <c r="W1966" s="4">
        <v>3</v>
      </c>
      <c r="X1966" s="4">
        <v>75933.029599999994</v>
      </c>
      <c r="Y1966" s="4">
        <v>417440</v>
      </c>
      <c r="Z1966" s="4">
        <v>0.29144927999999998</v>
      </c>
      <c r="AA1966" s="4">
        <v>100</v>
      </c>
    </row>
    <row r="1967" spans="1:27" x14ac:dyDescent="0.2">
      <c r="A1967" s="4">
        <v>10</v>
      </c>
      <c r="B1967" s="4">
        <v>3</v>
      </c>
      <c r="C1967" s="4">
        <v>0.4</v>
      </c>
      <c r="D1967" s="4">
        <v>20</v>
      </c>
      <c r="E1967" s="4">
        <v>0.72648447999999999</v>
      </c>
      <c r="F1967" s="4">
        <v>3</v>
      </c>
      <c r="G1967" s="4">
        <v>36.475133599999999</v>
      </c>
      <c r="H1967" s="4">
        <v>0.63662642999999997</v>
      </c>
      <c r="I1967" s="4">
        <v>3</v>
      </c>
      <c r="J1967" s="4">
        <v>0.61270751999999995</v>
      </c>
      <c r="K1967" s="4"/>
      <c r="L1967" s="4"/>
      <c r="M1967" s="4"/>
      <c r="N1967" s="4"/>
      <c r="O1967" s="4"/>
      <c r="P1967" s="4"/>
      <c r="Q1967" s="4"/>
      <c r="R1967" s="4"/>
      <c r="S1967" s="4"/>
      <c r="T1967" s="4"/>
      <c r="U1967" s="4"/>
      <c r="V1967" s="4">
        <v>0.63571197000000002</v>
      </c>
      <c r="W1967" s="4">
        <v>3</v>
      </c>
      <c r="X1967" s="4">
        <v>75780.342499999999</v>
      </c>
      <c r="Y1967" s="4">
        <v>434177</v>
      </c>
      <c r="Z1967" s="4">
        <v>0.16623399999999999</v>
      </c>
      <c r="AA1967" s="4">
        <v>100</v>
      </c>
    </row>
    <row r="1968" spans="1:27" x14ac:dyDescent="0.2">
      <c r="A1968" s="4">
        <v>10</v>
      </c>
      <c r="B1968" s="4">
        <v>3</v>
      </c>
      <c r="C1968" s="4">
        <v>0.1</v>
      </c>
      <c r="D1968" s="4">
        <v>20</v>
      </c>
      <c r="E1968" s="4">
        <v>0.96779230999999999</v>
      </c>
      <c r="F1968" s="4">
        <v>3</v>
      </c>
      <c r="G1968" s="4">
        <v>29.5818279</v>
      </c>
      <c r="H1968" s="4">
        <v>0.96798066999999999</v>
      </c>
      <c r="I1968" s="4">
        <v>3</v>
      </c>
      <c r="J1968" s="4">
        <v>3.7968250000000002E-2</v>
      </c>
      <c r="K1968" s="4"/>
      <c r="L1968" s="4"/>
      <c r="M1968" s="4"/>
      <c r="N1968" s="4"/>
      <c r="O1968" s="4"/>
      <c r="P1968" s="4"/>
      <c r="Q1968" s="4"/>
      <c r="R1968" s="4"/>
      <c r="S1968" s="4"/>
      <c r="T1968" s="4"/>
      <c r="U1968" s="4"/>
      <c r="V1968" s="4">
        <v>0.96804411000000001</v>
      </c>
      <c r="W1968" s="4">
        <v>3</v>
      </c>
      <c r="X1968" s="4">
        <v>75036.6103</v>
      </c>
      <c r="Y1968" s="4">
        <v>670605</v>
      </c>
      <c r="Z1968" s="4">
        <v>1.674494E-2</v>
      </c>
      <c r="AA1968" s="4">
        <v>100</v>
      </c>
    </row>
    <row r="1969" spans="1:27" x14ac:dyDescent="0.2">
      <c r="A1969" s="4">
        <v>10</v>
      </c>
      <c r="B1969" s="4">
        <v>3</v>
      </c>
      <c r="C1969" s="4">
        <v>0.3</v>
      </c>
      <c r="D1969" s="4">
        <v>20</v>
      </c>
      <c r="E1969" s="4">
        <v>0.94989104000000002</v>
      </c>
      <c r="F1969" s="4">
        <v>3</v>
      </c>
      <c r="G1969" s="4">
        <v>30.7663376</v>
      </c>
      <c r="H1969" s="4">
        <v>0.96398105000000001</v>
      </c>
      <c r="I1969" s="4">
        <v>3</v>
      </c>
      <c r="J1969" s="4">
        <v>0.36147413</v>
      </c>
      <c r="K1969" s="4"/>
      <c r="L1969" s="4"/>
      <c r="M1969" s="4"/>
      <c r="N1969" s="4"/>
      <c r="O1969" s="4"/>
      <c r="P1969" s="4"/>
      <c r="Q1969" s="4"/>
      <c r="R1969" s="4"/>
      <c r="S1969" s="4"/>
      <c r="T1969" s="4"/>
      <c r="U1969" s="4"/>
      <c r="V1969" s="4">
        <v>0.97091846999999998</v>
      </c>
      <c r="W1969" s="4">
        <v>3</v>
      </c>
      <c r="X1969" s="4">
        <v>75214.579899999997</v>
      </c>
      <c r="Y1969" s="4">
        <v>437426</v>
      </c>
      <c r="Z1969" s="4">
        <v>4.1305059999999998E-2</v>
      </c>
      <c r="AA1969" s="4">
        <v>100</v>
      </c>
    </row>
    <row r="1970" spans="1:27" x14ac:dyDescent="0.2">
      <c r="A1970" s="4">
        <v>10</v>
      </c>
      <c r="B1970" s="4">
        <v>3</v>
      </c>
      <c r="C1970" s="4">
        <v>0.4</v>
      </c>
      <c r="D1970" s="4">
        <v>20</v>
      </c>
      <c r="E1970" s="4">
        <v>0.71160060000000003</v>
      </c>
      <c r="F1970" s="4">
        <v>3</v>
      </c>
      <c r="G1970" s="4">
        <v>28.9241712</v>
      </c>
      <c r="H1970" s="4">
        <v>0.82114240000000005</v>
      </c>
      <c r="I1970" s="4">
        <v>3</v>
      </c>
      <c r="J1970" s="4">
        <v>0.17481901999999999</v>
      </c>
      <c r="K1970" s="4"/>
      <c r="L1970" s="4"/>
      <c r="M1970" s="4"/>
      <c r="N1970" s="4"/>
      <c r="O1970" s="4"/>
      <c r="P1970" s="4"/>
      <c r="Q1970" s="4"/>
      <c r="R1970" s="4"/>
      <c r="S1970" s="4"/>
      <c r="T1970" s="4"/>
      <c r="U1970" s="4"/>
      <c r="V1970" s="4">
        <v>0.83158299000000002</v>
      </c>
      <c r="W1970" s="4">
        <v>3</v>
      </c>
      <c r="X1970" s="4">
        <v>77165.609800000006</v>
      </c>
      <c r="Y1970" s="4">
        <v>459924</v>
      </c>
      <c r="Z1970" s="4">
        <v>0.25634326000000002</v>
      </c>
      <c r="AA1970" s="4">
        <v>100</v>
      </c>
    </row>
    <row r="1971" spans="1:27" x14ac:dyDescent="0.2">
      <c r="A1971" s="4">
        <v>10</v>
      </c>
      <c r="B1971" s="4">
        <v>3</v>
      </c>
      <c r="C1971" s="4">
        <v>0.1</v>
      </c>
      <c r="D1971" s="4">
        <v>20</v>
      </c>
      <c r="E1971" s="4">
        <v>0.93425575999999999</v>
      </c>
      <c r="F1971" s="4">
        <v>3</v>
      </c>
      <c r="G1971" s="4">
        <v>27.129936699999998</v>
      </c>
      <c r="H1971" s="4">
        <v>0.93138894999999999</v>
      </c>
      <c r="I1971" s="4">
        <v>3</v>
      </c>
      <c r="J1971" s="4">
        <v>6.2055590000000001E-2</v>
      </c>
      <c r="K1971" s="4"/>
      <c r="L1971" s="4"/>
      <c r="M1971" s="4"/>
      <c r="N1971" s="4"/>
      <c r="O1971" s="4"/>
      <c r="P1971" s="4"/>
      <c r="Q1971" s="4"/>
      <c r="R1971" s="4"/>
      <c r="S1971" s="4"/>
      <c r="T1971" s="4"/>
      <c r="U1971" s="4"/>
      <c r="V1971" s="4">
        <v>0.93106272000000001</v>
      </c>
      <c r="W1971" s="4">
        <v>3</v>
      </c>
      <c r="X1971" s="4">
        <v>75057.965800000005</v>
      </c>
      <c r="Y1971" s="4">
        <v>670570</v>
      </c>
      <c r="Z1971" s="4">
        <v>3.9646769999999998E-2</v>
      </c>
      <c r="AA1971" s="4">
        <v>100</v>
      </c>
    </row>
    <row r="1972" spans="1:27" x14ac:dyDescent="0.2">
      <c r="A1972" s="4">
        <v>10</v>
      </c>
      <c r="B1972" s="4">
        <v>3</v>
      </c>
      <c r="C1972" s="4">
        <v>0.4</v>
      </c>
      <c r="D1972" s="4">
        <v>20</v>
      </c>
      <c r="E1972" s="4">
        <v>0.73864788000000003</v>
      </c>
      <c r="F1972" s="4">
        <v>3</v>
      </c>
      <c r="G1972" s="4">
        <v>29.3886745</v>
      </c>
      <c r="H1972" s="4">
        <v>0.68998550000000003</v>
      </c>
      <c r="I1972" s="4">
        <v>3</v>
      </c>
      <c r="J1972" s="4">
        <v>0.23748046</v>
      </c>
      <c r="K1972" s="4"/>
      <c r="L1972" s="4"/>
      <c r="M1972" s="4"/>
      <c r="N1972" s="4"/>
      <c r="O1972" s="4"/>
      <c r="P1972" s="4"/>
      <c r="Q1972" s="4"/>
      <c r="R1972" s="4"/>
      <c r="S1972" s="4"/>
      <c r="T1972" s="4"/>
      <c r="U1972" s="4"/>
      <c r="V1972" s="4">
        <v>0.69898757</v>
      </c>
      <c r="W1972" s="4">
        <v>3</v>
      </c>
      <c r="X1972" s="4">
        <v>75481.103700000007</v>
      </c>
      <c r="Y1972" s="4">
        <v>471926</v>
      </c>
      <c r="Z1972" s="4">
        <v>0.84463697999999998</v>
      </c>
      <c r="AA1972" s="4">
        <v>100</v>
      </c>
    </row>
    <row r="1973" spans="1:27" x14ac:dyDescent="0.2">
      <c r="A1973" s="4">
        <v>10</v>
      </c>
      <c r="B1973" s="4">
        <v>3</v>
      </c>
      <c r="C1973" s="4">
        <v>0.2</v>
      </c>
      <c r="D1973" s="4">
        <v>20</v>
      </c>
      <c r="E1973" s="4">
        <v>0.91334852</v>
      </c>
      <c r="F1973" s="4">
        <v>3</v>
      </c>
      <c r="G1973" s="4">
        <v>26.1606664</v>
      </c>
      <c r="H1973" s="4">
        <v>0.92492326999999996</v>
      </c>
      <c r="I1973" s="4">
        <v>3</v>
      </c>
      <c r="J1973" s="4">
        <v>0.23337609000000001</v>
      </c>
      <c r="K1973" s="4"/>
      <c r="L1973" s="4"/>
      <c r="M1973" s="4"/>
      <c r="N1973" s="4"/>
      <c r="O1973" s="4"/>
      <c r="P1973" s="4"/>
      <c r="Q1973" s="4"/>
      <c r="R1973" s="4"/>
      <c r="S1973" s="4"/>
      <c r="T1973" s="4"/>
      <c r="U1973" s="4"/>
      <c r="V1973" s="4">
        <v>0.92694538000000004</v>
      </c>
      <c r="W1973" s="4">
        <v>3</v>
      </c>
      <c r="X1973" s="4">
        <v>75061.154200000004</v>
      </c>
      <c r="Y1973" s="4">
        <v>368549</v>
      </c>
      <c r="Z1973" s="4">
        <v>5.9942420000000003E-2</v>
      </c>
      <c r="AA1973" s="4">
        <v>100</v>
      </c>
    </row>
    <row r="1974" spans="1:27" x14ac:dyDescent="0.2">
      <c r="A1974" s="4">
        <v>10</v>
      </c>
      <c r="B1974" s="4">
        <v>3</v>
      </c>
      <c r="C1974" s="4">
        <v>0.3</v>
      </c>
      <c r="D1974" s="4">
        <v>20</v>
      </c>
      <c r="E1974" s="4">
        <v>0.75102948000000003</v>
      </c>
      <c r="F1974" s="4">
        <v>3</v>
      </c>
      <c r="G1974" s="4">
        <v>29.0055178</v>
      </c>
      <c r="H1974" s="4">
        <v>0.73354368999999997</v>
      </c>
      <c r="I1974" s="4">
        <v>3</v>
      </c>
      <c r="J1974" s="4">
        <v>0.15958106999999999</v>
      </c>
      <c r="K1974" s="4"/>
      <c r="L1974" s="4"/>
      <c r="M1974" s="4"/>
      <c r="N1974" s="4"/>
      <c r="O1974" s="4"/>
      <c r="P1974" s="4"/>
      <c r="Q1974" s="4"/>
      <c r="R1974" s="4"/>
      <c r="S1974" s="4"/>
      <c r="T1974" s="4"/>
      <c r="U1974" s="4"/>
      <c r="V1974" s="4">
        <v>0.73634491000000002</v>
      </c>
      <c r="W1974" s="4">
        <v>3</v>
      </c>
      <c r="X1974" s="4">
        <v>75249.357499999998</v>
      </c>
      <c r="Y1974" s="4">
        <v>467976</v>
      </c>
      <c r="Z1974" s="4">
        <v>0.32802440999999999</v>
      </c>
      <c r="AA1974" s="4">
        <v>100</v>
      </c>
    </row>
    <row r="1975" spans="1:27" x14ac:dyDescent="0.2">
      <c r="A1975" s="4">
        <v>10</v>
      </c>
      <c r="B1975" s="4">
        <v>3</v>
      </c>
      <c r="C1975" s="4">
        <v>0.4</v>
      </c>
      <c r="D1975" s="4">
        <v>20</v>
      </c>
      <c r="E1975" s="4">
        <v>0.40526244</v>
      </c>
      <c r="F1975" s="4">
        <v>3</v>
      </c>
      <c r="G1975" s="4">
        <v>32.208335400000003</v>
      </c>
      <c r="H1975" s="4">
        <v>0.37858182000000001</v>
      </c>
      <c r="I1975" s="4">
        <v>3</v>
      </c>
      <c r="J1975" s="4">
        <v>0.24798655</v>
      </c>
      <c r="K1975" s="4"/>
      <c r="L1975" s="4"/>
      <c r="M1975" s="4"/>
      <c r="N1975" s="4"/>
      <c r="O1975" s="4"/>
      <c r="P1975" s="4"/>
      <c r="Q1975" s="4"/>
      <c r="R1975" s="4"/>
      <c r="S1975" s="4"/>
      <c r="T1975" s="4"/>
      <c r="U1975" s="4"/>
      <c r="V1975" s="4">
        <v>0.37398436000000002</v>
      </c>
      <c r="W1975" s="4">
        <v>3</v>
      </c>
      <c r="X1975" s="4">
        <v>75470.831200000001</v>
      </c>
      <c r="Y1975" s="4">
        <v>435954</v>
      </c>
      <c r="Z1975" s="4">
        <v>1.0826831699999999</v>
      </c>
      <c r="AA1975" s="4">
        <v>100</v>
      </c>
    </row>
    <row r="1976" spans="1:27" x14ac:dyDescent="0.2">
      <c r="A1976" s="4">
        <v>10</v>
      </c>
      <c r="B1976" s="4">
        <v>3</v>
      </c>
      <c r="C1976" s="4">
        <v>0.1</v>
      </c>
      <c r="D1976" s="4">
        <v>20</v>
      </c>
      <c r="E1976" s="4">
        <v>0.95022129</v>
      </c>
      <c r="F1976" s="4">
        <v>3</v>
      </c>
      <c r="G1976" s="4">
        <v>28.210581300000001</v>
      </c>
      <c r="H1976" s="4">
        <v>0.95022129</v>
      </c>
      <c r="I1976" s="4">
        <v>3</v>
      </c>
      <c r="J1976" s="4">
        <v>4.627539E-2</v>
      </c>
      <c r="K1976" s="4"/>
      <c r="L1976" s="4"/>
      <c r="M1976" s="4"/>
      <c r="N1976" s="4"/>
      <c r="O1976" s="4"/>
      <c r="P1976" s="4"/>
      <c r="Q1976" s="4"/>
      <c r="R1976" s="4"/>
      <c r="S1976" s="4"/>
      <c r="T1976" s="4"/>
      <c r="U1976" s="4"/>
      <c r="V1976" s="4">
        <v>0.89586964000000002</v>
      </c>
      <c r="W1976" s="4">
        <v>3</v>
      </c>
      <c r="X1976" s="4">
        <v>75361.157500000001</v>
      </c>
      <c r="Y1976" s="4">
        <v>926386</v>
      </c>
      <c r="Z1976" s="4">
        <v>7.2005479999999997E-2</v>
      </c>
      <c r="AA1976" s="4">
        <v>100</v>
      </c>
    </row>
    <row r="1977" spans="1:27" x14ac:dyDescent="0.2">
      <c r="A1977" s="4">
        <v>10</v>
      </c>
      <c r="B1977" s="4">
        <v>3</v>
      </c>
      <c r="C1977" s="4">
        <v>0.3</v>
      </c>
      <c r="D1977" s="4">
        <v>20</v>
      </c>
      <c r="E1977" s="4">
        <v>0.79420093000000003</v>
      </c>
      <c r="F1977" s="4">
        <v>3</v>
      </c>
      <c r="G1977" s="4">
        <v>35.3233593</v>
      </c>
      <c r="H1977" s="4">
        <v>0.79604430999999998</v>
      </c>
      <c r="I1977" s="4">
        <v>3</v>
      </c>
      <c r="J1977" s="4">
        <v>0.17907951999999999</v>
      </c>
      <c r="K1977" s="4"/>
      <c r="L1977" s="4"/>
      <c r="M1977" s="4"/>
      <c r="N1977" s="4"/>
      <c r="O1977" s="4"/>
      <c r="P1977" s="4"/>
      <c r="Q1977" s="4"/>
      <c r="R1977" s="4"/>
      <c r="S1977" s="4"/>
      <c r="T1977" s="4"/>
      <c r="U1977" s="4"/>
      <c r="V1977" s="4">
        <v>0.79924443999999994</v>
      </c>
      <c r="W1977" s="4">
        <v>3</v>
      </c>
      <c r="X1977" s="4">
        <v>75084.335200000001</v>
      </c>
      <c r="Y1977" s="4">
        <v>342695</v>
      </c>
      <c r="Z1977" s="4">
        <v>0.32323463000000002</v>
      </c>
      <c r="AA1977" s="4">
        <v>100</v>
      </c>
    </row>
    <row r="1978" spans="1:27" x14ac:dyDescent="0.2">
      <c r="A1978" s="4">
        <v>10</v>
      </c>
      <c r="B1978" s="4">
        <v>3</v>
      </c>
      <c r="C1978" s="4">
        <v>0.1</v>
      </c>
      <c r="D1978" s="4">
        <v>20</v>
      </c>
      <c r="E1978" s="4">
        <v>0.92432347999999998</v>
      </c>
      <c r="F1978" s="4">
        <v>3</v>
      </c>
      <c r="G1978" s="4">
        <v>27.9858954</v>
      </c>
      <c r="H1978" s="4">
        <v>0.92443752000000001</v>
      </c>
      <c r="I1978" s="4">
        <v>3</v>
      </c>
      <c r="J1978" s="4">
        <v>4.2456870000000001E-2</v>
      </c>
      <c r="K1978" s="4"/>
      <c r="L1978" s="4"/>
      <c r="M1978" s="4"/>
      <c r="N1978" s="4"/>
      <c r="O1978" s="4"/>
      <c r="P1978" s="4"/>
      <c r="Q1978" s="4"/>
      <c r="R1978" s="4"/>
      <c r="S1978" s="4"/>
      <c r="T1978" s="4"/>
      <c r="U1978" s="4"/>
      <c r="V1978" s="4">
        <v>0.88637217999999995</v>
      </c>
      <c r="W1978" s="4">
        <v>3</v>
      </c>
      <c r="X1978" s="4">
        <v>75059.065499999997</v>
      </c>
      <c r="Y1978" s="4">
        <v>834598</v>
      </c>
      <c r="Z1978" s="4">
        <v>4.5130549999999998E-2</v>
      </c>
      <c r="AA1978" s="4">
        <v>100</v>
      </c>
    </row>
    <row r="1979" spans="1:27" x14ac:dyDescent="0.2">
      <c r="A1979" s="4">
        <v>10</v>
      </c>
      <c r="B1979" s="4">
        <v>3</v>
      </c>
      <c r="C1979" s="4">
        <v>0.4</v>
      </c>
      <c r="D1979" s="4">
        <v>20</v>
      </c>
      <c r="E1979" s="4">
        <v>0.72282994</v>
      </c>
      <c r="F1979" s="4">
        <v>3</v>
      </c>
      <c r="G1979" s="4">
        <v>34.819112199999999</v>
      </c>
      <c r="H1979" s="4">
        <v>0.67762734999999996</v>
      </c>
      <c r="I1979" s="4">
        <v>3</v>
      </c>
      <c r="J1979" s="4">
        <v>0.32235615000000001</v>
      </c>
      <c r="K1979" s="4"/>
      <c r="L1979" s="4"/>
      <c r="M1979" s="4"/>
      <c r="N1979" s="4"/>
      <c r="O1979" s="4"/>
      <c r="P1979" s="4"/>
      <c r="Q1979" s="4"/>
      <c r="R1979" s="4"/>
      <c r="S1979" s="4"/>
      <c r="T1979" s="4"/>
      <c r="U1979" s="4"/>
      <c r="V1979" s="4">
        <v>0.67901445000000005</v>
      </c>
      <c r="W1979" s="4">
        <v>3</v>
      </c>
      <c r="X1979" s="4">
        <v>76147.570900000006</v>
      </c>
      <c r="Y1979" s="4">
        <v>410402</v>
      </c>
      <c r="Z1979" s="4">
        <v>0.94250730999999999</v>
      </c>
      <c r="AA1979" s="4">
        <v>100</v>
      </c>
    </row>
    <row r="1980" spans="1:27" x14ac:dyDescent="0.2">
      <c r="A1980" s="4">
        <v>10</v>
      </c>
      <c r="B1980" s="4">
        <v>3</v>
      </c>
      <c r="C1980" s="4">
        <v>0.3</v>
      </c>
      <c r="D1980" s="4">
        <v>20</v>
      </c>
      <c r="E1980" s="4">
        <v>0.85285330000000004</v>
      </c>
      <c r="F1980" s="4">
        <v>3</v>
      </c>
      <c r="G1980" s="4">
        <v>27.642392300000001</v>
      </c>
      <c r="H1980" s="4">
        <v>0.84930974000000004</v>
      </c>
      <c r="I1980" s="4">
        <v>3</v>
      </c>
      <c r="J1980" s="4">
        <v>0.30100039000000001</v>
      </c>
      <c r="K1980" s="4"/>
      <c r="L1980" s="4"/>
      <c r="M1980" s="4"/>
      <c r="N1980" s="4"/>
      <c r="O1980" s="4"/>
      <c r="P1980" s="4"/>
      <c r="Q1980" s="4"/>
      <c r="R1980" s="4"/>
      <c r="S1980" s="4"/>
      <c r="T1980" s="4"/>
      <c r="U1980" s="4"/>
      <c r="V1980" s="4">
        <v>0.85248552</v>
      </c>
      <c r="W1980" s="4">
        <v>3</v>
      </c>
      <c r="X1980" s="4">
        <v>75092.159299999999</v>
      </c>
      <c r="Y1980" s="4">
        <v>475245</v>
      </c>
      <c r="Z1980" s="4">
        <v>0.35545823999999998</v>
      </c>
      <c r="AA1980" s="4">
        <v>100</v>
      </c>
    </row>
    <row r="1981" spans="1:27" x14ac:dyDescent="0.2">
      <c r="A1981" s="4">
        <v>10</v>
      </c>
      <c r="B1981" s="4">
        <v>3</v>
      </c>
      <c r="C1981" s="4">
        <v>0.1</v>
      </c>
      <c r="D1981" s="4">
        <v>20</v>
      </c>
      <c r="E1981" s="4">
        <v>0.88348784000000002</v>
      </c>
      <c r="F1981" s="4">
        <v>3</v>
      </c>
      <c r="G1981" s="4">
        <v>25.614044799999999</v>
      </c>
      <c r="H1981" s="4">
        <v>0.88371833</v>
      </c>
      <c r="I1981" s="4">
        <v>3</v>
      </c>
      <c r="J1981" s="4">
        <v>3.3913869999999999E-2</v>
      </c>
      <c r="K1981" s="4"/>
      <c r="L1981" s="4"/>
      <c r="M1981" s="4"/>
      <c r="N1981" s="4"/>
      <c r="O1981" s="4"/>
      <c r="P1981" s="4"/>
      <c r="Q1981" s="4"/>
      <c r="R1981" s="4"/>
      <c r="S1981" s="4"/>
      <c r="T1981" s="4"/>
      <c r="U1981" s="4"/>
      <c r="V1981" s="4">
        <v>0.88371560000000005</v>
      </c>
      <c r="W1981" s="4">
        <v>3</v>
      </c>
      <c r="X1981" s="4">
        <v>75050.096799999999</v>
      </c>
      <c r="Y1981" s="4">
        <v>721177</v>
      </c>
      <c r="Z1981" s="4">
        <v>0.14092679</v>
      </c>
      <c r="AA1981" s="4">
        <v>100</v>
      </c>
    </row>
    <row r="1982" spans="1:27" x14ac:dyDescent="0.2">
      <c r="A1982" s="4">
        <v>10</v>
      </c>
      <c r="B1982" s="4">
        <v>3</v>
      </c>
      <c r="C1982" s="4">
        <v>0.3</v>
      </c>
      <c r="D1982" s="4">
        <v>20</v>
      </c>
      <c r="E1982" s="4">
        <v>0.86724182999999999</v>
      </c>
      <c r="F1982" s="4">
        <v>3</v>
      </c>
      <c r="G1982" s="4">
        <v>35.789650700000003</v>
      </c>
      <c r="H1982" s="4">
        <v>0.83837421999999995</v>
      </c>
      <c r="I1982" s="4">
        <v>3</v>
      </c>
      <c r="J1982" s="4">
        <v>0.31956458999999998</v>
      </c>
      <c r="K1982" s="4"/>
      <c r="L1982" s="4"/>
      <c r="M1982" s="4"/>
      <c r="N1982" s="4"/>
      <c r="O1982" s="4"/>
      <c r="P1982" s="4"/>
      <c r="Q1982" s="4"/>
      <c r="R1982" s="4"/>
      <c r="S1982" s="4"/>
      <c r="T1982" s="4"/>
      <c r="U1982" s="4"/>
      <c r="V1982" s="4">
        <v>0.84366443999999996</v>
      </c>
      <c r="W1982" s="4">
        <v>3</v>
      </c>
      <c r="X1982" s="4">
        <v>75495.895699999994</v>
      </c>
      <c r="Y1982" s="4">
        <v>304353</v>
      </c>
      <c r="Z1982" s="4">
        <v>0.80409978999999998</v>
      </c>
      <c r="AA1982" s="4">
        <v>100</v>
      </c>
    </row>
    <row r="1983" spans="1:27" x14ac:dyDescent="0.2">
      <c r="A1983" s="4">
        <v>10</v>
      </c>
      <c r="B1983" s="4">
        <v>3</v>
      </c>
      <c r="C1983" s="4">
        <v>0.4</v>
      </c>
      <c r="D1983" s="4">
        <v>20</v>
      </c>
      <c r="E1983" s="4">
        <v>0.68757292999999997</v>
      </c>
      <c r="F1983" s="4">
        <v>3</v>
      </c>
      <c r="G1983" s="4">
        <v>27.9485755</v>
      </c>
      <c r="H1983" s="4">
        <v>0.70148719000000004</v>
      </c>
      <c r="I1983" s="4">
        <v>3</v>
      </c>
      <c r="J1983" s="4">
        <v>0.20043763000000001</v>
      </c>
      <c r="K1983" s="4"/>
      <c r="L1983" s="4"/>
      <c r="M1983" s="4"/>
      <c r="N1983" s="4"/>
      <c r="O1983" s="4"/>
      <c r="P1983" s="4"/>
      <c r="Q1983" s="4"/>
      <c r="R1983" s="4"/>
      <c r="S1983" s="4"/>
      <c r="T1983" s="4"/>
      <c r="U1983" s="4"/>
      <c r="V1983" s="4">
        <v>0.70448003999999997</v>
      </c>
      <c r="W1983" s="4">
        <v>3</v>
      </c>
      <c r="X1983" s="4">
        <v>75879.819799999997</v>
      </c>
      <c r="Y1983" s="4">
        <v>463486</v>
      </c>
      <c r="Z1983" s="4">
        <v>1.06874018</v>
      </c>
      <c r="AA1983" s="4">
        <v>100</v>
      </c>
    </row>
    <row r="1984" spans="1:27" x14ac:dyDescent="0.2">
      <c r="A1984" s="4">
        <v>10</v>
      </c>
      <c r="B1984" s="4">
        <v>3</v>
      </c>
      <c r="C1984" s="4">
        <v>0.4</v>
      </c>
      <c r="D1984" s="4">
        <v>20</v>
      </c>
      <c r="E1984" s="4">
        <v>0.68670485000000003</v>
      </c>
      <c r="F1984" s="4">
        <v>3</v>
      </c>
      <c r="G1984" s="4">
        <v>35.665178300000001</v>
      </c>
      <c r="H1984" s="4">
        <v>0.65119543999999996</v>
      </c>
      <c r="I1984" s="4">
        <v>3</v>
      </c>
      <c r="J1984" s="4">
        <v>0.78636134999999996</v>
      </c>
      <c r="K1984" s="4"/>
      <c r="L1984" s="4"/>
      <c r="M1984" s="4"/>
      <c r="N1984" s="4"/>
      <c r="O1984" s="4"/>
      <c r="P1984" s="4"/>
      <c r="Q1984" s="4"/>
      <c r="R1984" s="4"/>
      <c r="S1984" s="4"/>
      <c r="T1984" s="4"/>
      <c r="U1984" s="4"/>
      <c r="V1984" s="4">
        <v>0.65680751000000004</v>
      </c>
      <c r="W1984" s="4">
        <v>3</v>
      </c>
      <c r="X1984" s="4">
        <v>75875.375499999995</v>
      </c>
      <c r="Y1984" s="4">
        <v>378087</v>
      </c>
      <c r="Z1984" s="4">
        <v>1.1651896900000001</v>
      </c>
      <c r="AA1984" s="4">
        <v>100</v>
      </c>
    </row>
    <row r="1985" spans="1:27" x14ac:dyDescent="0.2">
      <c r="A1985" s="4">
        <v>10</v>
      </c>
      <c r="B1985" s="4">
        <v>3</v>
      </c>
      <c r="C1985" s="4">
        <v>0.4</v>
      </c>
      <c r="D1985" s="4">
        <v>20</v>
      </c>
      <c r="E1985" s="4">
        <v>0.6812378</v>
      </c>
      <c r="F1985" s="4">
        <v>3</v>
      </c>
      <c r="G1985" s="4">
        <v>27.494068599999999</v>
      </c>
      <c r="H1985" s="4">
        <v>0.72156220000000004</v>
      </c>
      <c r="I1985" s="4">
        <v>3</v>
      </c>
      <c r="J1985" s="4">
        <v>0.10609367</v>
      </c>
      <c r="K1985" s="4"/>
      <c r="L1985" s="4"/>
      <c r="M1985" s="4"/>
      <c r="N1985" s="4"/>
      <c r="O1985" s="4"/>
      <c r="P1985" s="4"/>
      <c r="Q1985" s="4"/>
      <c r="R1985" s="4"/>
      <c r="S1985" s="4"/>
      <c r="T1985" s="4"/>
      <c r="U1985" s="4"/>
      <c r="V1985" s="4">
        <v>0.72431557000000002</v>
      </c>
      <c r="W1985" s="4">
        <v>3</v>
      </c>
      <c r="X1985" s="4">
        <v>75516.351500000004</v>
      </c>
      <c r="Y1985" s="4">
        <v>379995</v>
      </c>
      <c r="Z1985" s="4">
        <v>0.24027610999999999</v>
      </c>
      <c r="AA1985" s="4">
        <v>100</v>
      </c>
    </row>
    <row r="1986" spans="1:27" x14ac:dyDescent="0.2">
      <c r="A1986" s="4">
        <v>10</v>
      </c>
      <c r="B1986" s="4">
        <v>3</v>
      </c>
      <c r="C1986" s="4">
        <v>0.3</v>
      </c>
      <c r="D1986" s="4">
        <v>20</v>
      </c>
      <c r="E1986" s="4">
        <v>0.69540341999999999</v>
      </c>
      <c r="F1986" s="4">
        <v>3</v>
      </c>
      <c r="G1986" s="4">
        <v>34.395223100000003</v>
      </c>
      <c r="H1986" s="4">
        <v>0.73478272</v>
      </c>
      <c r="I1986" s="4">
        <v>3</v>
      </c>
      <c r="J1986" s="4">
        <v>0.18138265000000001</v>
      </c>
      <c r="K1986" s="4"/>
      <c r="L1986" s="4"/>
      <c r="M1986" s="4"/>
      <c r="N1986" s="4"/>
      <c r="O1986" s="4"/>
      <c r="P1986" s="4"/>
      <c r="Q1986" s="4"/>
      <c r="R1986" s="4"/>
      <c r="S1986" s="4"/>
      <c r="T1986" s="4"/>
      <c r="U1986" s="4"/>
      <c r="V1986" s="4">
        <v>0.73740718999999999</v>
      </c>
      <c r="W1986" s="4">
        <v>3</v>
      </c>
      <c r="X1986" s="4">
        <v>75653.522299999997</v>
      </c>
      <c r="Y1986" s="4">
        <v>363789</v>
      </c>
      <c r="Z1986" s="4">
        <v>0.35557875999999999</v>
      </c>
      <c r="AA1986" s="4">
        <v>100</v>
      </c>
    </row>
    <row r="1987" spans="1:27" x14ac:dyDescent="0.2">
      <c r="A1987" s="4">
        <v>10</v>
      </c>
      <c r="B1987" s="4">
        <v>3</v>
      </c>
      <c r="C1987" s="4">
        <v>0.2</v>
      </c>
      <c r="D1987" s="4">
        <v>20</v>
      </c>
      <c r="E1987" s="4">
        <v>0.89943768999999996</v>
      </c>
      <c r="F1987" s="4">
        <v>3</v>
      </c>
      <c r="G1987" s="4">
        <v>26.472087899999998</v>
      </c>
      <c r="H1987" s="4">
        <v>0.81407185000000004</v>
      </c>
      <c r="I1987" s="4">
        <v>3</v>
      </c>
      <c r="J1987" s="4">
        <v>0.30576912000000001</v>
      </c>
      <c r="K1987" s="4"/>
      <c r="L1987" s="4"/>
      <c r="M1987" s="4"/>
      <c r="N1987" s="4"/>
      <c r="O1987" s="4"/>
      <c r="P1987" s="4"/>
      <c r="Q1987" s="4"/>
      <c r="R1987" s="4"/>
      <c r="S1987" s="4"/>
      <c r="T1987" s="4"/>
      <c r="U1987" s="4"/>
      <c r="V1987" s="4">
        <v>0.82091678000000001</v>
      </c>
      <c r="W1987" s="4">
        <v>3</v>
      </c>
      <c r="X1987" s="4">
        <v>75469.055399999997</v>
      </c>
      <c r="Y1987" s="4">
        <v>449294</v>
      </c>
      <c r="Z1987" s="4">
        <v>0.23884538</v>
      </c>
      <c r="AA1987" s="4">
        <v>100</v>
      </c>
    </row>
    <row r="1988" spans="1:27" x14ac:dyDescent="0.2">
      <c r="A1988" s="4">
        <v>10</v>
      </c>
      <c r="B1988" s="4">
        <v>3</v>
      </c>
      <c r="C1988" s="4">
        <v>0.3</v>
      </c>
      <c r="D1988" s="4">
        <v>20</v>
      </c>
      <c r="E1988" s="4">
        <v>0.86785997000000004</v>
      </c>
      <c r="F1988" s="4">
        <v>3</v>
      </c>
      <c r="G1988" s="4">
        <v>31.187477600000001</v>
      </c>
      <c r="H1988" s="4">
        <v>0.85404597000000004</v>
      </c>
      <c r="I1988" s="4">
        <v>3</v>
      </c>
      <c r="J1988" s="4">
        <v>0.46505166999999997</v>
      </c>
      <c r="K1988" s="4"/>
      <c r="L1988" s="4"/>
      <c r="M1988" s="4"/>
      <c r="N1988" s="4"/>
      <c r="O1988" s="4"/>
      <c r="P1988" s="4"/>
      <c r="Q1988" s="4"/>
      <c r="R1988" s="4"/>
      <c r="S1988" s="4"/>
      <c r="T1988" s="4"/>
      <c r="U1988" s="4"/>
      <c r="V1988" s="4">
        <v>0.85605403000000002</v>
      </c>
      <c r="W1988" s="4">
        <v>3</v>
      </c>
      <c r="X1988" s="4">
        <v>75070.479099999997</v>
      </c>
      <c r="Y1988" s="4">
        <v>407576</v>
      </c>
      <c r="Z1988" s="4">
        <v>0.38902681</v>
      </c>
      <c r="AA1988" s="4">
        <v>100</v>
      </c>
    </row>
    <row r="1989" spans="1:27" x14ac:dyDescent="0.2">
      <c r="A1989" s="4">
        <v>10</v>
      </c>
      <c r="B1989" s="4">
        <v>3</v>
      </c>
      <c r="C1989" s="4">
        <v>0.3</v>
      </c>
      <c r="D1989" s="4">
        <v>20</v>
      </c>
      <c r="E1989" s="4">
        <v>0.92131306999999996</v>
      </c>
      <c r="F1989" s="4">
        <v>3</v>
      </c>
      <c r="G1989" s="4">
        <v>36.037897600000001</v>
      </c>
      <c r="H1989" s="4">
        <v>0.93874769999999996</v>
      </c>
      <c r="I1989" s="4">
        <v>3</v>
      </c>
      <c r="J1989" s="4">
        <v>0.39548083000000001</v>
      </c>
      <c r="K1989" s="4"/>
      <c r="L1989" s="4"/>
      <c r="M1989" s="4"/>
      <c r="N1989" s="4"/>
      <c r="O1989" s="4"/>
      <c r="P1989" s="4"/>
      <c r="Q1989" s="4"/>
      <c r="R1989" s="4"/>
      <c r="S1989" s="4"/>
      <c r="T1989" s="4"/>
      <c r="U1989" s="4"/>
      <c r="V1989" s="4">
        <v>0.94007589999999996</v>
      </c>
      <c r="W1989" s="4">
        <v>3</v>
      </c>
      <c r="X1989" s="4">
        <v>75058.881599999993</v>
      </c>
      <c r="Y1989" s="4">
        <v>485199</v>
      </c>
      <c r="Z1989" s="4">
        <v>0.31454523000000001</v>
      </c>
      <c r="AA1989" s="4">
        <v>100</v>
      </c>
    </row>
    <row r="1990" spans="1:27" x14ac:dyDescent="0.2">
      <c r="A1990" s="4">
        <v>10</v>
      </c>
      <c r="B1990" s="4">
        <v>3</v>
      </c>
      <c r="C1990" s="4">
        <v>0.2</v>
      </c>
      <c r="D1990" s="4">
        <v>20</v>
      </c>
      <c r="E1990" s="4">
        <v>0.85576706999999996</v>
      </c>
      <c r="F1990" s="4">
        <v>3</v>
      </c>
      <c r="G1990" s="4">
        <v>40.321406600000003</v>
      </c>
      <c r="H1990" s="4">
        <v>0.83898859999999997</v>
      </c>
      <c r="I1990" s="4">
        <v>3</v>
      </c>
      <c r="J1990" s="4">
        <v>0.32539077999999999</v>
      </c>
      <c r="K1990" s="4"/>
      <c r="L1990" s="4"/>
      <c r="M1990" s="4"/>
      <c r="N1990" s="4"/>
      <c r="O1990" s="4"/>
      <c r="P1990" s="4"/>
      <c r="Q1990" s="4"/>
      <c r="R1990" s="4"/>
      <c r="S1990" s="4"/>
      <c r="T1990" s="4"/>
      <c r="U1990" s="4"/>
      <c r="V1990" s="4">
        <v>0.83681620000000001</v>
      </c>
      <c r="W1990" s="4">
        <v>3</v>
      </c>
      <c r="X1990" s="4">
        <v>75076.486300000004</v>
      </c>
      <c r="Y1990" s="4">
        <v>391941</v>
      </c>
      <c r="Z1990" s="4">
        <v>0.10745225</v>
      </c>
      <c r="AA1990" s="4">
        <v>100</v>
      </c>
    </row>
    <row r="1991" spans="1:27" x14ac:dyDescent="0.2">
      <c r="A1991" s="4">
        <v>10</v>
      </c>
      <c r="B1991" s="4">
        <v>3</v>
      </c>
      <c r="C1991" s="4">
        <v>0.4</v>
      </c>
      <c r="D1991" s="4">
        <v>20</v>
      </c>
      <c r="E1991" s="4">
        <v>0.63413375000000005</v>
      </c>
      <c r="F1991" s="4">
        <v>3</v>
      </c>
      <c r="G1991" s="4">
        <v>39.673490399999999</v>
      </c>
      <c r="H1991" s="4">
        <v>0.60901379</v>
      </c>
      <c r="I1991" s="4">
        <v>3</v>
      </c>
      <c r="J1991" s="4">
        <v>0.79482120999999994</v>
      </c>
      <c r="K1991" s="4"/>
      <c r="L1991" s="4"/>
      <c r="M1991" s="4"/>
      <c r="N1991" s="4"/>
      <c r="O1991" s="4"/>
      <c r="P1991" s="4"/>
      <c r="Q1991" s="4"/>
      <c r="R1991" s="4"/>
      <c r="S1991" s="4"/>
      <c r="T1991" s="4"/>
      <c r="U1991" s="4"/>
      <c r="V1991" s="4">
        <v>0.61526632999999997</v>
      </c>
      <c r="W1991" s="4">
        <v>3</v>
      </c>
      <c r="X1991" s="4">
        <v>75401.4611</v>
      </c>
      <c r="Y1991" s="4">
        <v>362826</v>
      </c>
      <c r="Z1991" s="4">
        <v>1.6540588899999999</v>
      </c>
      <c r="AA1991" s="4">
        <v>100</v>
      </c>
    </row>
    <row r="1992" spans="1:27" x14ac:dyDescent="0.2">
      <c r="A1992" s="4">
        <v>10</v>
      </c>
      <c r="B1992" s="4">
        <v>3</v>
      </c>
      <c r="C1992" s="4">
        <v>0.4</v>
      </c>
      <c r="D1992" s="4">
        <v>20</v>
      </c>
      <c r="E1992" s="4">
        <v>0.72949081999999998</v>
      </c>
      <c r="F1992" s="4">
        <v>3</v>
      </c>
      <c r="G1992" s="4">
        <v>32.178327299999999</v>
      </c>
      <c r="H1992" s="4">
        <v>0.68492410999999997</v>
      </c>
      <c r="I1992" s="4">
        <v>3</v>
      </c>
      <c r="J1992" s="4">
        <v>0.43085412000000001</v>
      </c>
      <c r="K1992" s="4"/>
      <c r="L1992" s="4"/>
      <c r="M1992" s="4"/>
      <c r="N1992" s="4"/>
      <c r="O1992" s="4"/>
      <c r="P1992" s="4"/>
      <c r="Q1992" s="4"/>
      <c r="R1992" s="4"/>
      <c r="S1992" s="4"/>
      <c r="T1992" s="4"/>
      <c r="U1992" s="4"/>
      <c r="V1992" s="4">
        <v>0.68531925000000005</v>
      </c>
      <c r="W1992" s="4">
        <v>3</v>
      </c>
      <c r="X1992" s="4">
        <v>75473.917700000005</v>
      </c>
      <c r="Y1992" s="4">
        <v>393060</v>
      </c>
      <c r="Z1992" s="4">
        <v>0.52708462</v>
      </c>
      <c r="AA1992" s="4">
        <v>100</v>
      </c>
    </row>
    <row r="1993" spans="1:27" x14ac:dyDescent="0.2">
      <c r="A1993">
        <v>20</v>
      </c>
      <c r="B1993">
        <v>3</v>
      </c>
      <c r="C1993">
        <v>0.1</v>
      </c>
      <c r="D1993" s="4">
        <v>20</v>
      </c>
      <c r="E1993">
        <v>1.03694707314349</v>
      </c>
      <c r="F1993">
        <v>3</v>
      </c>
      <c r="G1993">
        <v>25.632877032</v>
      </c>
      <c r="H1993">
        <v>1.01039641555948</v>
      </c>
      <c r="I1993">
        <v>3</v>
      </c>
      <c r="J1993">
        <v>0.44904713099999999</v>
      </c>
      <c r="P1993"/>
      <c r="V1993">
        <v>1.0107996760287099</v>
      </c>
      <c r="W1993">
        <v>3</v>
      </c>
      <c r="X1993">
        <v>74614.299586049994</v>
      </c>
      <c r="Y1993">
        <v>81844</v>
      </c>
      <c r="Z1993">
        <v>1.64394908060377E-3</v>
      </c>
      <c r="AA1993">
        <v>100</v>
      </c>
    </row>
    <row r="1994" spans="1:27" x14ac:dyDescent="0.2">
      <c r="A1994">
        <v>20</v>
      </c>
      <c r="B1994">
        <v>3</v>
      </c>
      <c r="C1994">
        <v>0.1</v>
      </c>
      <c r="D1994" s="4">
        <v>20</v>
      </c>
      <c r="E1994">
        <v>1.16075535307481</v>
      </c>
      <c r="F1994">
        <v>3</v>
      </c>
      <c r="G1994">
        <v>28.208212893999999</v>
      </c>
      <c r="H1994">
        <v>1.07869965677034</v>
      </c>
      <c r="I1994">
        <v>3</v>
      </c>
      <c r="J1994">
        <v>0.85106932599999996</v>
      </c>
      <c r="P1994"/>
      <c r="V1994">
        <v>1.1705171245980199</v>
      </c>
      <c r="W1994">
        <v>3</v>
      </c>
      <c r="X1994">
        <v>74984.348908209999</v>
      </c>
      <c r="Y1994">
        <v>191713</v>
      </c>
      <c r="Z1994">
        <v>3.7196345052043999E-3</v>
      </c>
      <c r="AA1994">
        <v>100</v>
      </c>
    </row>
    <row r="1995" spans="1:27" x14ac:dyDescent="0.2">
      <c r="A1995">
        <v>20</v>
      </c>
      <c r="B1995">
        <v>3</v>
      </c>
      <c r="C1995">
        <v>0.3</v>
      </c>
      <c r="D1995" s="4">
        <v>20</v>
      </c>
      <c r="E1995">
        <v>0.65768441503960895</v>
      </c>
      <c r="F1995">
        <v>3</v>
      </c>
      <c r="G1995">
        <v>29.935794354999999</v>
      </c>
      <c r="H1995">
        <v>0.45741526560978402</v>
      </c>
      <c r="I1995">
        <v>3</v>
      </c>
      <c r="J1995">
        <v>0.91982371200000002</v>
      </c>
      <c r="P1995"/>
      <c r="V1995">
        <v>0.45351619725888698</v>
      </c>
      <c r="W1995">
        <v>3</v>
      </c>
      <c r="X1995">
        <v>75177.749654321</v>
      </c>
      <c r="Y1995">
        <v>168303</v>
      </c>
      <c r="Z1995">
        <v>0.27307406079489699</v>
      </c>
      <c r="AA1995">
        <v>100</v>
      </c>
    </row>
    <row r="1996" spans="1:27" x14ac:dyDescent="0.2">
      <c r="A1996">
        <v>20</v>
      </c>
      <c r="B1996">
        <v>3</v>
      </c>
      <c r="C1996">
        <v>0.2</v>
      </c>
      <c r="D1996" s="4">
        <v>20</v>
      </c>
      <c r="E1996">
        <v>0.96624981853874303</v>
      </c>
      <c r="F1996">
        <v>3</v>
      </c>
      <c r="G1996">
        <v>29.617919764</v>
      </c>
      <c r="H1996">
        <v>0.95603050245912202</v>
      </c>
      <c r="I1996">
        <v>3</v>
      </c>
      <c r="J1996">
        <v>0.93724453600000002</v>
      </c>
      <c r="P1996"/>
      <c r="V1996">
        <v>0.958704523487935</v>
      </c>
      <c r="W1996">
        <v>3</v>
      </c>
      <c r="X1996">
        <v>75245.468398665995</v>
      </c>
      <c r="Y1996">
        <v>97744</v>
      </c>
      <c r="Z1996">
        <v>7.5377229563639306E-2</v>
      </c>
      <c r="AA1996">
        <v>100</v>
      </c>
    </row>
    <row r="1997" spans="1:27" x14ac:dyDescent="0.2">
      <c r="A1997">
        <v>20</v>
      </c>
      <c r="B1997">
        <v>3</v>
      </c>
      <c r="C1997">
        <v>0.1</v>
      </c>
      <c r="D1997" s="4">
        <v>20</v>
      </c>
      <c r="E1997">
        <v>0.99104954638023002</v>
      </c>
      <c r="F1997">
        <v>3</v>
      </c>
      <c r="G1997">
        <v>26.590613818000001</v>
      </c>
      <c r="H1997">
        <v>0.96673058928927402</v>
      </c>
      <c r="I1997">
        <v>3</v>
      </c>
      <c r="J1997">
        <v>0.72358206999999997</v>
      </c>
      <c r="P1997"/>
      <c r="V1997">
        <v>1.0839024904066601</v>
      </c>
      <c r="W1997">
        <v>3</v>
      </c>
      <c r="X1997">
        <v>75301.286651381</v>
      </c>
      <c r="Y1997">
        <v>70378</v>
      </c>
      <c r="Z1997">
        <v>1.49943266945085E-2</v>
      </c>
      <c r="AA1997">
        <v>100</v>
      </c>
    </row>
    <row r="1998" spans="1:27" x14ac:dyDescent="0.2">
      <c r="A1998">
        <v>20</v>
      </c>
      <c r="B1998">
        <v>3</v>
      </c>
      <c r="C1998">
        <v>0.1</v>
      </c>
      <c r="D1998" s="4">
        <v>20</v>
      </c>
      <c r="E1998">
        <v>1.07706055192952</v>
      </c>
      <c r="F1998">
        <v>3</v>
      </c>
      <c r="G1998">
        <v>29.465075330000001</v>
      </c>
      <c r="H1998">
        <v>0.99061946819745705</v>
      </c>
      <c r="I1998">
        <v>3</v>
      </c>
      <c r="J1998">
        <v>0.91306531800000001</v>
      </c>
      <c r="P1998"/>
      <c r="V1998">
        <v>0.99090735894260196</v>
      </c>
      <c r="W1998">
        <v>3</v>
      </c>
      <c r="X1998">
        <v>75384.721758679996</v>
      </c>
      <c r="Y1998">
        <v>78311</v>
      </c>
      <c r="Z1998">
        <v>3.1138637388409799E-3</v>
      </c>
      <c r="AA1998">
        <v>100</v>
      </c>
    </row>
    <row r="1999" spans="1:27" x14ac:dyDescent="0.2">
      <c r="A1999">
        <v>20</v>
      </c>
      <c r="B1999">
        <v>3</v>
      </c>
      <c r="C1999">
        <v>0.2</v>
      </c>
      <c r="D1999" s="4">
        <v>20</v>
      </c>
      <c r="E1999">
        <v>0.93953391846373202</v>
      </c>
      <c r="F1999">
        <v>3</v>
      </c>
      <c r="G1999">
        <v>32.542558472000003</v>
      </c>
      <c r="H1999">
        <v>0.90040632707239998</v>
      </c>
      <c r="I1999">
        <v>3</v>
      </c>
      <c r="J1999">
        <v>1.016073046</v>
      </c>
      <c r="P1999"/>
      <c r="V1999">
        <v>0.90221205613859001</v>
      </c>
      <c r="W1999">
        <v>3</v>
      </c>
      <c r="X1999">
        <v>75433.571058728994</v>
      </c>
      <c r="Y1999">
        <v>203910</v>
      </c>
      <c r="Z1999">
        <v>0.25121779850753401</v>
      </c>
      <c r="AA1999">
        <v>100</v>
      </c>
    </row>
    <row r="2000" spans="1:27" x14ac:dyDescent="0.2">
      <c r="A2000">
        <v>20</v>
      </c>
      <c r="B2000">
        <v>3</v>
      </c>
      <c r="C2000">
        <v>0.2</v>
      </c>
      <c r="D2000" s="4">
        <v>20</v>
      </c>
      <c r="E2000">
        <v>0.87071072123401505</v>
      </c>
      <c r="F2000">
        <v>3</v>
      </c>
      <c r="G2000">
        <v>30.660555565999999</v>
      </c>
      <c r="H2000">
        <v>0.82088674048254595</v>
      </c>
      <c r="I2000">
        <v>3</v>
      </c>
      <c r="J2000">
        <v>0.98717578100000003</v>
      </c>
      <c r="P2000"/>
      <c r="V2000">
        <v>0.825661788598267</v>
      </c>
      <c r="W2000">
        <v>3</v>
      </c>
      <c r="X2000">
        <v>75442.556166645998</v>
      </c>
      <c r="Y2000">
        <v>70296</v>
      </c>
      <c r="Z2000">
        <v>8.3434514116087002E-2</v>
      </c>
      <c r="AA2000">
        <v>100</v>
      </c>
    </row>
    <row r="2001" spans="1:27" x14ac:dyDescent="0.2">
      <c r="A2001">
        <v>20</v>
      </c>
      <c r="B2001">
        <v>3</v>
      </c>
      <c r="C2001">
        <v>0.4</v>
      </c>
      <c r="D2001" s="4">
        <v>20</v>
      </c>
      <c r="E2001">
        <v>0.39447421366890201</v>
      </c>
      <c r="F2001">
        <v>3</v>
      </c>
      <c r="G2001">
        <v>26.283198416000001</v>
      </c>
      <c r="H2001">
        <v>6.38657175675795E-2</v>
      </c>
      <c r="I2001">
        <v>3</v>
      </c>
      <c r="J2001">
        <v>0.68103863399999998</v>
      </c>
      <c r="P2001"/>
      <c r="V2001">
        <v>6.1309866238806403E-2</v>
      </c>
      <c r="W2001">
        <v>3</v>
      </c>
      <c r="X2001">
        <v>75568.071641930001</v>
      </c>
      <c r="Y2001">
        <v>55058</v>
      </c>
      <c r="Z2001">
        <v>0.97906421292156898</v>
      </c>
      <c r="AA2001">
        <v>100</v>
      </c>
    </row>
    <row r="2002" spans="1:27" x14ac:dyDescent="0.2">
      <c r="A2002">
        <v>20</v>
      </c>
      <c r="B2002">
        <v>3</v>
      </c>
      <c r="C2002">
        <v>0.3</v>
      </c>
      <c r="D2002" s="4">
        <v>20</v>
      </c>
      <c r="E2002">
        <v>0.42405677663048003</v>
      </c>
      <c r="F2002">
        <v>3</v>
      </c>
      <c r="G2002">
        <v>37.707743360999999</v>
      </c>
      <c r="H2002">
        <v>0.24147009754142201</v>
      </c>
      <c r="I2002">
        <v>3</v>
      </c>
      <c r="J2002">
        <v>1.1563071359999999</v>
      </c>
      <c r="P2002"/>
      <c r="V2002">
        <v>0.23670986187228399</v>
      </c>
      <c r="W2002">
        <v>3</v>
      </c>
      <c r="X2002">
        <v>75968.502980652993</v>
      </c>
      <c r="Y2002">
        <v>3950</v>
      </c>
      <c r="Z2002">
        <v>0.55447983142403201</v>
      </c>
      <c r="AA2002">
        <v>100</v>
      </c>
    </row>
    <row r="2003" spans="1:27" x14ac:dyDescent="0.2">
      <c r="A2003">
        <v>20</v>
      </c>
      <c r="B2003">
        <v>3</v>
      </c>
      <c r="C2003">
        <v>0.1</v>
      </c>
      <c r="D2003" s="4">
        <v>20</v>
      </c>
      <c r="E2003">
        <v>1.1390047994102701</v>
      </c>
      <c r="F2003">
        <v>3</v>
      </c>
      <c r="G2003">
        <v>28.524151993</v>
      </c>
      <c r="H2003">
        <v>1.0180057464394701</v>
      </c>
      <c r="I2003">
        <v>3</v>
      </c>
      <c r="J2003">
        <v>0.84802643799999999</v>
      </c>
      <c r="P2003"/>
      <c r="V2003">
        <v>0.94200517020665997</v>
      </c>
      <c r="W2003">
        <v>3</v>
      </c>
      <c r="X2003">
        <v>76078.227786706004</v>
      </c>
      <c r="Y2003">
        <v>113005</v>
      </c>
      <c r="Z2003">
        <v>1.3570365991731099E-2</v>
      </c>
      <c r="AA2003">
        <v>100</v>
      </c>
    </row>
    <row r="2004" spans="1:27" x14ac:dyDescent="0.2">
      <c r="A2004">
        <v>20</v>
      </c>
      <c r="B2004">
        <v>3</v>
      </c>
      <c r="C2004">
        <v>0.2</v>
      </c>
      <c r="D2004" s="4">
        <v>20</v>
      </c>
      <c r="E2004">
        <v>1.0171750492843601</v>
      </c>
      <c r="F2004">
        <v>3</v>
      </c>
      <c r="G2004">
        <v>28.497372819999999</v>
      </c>
      <c r="H2004">
        <v>0.94877833732691397</v>
      </c>
      <c r="I2004">
        <v>3</v>
      </c>
      <c r="J2004">
        <v>0.89489278999999999</v>
      </c>
      <c r="P2004"/>
      <c r="V2004">
        <v>0.95063461724175902</v>
      </c>
      <c r="W2004">
        <v>3</v>
      </c>
      <c r="X2004">
        <v>76183.703933052006</v>
      </c>
      <c r="Y2004">
        <v>3910</v>
      </c>
      <c r="Z2004">
        <v>0.161775393245989</v>
      </c>
      <c r="AA2004">
        <v>100</v>
      </c>
    </row>
    <row r="2005" spans="1:27" x14ac:dyDescent="0.2">
      <c r="A2005">
        <v>20</v>
      </c>
      <c r="B2005">
        <v>3</v>
      </c>
      <c r="C2005">
        <v>0.4</v>
      </c>
      <c r="D2005" s="4">
        <v>20</v>
      </c>
      <c r="E2005">
        <v>0.37319049568521501</v>
      </c>
      <c r="F2005">
        <v>3</v>
      </c>
      <c r="G2005">
        <v>37.715379415000001</v>
      </c>
      <c r="H2005">
        <v>0.25519212009461301</v>
      </c>
      <c r="I2005">
        <v>3</v>
      </c>
      <c r="J2005">
        <v>0.54350194299999999</v>
      </c>
      <c r="P2005"/>
      <c r="V2005">
        <v>0.238878744737999</v>
      </c>
      <c r="W2005">
        <v>3</v>
      </c>
      <c r="X2005">
        <v>76179.744586446002</v>
      </c>
      <c r="Y2005">
        <v>3522</v>
      </c>
      <c r="Z2005">
        <v>0.71072994909627596</v>
      </c>
      <c r="AA2005">
        <v>100</v>
      </c>
    </row>
    <row r="2006" spans="1:27" x14ac:dyDescent="0.2">
      <c r="A2006">
        <v>20</v>
      </c>
      <c r="B2006">
        <v>3</v>
      </c>
      <c r="C2006">
        <v>0.4</v>
      </c>
      <c r="D2006" s="4">
        <v>20</v>
      </c>
      <c r="E2006">
        <v>0.30746242121643103</v>
      </c>
      <c r="F2006">
        <v>3</v>
      </c>
      <c r="G2006">
        <v>28.165315863</v>
      </c>
      <c r="H2006">
        <v>7.4752765079649799E-2</v>
      </c>
      <c r="I2006">
        <v>3</v>
      </c>
      <c r="J2006">
        <v>0.51350279499999996</v>
      </c>
      <c r="P2006"/>
      <c r="V2006">
        <v>6.7333965468849497E-2</v>
      </c>
      <c r="W2006">
        <v>3</v>
      </c>
      <c r="X2006">
        <v>76286.684775672999</v>
      </c>
      <c r="Y2006">
        <v>3490</v>
      </c>
      <c r="Z2006">
        <v>1.3711131587224299</v>
      </c>
      <c r="AA2006">
        <v>100</v>
      </c>
    </row>
    <row r="2007" spans="1:27" x14ac:dyDescent="0.2">
      <c r="A2007">
        <v>20</v>
      </c>
      <c r="B2007">
        <v>3</v>
      </c>
      <c r="C2007">
        <v>0.4</v>
      </c>
      <c r="D2007" s="4">
        <v>20</v>
      </c>
      <c r="E2007">
        <v>0.37201178475486801</v>
      </c>
      <c r="F2007">
        <v>3</v>
      </c>
      <c r="G2007">
        <v>27.629999297000001</v>
      </c>
      <c r="H2007">
        <v>0.26727948990023198</v>
      </c>
      <c r="I2007">
        <v>3</v>
      </c>
      <c r="J2007">
        <v>0.41128458600000001</v>
      </c>
      <c r="P2007"/>
      <c r="V2007">
        <v>0.26590904188130798</v>
      </c>
      <c r="W2007">
        <v>3</v>
      </c>
      <c r="X2007">
        <v>76296.853183619998</v>
      </c>
      <c r="Y2007">
        <v>139228</v>
      </c>
      <c r="Z2007">
        <v>0.33812832074176502</v>
      </c>
      <c r="AA2007">
        <v>100</v>
      </c>
    </row>
    <row r="2008" spans="1:27" x14ac:dyDescent="0.2">
      <c r="A2008">
        <v>20</v>
      </c>
      <c r="B2008">
        <v>3</v>
      </c>
      <c r="C2008">
        <v>0.3</v>
      </c>
      <c r="D2008" s="4">
        <v>20</v>
      </c>
      <c r="E2008">
        <v>0.89267155244366703</v>
      </c>
      <c r="F2008">
        <v>3</v>
      </c>
      <c r="G2008">
        <v>30.544246946000001</v>
      </c>
      <c r="H2008">
        <v>0.95053356306819203</v>
      </c>
      <c r="I2008">
        <v>3</v>
      </c>
      <c r="J2008">
        <v>1.0061991320000001</v>
      </c>
      <c r="P2008"/>
      <c r="V2008">
        <v>0.95758669568572796</v>
      </c>
      <c r="W2008">
        <v>3</v>
      </c>
      <c r="X2008">
        <v>76302.037547386004</v>
      </c>
      <c r="Y2008">
        <v>3700</v>
      </c>
      <c r="Z2008">
        <v>0.60579754502941796</v>
      </c>
      <c r="AA2008">
        <v>100</v>
      </c>
    </row>
    <row r="2009" spans="1:27" x14ac:dyDescent="0.2">
      <c r="A2009">
        <v>20</v>
      </c>
      <c r="B2009">
        <v>3</v>
      </c>
      <c r="C2009">
        <v>0.2</v>
      </c>
      <c r="D2009" s="4">
        <v>20</v>
      </c>
      <c r="E2009">
        <v>0.87890099532583599</v>
      </c>
      <c r="F2009">
        <v>3</v>
      </c>
      <c r="G2009">
        <v>24.913794139</v>
      </c>
      <c r="H2009">
        <v>0.83512103418106498</v>
      </c>
      <c r="I2009">
        <v>3</v>
      </c>
      <c r="J2009">
        <v>0.80354772799999996</v>
      </c>
      <c r="P2009"/>
      <c r="V2009">
        <v>0.83718470489673402</v>
      </c>
      <c r="W2009">
        <v>3</v>
      </c>
      <c r="X2009">
        <v>76440.270948959995</v>
      </c>
      <c r="Y2009">
        <v>3383</v>
      </c>
      <c r="Z2009">
        <v>0.10068400438467499</v>
      </c>
      <c r="AA2009">
        <v>100</v>
      </c>
    </row>
    <row r="2010" spans="1:27" x14ac:dyDescent="0.2">
      <c r="A2010">
        <v>20</v>
      </c>
      <c r="B2010">
        <v>3</v>
      </c>
      <c r="C2010">
        <v>0.3</v>
      </c>
      <c r="D2010" s="4">
        <v>20</v>
      </c>
      <c r="E2010">
        <v>0.60948013681643598</v>
      </c>
      <c r="F2010">
        <v>3</v>
      </c>
      <c r="G2010">
        <v>26.551135689999999</v>
      </c>
      <c r="H2010">
        <v>0.40787209205002101</v>
      </c>
      <c r="I2010">
        <v>3</v>
      </c>
      <c r="J2010">
        <v>0.69990514299999995</v>
      </c>
      <c r="P2010"/>
      <c r="V2010">
        <v>0.40973014611644498</v>
      </c>
      <c r="W2010">
        <v>3</v>
      </c>
      <c r="X2010">
        <v>76849.229838624</v>
      </c>
      <c r="Y2010">
        <v>102527</v>
      </c>
      <c r="Z2010">
        <v>0.21739987456120399</v>
      </c>
      <c r="AA2010">
        <v>100</v>
      </c>
    </row>
    <row r="2011" spans="1:27" x14ac:dyDescent="0.2">
      <c r="A2011">
        <v>20</v>
      </c>
      <c r="B2011">
        <v>3</v>
      </c>
      <c r="C2011">
        <v>0.3</v>
      </c>
      <c r="D2011" s="4">
        <v>20</v>
      </c>
      <c r="E2011">
        <v>0.68178514596738904</v>
      </c>
      <c r="F2011">
        <v>3</v>
      </c>
      <c r="G2011">
        <v>25.912426330999999</v>
      </c>
      <c r="H2011">
        <v>0.36772769321715498</v>
      </c>
      <c r="I2011">
        <v>3</v>
      </c>
      <c r="J2011">
        <v>0.65751309499999999</v>
      </c>
      <c r="P2011"/>
      <c r="V2011">
        <v>0.36345279761558102</v>
      </c>
      <c r="W2011">
        <v>3</v>
      </c>
      <c r="X2011">
        <v>76857.145930643004</v>
      </c>
      <c r="Y2011">
        <v>3490</v>
      </c>
      <c r="Z2011">
        <v>0.49636108290178499</v>
      </c>
      <c r="AA2011">
        <v>100</v>
      </c>
    </row>
    <row r="2012" spans="1:27" x14ac:dyDescent="0.2">
      <c r="A2012">
        <v>20</v>
      </c>
      <c r="B2012">
        <v>3</v>
      </c>
      <c r="C2012">
        <v>0.4</v>
      </c>
      <c r="D2012" s="4">
        <v>20</v>
      </c>
      <c r="E2012">
        <v>0.39843212311163401</v>
      </c>
      <c r="F2012">
        <v>3</v>
      </c>
      <c r="G2012">
        <v>29.032917616999999</v>
      </c>
      <c r="H2012">
        <v>0.22740264155960599</v>
      </c>
      <c r="I2012">
        <v>3</v>
      </c>
      <c r="J2012">
        <v>0.64350030700000005</v>
      </c>
      <c r="P2012"/>
      <c r="V2012">
        <v>0.22524799767360501</v>
      </c>
      <c r="W2012">
        <v>3</v>
      </c>
      <c r="X2012">
        <v>77136.706837659003</v>
      </c>
      <c r="Y2012">
        <v>3405</v>
      </c>
      <c r="Z2012">
        <v>1.0085209308272101</v>
      </c>
      <c r="AA2012">
        <v>100</v>
      </c>
    </row>
    <row r="2013" spans="1:27" x14ac:dyDescent="0.2">
      <c r="A2013">
        <v>30</v>
      </c>
      <c r="B2013">
        <v>1</v>
      </c>
      <c r="C2013">
        <v>0.4</v>
      </c>
      <c r="D2013">
        <v>20</v>
      </c>
      <c r="E2013">
        <v>4.9103073821050197E-2</v>
      </c>
      <c r="F2013">
        <v>1</v>
      </c>
      <c r="G2013">
        <v>33.250036350000002</v>
      </c>
      <c r="H2013">
        <v>6.3429069213848693E-2</v>
      </c>
      <c r="I2013">
        <v>1</v>
      </c>
      <c r="J2013">
        <v>0.18971276400000001</v>
      </c>
      <c r="P2013"/>
      <c r="V2013">
        <v>4.3633650516264097E-2</v>
      </c>
      <c r="W2013">
        <v>1</v>
      </c>
      <c r="X2013">
        <v>108.00293807</v>
      </c>
      <c r="Y2013">
        <v>95</v>
      </c>
      <c r="Z2013">
        <v>4.14166702285001E-3</v>
      </c>
      <c r="AA2013">
        <v>54</v>
      </c>
    </row>
    <row r="2014" spans="1:27" x14ac:dyDescent="0.2">
      <c r="A2014">
        <v>30</v>
      </c>
      <c r="B2014">
        <v>1</v>
      </c>
      <c r="C2014">
        <v>0.3</v>
      </c>
      <c r="D2014">
        <v>20</v>
      </c>
      <c r="E2014">
        <v>5.7501838667442899E-2</v>
      </c>
      <c r="F2014">
        <v>1</v>
      </c>
      <c r="G2014">
        <v>30.809046398</v>
      </c>
      <c r="H2014">
        <v>6.8037028718362993E-2</v>
      </c>
      <c r="I2014">
        <v>1</v>
      </c>
      <c r="J2014">
        <v>0.23518772600000001</v>
      </c>
      <c r="P2014"/>
      <c r="V2014">
        <v>4.3860849080547902E-2</v>
      </c>
      <c r="W2014">
        <v>1</v>
      </c>
      <c r="X2014">
        <v>106.162803231</v>
      </c>
      <c r="Y2014">
        <v>393</v>
      </c>
      <c r="Z2014">
        <v>3.23927699465986E-4</v>
      </c>
      <c r="AA2014">
        <v>1</v>
      </c>
    </row>
    <row r="2015" spans="1:27" x14ac:dyDescent="0.2">
      <c r="A2015">
        <v>30</v>
      </c>
      <c r="B2015">
        <v>1</v>
      </c>
      <c r="C2015">
        <v>0.3</v>
      </c>
      <c r="D2015">
        <v>20</v>
      </c>
      <c r="E2015">
        <v>5.4360453898047598E-2</v>
      </c>
      <c r="F2015">
        <v>1</v>
      </c>
      <c r="G2015">
        <v>33.048393373000003</v>
      </c>
      <c r="H2015">
        <v>7.3010948526334801E-2</v>
      </c>
      <c r="I2015">
        <v>1</v>
      </c>
      <c r="J2015">
        <v>0.176786528</v>
      </c>
      <c r="P2015"/>
      <c r="V2015">
        <v>5.2943925296297101E-2</v>
      </c>
      <c r="W2015">
        <v>1</v>
      </c>
      <c r="X2015">
        <v>290.23951535899999</v>
      </c>
      <c r="Y2015">
        <v>631</v>
      </c>
      <c r="Z2015">
        <v>3.1298897120652898E-3</v>
      </c>
      <c r="AA2015">
        <v>5</v>
      </c>
    </row>
    <row r="2016" spans="1:27" x14ac:dyDescent="0.2">
      <c r="A2016">
        <v>30</v>
      </c>
      <c r="B2016">
        <v>1</v>
      </c>
      <c r="C2016">
        <v>0.4</v>
      </c>
      <c r="D2016">
        <v>20</v>
      </c>
      <c r="E2016">
        <v>5.1413406810574103E-2</v>
      </c>
      <c r="F2016">
        <v>1</v>
      </c>
      <c r="G2016">
        <v>34.970225593000002</v>
      </c>
      <c r="H2016">
        <v>6.5145831404848295E-2</v>
      </c>
      <c r="I2016">
        <v>1</v>
      </c>
      <c r="J2016">
        <v>0.21752867200000001</v>
      </c>
      <c r="K2016">
        <v>0.17901202139165501</v>
      </c>
      <c r="L2016">
        <v>1</v>
      </c>
      <c r="M2016">
        <v>30002.137716931</v>
      </c>
      <c r="N2016">
        <v>750259</v>
      </c>
      <c r="O2016">
        <v>4.1675656759687802</v>
      </c>
      <c r="P2016">
        <v>4.56524539687026E-2</v>
      </c>
      <c r="Q2016">
        <v>1</v>
      </c>
      <c r="R2016">
        <v>30377.006359387</v>
      </c>
      <c r="S2016">
        <v>30983</v>
      </c>
      <c r="T2016" s="1">
        <v>2.63419967136968E-5</v>
      </c>
      <c r="U2016">
        <v>30986</v>
      </c>
      <c r="V2016">
        <v>4.5664932537437398E-2</v>
      </c>
      <c r="W2016">
        <v>1</v>
      </c>
      <c r="X2016">
        <v>32.814911336999998</v>
      </c>
      <c r="Y2016">
        <v>100</v>
      </c>
      <c r="Z2016">
        <v>1.2316709954030001E-3</v>
      </c>
      <c r="AA2016">
        <v>1</v>
      </c>
    </row>
    <row r="2017" spans="1:27" x14ac:dyDescent="0.2">
      <c r="A2017">
        <v>10</v>
      </c>
      <c r="B2017">
        <v>2</v>
      </c>
      <c r="C2017">
        <v>0.2</v>
      </c>
      <c r="D2017">
        <v>20</v>
      </c>
      <c r="E2017">
        <v>1.2343011800354</v>
      </c>
      <c r="F2017">
        <v>2</v>
      </c>
      <c r="G2017">
        <v>27.434928727999999</v>
      </c>
      <c r="H2017">
        <v>1.0129363460544401</v>
      </c>
      <c r="I2017">
        <v>2</v>
      </c>
      <c r="J2017">
        <v>0.28909373199999999</v>
      </c>
      <c r="P2017"/>
      <c r="V2017">
        <v>1.0151561600312999</v>
      </c>
      <c r="W2017">
        <v>2</v>
      </c>
      <c r="X2017">
        <v>25.579102690999999</v>
      </c>
      <c r="Y2017">
        <v>1</v>
      </c>
      <c r="Z2017">
        <v>1.1170135167049E-3</v>
      </c>
      <c r="AA2017">
        <v>1</v>
      </c>
    </row>
    <row r="2018" spans="1:27" x14ac:dyDescent="0.2">
      <c r="A2018">
        <v>10</v>
      </c>
      <c r="B2018">
        <v>2</v>
      </c>
      <c r="C2018">
        <v>0.2</v>
      </c>
      <c r="D2018">
        <v>20</v>
      </c>
      <c r="E2018">
        <v>0.99177130014789205</v>
      </c>
      <c r="F2018">
        <v>2</v>
      </c>
      <c r="G2018">
        <v>29.804205559</v>
      </c>
      <c r="H2018">
        <v>0.95945311571087</v>
      </c>
      <c r="I2018">
        <v>2</v>
      </c>
      <c r="J2018">
        <v>0.236568889</v>
      </c>
      <c r="P2018"/>
      <c r="V2018">
        <v>0.96325142443279499</v>
      </c>
      <c r="W2018">
        <v>2</v>
      </c>
      <c r="X2018">
        <v>28.041274679000001</v>
      </c>
      <c r="Y2018">
        <v>1</v>
      </c>
      <c r="Z2018">
        <v>4.4490858217613996E-3</v>
      </c>
      <c r="AA2018">
        <v>1</v>
      </c>
    </row>
    <row r="2019" spans="1:27" x14ac:dyDescent="0.2">
      <c r="A2019">
        <v>10</v>
      </c>
      <c r="B2019">
        <v>2</v>
      </c>
      <c r="C2019">
        <v>0.1</v>
      </c>
      <c r="D2019">
        <v>20</v>
      </c>
      <c r="E2019">
        <v>0.99545987577875406</v>
      </c>
      <c r="F2019">
        <v>2</v>
      </c>
      <c r="G2019">
        <v>27.297893539</v>
      </c>
      <c r="H2019">
        <v>0.95583465024016001</v>
      </c>
      <c r="I2019">
        <v>2</v>
      </c>
      <c r="J2019">
        <v>8.0547523999999995E-2</v>
      </c>
      <c r="P2019"/>
      <c r="V2019">
        <v>0.92928716198328598</v>
      </c>
      <c r="W2019">
        <v>2</v>
      </c>
      <c r="X2019">
        <v>51.488362774999999</v>
      </c>
      <c r="Y2019">
        <v>11116</v>
      </c>
      <c r="Z2019">
        <v>1.1216103506722899E-3</v>
      </c>
      <c r="AA2019">
        <v>1</v>
      </c>
    </row>
    <row r="2020" spans="1:27" x14ac:dyDescent="0.2">
      <c r="A2020">
        <v>10</v>
      </c>
      <c r="B2020">
        <v>2</v>
      </c>
      <c r="C2020">
        <v>0.1</v>
      </c>
      <c r="D2020">
        <v>20</v>
      </c>
      <c r="E2020">
        <v>0.98514112303638701</v>
      </c>
      <c r="F2020">
        <v>2</v>
      </c>
      <c r="G2020">
        <v>34.646971878000002</v>
      </c>
      <c r="H2020">
        <v>0.98554450790091597</v>
      </c>
      <c r="I2020">
        <v>2</v>
      </c>
      <c r="J2020">
        <v>6.1929616E-2</v>
      </c>
      <c r="P2020"/>
      <c r="V2020">
        <v>0.96980898163808404</v>
      </c>
      <c r="W2020">
        <v>2</v>
      </c>
      <c r="X2020">
        <v>52.844903746</v>
      </c>
      <c r="Y2020">
        <v>3812</v>
      </c>
      <c r="Z2020">
        <v>1.8351801609047601E-4</v>
      </c>
      <c r="AA2020">
        <v>1</v>
      </c>
    </row>
    <row r="2021" spans="1:27" x14ac:dyDescent="0.2">
      <c r="A2021">
        <v>10</v>
      </c>
      <c r="B2021">
        <v>2</v>
      </c>
      <c r="C2021">
        <v>0.1</v>
      </c>
      <c r="D2021">
        <v>20</v>
      </c>
      <c r="E2021">
        <v>1.08586293549946</v>
      </c>
      <c r="F2021">
        <v>2</v>
      </c>
      <c r="G2021">
        <v>32.030886109000001</v>
      </c>
      <c r="H2021">
        <v>1.0899456277153601</v>
      </c>
      <c r="I2021">
        <v>2</v>
      </c>
      <c r="J2021">
        <v>0.119823101</v>
      </c>
      <c r="P2021"/>
      <c r="V2021">
        <v>0.97639377059713806</v>
      </c>
      <c r="W2021">
        <v>2</v>
      </c>
      <c r="X2021">
        <v>106.87747652</v>
      </c>
      <c r="Y2021">
        <v>25318</v>
      </c>
      <c r="Z2021">
        <v>4.86717917398932E-4</v>
      </c>
      <c r="AA2021">
        <v>1</v>
      </c>
    </row>
    <row r="2022" spans="1:27" x14ac:dyDescent="0.2">
      <c r="A2022">
        <v>10</v>
      </c>
      <c r="B2022">
        <v>2</v>
      </c>
      <c r="C2022">
        <v>0.1</v>
      </c>
      <c r="D2022">
        <v>20</v>
      </c>
      <c r="E2022">
        <v>0.96425403046652303</v>
      </c>
      <c r="F2022">
        <v>2</v>
      </c>
      <c r="G2022">
        <v>28.369743286999999</v>
      </c>
      <c r="H2022">
        <v>0.93474934193315495</v>
      </c>
      <c r="I2022">
        <v>2</v>
      </c>
      <c r="J2022">
        <v>0.16333783599999999</v>
      </c>
      <c r="P2022"/>
      <c r="V2022">
        <v>0.97886567893272602</v>
      </c>
      <c r="W2022">
        <v>2</v>
      </c>
      <c r="X2022">
        <v>73.803303924999994</v>
      </c>
      <c r="Y2022">
        <v>8945</v>
      </c>
      <c r="Z2022">
        <v>1.8229009127908999E-4</v>
      </c>
      <c r="AA2022">
        <v>1</v>
      </c>
    </row>
    <row r="2023" spans="1:27" x14ac:dyDescent="0.2">
      <c r="A2023">
        <v>10</v>
      </c>
      <c r="B2023">
        <v>2</v>
      </c>
      <c r="C2023">
        <v>0.2</v>
      </c>
      <c r="D2023">
        <v>20</v>
      </c>
      <c r="E2023">
        <v>0.94477876276655204</v>
      </c>
      <c r="F2023">
        <v>2</v>
      </c>
      <c r="G2023">
        <v>33.164274374999998</v>
      </c>
      <c r="H2023">
        <v>0.95066352446887703</v>
      </c>
      <c r="I2023">
        <v>2</v>
      </c>
      <c r="J2023">
        <v>0.158370972</v>
      </c>
      <c r="P2023"/>
      <c r="V2023">
        <v>0.93546120115045495</v>
      </c>
      <c r="W2023">
        <v>2</v>
      </c>
      <c r="X2023">
        <v>153.33528100000001</v>
      </c>
      <c r="Y2023">
        <v>12166</v>
      </c>
      <c r="Z2023">
        <v>1.12580750828088E-3</v>
      </c>
      <c r="AA2023">
        <v>1</v>
      </c>
    </row>
    <row r="2024" spans="1:27" x14ac:dyDescent="0.2">
      <c r="A2024">
        <v>10</v>
      </c>
      <c r="B2024">
        <v>2</v>
      </c>
      <c r="C2024">
        <v>0.1</v>
      </c>
      <c r="D2024">
        <v>20</v>
      </c>
      <c r="E2024">
        <v>0.96048622251279903</v>
      </c>
      <c r="F2024">
        <v>2</v>
      </c>
      <c r="G2024">
        <v>33.907330514999998</v>
      </c>
      <c r="H2024">
        <v>0.96501673198731597</v>
      </c>
      <c r="I2024">
        <v>2</v>
      </c>
      <c r="J2024">
        <v>0.12544298400000001</v>
      </c>
      <c r="P2024"/>
      <c r="V2024">
        <v>0.97335806994555396</v>
      </c>
      <c r="W2024">
        <v>2</v>
      </c>
      <c r="X2024">
        <v>334.72636633799999</v>
      </c>
      <c r="Y2024">
        <v>46335</v>
      </c>
      <c r="Z2024" s="1">
        <v>5.2814823857855098E-5</v>
      </c>
      <c r="AA2024">
        <v>1</v>
      </c>
    </row>
    <row r="2025" spans="1:27" x14ac:dyDescent="0.2">
      <c r="A2025">
        <v>10</v>
      </c>
      <c r="B2025">
        <v>2</v>
      </c>
      <c r="C2025">
        <v>0.1</v>
      </c>
      <c r="D2025">
        <v>20</v>
      </c>
      <c r="E2025">
        <v>0.98326774621874102</v>
      </c>
      <c r="F2025">
        <v>2</v>
      </c>
      <c r="G2025">
        <v>29.038414168999999</v>
      </c>
      <c r="H2025">
        <v>0.98234583260904895</v>
      </c>
      <c r="I2025">
        <v>2</v>
      </c>
      <c r="J2025">
        <v>3.7945942000000003E-2</v>
      </c>
      <c r="P2025"/>
      <c r="V2025">
        <v>0.97283435363950699</v>
      </c>
      <c r="W2025">
        <v>2</v>
      </c>
      <c r="X2025">
        <v>502.44699272899999</v>
      </c>
      <c r="Y2025">
        <v>55780</v>
      </c>
      <c r="Z2025">
        <v>1.60453596962206E-4</v>
      </c>
      <c r="AA2025">
        <v>1</v>
      </c>
    </row>
    <row r="2026" spans="1:27" x14ac:dyDescent="0.2">
      <c r="A2026">
        <v>10</v>
      </c>
      <c r="B2026">
        <v>2</v>
      </c>
      <c r="C2026">
        <v>0.1</v>
      </c>
      <c r="D2026">
        <v>20</v>
      </c>
      <c r="E2026">
        <v>0.98599952149737802</v>
      </c>
      <c r="F2026">
        <v>2</v>
      </c>
      <c r="G2026">
        <v>28.141447363000001</v>
      </c>
      <c r="H2026">
        <v>0.98479869429631905</v>
      </c>
      <c r="I2026">
        <v>2</v>
      </c>
      <c r="J2026">
        <v>5.8059098000000003E-2</v>
      </c>
      <c r="P2026"/>
      <c r="V2026">
        <v>0.97265604987165799</v>
      </c>
      <c r="W2026">
        <v>2</v>
      </c>
      <c r="X2026">
        <v>1217.0926123849999</v>
      </c>
      <c r="Y2026">
        <v>70442</v>
      </c>
      <c r="Z2026">
        <v>6.7629084272265497E-4</v>
      </c>
      <c r="AA2026">
        <v>1</v>
      </c>
    </row>
    <row r="2027" spans="1:27" x14ac:dyDescent="0.2">
      <c r="A2027">
        <v>10</v>
      </c>
      <c r="B2027">
        <v>2</v>
      </c>
      <c r="C2027">
        <v>0.1</v>
      </c>
      <c r="D2027">
        <v>20</v>
      </c>
      <c r="E2027">
        <v>0.88071198104822501</v>
      </c>
      <c r="F2027">
        <v>2</v>
      </c>
      <c r="G2027">
        <v>28.534940553999999</v>
      </c>
      <c r="H2027">
        <v>0.87488626761326505</v>
      </c>
      <c r="I2027">
        <v>2</v>
      </c>
      <c r="J2027">
        <v>0.187837375</v>
      </c>
      <c r="P2027"/>
      <c r="V2027">
        <v>0.90552511364851995</v>
      </c>
      <c r="W2027">
        <v>2</v>
      </c>
      <c r="X2027">
        <v>1217.9986868440001</v>
      </c>
      <c r="Y2027">
        <v>62403</v>
      </c>
      <c r="Z2027">
        <v>7.3610180279806703E-4</v>
      </c>
      <c r="AA2027">
        <v>1</v>
      </c>
    </row>
    <row r="2028" spans="1:27" x14ac:dyDescent="0.2">
      <c r="A2028">
        <v>10</v>
      </c>
      <c r="B2028">
        <v>2</v>
      </c>
      <c r="C2028">
        <v>0.1</v>
      </c>
      <c r="D2028">
        <v>20</v>
      </c>
      <c r="E2028">
        <v>0.97411244084795501</v>
      </c>
      <c r="F2028">
        <v>2</v>
      </c>
      <c r="G2028">
        <v>27.583391509999998</v>
      </c>
      <c r="H2028">
        <v>0.97291284014406199</v>
      </c>
      <c r="I2028">
        <v>2</v>
      </c>
      <c r="J2028">
        <v>0.117797608</v>
      </c>
      <c r="P2028"/>
      <c r="V2028">
        <v>0.98067680120255596</v>
      </c>
      <c r="W2028">
        <v>2</v>
      </c>
      <c r="X2028">
        <v>1222.575273406</v>
      </c>
      <c r="Y2028">
        <v>1</v>
      </c>
      <c r="Z2028">
        <v>1.49610612918534E-3</v>
      </c>
      <c r="AA2028">
        <v>2</v>
      </c>
    </row>
    <row r="2029" spans="1:27" x14ac:dyDescent="0.2">
      <c r="A2029">
        <v>10</v>
      </c>
      <c r="B2029">
        <v>2</v>
      </c>
      <c r="C2029">
        <v>0.2</v>
      </c>
      <c r="D2029">
        <v>20</v>
      </c>
      <c r="E2029">
        <v>0.96370670543843895</v>
      </c>
      <c r="F2029">
        <v>2</v>
      </c>
      <c r="G2029">
        <v>28.639938517000001</v>
      </c>
      <c r="H2029">
        <v>0.96904317406686502</v>
      </c>
      <c r="I2029">
        <v>2</v>
      </c>
      <c r="J2029">
        <v>6.4696773999999999E-2</v>
      </c>
      <c r="P2029"/>
      <c r="V2029">
        <v>0.87006298137433702</v>
      </c>
      <c r="W2029">
        <v>2</v>
      </c>
      <c r="X2029">
        <v>1224.0335654630001</v>
      </c>
      <c r="Y2029">
        <v>1</v>
      </c>
      <c r="Z2029">
        <v>5.4125505762326002E-3</v>
      </c>
      <c r="AA2029">
        <v>2</v>
      </c>
    </row>
    <row r="2030" spans="1:27" x14ac:dyDescent="0.2">
      <c r="A2030">
        <v>10</v>
      </c>
      <c r="B2030">
        <v>2</v>
      </c>
      <c r="C2030">
        <v>0.2</v>
      </c>
      <c r="D2030">
        <v>20</v>
      </c>
      <c r="E2030">
        <v>0.91877404392890205</v>
      </c>
      <c r="F2030">
        <v>2</v>
      </c>
      <c r="G2030">
        <v>24.349280894</v>
      </c>
      <c r="H2030">
        <v>0.90752729174801094</v>
      </c>
      <c r="I2030">
        <v>2</v>
      </c>
      <c r="J2030">
        <v>9.2087399E-2</v>
      </c>
      <c r="P2030"/>
      <c r="V2030">
        <v>1.00937622985804</v>
      </c>
      <c r="W2030">
        <v>2</v>
      </c>
      <c r="X2030">
        <v>5025.7486659249998</v>
      </c>
      <c r="Y2030">
        <v>100511</v>
      </c>
      <c r="Z2030">
        <v>3.9708682561467798E-3</v>
      </c>
      <c r="AA2030">
        <v>17</v>
      </c>
    </row>
    <row r="2031" spans="1:27" x14ac:dyDescent="0.2">
      <c r="A2031">
        <v>10</v>
      </c>
      <c r="B2031">
        <v>2</v>
      </c>
      <c r="C2031">
        <v>0.2</v>
      </c>
      <c r="D2031">
        <v>20</v>
      </c>
      <c r="E2031">
        <v>0.87092104585187702</v>
      </c>
      <c r="F2031">
        <v>2</v>
      </c>
      <c r="G2031">
        <v>27.790544543999999</v>
      </c>
      <c r="H2031">
        <v>0.92412503618344199</v>
      </c>
      <c r="I2031">
        <v>2</v>
      </c>
      <c r="J2031">
        <v>9.7772018000000002E-2</v>
      </c>
      <c r="P2031"/>
      <c r="V2031">
        <v>0.92380620870347596</v>
      </c>
      <c r="W2031">
        <v>2</v>
      </c>
      <c r="X2031">
        <v>20224.148650472001</v>
      </c>
      <c r="Y2031">
        <v>301205</v>
      </c>
      <c r="Z2031">
        <v>2.26236901867726E-3</v>
      </c>
      <c r="AA2031">
        <v>40</v>
      </c>
    </row>
    <row r="2032" spans="1:27" x14ac:dyDescent="0.2">
      <c r="A2032">
        <v>10</v>
      </c>
      <c r="B2032">
        <v>2</v>
      </c>
      <c r="C2032">
        <v>0.2</v>
      </c>
      <c r="D2032">
        <v>20</v>
      </c>
      <c r="E2032">
        <v>0.82875800419130297</v>
      </c>
      <c r="F2032">
        <v>2</v>
      </c>
      <c r="G2032">
        <v>33.408674216000001</v>
      </c>
      <c r="H2032">
        <v>0.86255751073211995</v>
      </c>
      <c r="I2032">
        <v>2</v>
      </c>
      <c r="J2032">
        <v>0.29460775500000003</v>
      </c>
      <c r="P2032"/>
      <c r="V2032">
        <v>0.86569244229242504</v>
      </c>
      <c r="W2032">
        <v>2</v>
      </c>
      <c r="X2032">
        <v>72427.278250197996</v>
      </c>
      <c r="Y2032">
        <v>524175</v>
      </c>
      <c r="Z2032">
        <v>2.2725694365701701E-3</v>
      </c>
      <c r="AA2032">
        <v>100</v>
      </c>
    </row>
    <row r="2033" spans="1:27" x14ac:dyDescent="0.2">
      <c r="A2033">
        <v>10</v>
      </c>
      <c r="B2033">
        <v>2</v>
      </c>
      <c r="C2033">
        <v>0.2</v>
      </c>
      <c r="D2033">
        <v>20</v>
      </c>
      <c r="E2033">
        <v>0.97151497301226697</v>
      </c>
      <c r="F2033">
        <v>2</v>
      </c>
      <c r="G2033">
        <v>28.986525102000002</v>
      </c>
      <c r="H2033">
        <v>0.98692373224912799</v>
      </c>
      <c r="I2033">
        <v>2</v>
      </c>
      <c r="J2033">
        <v>9.2129236000000003E-2</v>
      </c>
      <c r="P2033"/>
      <c r="V2033">
        <v>0.86542290069205996</v>
      </c>
      <c r="W2033">
        <v>2</v>
      </c>
      <c r="X2033">
        <v>74797.254494349007</v>
      </c>
      <c r="Y2033">
        <v>297616</v>
      </c>
      <c r="Z2033">
        <v>3.4107996647089701E-3</v>
      </c>
      <c r="AA2033">
        <v>100</v>
      </c>
    </row>
    <row r="2034" spans="1:27" x14ac:dyDescent="0.2">
      <c r="A2034">
        <v>10</v>
      </c>
      <c r="B2034">
        <v>2</v>
      </c>
      <c r="C2034">
        <v>0.2</v>
      </c>
      <c r="D2034">
        <v>20</v>
      </c>
      <c r="E2034">
        <v>0.87923756292210098</v>
      </c>
      <c r="F2034">
        <v>2</v>
      </c>
      <c r="G2034">
        <v>28.847760725000001</v>
      </c>
      <c r="H2034">
        <v>0.90650979377105101</v>
      </c>
      <c r="I2034">
        <v>2</v>
      </c>
      <c r="J2034">
        <v>0.18314429300000001</v>
      </c>
      <c r="P2034"/>
      <c r="V2034">
        <v>0.90175348588241899</v>
      </c>
      <c r="W2034">
        <v>2</v>
      </c>
      <c r="X2034">
        <v>75059.736694430001</v>
      </c>
      <c r="Y2034">
        <v>623047</v>
      </c>
      <c r="Z2034">
        <v>0.18434173521776101</v>
      </c>
      <c r="AA2034">
        <v>100</v>
      </c>
    </row>
    <row r="2035" spans="1:27" x14ac:dyDescent="0.2">
      <c r="A2035">
        <v>10</v>
      </c>
      <c r="B2035">
        <v>2</v>
      </c>
      <c r="C2035">
        <v>0.3</v>
      </c>
      <c r="D2035">
        <v>20</v>
      </c>
      <c r="E2035">
        <v>0.82288176819127501</v>
      </c>
      <c r="F2035">
        <v>2</v>
      </c>
      <c r="G2035">
        <v>33.941461807000003</v>
      </c>
      <c r="H2035">
        <v>0.90385133803186402</v>
      </c>
      <c r="I2035">
        <v>2</v>
      </c>
      <c r="J2035">
        <v>0.25820274599999998</v>
      </c>
      <c r="P2035"/>
      <c r="V2035">
        <v>0.90895639336096001</v>
      </c>
      <c r="W2035">
        <v>2</v>
      </c>
      <c r="X2035">
        <v>75053.413433038004</v>
      </c>
      <c r="Y2035">
        <v>71542</v>
      </c>
      <c r="Z2035">
        <v>4.3870798074957397E-2</v>
      </c>
      <c r="AA2035">
        <v>100</v>
      </c>
    </row>
    <row r="2036" spans="1:27" x14ac:dyDescent="0.2">
      <c r="A2036">
        <v>10</v>
      </c>
      <c r="B2036">
        <v>2</v>
      </c>
      <c r="C2036">
        <v>0.2</v>
      </c>
      <c r="D2036">
        <v>20</v>
      </c>
      <c r="E2036">
        <v>0.75154294096003005</v>
      </c>
      <c r="F2036">
        <v>2</v>
      </c>
      <c r="G2036">
        <v>31.943609962</v>
      </c>
      <c r="H2036">
        <v>0.91486156140568398</v>
      </c>
      <c r="I2036">
        <v>2</v>
      </c>
      <c r="J2036">
        <v>0.42402215199999999</v>
      </c>
      <c r="P2036"/>
      <c r="V2036">
        <v>0.84527316434526101</v>
      </c>
      <c r="W2036">
        <v>2</v>
      </c>
      <c r="X2036">
        <v>74893.123241701993</v>
      </c>
      <c r="Y2036">
        <v>468550</v>
      </c>
      <c r="Z2036">
        <v>7.9973347996485904E-3</v>
      </c>
      <c r="AA2036">
        <v>100</v>
      </c>
    </row>
    <row r="2037" spans="1:27" x14ac:dyDescent="0.2">
      <c r="A2037">
        <v>10</v>
      </c>
      <c r="B2037">
        <v>2</v>
      </c>
      <c r="C2037">
        <v>0.2</v>
      </c>
      <c r="D2037">
        <v>20</v>
      </c>
      <c r="E2037">
        <v>0.89759463227033798</v>
      </c>
      <c r="F2037">
        <v>2</v>
      </c>
      <c r="G2037">
        <v>29.061078730999998</v>
      </c>
      <c r="H2037">
        <v>0.89596208911247499</v>
      </c>
      <c r="I2037">
        <v>2</v>
      </c>
      <c r="J2037">
        <v>0.12675328699999999</v>
      </c>
      <c r="P2037"/>
      <c r="V2037">
        <v>0.89717889623575497</v>
      </c>
      <c r="W2037">
        <v>2</v>
      </c>
      <c r="X2037">
        <v>75080.840615423993</v>
      </c>
      <c r="Y2037">
        <v>326972</v>
      </c>
      <c r="Z2037">
        <v>4.4225297103976297E-2</v>
      </c>
      <c r="AA2037">
        <v>100</v>
      </c>
    </row>
    <row r="2038" spans="1:27" x14ac:dyDescent="0.2">
      <c r="A2038">
        <v>10</v>
      </c>
      <c r="B2038">
        <v>2</v>
      </c>
      <c r="C2038">
        <v>0.3</v>
      </c>
      <c r="D2038">
        <v>20</v>
      </c>
      <c r="E2038">
        <v>0.87299155660927696</v>
      </c>
      <c r="F2038">
        <v>2</v>
      </c>
      <c r="G2038">
        <v>28.894877013999999</v>
      </c>
      <c r="H2038">
        <v>0.93294539493426898</v>
      </c>
      <c r="I2038">
        <v>2</v>
      </c>
      <c r="J2038">
        <v>0.22372747100000001</v>
      </c>
      <c r="P2038"/>
      <c r="V2038">
        <v>0.94519194711403998</v>
      </c>
      <c r="W2038">
        <v>2</v>
      </c>
      <c r="X2038">
        <v>75082.453005678995</v>
      </c>
      <c r="Y2038">
        <v>388060</v>
      </c>
      <c r="Z2038">
        <v>0.10656014348050601</v>
      </c>
      <c r="AA2038">
        <v>100</v>
      </c>
    </row>
    <row r="2039" spans="1:27" x14ac:dyDescent="0.2">
      <c r="A2039">
        <v>10</v>
      </c>
      <c r="B2039">
        <v>2</v>
      </c>
      <c r="C2039">
        <v>0.2</v>
      </c>
      <c r="D2039">
        <v>20</v>
      </c>
      <c r="E2039">
        <v>0.75667001067813999</v>
      </c>
      <c r="F2039">
        <v>2</v>
      </c>
      <c r="G2039">
        <v>28.282990953999999</v>
      </c>
      <c r="H2039">
        <v>0.79607656553141903</v>
      </c>
      <c r="I2039">
        <v>2</v>
      </c>
      <c r="J2039">
        <v>0.253323515</v>
      </c>
      <c r="P2039"/>
      <c r="V2039">
        <v>0.79701471358211895</v>
      </c>
      <c r="W2039">
        <v>2</v>
      </c>
      <c r="X2039">
        <v>75053.355740315004</v>
      </c>
      <c r="Y2039">
        <v>348710</v>
      </c>
      <c r="Z2039">
        <v>2.2915489160651999E-2</v>
      </c>
      <c r="AA2039">
        <v>100</v>
      </c>
    </row>
    <row r="2040" spans="1:27" x14ac:dyDescent="0.2">
      <c r="A2040">
        <v>10</v>
      </c>
      <c r="B2040">
        <v>2</v>
      </c>
      <c r="C2040">
        <v>0.3</v>
      </c>
      <c r="D2040">
        <v>20</v>
      </c>
      <c r="E2040">
        <v>0.93201689697780699</v>
      </c>
      <c r="F2040">
        <v>2</v>
      </c>
      <c r="G2040">
        <v>29.396562881000001</v>
      </c>
      <c r="H2040">
        <v>0.87201383345753902</v>
      </c>
      <c r="I2040">
        <v>2</v>
      </c>
      <c r="J2040">
        <v>0.37498810399999999</v>
      </c>
      <c r="P2040"/>
      <c r="V2040">
        <v>1.00959552699732</v>
      </c>
      <c r="W2040">
        <v>2</v>
      </c>
      <c r="X2040">
        <v>75202.542167773005</v>
      </c>
      <c r="Y2040">
        <v>401859</v>
      </c>
      <c r="Z2040">
        <v>7.6601756699565704E-2</v>
      </c>
      <c r="AA2040">
        <v>100</v>
      </c>
    </row>
    <row r="2041" spans="1:27" x14ac:dyDescent="0.2">
      <c r="A2041">
        <v>10</v>
      </c>
      <c r="B2041">
        <v>2</v>
      </c>
      <c r="C2041">
        <v>0.2</v>
      </c>
      <c r="D2041">
        <v>20</v>
      </c>
      <c r="E2041">
        <v>1.0344089953737801</v>
      </c>
      <c r="F2041">
        <v>2</v>
      </c>
      <c r="G2041">
        <v>29.270088859000001</v>
      </c>
      <c r="H2041">
        <v>1.02225527143553</v>
      </c>
      <c r="I2041">
        <v>2</v>
      </c>
      <c r="J2041">
        <v>0.30043421799999998</v>
      </c>
      <c r="P2041"/>
      <c r="V2041">
        <v>1.11445708219383</v>
      </c>
      <c r="W2041">
        <v>2</v>
      </c>
      <c r="X2041">
        <v>75277.523977807999</v>
      </c>
      <c r="Y2041">
        <v>448108</v>
      </c>
      <c r="Z2041">
        <v>5.6755774379984502E-3</v>
      </c>
      <c r="AA2041">
        <v>100</v>
      </c>
    </row>
    <row r="2042" spans="1:27" x14ac:dyDescent="0.2">
      <c r="A2042">
        <v>10</v>
      </c>
      <c r="B2042">
        <v>2</v>
      </c>
      <c r="C2042">
        <v>0.4</v>
      </c>
      <c r="D2042">
        <v>20</v>
      </c>
      <c r="E2042">
        <v>0.52866582019640895</v>
      </c>
      <c r="F2042">
        <v>2</v>
      </c>
      <c r="G2042">
        <v>29.784533904</v>
      </c>
      <c r="H2042">
        <v>0.419284506018058</v>
      </c>
      <c r="I2042">
        <v>2</v>
      </c>
      <c r="J2042">
        <v>0.29951607200000002</v>
      </c>
      <c r="P2042"/>
      <c r="V2042">
        <v>0.40574837541117498</v>
      </c>
      <c r="W2042">
        <v>2</v>
      </c>
      <c r="X2042">
        <v>75283.997128454997</v>
      </c>
      <c r="Y2042">
        <v>424751</v>
      </c>
      <c r="Z2042">
        <v>0.23775009313356699</v>
      </c>
      <c r="AA2042">
        <v>100</v>
      </c>
    </row>
    <row r="2043" spans="1:27" x14ac:dyDescent="0.2">
      <c r="A2043">
        <v>10</v>
      </c>
      <c r="B2043">
        <v>2</v>
      </c>
      <c r="C2043">
        <v>0.3</v>
      </c>
      <c r="D2043">
        <v>20</v>
      </c>
      <c r="E2043">
        <v>0.79999571344668197</v>
      </c>
      <c r="F2043">
        <v>2</v>
      </c>
      <c r="G2043">
        <v>28.904837749999999</v>
      </c>
      <c r="H2043">
        <v>0.74393494838067797</v>
      </c>
      <c r="I2043">
        <v>2</v>
      </c>
      <c r="J2043">
        <v>0.15505888500000001</v>
      </c>
      <c r="P2043"/>
      <c r="V2043">
        <v>0.74308740642063698</v>
      </c>
      <c r="W2043">
        <v>2</v>
      </c>
      <c r="X2043">
        <v>75323.791172907993</v>
      </c>
      <c r="Y2043">
        <v>363624</v>
      </c>
      <c r="Z2043">
        <v>1.54640858140706E-2</v>
      </c>
      <c r="AA2043">
        <v>100</v>
      </c>
    </row>
    <row r="2044" spans="1:27" x14ac:dyDescent="0.2">
      <c r="A2044">
        <v>10</v>
      </c>
      <c r="B2044">
        <v>2</v>
      </c>
      <c r="C2044">
        <v>0.4</v>
      </c>
      <c r="D2044">
        <v>20</v>
      </c>
      <c r="E2044">
        <v>0.53012841310814296</v>
      </c>
      <c r="F2044">
        <v>2</v>
      </c>
      <c r="G2044">
        <v>28.379673401000002</v>
      </c>
      <c r="H2044">
        <v>0.29926940105481498</v>
      </c>
      <c r="I2044">
        <v>2</v>
      </c>
      <c r="J2044">
        <v>0.29254706899999999</v>
      </c>
      <c r="P2044"/>
      <c r="V2044">
        <v>0.47835345165281801</v>
      </c>
      <c r="W2044">
        <v>2</v>
      </c>
      <c r="X2044">
        <v>75375.348666810998</v>
      </c>
      <c r="Y2044">
        <v>481651</v>
      </c>
      <c r="Z2044">
        <v>0.29302356791366702</v>
      </c>
      <c r="AA2044">
        <v>100</v>
      </c>
    </row>
    <row r="2045" spans="1:27" x14ac:dyDescent="0.2">
      <c r="A2045">
        <v>10</v>
      </c>
      <c r="B2045">
        <v>2</v>
      </c>
      <c r="C2045">
        <v>0.3</v>
      </c>
      <c r="D2045">
        <v>20</v>
      </c>
      <c r="E2045">
        <v>0.93220687931396296</v>
      </c>
      <c r="F2045">
        <v>2</v>
      </c>
      <c r="G2045">
        <v>30.038852162000001</v>
      </c>
      <c r="H2045">
        <v>0.91274261785553101</v>
      </c>
      <c r="I2045">
        <v>2</v>
      </c>
      <c r="J2045">
        <v>0.117300947</v>
      </c>
      <c r="P2045"/>
      <c r="V2045">
        <v>0.91708405773981605</v>
      </c>
      <c r="W2045">
        <v>2</v>
      </c>
      <c r="X2045">
        <v>75372.631752928995</v>
      </c>
      <c r="Y2045">
        <v>74875</v>
      </c>
      <c r="Z2045">
        <v>2.8103053023858699E-2</v>
      </c>
      <c r="AA2045">
        <v>100</v>
      </c>
    </row>
    <row r="2046" spans="1:27" x14ac:dyDescent="0.2">
      <c r="A2046">
        <v>10</v>
      </c>
      <c r="B2046">
        <v>2</v>
      </c>
      <c r="C2046">
        <v>0.4</v>
      </c>
      <c r="D2046">
        <v>20</v>
      </c>
      <c r="E2046">
        <v>0.427332956403355</v>
      </c>
      <c r="F2046">
        <v>2</v>
      </c>
      <c r="G2046">
        <v>29.028613813</v>
      </c>
      <c r="H2046">
        <v>0.37523523422005101</v>
      </c>
      <c r="I2046">
        <v>2</v>
      </c>
      <c r="J2046">
        <v>0.374527638</v>
      </c>
      <c r="P2046"/>
      <c r="V2046">
        <v>0.36836625889067298</v>
      </c>
      <c r="W2046">
        <v>2</v>
      </c>
      <c r="X2046">
        <v>75490.698116301006</v>
      </c>
      <c r="Y2046">
        <v>451847</v>
      </c>
      <c r="Z2046">
        <v>0.30836698184924499</v>
      </c>
      <c r="AA2046">
        <v>100</v>
      </c>
    </row>
    <row r="2047" spans="1:27" x14ac:dyDescent="0.2">
      <c r="A2047">
        <v>10</v>
      </c>
      <c r="B2047">
        <v>2</v>
      </c>
      <c r="C2047">
        <v>0.3</v>
      </c>
      <c r="D2047">
        <v>20</v>
      </c>
      <c r="E2047">
        <v>0.79926238100371205</v>
      </c>
      <c r="F2047">
        <v>2</v>
      </c>
      <c r="G2047">
        <v>28.986531630999998</v>
      </c>
      <c r="H2047">
        <v>0.89337655523441195</v>
      </c>
      <c r="I2047">
        <v>2</v>
      </c>
      <c r="J2047">
        <v>0.23428627599999999</v>
      </c>
      <c r="P2047"/>
      <c r="V2047">
        <v>0.748943843785838</v>
      </c>
      <c r="W2047">
        <v>2</v>
      </c>
      <c r="X2047">
        <v>75381.098764124996</v>
      </c>
      <c r="Y2047">
        <v>437589</v>
      </c>
      <c r="Z2047">
        <v>0.24708511164604999</v>
      </c>
      <c r="AA2047">
        <v>100</v>
      </c>
    </row>
    <row r="2048" spans="1:27" x14ac:dyDescent="0.2">
      <c r="A2048">
        <v>10</v>
      </c>
      <c r="B2048">
        <v>2</v>
      </c>
      <c r="C2048">
        <v>0.2</v>
      </c>
      <c r="D2048">
        <v>20</v>
      </c>
      <c r="E2048">
        <v>1.0579607830307201</v>
      </c>
      <c r="F2048">
        <v>2</v>
      </c>
      <c r="G2048">
        <v>30.469670926999999</v>
      </c>
      <c r="H2048">
        <v>0.89978081363512896</v>
      </c>
      <c r="I2048">
        <v>2</v>
      </c>
      <c r="J2048">
        <v>0.38643853700000003</v>
      </c>
      <c r="P2048"/>
      <c r="V2048">
        <v>1.0493058004667</v>
      </c>
      <c r="W2048">
        <v>2</v>
      </c>
      <c r="X2048">
        <v>74182.325052094995</v>
      </c>
      <c r="Y2048">
        <v>383817</v>
      </c>
      <c r="Z2048">
        <v>3.6828547089534001E-3</v>
      </c>
      <c r="AA2048">
        <v>100</v>
      </c>
    </row>
    <row r="2049" spans="1:27" x14ac:dyDescent="0.2">
      <c r="A2049">
        <v>10</v>
      </c>
      <c r="B2049">
        <v>2</v>
      </c>
      <c r="C2049">
        <v>0.3</v>
      </c>
      <c r="D2049">
        <v>20</v>
      </c>
      <c r="E2049">
        <v>0.85233635221366499</v>
      </c>
      <c r="F2049">
        <v>2</v>
      </c>
      <c r="G2049">
        <v>28.550226351999999</v>
      </c>
      <c r="H2049">
        <v>0.90650615690625602</v>
      </c>
      <c r="I2049">
        <v>2</v>
      </c>
      <c r="J2049">
        <v>0.20999878</v>
      </c>
      <c r="P2049"/>
      <c r="V2049">
        <v>0.91244942060943601</v>
      </c>
      <c r="W2049">
        <v>2</v>
      </c>
      <c r="X2049">
        <v>75528.879884683003</v>
      </c>
      <c r="Y2049">
        <v>437279</v>
      </c>
      <c r="Z2049">
        <v>0.10145116635127401</v>
      </c>
      <c r="AA2049">
        <v>100</v>
      </c>
    </row>
    <row r="2050" spans="1:27" x14ac:dyDescent="0.2">
      <c r="A2050">
        <v>10</v>
      </c>
      <c r="B2050">
        <v>2</v>
      </c>
      <c r="C2050">
        <v>0.4</v>
      </c>
      <c r="D2050">
        <v>20</v>
      </c>
      <c r="E2050">
        <v>0.8146095745752</v>
      </c>
      <c r="F2050">
        <v>2</v>
      </c>
      <c r="G2050">
        <v>25.772419479</v>
      </c>
      <c r="H2050">
        <v>0.66153950284145602</v>
      </c>
      <c r="I2050">
        <v>2</v>
      </c>
      <c r="J2050">
        <v>0.131462041</v>
      </c>
      <c r="P2050"/>
      <c r="V2050">
        <v>0.86262851034953503</v>
      </c>
      <c r="W2050">
        <v>2</v>
      </c>
      <c r="X2050">
        <v>75583.569575622998</v>
      </c>
      <c r="Y2050">
        <v>417597</v>
      </c>
      <c r="Z2050">
        <v>0.10308228132246899</v>
      </c>
      <c r="AA2050">
        <v>100</v>
      </c>
    </row>
    <row r="2051" spans="1:27" x14ac:dyDescent="0.2">
      <c r="A2051">
        <v>10</v>
      </c>
      <c r="B2051">
        <v>2</v>
      </c>
      <c r="C2051">
        <v>0.4</v>
      </c>
      <c r="D2051">
        <v>20</v>
      </c>
      <c r="E2051">
        <v>0.81801274521895595</v>
      </c>
      <c r="F2051">
        <v>2</v>
      </c>
      <c r="G2051">
        <v>35.291040668999997</v>
      </c>
      <c r="H2051">
        <v>0.98719933725112796</v>
      </c>
      <c r="I2051">
        <v>2</v>
      </c>
      <c r="J2051">
        <v>0.35773986699999999</v>
      </c>
      <c r="P2051"/>
      <c r="V2051">
        <v>0.75314234684030901</v>
      </c>
      <c r="W2051">
        <v>2</v>
      </c>
      <c r="X2051">
        <v>75390.027011067999</v>
      </c>
      <c r="Y2051">
        <v>490354</v>
      </c>
      <c r="Z2051">
        <v>0.105546416686</v>
      </c>
      <c r="AA2051">
        <v>100</v>
      </c>
    </row>
    <row r="2052" spans="1:27" x14ac:dyDescent="0.2">
      <c r="A2052">
        <v>10</v>
      </c>
      <c r="B2052">
        <v>2</v>
      </c>
      <c r="C2052">
        <v>0.3</v>
      </c>
      <c r="D2052">
        <v>20</v>
      </c>
      <c r="E2052">
        <v>0.64312681565315799</v>
      </c>
      <c r="F2052">
        <v>2</v>
      </c>
      <c r="G2052">
        <v>27.517450296</v>
      </c>
      <c r="H2052">
        <v>0.43443255977699702</v>
      </c>
      <c r="I2052">
        <v>2</v>
      </c>
      <c r="J2052">
        <v>0.28506430799999999</v>
      </c>
      <c r="P2052"/>
      <c r="V2052">
        <v>0.43350735275086799</v>
      </c>
      <c r="W2052">
        <v>2</v>
      </c>
      <c r="X2052">
        <v>75610.421828232997</v>
      </c>
      <c r="Y2052">
        <v>395517</v>
      </c>
      <c r="Z2052">
        <v>0.28348136133756402</v>
      </c>
      <c r="AA2052">
        <v>100</v>
      </c>
    </row>
    <row r="2053" spans="1:27" x14ac:dyDescent="0.2">
      <c r="A2053">
        <v>10</v>
      </c>
      <c r="B2053">
        <v>2</v>
      </c>
      <c r="C2053">
        <v>0.3</v>
      </c>
      <c r="D2053">
        <v>20</v>
      </c>
      <c r="E2053">
        <v>0.75596800408554699</v>
      </c>
      <c r="F2053">
        <v>2</v>
      </c>
      <c r="G2053">
        <v>29.159512783</v>
      </c>
      <c r="H2053">
        <v>0.82464500955766096</v>
      </c>
      <c r="I2053">
        <v>2</v>
      </c>
      <c r="J2053">
        <v>0.243819118</v>
      </c>
      <c r="P2053"/>
      <c r="V2053">
        <v>0.87196139072011503</v>
      </c>
      <c r="W2053">
        <v>2</v>
      </c>
      <c r="X2053">
        <v>75379.263738530994</v>
      </c>
      <c r="Y2053">
        <v>497568</v>
      </c>
      <c r="Z2053">
        <v>3.2427210645969498E-2</v>
      </c>
      <c r="AA2053">
        <v>100</v>
      </c>
    </row>
    <row r="2054" spans="1:27" x14ac:dyDescent="0.2">
      <c r="A2054">
        <v>10</v>
      </c>
      <c r="B2054">
        <v>2</v>
      </c>
      <c r="C2054">
        <v>0.4</v>
      </c>
      <c r="D2054">
        <v>20</v>
      </c>
      <c r="E2054">
        <v>0.63946985271776802</v>
      </c>
      <c r="F2054">
        <v>2</v>
      </c>
      <c r="G2054">
        <v>32.889484473000003</v>
      </c>
      <c r="H2054">
        <v>0.65654842655532997</v>
      </c>
      <c r="I2054">
        <v>2</v>
      </c>
      <c r="J2054">
        <v>0.23692527199999999</v>
      </c>
      <c r="P2054"/>
      <c r="V2054">
        <v>0.73376301395375998</v>
      </c>
      <c r="W2054">
        <v>2</v>
      </c>
      <c r="X2054">
        <v>75373.213251370005</v>
      </c>
      <c r="Y2054">
        <v>510457</v>
      </c>
      <c r="Z2054">
        <v>0.35818865185521398</v>
      </c>
      <c r="AA2054">
        <v>100</v>
      </c>
    </row>
    <row r="2055" spans="1:27" x14ac:dyDescent="0.2">
      <c r="A2055">
        <v>10</v>
      </c>
      <c r="B2055">
        <v>2</v>
      </c>
      <c r="C2055">
        <v>0.3</v>
      </c>
      <c r="D2055">
        <v>20</v>
      </c>
      <c r="E2055">
        <v>0.768352903280072</v>
      </c>
      <c r="F2055">
        <v>2</v>
      </c>
      <c r="G2055">
        <v>27.725266475000002</v>
      </c>
      <c r="H2055">
        <v>0.67807646527140197</v>
      </c>
      <c r="I2055">
        <v>2</v>
      </c>
      <c r="J2055">
        <v>0.333032512</v>
      </c>
      <c r="P2055"/>
      <c r="V2055">
        <v>0.85091130660749303</v>
      </c>
      <c r="W2055">
        <v>2</v>
      </c>
      <c r="X2055">
        <v>75389.660633449006</v>
      </c>
      <c r="Y2055">
        <v>421733</v>
      </c>
      <c r="Z2055">
        <v>8.8767958767414806E-2</v>
      </c>
      <c r="AA2055">
        <v>100</v>
      </c>
    </row>
    <row r="2056" spans="1:27" x14ac:dyDescent="0.2">
      <c r="A2056">
        <v>10</v>
      </c>
      <c r="B2056">
        <v>2</v>
      </c>
      <c r="C2056">
        <v>0.2</v>
      </c>
      <c r="D2056">
        <v>20</v>
      </c>
      <c r="E2056">
        <v>0.85558664974002296</v>
      </c>
      <c r="F2056">
        <v>2</v>
      </c>
      <c r="G2056">
        <v>30.311492770000001</v>
      </c>
      <c r="H2056">
        <v>0.88501010228598698</v>
      </c>
      <c r="I2056">
        <v>2</v>
      </c>
      <c r="J2056">
        <v>0.26800676600000001</v>
      </c>
      <c r="P2056"/>
      <c r="V2056">
        <v>0.88641378531948301</v>
      </c>
      <c r="W2056">
        <v>2</v>
      </c>
      <c r="X2056">
        <v>75064.430223493997</v>
      </c>
      <c r="Y2056">
        <v>380026</v>
      </c>
      <c r="Z2056">
        <v>5.7141666933603098E-2</v>
      </c>
      <c r="AA2056">
        <v>100</v>
      </c>
    </row>
    <row r="2057" spans="1:27" x14ac:dyDescent="0.2">
      <c r="A2057">
        <v>10</v>
      </c>
      <c r="B2057">
        <v>2</v>
      </c>
      <c r="C2057">
        <v>0.3</v>
      </c>
      <c r="D2057">
        <v>20</v>
      </c>
      <c r="E2057">
        <v>0.81008554436643598</v>
      </c>
      <c r="F2057">
        <v>2</v>
      </c>
      <c r="G2057">
        <v>29.443687375</v>
      </c>
      <c r="H2057">
        <v>0.76717918108502803</v>
      </c>
      <c r="I2057">
        <v>2</v>
      </c>
      <c r="J2057">
        <v>0.24224230799999999</v>
      </c>
      <c r="P2057"/>
      <c r="V2057">
        <v>0.77580161530052405</v>
      </c>
      <c r="W2057">
        <v>2</v>
      </c>
      <c r="X2057">
        <v>75660.324250260994</v>
      </c>
      <c r="Y2057">
        <v>419910</v>
      </c>
      <c r="Z2057">
        <v>2.9917500818048601E-2</v>
      </c>
      <c r="AA2057">
        <v>100</v>
      </c>
    </row>
    <row r="2058" spans="1:27" x14ac:dyDescent="0.2">
      <c r="A2058">
        <v>10</v>
      </c>
      <c r="B2058">
        <v>2</v>
      </c>
      <c r="C2058">
        <v>0.4</v>
      </c>
      <c r="D2058">
        <v>20</v>
      </c>
      <c r="E2058">
        <v>0.30630840493309602</v>
      </c>
      <c r="F2058">
        <v>2</v>
      </c>
      <c r="G2058">
        <v>28.888697831000002</v>
      </c>
      <c r="H2058">
        <v>0.21651812775714999</v>
      </c>
      <c r="I2058">
        <v>2</v>
      </c>
      <c r="J2058">
        <v>0.116924745</v>
      </c>
      <c r="P2058"/>
      <c r="V2058">
        <v>0.183699330924184</v>
      </c>
      <c r="W2058">
        <v>2</v>
      </c>
      <c r="X2058">
        <v>75686.087700564007</v>
      </c>
      <c r="Y2058">
        <v>605683</v>
      </c>
      <c r="Z2058">
        <v>6.3317079063500203E-2</v>
      </c>
      <c r="AA2058">
        <v>100</v>
      </c>
    </row>
    <row r="2059" spans="1:27" x14ac:dyDescent="0.2">
      <c r="A2059">
        <v>10</v>
      </c>
      <c r="B2059">
        <v>2</v>
      </c>
      <c r="C2059">
        <v>0.4</v>
      </c>
      <c r="D2059">
        <v>20</v>
      </c>
      <c r="E2059">
        <v>0.63394937287812003</v>
      </c>
      <c r="F2059">
        <v>2</v>
      </c>
      <c r="G2059">
        <v>34.921498436999997</v>
      </c>
      <c r="H2059">
        <v>0.58314846725554303</v>
      </c>
      <c r="I2059">
        <v>2</v>
      </c>
      <c r="J2059">
        <v>0.197698964</v>
      </c>
      <c r="P2059"/>
      <c r="V2059">
        <v>0.58252170681854598</v>
      </c>
      <c r="W2059">
        <v>2</v>
      </c>
      <c r="X2059">
        <v>75170.225497841006</v>
      </c>
      <c r="Y2059">
        <v>415979</v>
      </c>
      <c r="Z2059">
        <v>0.32612491743581601</v>
      </c>
      <c r="AA2059">
        <v>100</v>
      </c>
    </row>
    <row r="2060" spans="1:27" x14ac:dyDescent="0.2">
      <c r="A2060">
        <v>10</v>
      </c>
      <c r="B2060">
        <v>2</v>
      </c>
      <c r="C2060">
        <v>0.4</v>
      </c>
      <c r="D2060">
        <v>20</v>
      </c>
      <c r="E2060">
        <v>0.46268140368086103</v>
      </c>
      <c r="F2060">
        <v>2</v>
      </c>
      <c r="G2060">
        <v>28.993552502</v>
      </c>
      <c r="H2060">
        <v>0.41678475381813102</v>
      </c>
      <c r="I2060">
        <v>2</v>
      </c>
      <c r="J2060">
        <v>0.14186262699999999</v>
      </c>
      <c r="P2060"/>
      <c r="V2060">
        <v>0.38586822707548801</v>
      </c>
      <c r="W2060">
        <v>2</v>
      </c>
      <c r="X2060">
        <v>75787.467481358006</v>
      </c>
      <c r="Y2060">
        <v>567624</v>
      </c>
      <c r="Z2060">
        <v>3.2872374769031397E-2</v>
      </c>
      <c r="AA2060">
        <v>100</v>
      </c>
    </row>
    <row r="2061" spans="1:27" x14ac:dyDescent="0.2">
      <c r="A2061">
        <v>10</v>
      </c>
      <c r="B2061">
        <v>2</v>
      </c>
      <c r="C2061">
        <v>0.2</v>
      </c>
      <c r="D2061">
        <v>20</v>
      </c>
      <c r="E2061">
        <v>0.77273834217168602</v>
      </c>
      <c r="F2061">
        <v>2</v>
      </c>
      <c r="G2061">
        <v>34.512977214999999</v>
      </c>
      <c r="H2061">
        <v>0.79496299124973002</v>
      </c>
      <c r="I2061">
        <v>2</v>
      </c>
      <c r="J2061">
        <v>0.334641784</v>
      </c>
      <c r="P2061"/>
      <c r="V2061">
        <v>0.79812899344169996</v>
      </c>
      <c r="W2061">
        <v>2</v>
      </c>
      <c r="X2061">
        <v>75414.335661770005</v>
      </c>
      <c r="Y2061">
        <v>427044</v>
      </c>
      <c r="Z2061">
        <v>3.32186542219659E-3</v>
      </c>
      <c r="AA2061">
        <v>100</v>
      </c>
    </row>
    <row r="2062" spans="1:27" x14ac:dyDescent="0.2">
      <c r="A2062">
        <v>10</v>
      </c>
      <c r="B2062">
        <v>2</v>
      </c>
      <c r="C2062">
        <v>0.4</v>
      </c>
      <c r="D2062">
        <v>20</v>
      </c>
      <c r="E2062">
        <v>0.60984160674134202</v>
      </c>
      <c r="F2062">
        <v>2</v>
      </c>
      <c r="G2062">
        <v>27.354640772</v>
      </c>
      <c r="H2062">
        <v>0.71462710717380695</v>
      </c>
      <c r="I2062">
        <v>2</v>
      </c>
      <c r="J2062">
        <v>0.134467749</v>
      </c>
      <c r="P2062"/>
      <c r="V2062">
        <v>0.74077586180591504</v>
      </c>
      <c r="W2062">
        <v>2</v>
      </c>
      <c r="X2062">
        <v>75808.903978540999</v>
      </c>
      <c r="Y2062">
        <v>412101</v>
      </c>
      <c r="Z2062">
        <v>5.4352964839529602E-2</v>
      </c>
      <c r="AA2062">
        <v>100</v>
      </c>
    </row>
    <row r="2063" spans="1:27" x14ac:dyDescent="0.2">
      <c r="A2063">
        <v>10</v>
      </c>
      <c r="B2063">
        <v>2</v>
      </c>
      <c r="C2063">
        <v>0.3</v>
      </c>
      <c r="D2063">
        <v>20</v>
      </c>
      <c r="E2063">
        <v>0.80908774961472396</v>
      </c>
      <c r="F2063">
        <v>2</v>
      </c>
      <c r="G2063">
        <v>28.517210381999998</v>
      </c>
      <c r="H2063">
        <v>0.76465697275296096</v>
      </c>
      <c r="I2063">
        <v>2</v>
      </c>
      <c r="J2063">
        <v>0.30600373400000003</v>
      </c>
      <c r="P2063"/>
      <c r="V2063">
        <v>0.97048836284772</v>
      </c>
      <c r="W2063">
        <v>2</v>
      </c>
      <c r="X2063">
        <v>75813.953464571998</v>
      </c>
      <c r="Y2063">
        <v>401454</v>
      </c>
      <c r="Z2063">
        <v>3.2070632786494802E-2</v>
      </c>
      <c r="AA2063">
        <v>100</v>
      </c>
    </row>
    <row r="2064" spans="1:27" x14ac:dyDescent="0.2">
      <c r="A2064">
        <v>10</v>
      </c>
      <c r="B2064">
        <v>2</v>
      </c>
      <c r="C2064">
        <v>0.3</v>
      </c>
      <c r="D2064">
        <v>20</v>
      </c>
      <c r="E2064">
        <v>0.72203484778896998</v>
      </c>
      <c r="F2064">
        <v>2</v>
      </c>
      <c r="G2064">
        <v>27.270360304</v>
      </c>
      <c r="H2064">
        <v>0.69659860460954304</v>
      </c>
      <c r="I2064">
        <v>2</v>
      </c>
      <c r="J2064">
        <v>0.22079428400000001</v>
      </c>
      <c r="P2064"/>
      <c r="V2064">
        <v>0.70057516483480498</v>
      </c>
      <c r="W2064">
        <v>2</v>
      </c>
      <c r="X2064">
        <v>75782.542812764994</v>
      </c>
      <c r="Y2064">
        <v>445447</v>
      </c>
      <c r="Z2064">
        <v>4.4590198198528198E-2</v>
      </c>
      <c r="AA2064">
        <v>100</v>
      </c>
    </row>
    <row r="2065" spans="1:27" x14ac:dyDescent="0.2">
      <c r="A2065">
        <v>10</v>
      </c>
      <c r="B2065">
        <v>2</v>
      </c>
      <c r="C2065">
        <v>0.4</v>
      </c>
      <c r="D2065">
        <v>20</v>
      </c>
      <c r="E2065">
        <v>0.622407787163749</v>
      </c>
      <c r="F2065">
        <v>2</v>
      </c>
      <c r="G2065">
        <v>33.836950694000002</v>
      </c>
      <c r="H2065">
        <v>0.53694781122329105</v>
      </c>
      <c r="I2065">
        <v>2</v>
      </c>
      <c r="J2065">
        <v>0.46545745500000002</v>
      </c>
      <c r="P2065"/>
      <c r="V2065">
        <v>0.536396450164625</v>
      </c>
      <c r="W2065">
        <v>2</v>
      </c>
      <c r="X2065">
        <v>75676.150534226006</v>
      </c>
      <c r="Y2065">
        <v>430352</v>
      </c>
      <c r="Z2065">
        <v>0.45085659835266401</v>
      </c>
      <c r="AA2065">
        <v>100</v>
      </c>
    </row>
    <row r="2066" spans="1:27" x14ac:dyDescent="0.2">
      <c r="A2066">
        <v>10</v>
      </c>
      <c r="B2066">
        <v>2</v>
      </c>
      <c r="C2066">
        <v>0.3</v>
      </c>
      <c r="D2066">
        <v>20</v>
      </c>
      <c r="E2066">
        <v>0.80740324377304296</v>
      </c>
      <c r="F2066">
        <v>2</v>
      </c>
      <c r="G2066">
        <v>28.687463419</v>
      </c>
      <c r="H2066">
        <v>0.77969943432236799</v>
      </c>
      <c r="I2066">
        <v>2</v>
      </c>
      <c r="J2066">
        <v>0.109755697</v>
      </c>
      <c r="P2066"/>
      <c r="V2066">
        <v>0.77965776474843496</v>
      </c>
      <c r="W2066">
        <v>2</v>
      </c>
      <c r="X2066">
        <v>75496.597771704997</v>
      </c>
      <c r="Y2066">
        <v>467905</v>
      </c>
      <c r="Z2066">
        <v>4.1684090350508199E-2</v>
      </c>
      <c r="AA2066">
        <v>100</v>
      </c>
    </row>
    <row r="2067" spans="1:27" x14ac:dyDescent="0.2">
      <c r="A2067">
        <v>10</v>
      </c>
      <c r="B2067">
        <v>2</v>
      </c>
      <c r="C2067">
        <v>0.4</v>
      </c>
      <c r="D2067">
        <v>20</v>
      </c>
      <c r="E2067">
        <v>0.50151708632992897</v>
      </c>
      <c r="F2067">
        <v>2</v>
      </c>
      <c r="G2067">
        <v>30.002912345999999</v>
      </c>
      <c r="H2067">
        <v>0.53517095119649205</v>
      </c>
      <c r="I2067">
        <v>2</v>
      </c>
      <c r="J2067">
        <v>0.266392992</v>
      </c>
      <c r="P2067"/>
      <c r="V2067">
        <v>0.54164558252152895</v>
      </c>
      <c r="W2067">
        <v>2</v>
      </c>
      <c r="X2067">
        <v>75204.422712344996</v>
      </c>
      <c r="Y2067">
        <v>441904</v>
      </c>
      <c r="Z2067">
        <v>0.65420791506076603</v>
      </c>
      <c r="AA2067">
        <v>100</v>
      </c>
    </row>
    <row r="2068" spans="1:27" x14ac:dyDescent="0.2">
      <c r="A2068">
        <v>10</v>
      </c>
      <c r="B2068">
        <v>2</v>
      </c>
      <c r="C2068">
        <v>0.3</v>
      </c>
      <c r="D2068">
        <v>20</v>
      </c>
      <c r="E2068">
        <v>0.96482474069175295</v>
      </c>
      <c r="F2068">
        <v>2</v>
      </c>
      <c r="G2068">
        <v>33.453069833999997</v>
      </c>
      <c r="H2068">
        <v>0.89272666186302496</v>
      </c>
      <c r="I2068">
        <v>2</v>
      </c>
      <c r="J2068">
        <v>0.41108002100000002</v>
      </c>
      <c r="P2068"/>
      <c r="V2068">
        <v>0.78284458737517004</v>
      </c>
      <c r="W2068">
        <v>2</v>
      </c>
      <c r="X2068">
        <v>75413.415234728003</v>
      </c>
      <c r="Y2068">
        <v>438865</v>
      </c>
      <c r="Z2068">
        <v>0.10241735890560601</v>
      </c>
      <c r="AA2068">
        <v>100</v>
      </c>
    </row>
    <row r="2069" spans="1:27" x14ac:dyDescent="0.2">
      <c r="A2069">
        <v>10</v>
      </c>
      <c r="B2069">
        <v>2</v>
      </c>
      <c r="C2069">
        <v>0.4</v>
      </c>
      <c r="D2069">
        <v>20</v>
      </c>
      <c r="E2069">
        <v>0.57313798568592</v>
      </c>
      <c r="F2069">
        <v>2</v>
      </c>
      <c r="G2069">
        <v>33.610584916000001</v>
      </c>
      <c r="H2069">
        <v>0.58896590085645395</v>
      </c>
      <c r="I2069">
        <v>2</v>
      </c>
      <c r="J2069">
        <v>0.429399849</v>
      </c>
      <c r="P2069"/>
      <c r="V2069">
        <v>0.58054773284999195</v>
      </c>
      <c r="W2069">
        <v>2</v>
      </c>
      <c r="X2069">
        <v>76081.213261722005</v>
      </c>
      <c r="Y2069">
        <v>420726</v>
      </c>
      <c r="Z2069">
        <v>2.1433008968519601E-2</v>
      </c>
      <c r="AA2069">
        <v>100</v>
      </c>
    </row>
    <row r="2070" spans="1:27" x14ac:dyDescent="0.2">
      <c r="A2070">
        <v>10</v>
      </c>
      <c r="B2070">
        <v>2</v>
      </c>
      <c r="C2070">
        <v>0.2</v>
      </c>
      <c r="D2070">
        <v>20</v>
      </c>
      <c r="E2070">
        <v>0.896029752700087</v>
      </c>
      <c r="F2070">
        <v>2</v>
      </c>
      <c r="G2070">
        <v>30.022098653</v>
      </c>
      <c r="H2070">
        <v>0.82962941264607803</v>
      </c>
      <c r="I2070">
        <v>2</v>
      </c>
      <c r="J2070">
        <v>0.27578871900000002</v>
      </c>
      <c r="P2070"/>
      <c r="V2070">
        <v>0.95413876810447995</v>
      </c>
      <c r="W2070">
        <v>2</v>
      </c>
      <c r="X2070">
        <v>75395.802390621</v>
      </c>
      <c r="Y2070">
        <v>471461</v>
      </c>
      <c r="Z2070">
        <v>3.6912542941641099E-3</v>
      </c>
      <c r="AA2070">
        <v>100</v>
      </c>
    </row>
    <row r="2071" spans="1:27" x14ac:dyDescent="0.2">
      <c r="A2071">
        <v>10</v>
      </c>
      <c r="B2071">
        <v>2</v>
      </c>
      <c r="C2071">
        <v>0.4</v>
      </c>
      <c r="D2071">
        <v>20</v>
      </c>
      <c r="E2071">
        <v>0.52617274449301199</v>
      </c>
      <c r="F2071">
        <v>2</v>
      </c>
      <c r="G2071">
        <v>28.549088708999999</v>
      </c>
      <c r="H2071">
        <v>0.47911549401445103</v>
      </c>
      <c r="I2071">
        <v>2</v>
      </c>
      <c r="J2071">
        <v>0.31894087900000001</v>
      </c>
      <c r="P2071"/>
      <c r="V2071">
        <v>0.47085966649682298</v>
      </c>
      <c r="W2071">
        <v>2</v>
      </c>
      <c r="X2071">
        <v>76067.046689700001</v>
      </c>
      <c r="Y2071">
        <v>437234</v>
      </c>
      <c r="Z2071">
        <v>0.99748696385009705</v>
      </c>
      <c r="AA2071">
        <v>100</v>
      </c>
    </row>
    <row r="2072" spans="1:27" x14ac:dyDescent="0.2">
      <c r="A2072">
        <v>10</v>
      </c>
      <c r="B2072">
        <v>2</v>
      </c>
      <c r="C2072">
        <v>0.3</v>
      </c>
      <c r="D2072">
        <v>20</v>
      </c>
      <c r="E2072">
        <v>0.77374430114078196</v>
      </c>
      <c r="F2072">
        <v>2</v>
      </c>
      <c r="G2072">
        <v>29.414300535999999</v>
      </c>
      <c r="H2072">
        <v>0.76420226349876996</v>
      </c>
      <c r="I2072">
        <v>2</v>
      </c>
      <c r="J2072">
        <v>0.226989411</v>
      </c>
      <c r="P2072"/>
      <c r="V2072">
        <v>0.767759926553092</v>
      </c>
      <c r="W2072">
        <v>2</v>
      </c>
      <c r="X2072">
        <v>75376.269255523002</v>
      </c>
      <c r="Y2072">
        <v>437903</v>
      </c>
      <c r="Z2072">
        <v>4.6829201810218497E-2</v>
      </c>
      <c r="AA2072">
        <v>100</v>
      </c>
    </row>
    <row r="2073" spans="1:27" x14ac:dyDescent="0.2">
      <c r="A2073">
        <v>10</v>
      </c>
      <c r="B2073">
        <v>2</v>
      </c>
      <c r="C2073">
        <v>0.4</v>
      </c>
      <c r="D2073">
        <v>20</v>
      </c>
      <c r="E2073">
        <v>0.654693913611753</v>
      </c>
      <c r="F2073">
        <v>2</v>
      </c>
      <c r="G2073">
        <v>27.313794627</v>
      </c>
      <c r="H2073">
        <v>0.57797535720473703</v>
      </c>
      <c r="I2073">
        <v>2</v>
      </c>
      <c r="J2073">
        <v>0.185452325</v>
      </c>
      <c r="P2073"/>
      <c r="V2073">
        <v>0.57567289217561302</v>
      </c>
      <c r="W2073">
        <v>2</v>
      </c>
      <c r="X2073">
        <v>76184.267429054002</v>
      </c>
      <c r="Y2073">
        <v>440608</v>
      </c>
      <c r="Z2073">
        <v>4.39952019387779E-2</v>
      </c>
      <c r="AA2073">
        <v>100</v>
      </c>
    </row>
    <row r="2074" spans="1:27" x14ac:dyDescent="0.2">
      <c r="A2074">
        <v>10</v>
      </c>
      <c r="B2074">
        <v>2</v>
      </c>
      <c r="C2074">
        <v>0.2</v>
      </c>
      <c r="D2074">
        <v>20</v>
      </c>
      <c r="E2074">
        <v>0.93995742518496594</v>
      </c>
      <c r="F2074">
        <v>2</v>
      </c>
      <c r="G2074">
        <v>29.116858023999999</v>
      </c>
      <c r="H2074">
        <v>0.80223927865953204</v>
      </c>
      <c r="I2074">
        <v>2</v>
      </c>
      <c r="J2074">
        <v>0.37165203699999999</v>
      </c>
      <c r="P2074"/>
      <c r="V2074">
        <v>0.76242175374156396</v>
      </c>
      <c r="W2074">
        <v>2</v>
      </c>
      <c r="X2074">
        <v>76242.807184660996</v>
      </c>
      <c r="Y2074">
        <v>405592</v>
      </c>
      <c r="Z2074">
        <v>9.1717980019203598E-3</v>
      </c>
      <c r="AA2074">
        <v>100</v>
      </c>
    </row>
    <row r="2075" spans="1:27" x14ac:dyDescent="0.2">
      <c r="A2075">
        <v>10</v>
      </c>
      <c r="B2075">
        <v>2</v>
      </c>
      <c r="C2075">
        <v>0.4</v>
      </c>
      <c r="D2075">
        <v>20</v>
      </c>
      <c r="E2075">
        <v>0.67429066144007599</v>
      </c>
      <c r="F2075">
        <v>2</v>
      </c>
      <c r="G2075">
        <v>31.246040913000002</v>
      </c>
      <c r="H2075">
        <v>0.56691346044401902</v>
      </c>
      <c r="I2075">
        <v>2</v>
      </c>
      <c r="J2075">
        <v>0.285595659</v>
      </c>
      <c r="P2075"/>
      <c r="V2075">
        <v>0.69316272084958797</v>
      </c>
      <c r="W2075">
        <v>2</v>
      </c>
      <c r="X2075">
        <v>75666.714050437993</v>
      </c>
      <c r="Y2075">
        <v>432563</v>
      </c>
      <c r="Z2075">
        <v>1.016353861309E-2</v>
      </c>
      <c r="AA2075">
        <v>100</v>
      </c>
    </row>
    <row r="2076" spans="1:27" x14ac:dyDescent="0.2">
      <c r="A2076">
        <v>10</v>
      </c>
      <c r="B2076">
        <v>2</v>
      </c>
      <c r="C2076">
        <v>0.3</v>
      </c>
      <c r="D2076">
        <v>20</v>
      </c>
      <c r="E2076">
        <v>0.75766338818923795</v>
      </c>
      <c r="F2076">
        <v>2</v>
      </c>
      <c r="G2076">
        <v>29.586322384999999</v>
      </c>
      <c r="H2076">
        <v>0.73234168881134598</v>
      </c>
      <c r="I2076">
        <v>2</v>
      </c>
      <c r="J2076">
        <v>0.19847691000000001</v>
      </c>
      <c r="P2076"/>
      <c r="V2076">
        <v>0.69266524533119</v>
      </c>
      <c r="W2076">
        <v>2</v>
      </c>
      <c r="X2076">
        <v>75386.299286566995</v>
      </c>
      <c r="Y2076">
        <v>401472</v>
      </c>
      <c r="Z2076">
        <v>3.5428610884250401E-2</v>
      </c>
      <c r="AA2076">
        <v>100</v>
      </c>
    </row>
    <row r="2077" spans="1:27" x14ac:dyDescent="0.2">
      <c r="A2077">
        <v>10</v>
      </c>
      <c r="B2077">
        <v>2</v>
      </c>
      <c r="C2077">
        <v>0.4</v>
      </c>
      <c r="D2077">
        <v>20</v>
      </c>
      <c r="E2077">
        <v>0.83557365290526597</v>
      </c>
      <c r="F2077">
        <v>2</v>
      </c>
      <c r="G2077">
        <v>30.140318867000001</v>
      </c>
      <c r="H2077">
        <v>0.83536390278775197</v>
      </c>
      <c r="I2077">
        <v>2</v>
      </c>
      <c r="J2077">
        <v>9.0953537000000001E-2</v>
      </c>
      <c r="P2077"/>
      <c r="V2077">
        <v>0.83850518952409003</v>
      </c>
      <c r="W2077">
        <v>2</v>
      </c>
      <c r="X2077">
        <v>75400.172602880994</v>
      </c>
      <c r="Y2077">
        <v>432471</v>
      </c>
      <c r="Z2077">
        <v>0.21530592981519101</v>
      </c>
      <c r="AA2077">
        <v>100</v>
      </c>
    </row>
    <row r="2078" spans="1:27" x14ac:dyDescent="0.2">
      <c r="A2078">
        <v>10</v>
      </c>
      <c r="B2078">
        <v>2</v>
      </c>
      <c r="C2078">
        <v>0.2</v>
      </c>
      <c r="D2078">
        <v>20</v>
      </c>
      <c r="E2078">
        <v>0.87220778519849795</v>
      </c>
      <c r="F2078">
        <v>2</v>
      </c>
      <c r="G2078">
        <v>33.883819086999999</v>
      </c>
      <c r="H2078">
        <v>0.88036325804512505</v>
      </c>
      <c r="I2078">
        <v>2</v>
      </c>
      <c r="J2078">
        <v>0.25718250999999998</v>
      </c>
      <c r="P2078"/>
      <c r="V2078">
        <v>0.84533222484666404</v>
      </c>
      <c r="W2078">
        <v>2</v>
      </c>
      <c r="X2078">
        <v>75390.661524222</v>
      </c>
      <c r="Y2078">
        <v>331935</v>
      </c>
      <c r="Z2078">
        <v>2.28823413142001E-2</v>
      </c>
      <c r="AA2078">
        <v>100</v>
      </c>
    </row>
    <row r="2079" spans="1:27" x14ac:dyDescent="0.2">
      <c r="A2079">
        <v>10</v>
      </c>
      <c r="B2079">
        <v>2</v>
      </c>
      <c r="C2079">
        <v>0.2</v>
      </c>
      <c r="D2079">
        <v>20</v>
      </c>
      <c r="E2079">
        <v>0.86763236567884106</v>
      </c>
      <c r="F2079">
        <v>2</v>
      </c>
      <c r="G2079">
        <v>33.298638652000001</v>
      </c>
      <c r="H2079">
        <v>0.85398232855894396</v>
      </c>
      <c r="I2079">
        <v>2</v>
      </c>
      <c r="J2079">
        <v>0.33889661500000001</v>
      </c>
      <c r="P2079"/>
      <c r="V2079">
        <v>1.08590962098873</v>
      </c>
      <c r="W2079">
        <v>2</v>
      </c>
      <c r="X2079">
        <v>75490.771886545001</v>
      </c>
      <c r="Y2079">
        <v>499189</v>
      </c>
      <c r="Z2079">
        <v>9.6795930528497092E-3</v>
      </c>
      <c r="AA2079">
        <v>100</v>
      </c>
    </row>
    <row r="2080" spans="1:27" x14ac:dyDescent="0.2">
      <c r="A2080">
        <v>10</v>
      </c>
      <c r="B2080">
        <v>2</v>
      </c>
      <c r="C2080">
        <v>0.3</v>
      </c>
      <c r="D2080">
        <v>20</v>
      </c>
      <c r="E2080">
        <v>0.97610419423355099</v>
      </c>
      <c r="F2080">
        <v>2</v>
      </c>
      <c r="G2080">
        <v>32.567092148</v>
      </c>
      <c r="H2080">
        <v>1.0621903698678901</v>
      </c>
      <c r="I2080">
        <v>2</v>
      </c>
      <c r="J2080">
        <v>0.68909537499999995</v>
      </c>
      <c r="P2080"/>
      <c r="V2080">
        <v>1.06428341870291</v>
      </c>
      <c r="W2080">
        <v>2</v>
      </c>
      <c r="X2080">
        <v>75700.959703268003</v>
      </c>
      <c r="Y2080">
        <v>448554</v>
      </c>
      <c r="Z2080">
        <v>7.7847318106289295E-2</v>
      </c>
      <c r="AA2080">
        <v>100</v>
      </c>
    </row>
    <row r="2081" spans="1:27" x14ac:dyDescent="0.2">
      <c r="A2081">
        <v>10</v>
      </c>
      <c r="B2081">
        <v>2</v>
      </c>
      <c r="C2081">
        <v>0.4</v>
      </c>
      <c r="D2081">
        <v>20</v>
      </c>
      <c r="E2081">
        <v>0.45517969395954899</v>
      </c>
      <c r="F2081">
        <v>2</v>
      </c>
      <c r="G2081">
        <v>31.544344637999998</v>
      </c>
      <c r="H2081">
        <v>0.26206333727590903</v>
      </c>
      <c r="I2081">
        <v>2</v>
      </c>
      <c r="J2081">
        <v>0.32343993799999998</v>
      </c>
      <c r="P2081"/>
      <c r="V2081">
        <v>0.240956627672302</v>
      </c>
      <c r="W2081">
        <v>2</v>
      </c>
      <c r="X2081">
        <v>75409.116766444</v>
      </c>
      <c r="Y2081">
        <v>418436</v>
      </c>
      <c r="Z2081">
        <v>0.151252404175587</v>
      </c>
      <c r="AA2081">
        <v>100</v>
      </c>
    </row>
    <row r="2082" spans="1:27" x14ac:dyDescent="0.2">
      <c r="A2082">
        <v>10</v>
      </c>
      <c r="B2082">
        <v>2</v>
      </c>
      <c r="C2082">
        <v>0.2</v>
      </c>
      <c r="D2082">
        <v>20</v>
      </c>
      <c r="E2082">
        <v>0.90261906854217899</v>
      </c>
      <c r="F2082">
        <v>2</v>
      </c>
      <c r="G2082">
        <v>31.464415443</v>
      </c>
      <c r="H2082">
        <v>0.90373697376682205</v>
      </c>
      <c r="I2082">
        <v>2</v>
      </c>
      <c r="J2082">
        <v>0.33594591499999998</v>
      </c>
      <c r="P2082"/>
      <c r="V2082">
        <v>0.90636999076212899</v>
      </c>
      <c r="W2082">
        <v>2</v>
      </c>
      <c r="X2082">
        <v>75050.308941847004</v>
      </c>
      <c r="Y2082">
        <v>393213</v>
      </c>
      <c r="Z2082">
        <v>1.6302642658047199E-2</v>
      </c>
      <c r="AA2082">
        <v>100</v>
      </c>
    </row>
    <row r="2083" spans="1:27" x14ac:dyDescent="0.2">
      <c r="A2083">
        <v>10</v>
      </c>
      <c r="B2083">
        <v>2</v>
      </c>
      <c r="C2083">
        <v>0.4</v>
      </c>
      <c r="D2083">
        <v>20</v>
      </c>
      <c r="E2083">
        <v>0.93050198927663996</v>
      </c>
      <c r="F2083">
        <v>2</v>
      </c>
      <c r="G2083">
        <v>29.728636400999999</v>
      </c>
      <c r="H2083">
        <v>1.1239990089406799</v>
      </c>
      <c r="I2083">
        <v>2</v>
      </c>
      <c r="J2083">
        <v>0.12677023800000001</v>
      </c>
      <c r="P2083"/>
      <c r="V2083">
        <v>0.99313714691606803</v>
      </c>
      <c r="W2083">
        <v>2</v>
      </c>
      <c r="X2083">
        <v>76087.428146594</v>
      </c>
      <c r="Y2083">
        <v>455241</v>
      </c>
      <c r="Z2083">
        <v>2.2627183559053899E-2</v>
      </c>
      <c r="AA2083">
        <v>100</v>
      </c>
    </row>
    <row r="2084" spans="1:27" x14ac:dyDescent="0.2">
      <c r="A2084">
        <v>10</v>
      </c>
      <c r="B2084">
        <v>2</v>
      </c>
      <c r="C2084">
        <v>0.3</v>
      </c>
      <c r="D2084">
        <v>20</v>
      </c>
      <c r="E2084">
        <v>0.84659332059543801</v>
      </c>
      <c r="F2084">
        <v>2</v>
      </c>
      <c r="G2084">
        <v>30.186841512000001</v>
      </c>
      <c r="H2084">
        <v>0.72889482511012704</v>
      </c>
      <c r="I2084">
        <v>2</v>
      </c>
      <c r="J2084">
        <v>0.51227446799999998</v>
      </c>
      <c r="P2084"/>
      <c r="V2084">
        <v>0.81506544292569405</v>
      </c>
      <c r="W2084">
        <v>2</v>
      </c>
      <c r="X2084">
        <v>75728.115090609004</v>
      </c>
      <c r="Y2084">
        <v>437930</v>
      </c>
      <c r="Z2084">
        <v>0.1019721833306</v>
      </c>
      <c r="AA2084">
        <v>100</v>
      </c>
    </row>
    <row r="2085" spans="1:27" x14ac:dyDescent="0.2">
      <c r="A2085">
        <v>10</v>
      </c>
      <c r="B2085">
        <v>2</v>
      </c>
      <c r="C2085">
        <v>0.4</v>
      </c>
      <c r="D2085">
        <v>20</v>
      </c>
      <c r="E2085">
        <v>0.477344663166342</v>
      </c>
      <c r="F2085">
        <v>2</v>
      </c>
      <c r="G2085">
        <v>28.653575969999999</v>
      </c>
      <c r="H2085">
        <v>0.47232317621519798</v>
      </c>
      <c r="I2085">
        <v>2</v>
      </c>
      <c r="J2085">
        <v>0.146845068</v>
      </c>
      <c r="P2085"/>
      <c r="V2085">
        <v>0.46611298257283301</v>
      </c>
      <c r="W2085">
        <v>2</v>
      </c>
      <c r="X2085">
        <v>75038.338579603005</v>
      </c>
      <c r="Y2085">
        <v>78385</v>
      </c>
      <c r="Z2085">
        <v>6.1881021977649199E-2</v>
      </c>
      <c r="AA2085">
        <v>100</v>
      </c>
    </row>
    <row r="2086" spans="1:27" x14ac:dyDescent="0.2">
      <c r="A2086">
        <v>10</v>
      </c>
      <c r="B2086">
        <v>2</v>
      </c>
      <c r="C2086">
        <v>0.3</v>
      </c>
      <c r="D2086">
        <v>20</v>
      </c>
      <c r="E2086">
        <v>0.82422550163183905</v>
      </c>
      <c r="F2086">
        <v>2</v>
      </c>
      <c r="G2086">
        <v>29.461929501</v>
      </c>
      <c r="H2086">
        <v>0.84936495853121097</v>
      </c>
      <c r="I2086">
        <v>2</v>
      </c>
      <c r="J2086">
        <v>0.66790959599999999</v>
      </c>
      <c r="P2086"/>
      <c r="V2086">
        <v>0.77778675981225798</v>
      </c>
      <c r="W2086">
        <v>2</v>
      </c>
      <c r="X2086">
        <v>76264.580223671001</v>
      </c>
      <c r="Y2086">
        <v>422866</v>
      </c>
      <c r="Z2086">
        <v>4.4231572796173499E-2</v>
      </c>
      <c r="AA2086">
        <v>100</v>
      </c>
    </row>
    <row r="2087" spans="1:27" x14ac:dyDescent="0.2">
      <c r="A2087">
        <v>10</v>
      </c>
      <c r="B2087">
        <v>2</v>
      </c>
      <c r="C2087">
        <v>0.4</v>
      </c>
      <c r="D2087">
        <v>20</v>
      </c>
      <c r="E2087">
        <v>0.30881972793734602</v>
      </c>
      <c r="F2087">
        <v>2</v>
      </c>
      <c r="G2087">
        <v>30.441534252</v>
      </c>
      <c r="H2087">
        <v>0.26805117925908101</v>
      </c>
      <c r="I2087">
        <v>2</v>
      </c>
      <c r="J2087">
        <v>0.192865224</v>
      </c>
      <c r="P2087"/>
      <c r="V2087">
        <v>0.25482390326478499</v>
      </c>
      <c r="W2087">
        <v>2</v>
      </c>
      <c r="X2087">
        <v>76585.403620829995</v>
      </c>
      <c r="Y2087">
        <v>459503</v>
      </c>
      <c r="Z2087">
        <v>4.6145341783291903E-2</v>
      </c>
      <c r="AA2087">
        <v>100</v>
      </c>
    </row>
    <row r="2088" spans="1:27" x14ac:dyDescent="0.2">
      <c r="A2088">
        <v>10</v>
      </c>
      <c r="B2088">
        <v>2</v>
      </c>
      <c r="C2088">
        <v>0.3</v>
      </c>
      <c r="D2088">
        <v>20</v>
      </c>
      <c r="E2088">
        <v>0.58014187315930998</v>
      </c>
      <c r="F2088">
        <v>2</v>
      </c>
      <c r="G2088">
        <v>32.803160589000001</v>
      </c>
      <c r="H2088">
        <v>0.51998311296600397</v>
      </c>
      <c r="I2088">
        <v>2</v>
      </c>
      <c r="J2088">
        <v>0.22900922100000001</v>
      </c>
      <c r="P2088"/>
      <c r="V2088">
        <v>0.617606903936601</v>
      </c>
      <c r="W2088">
        <v>2</v>
      </c>
      <c r="X2088">
        <v>77033.311524421995</v>
      </c>
      <c r="Y2088">
        <v>502542</v>
      </c>
      <c r="Z2088">
        <v>2.8719160089450101E-2</v>
      </c>
      <c r="AA2088">
        <v>100</v>
      </c>
    </row>
    <row r="2089" spans="1:27" x14ac:dyDescent="0.2">
      <c r="A2089">
        <v>10</v>
      </c>
      <c r="B2089">
        <v>2</v>
      </c>
      <c r="C2089">
        <v>0.3</v>
      </c>
      <c r="D2089">
        <v>20</v>
      </c>
      <c r="E2089">
        <v>0.69373395923600301</v>
      </c>
      <c r="F2089">
        <v>2</v>
      </c>
      <c r="G2089">
        <v>32.516093798999997</v>
      </c>
      <c r="H2089">
        <v>0.69338254409686795</v>
      </c>
      <c r="I2089">
        <v>2</v>
      </c>
      <c r="J2089">
        <v>0.37792838499999998</v>
      </c>
      <c r="P2089"/>
      <c r="V2089">
        <v>0.697188125079785</v>
      </c>
      <c r="W2089">
        <v>2</v>
      </c>
      <c r="X2089">
        <v>76484.246043253006</v>
      </c>
      <c r="Y2089">
        <v>506507</v>
      </c>
      <c r="Z2089">
        <v>2.5583880198404602E-2</v>
      </c>
      <c r="AA2089">
        <v>100</v>
      </c>
    </row>
    <row r="2090" spans="1:27" x14ac:dyDescent="0.2">
      <c r="A2090">
        <v>10</v>
      </c>
      <c r="B2090">
        <v>2</v>
      </c>
      <c r="C2090">
        <v>0.2</v>
      </c>
      <c r="D2090">
        <v>20</v>
      </c>
      <c r="E2090">
        <v>0.85699534466007798</v>
      </c>
      <c r="F2090">
        <v>2</v>
      </c>
      <c r="G2090">
        <v>37.393879900000002</v>
      </c>
      <c r="H2090">
        <v>0.851582768999541</v>
      </c>
      <c r="I2090">
        <v>2</v>
      </c>
      <c r="J2090">
        <v>0.33585633599999998</v>
      </c>
      <c r="P2090"/>
      <c r="V2090">
        <v>0.85017735427770902</v>
      </c>
      <c r="W2090">
        <v>2</v>
      </c>
      <c r="X2090">
        <v>75043.689488767006</v>
      </c>
      <c r="Y2090">
        <v>474063</v>
      </c>
      <c r="Z2090">
        <v>1.36643212445051E-2</v>
      </c>
      <c r="AA2090">
        <v>100</v>
      </c>
    </row>
    <row r="2091" spans="1:27" x14ac:dyDescent="0.2">
      <c r="A2091">
        <v>10</v>
      </c>
      <c r="B2091">
        <v>2</v>
      </c>
      <c r="C2091">
        <v>0.3</v>
      </c>
      <c r="D2091">
        <v>20</v>
      </c>
      <c r="E2091">
        <v>0.65571328718031097</v>
      </c>
      <c r="F2091">
        <v>2</v>
      </c>
      <c r="G2091">
        <v>33.813890063000002</v>
      </c>
      <c r="H2091">
        <v>0.66994912546976904</v>
      </c>
      <c r="I2091">
        <v>2</v>
      </c>
      <c r="J2091">
        <v>0.44061295099999997</v>
      </c>
      <c r="P2091"/>
      <c r="V2091">
        <v>0.65306967650938497</v>
      </c>
      <c r="W2091">
        <v>2</v>
      </c>
      <c r="X2091">
        <v>75420.820378564007</v>
      </c>
      <c r="Y2091">
        <v>494088</v>
      </c>
      <c r="Z2091">
        <v>0.10717521580417699</v>
      </c>
      <c r="AA2091">
        <v>100</v>
      </c>
    </row>
    <row r="2092" spans="1:27" x14ac:dyDescent="0.2">
      <c r="A2092">
        <v>10</v>
      </c>
      <c r="B2092">
        <v>2</v>
      </c>
      <c r="C2092">
        <v>0.4</v>
      </c>
      <c r="D2092">
        <v>20</v>
      </c>
      <c r="E2092">
        <v>0.27583224575494297</v>
      </c>
      <c r="F2092">
        <v>2</v>
      </c>
      <c r="G2092">
        <v>30.303341064000001</v>
      </c>
      <c r="H2092">
        <v>0.16164121895293099</v>
      </c>
      <c r="I2092">
        <v>2</v>
      </c>
      <c r="J2092">
        <v>0.23114120699999999</v>
      </c>
      <c r="P2092"/>
      <c r="V2092">
        <v>0.13797049451574001</v>
      </c>
      <c r="W2092">
        <v>2</v>
      </c>
      <c r="X2092">
        <v>75547.801664024999</v>
      </c>
      <c r="Y2092">
        <v>595055</v>
      </c>
      <c r="Z2092">
        <v>0.199677086078557</v>
      </c>
      <c r="AA2092">
        <v>100</v>
      </c>
    </row>
    <row r="2093" spans="1:27" x14ac:dyDescent="0.2">
      <c r="A2093">
        <v>10</v>
      </c>
      <c r="B2093">
        <v>2</v>
      </c>
      <c r="C2093">
        <v>0.3</v>
      </c>
      <c r="D2093">
        <v>20</v>
      </c>
      <c r="E2093">
        <v>0.63544593016548101</v>
      </c>
      <c r="F2093">
        <v>2</v>
      </c>
      <c r="G2093">
        <v>35.233986942000001</v>
      </c>
      <c r="H2093">
        <v>0.65279931000596103</v>
      </c>
      <c r="I2093">
        <v>2</v>
      </c>
      <c r="J2093">
        <v>0.33862105999999997</v>
      </c>
      <c r="P2093"/>
      <c r="V2093">
        <v>0.65288898098581205</v>
      </c>
      <c r="W2093">
        <v>2</v>
      </c>
      <c r="X2093">
        <v>75075.652135170996</v>
      </c>
      <c r="Y2093">
        <v>432359</v>
      </c>
      <c r="Z2093">
        <v>0.27596497032151002</v>
      </c>
      <c r="AA2093">
        <v>100</v>
      </c>
    </row>
    <row r="2094" spans="1:27" x14ac:dyDescent="0.2">
      <c r="A2094">
        <v>10</v>
      </c>
      <c r="B2094">
        <v>2</v>
      </c>
      <c r="C2094">
        <v>0.2</v>
      </c>
      <c r="D2094">
        <v>20</v>
      </c>
      <c r="E2094">
        <v>0.906792397000588</v>
      </c>
      <c r="F2094">
        <v>2</v>
      </c>
      <c r="G2094">
        <v>32.726358064999999</v>
      </c>
      <c r="H2094">
        <v>0.98328892517372102</v>
      </c>
      <c r="I2094">
        <v>2</v>
      </c>
      <c r="J2094">
        <v>0.181210446</v>
      </c>
      <c r="P2094"/>
      <c r="V2094">
        <v>0.98233595118124095</v>
      </c>
      <c r="W2094">
        <v>2</v>
      </c>
      <c r="X2094">
        <v>75256.521086056004</v>
      </c>
      <c r="Y2094">
        <v>465922</v>
      </c>
      <c r="Z2094">
        <v>3.5982185035496302E-3</v>
      </c>
      <c r="AA2094">
        <v>100</v>
      </c>
    </row>
    <row r="2095" spans="1:27" x14ac:dyDescent="0.2">
      <c r="A2095">
        <v>10</v>
      </c>
      <c r="B2095">
        <v>2</v>
      </c>
      <c r="C2095">
        <v>0.4</v>
      </c>
      <c r="D2095">
        <v>20</v>
      </c>
      <c r="E2095">
        <v>0.68015921102552102</v>
      </c>
      <c r="F2095">
        <v>2</v>
      </c>
      <c r="G2095">
        <v>33.060526908999996</v>
      </c>
      <c r="H2095">
        <v>0.59377947279522603</v>
      </c>
      <c r="I2095">
        <v>2</v>
      </c>
      <c r="J2095">
        <v>0.39851233600000002</v>
      </c>
      <c r="P2095"/>
      <c r="V2095">
        <v>0.697657607803573</v>
      </c>
      <c r="W2095">
        <v>2</v>
      </c>
      <c r="X2095">
        <v>75425.282850809002</v>
      </c>
      <c r="Y2095">
        <v>458612</v>
      </c>
      <c r="Z2095">
        <v>0.18743479207425301</v>
      </c>
      <c r="AA2095">
        <v>100</v>
      </c>
    </row>
    <row r="2096" spans="1:27" x14ac:dyDescent="0.2">
      <c r="A2096">
        <v>10</v>
      </c>
      <c r="B2096">
        <v>2</v>
      </c>
      <c r="C2096">
        <v>0.4</v>
      </c>
      <c r="D2096">
        <v>20</v>
      </c>
      <c r="E2096">
        <v>0.36345939847954201</v>
      </c>
      <c r="F2096">
        <v>2</v>
      </c>
      <c r="G2096">
        <v>28.573006184</v>
      </c>
      <c r="H2096">
        <v>0.35224125021456798</v>
      </c>
      <c r="I2096">
        <v>2</v>
      </c>
      <c r="J2096">
        <v>0.120732513</v>
      </c>
      <c r="P2096"/>
      <c r="V2096">
        <v>0.39590690483749502</v>
      </c>
      <c r="W2096">
        <v>2</v>
      </c>
      <c r="X2096">
        <v>75476.160678957007</v>
      </c>
      <c r="Y2096">
        <v>514372</v>
      </c>
      <c r="Z2096">
        <v>0.44359651517883297</v>
      </c>
      <c r="AA2096">
        <v>100</v>
      </c>
    </row>
    <row r="2097" spans="1:27" x14ac:dyDescent="0.2">
      <c r="A2097">
        <v>10</v>
      </c>
      <c r="B2097">
        <v>2</v>
      </c>
      <c r="C2097">
        <v>0.2</v>
      </c>
      <c r="D2097">
        <v>20</v>
      </c>
      <c r="E2097">
        <v>0.86337417848102105</v>
      </c>
      <c r="F2097">
        <v>2</v>
      </c>
      <c r="G2097">
        <v>38.724737668000003</v>
      </c>
      <c r="H2097">
        <v>0.86044411544264199</v>
      </c>
      <c r="I2097">
        <v>2</v>
      </c>
      <c r="J2097">
        <v>0.58819321300000005</v>
      </c>
      <c r="P2097"/>
      <c r="V2097">
        <v>1.0110682175547701</v>
      </c>
      <c r="W2097">
        <v>2</v>
      </c>
      <c r="X2097">
        <v>75233.283047506993</v>
      </c>
      <c r="Y2097">
        <v>425081</v>
      </c>
      <c r="Z2097">
        <v>5.4420489175150402E-3</v>
      </c>
      <c r="AA2097">
        <v>100</v>
      </c>
    </row>
    <row r="2098" spans="1:27" x14ac:dyDescent="0.2">
      <c r="A2098">
        <v>10</v>
      </c>
      <c r="B2098">
        <v>2</v>
      </c>
      <c r="C2098">
        <v>0.2</v>
      </c>
      <c r="D2098">
        <v>20</v>
      </c>
      <c r="E2098">
        <v>0.93823038144563597</v>
      </c>
      <c r="F2098">
        <v>2</v>
      </c>
      <c r="G2098">
        <v>33.383164532999999</v>
      </c>
      <c r="H2098">
        <v>0.93865998363981995</v>
      </c>
      <c r="I2098">
        <v>2</v>
      </c>
      <c r="J2098">
        <v>0.13230072200000001</v>
      </c>
      <c r="P2098"/>
      <c r="V2098">
        <v>0.96983813465120405</v>
      </c>
      <c r="W2098">
        <v>2</v>
      </c>
      <c r="X2098">
        <v>76570.559599246</v>
      </c>
      <c r="Y2098">
        <v>442634</v>
      </c>
      <c r="Z2098">
        <v>1.7852849328984701E-2</v>
      </c>
      <c r="AA2098">
        <v>100</v>
      </c>
    </row>
    <row r="2099" spans="1:27" x14ac:dyDescent="0.2">
      <c r="A2099">
        <v>10</v>
      </c>
      <c r="B2099">
        <v>2</v>
      </c>
      <c r="C2099">
        <v>0.3</v>
      </c>
      <c r="D2099">
        <v>20</v>
      </c>
      <c r="E2099">
        <v>0.76565777147914804</v>
      </c>
      <c r="F2099">
        <v>2</v>
      </c>
      <c r="G2099">
        <v>32.669125397000002</v>
      </c>
      <c r="H2099">
        <v>0.84321651014749299</v>
      </c>
      <c r="I2099">
        <v>2</v>
      </c>
      <c r="J2099">
        <v>0.22260306999999999</v>
      </c>
      <c r="P2099"/>
      <c r="V2099">
        <v>0.84875094999662903</v>
      </c>
      <c r="W2099">
        <v>2</v>
      </c>
      <c r="X2099">
        <v>75816.750471424995</v>
      </c>
      <c r="Y2099">
        <v>486524</v>
      </c>
      <c r="Z2099">
        <v>2.24542011845624E-2</v>
      </c>
      <c r="AA2099">
        <v>100</v>
      </c>
    </row>
    <row r="2100" spans="1:27" x14ac:dyDescent="0.2">
      <c r="A2100">
        <v>10</v>
      </c>
      <c r="B2100">
        <v>2</v>
      </c>
      <c r="C2100">
        <v>0.4</v>
      </c>
      <c r="D2100">
        <v>20</v>
      </c>
      <c r="E2100">
        <v>0.59568376000845502</v>
      </c>
      <c r="F2100">
        <v>2</v>
      </c>
      <c r="G2100">
        <v>37.509610434999999</v>
      </c>
      <c r="H2100">
        <v>0.42390336315086402</v>
      </c>
      <c r="I2100">
        <v>2</v>
      </c>
      <c r="J2100">
        <v>0.43240199200000001</v>
      </c>
      <c r="P2100"/>
      <c r="V2100">
        <v>0.55625776922908399</v>
      </c>
      <c r="W2100">
        <v>2</v>
      </c>
      <c r="X2100">
        <v>76125.303279393003</v>
      </c>
      <c r="Y2100">
        <v>416549</v>
      </c>
      <c r="Z2100">
        <v>0.89633203918473603</v>
      </c>
      <c r="AA2100">
        <v>100</v>
      </c>
    </row>
    <row r="2101" spans="1:27" x14ac:dyDescent="0.2">
      <c r="A2101">
        <v>10</v>
      </c>
      <c r="B2101">
        <v>2</v>
      </c>
      <c r="C2101">
        <v>0.3</v>
      </c>
      <c r="D2101">
        <v>20</v>
      </c>
      <c r="E2101">
        <v>0.88168568099092004</v>
      </c>
      <c r="F2101">
        <v>2</v>
      </c>
      <c r="G2101">
        <v>31.611534902999999</v>
      </c>
      <c r="H2101">
        <v>0.80362649650969598</v>
      </c>
      <c r="I2101">
        <v>2</v>
      </c>
      <c r="J2101">
        <v>0.68138626899999999</v>
      </c>
      <c r="P2101"/>
      <c r="V2101">
        <v>0.661259024422857</v>
      </c>
      <c r="W2101">
        <v>2</v>
      </c>
      <c r="X2101">
        <v>77391.340894905996</v>
      </c>
      <c r="Y2101">
        <v>552530</v>
      </c>
      <c r="Z2101">
        <v>4.8400228513622898E-2</v>
      </c>
      <c r="AA2101">
        <v>100</v>
      </c>
    </row>
    <row r="2102" spans="1:27" x14ac:dyDescent="0.2">
      <c r="A2102">
        <v>40</v>
      </c>
      <c r="B2102">
        <v>2</v>
      </c>
      <c r="C2102">
        <v>0.4</v>
      </c>
      <c r="D2102">
        <v>100</v>
      </c>
      <c r="E2102">
        <v>5.48415440393554E-2</v>
      </c>
      <c r="F2102">
        <v>2</v>
      </c>
      <c r="G2102">
        <v>34.613812619999997</v>
      </c>
      <c r="H2102">
        <v>2.4157644582815899E-2</v>
      </c>
      <c r="I2102">
        <v>2</v>
      </c>
      <c r="J2102">
        <v>0.67763106100000003</v>
      </c>
      <c r="P2102"/>
      <c r="V2102">
        <v>1.9363645494382901E-2</v>
      </c>
      <c r="W2102">
        <v>2</v>
      </c>
      <c r="X2102">
        <v>75346.694362793001</v>
      </c>
      <c r="Y2102">
        <v>0</v>
      </c>
      <c r="Z2102" s="1">
        <v>1E+100</v>
      </c>
      <c r="AA2102">
        <v>100</v>
      </c>
    </row>
    <row r="2103" spans="1:27" x14ac:dyDescent="0.2">
      <c r="A2103">
        <v>40</v>
      </c>
      <c r="B2103">
        <v>2</v>
      </c>
      <c r="C2103">
        <v>0.2</v>
      </c>
      <c r="D2103">
        <v>100</v>
      </c>
      <c r="E2103">
        <v>0.30982322868992801</v>
      </c>
      <c r="F2103">
        <v>2</v>
      </c>
      <c r="G2103">
        <v>31.764782141000001</v>
      </c>
      <c r="H2103">
        <v>7.7466502648865801E-2</v>
      </c>
      <c r="I2103">
        <v>2</v>
      </c>
      <c r="J2103">
        <v>0.85267525499999997</v>
      </c>
      <c r="P2103"/>
      <c r="V2103">
        <v>6.9914900940244495E-2</v>
      </c>
      <c r="W2103">
        <v>2</v>
      </c>
      <c r="X2103">
        <v>75242.279521778997</v>
      </c>
      <c r="Y2103">
        <v>0</v>
      </c>
      <c r="Z2103" s="1">
        <v>1E+100</v>
      </c>
      <c r="AA2103">
        <v>100</v>
      </c>
    </row>
    <row r="2104" spans="1:27" x14ac:dyDescent="0.2">
      <c r="A2104">
        <v>40</v>
      </c>
      <c r="B2104">
        <v>2</v>
      </c>
      <c r="C2104">
        <v>0.1</v>
      </c>
      <c r="D2104">
        <v>100</v>
      </c>
      <c r="E2104">
        <v>0.76996544784151699</v>
      </c>
      <c r="F2104">
        <v>2</v>
      </c>
      <c r="G2104">
        <v>39.133146539000002</v>
      </c>
      <c r="H2104">
        <v>0.62426868393378399</v>
      </c>
      <c r="I2104">
        <v>2</v>
      </c>
      <c r="J2104">
        <v>2.302606199</v>
      </c>
      <c r="P2104"/>
      <c r="V2104">
        <v>0.64611903589479402</v>
      </c>
      <c r="W2104">
        <v>2</v>
      </c>
      <c r="X2104">
        <v>76865.842491628006</v>
      </c>
      <c r="Y2104">
        <v>20392</v>
      </c>
      <c r="Z2104">
        <v>0.59683008660043402</v>
      </c>
      <c r="AA2104">
        <v>100</v>
      </c>
    </row>
    <row r="2105" spans="1:27" x14ac:dyDescent="0.2">
      <c r="A2105">
        <v>40</v>
      </c>
      <c r="B2105">
        <v>2</v>
      </c>
      <c r="C2105">
        <v>0.3</v>
      </c>
      <c r="D2105">
        <v>100</v>
      </c>
      <c r="E2105">
        <v>4.8899451129227799E-2</v>
      </c>
      <c r="F2105">
        <v>2</v>
      </c>
      <c r="G2105">
        <v>38.513919111</v>
      </c>
      <c r="H2105">
        <v>2.63892935505286E-2</v>
      </c>
      <c r="I2105">
        <v>2</v>
      </c>
      <c r="J2105">
        <v>0.70267563200000005</v>
      </c>
      <c r="P2105"/>
      <c r="V2105">
        <v>2.1057185363935801E-2</v>
      </c>
      <c r="W2105">
        <v>2</v>
      </c>
      <c r="X2105">
        <v>75294.817239680997</v>
      </c>
      <c r="Y2105">
        <v>0</v>
      </c>
      <c r="Z2105" s="1">
        <v>1E+100</v>
      </c>
      <c r="AA2105">
        <v>100</v>
      </c>
    </row>
    <row r="2106" spans="1:27" x14ac:dyDescent="0.2">
      <c r="A2106">
        <v>40</v>
      </c>
      <c r="B2106">
        <v>2</v>
      </c>
      <c r="C2106">
        <v>0.4</v>
      </c>
      <c r="D2106">
        <v>100</v>
      </c>
      <c r="E2106">
        <v>1.9019396247993599E-2</v>
      </c>
      <c r="F2106">
        <v>2</v>
      </c>
      <c r="G2106">
        <v>41.889154644000001</v>
      </c>
      <c r="H2106">
        <v>2.0055095883680998E-2</v>
      </c>
      <c r="I2106">
        <v>2</v>
      </c>
      <c r="J2106">
        <v>0.327523283</v>
      </c>
      <c r="P2106"/>
      <c r="V2106">
        <v>1.39623533991405E-2</v>
      </c>
      <c r="W2106">
        <v>2</v>
      </c>
      <c r="X2106">
        <v>75337.910132067002</v>
      </c>
      <c r="Y2106">
        <v>0</v>
      </c>
      <c r="Z2106" s="1">
        <v>1E+100</v>
      </c>
      <c r="AA2106">
        <v>100</v>
      </c>
    </row>
    <row r="2107" spans="1:27" x14ac:dyDescent="0.2">
      <c r="A2107">
        <v>40</v>
      </c>
      <c r="B2107">
        <v>2</v>
      </c>
      <c r="C2107">
        <v>0.2</v>
      </c>
      <c r="D2107">
        <v>100</v>
      </c>
      <c r="E2107">
        <v>0.13209263991930001</v>
      </c>
      <c r="F2107">
        <v>2</v>
      </c>
      <c r="G2107">
        <v>32.696516353</v>
      </c>
      <c r="H2107">
        <v>4.8248720683190402E-2</v>
      </c>
      <c r="I2107">
        <v>2</v>
      </c>
      <c r="J2107">
        <v>0.92951216299999995</v>
      </c>
      <c r="P2107"/>
      <c r="V2107">
        <v>4.13506491020523E-2</v>
      </c>
      <c r="W2107">
        <v>2</v>
      </c>
      <c r="X2107">
        <v>75556.281326677999</v>
      </c>
      <c r="Y2107">
        <v>4107</v>
      </c>
      <c r="Z2107">
        <v>3.5528349885353201</v>
      </c>
      <c r="AA2107">
        <v>100</v>
      </c>
    </row>
    <row r="2108" spans="1:27" x14ac:dyDescent="0.2">
      <c r="A2108">
        <v>40</v>
      </c>
      <c r="B2108">
        <v>2</v>
      </c>
      <c r="C2108">
        <v>0.3</v>
      </c>
      <c r="D2108">
        <v>100</v>
      </c>
      <c r="E2108">
        <v>1.16123765190939E-2</v>
      </c>
      <c r="F2108">
        <v>2</v>
      </c>
      <c r="G2108">
        <v>31.015505792999999</v>
      </c>
      <c r="H2108">
        <v>1.8537474080197801E-2</v>
      </c>
      <c r="I2108">
        <v>2</v>
      </c>
      <c r="J2108">
        <v>0.36711243700000001</v>
      </c>
      <c r="P2108"/>
      <c r="V2108">
        <v>1.45516140950243E-2</v>
      </c>
      <c r="W2108">
        <v>2</v>
      </c>
      <c r="X2108">
        <v>75253.337394514005</v>
      </c>
      <c r="Y2108">
        <v>0</v>
      </c>
      <c r="Z2108" s="1">
        <v>1E+100</v>
      </c>
      <c r="AA2108">
        <v>100</v>
      </c>
    </row>
    <row r="2109" spans="1:27" x14ac:dyDescent="0.2">
      <c r="A2109">
        <v>40</v>
      </c>
      <c r="B2109">
        <v>2</v>
      </c>
      <c r="C2109">
        <v>0.4</v>
      </c>
      <c r="D2109">
        <v>100</v>
      </c>
      <c r="E2109">
        <v>1.15761996552106E-2</v>
      </c>
      <c r="F2109">
        <v>2</v>
      </c>
      <c r="G2109">
        <v>33.138978963</v>
      </c>
      <c r="H2109">
        <v>1.4439327458091801E-2</v>
      </c>
      <c r="I2109">
        <v>2</v>
      </c>
      <c r="J2109">
        <v>0.27654726600000001</v>
      </c>
      <c r="P2109"/>
      <c r="V2109">
        <v>9.52594328578759E-3</v>
      </c>
      <c r="W2109">
        <v>2</v>
      </c>
      <c r="X2109">
        <v>75309.670033076996</v>
      </c>
      <c r="Y2109">
        <v>0</v>
      </c>
      <c r="Z2109" s="1">
        <v>1E+100</v>
      </c>
      <c r="AA2109">
        <v>100</v>
      </c>
    </row>
    <row r="2110" spans="1:27" x14ac:dyDescent="0.2">
      <c r="A2110">
        <v>40</v>
      </c>
      <c r="B2110">
        <v>2</v>
      </c>
      <c r="C2110">
        <v>0.1</v>
      </c>
      <c r="D2110">
        <v>100</v>
      </c>
      <c r="E2110">
        <v>0.79829396619118898</v>
      </c>
      <c r="F2110">
        <v>2</v>
      </c>
      <c r="G2110">
        <v>33.761113084000002</v>
      </c>
      <c r="H2110">
        <v>0.77502457193112995</v>
      </c>
      <c r="I2110">
        <v>2</v>
      </c>
      <c r="J2110">
        <v>2.2285563700000002</v>
      </c>
      <c r="P2110"/>
      <c r="V2110">
        <v>0.776168356551455</v>
      </c>
      <c r="W2110">
        <v>2</v>
      </c>
      <c r="X2110">
        <v>76114.619527917006</v>
      </c>
      <c r="Y2110">
        <v>7946</v>
      </c>
      <c r="Z2110">
        <v>0.52972775538182704</v>
      </c>
      <c r="AA2110">
        <v>100</v>
      </c>
    </row>
    <row r="2111" spans="1:27" x14ac:dyDescent="0.2">
      <c r="A2111">
        <v>40</v>
      </c>
      <c r="B2111">
        <v>2</v>
      </c>
      <c r="C2111">
        <v>0.1</v>
      </c>
      <c r="D2111">
        <v>100</v>
      </c>
      <c r="E2111">
        <v>0.634050625171656</v>
      </c>
      <c r="F2111">
        <v>2</v>
      </c>
      <c r="G2111">
        <v>31.763368902</v>
      </c>
      <c r="H2111">
        <v>0.47290255029174899</v>
      </c>
      <c r="I2111">
        <v>2</v>
      </c>
      <c r="J2111">
        <v>2.0434565340000002</v>
      </c>
      <c r="P2111"/>
      <c r="V2111">
        <v>0.469838342621128</v>
      </c>
      <c r="W2111">
        <v>2</v>
      </c>
      <c r="X2111">
        <v>75577.687195845006</v>
      </c>
      <c r="Y2111">
        <v>8210</v>
      </c>
      <c r="Z2111">
        <v>0.39484831701790801</v>
      </c>
      <c r="AA2111">
        <v>100</v>
      </c>
    </row>
    <row r="2112" spans="1:27" x14ac:dyDescent="0.2">
      <c r="A2112">
        <v>40</v>
      </c>
      <c r="B2112">
        <v>2</v>
      </c>
      <c r="C2112">
        <v>0.4</v>
      </c>
      <c r="D2112">
        <v>100</v>
      </c>
      <c r="E2112">
        <v>4.0842508612685798E-2</v>
      </c>
      <c r="F2112">
        <v>2</v>
      </c>
      <c r="G2112">
        <v>31.078625834</v>
      </c>
      <c r="H2112">
        <v>2.34079028920182E-2</v>
      </c>
      <c r="I2112">
        <v>2</v>
      </c>
      <c r="J2112">
        <v>0.35285844999999999</v>
      </c>
      <c r="P2112"/>
      <c r="V2112">
        <v>1.6902580979605501E-2</v>
      </c>
      <c r="W2112">
        <v>2</v>
      </c>
      <c r="X2112">
        <v>75256.635871046004</v>
      </c>
      <c r="Y2112">
        <v>0</v>
      </c>
      <c r="Z2112" s="1">
        <v>1E+100</v>
      </c>
      <c r="AA2112">
        <v>100</v>
      </c>
    </row>
    <row r="2113" spans="1:27" x14ac:dyDescent="0.2">
      <c r="A2113">
        <v>40</v>
      </c>
      <c r="B2113">
        <v>2</v>
      </c>
      <c r="C2113">
        <v>0.3</v>
      </c>
      <c r="D2113">
        <v>100</v>
      </c>
      <c r="E2113">
        <v>9.0845132584413193E-2</v>
      </c>
      <c r="F2113">
        <v>2</v>
      </c>
      <c r="G2113">
        <v>31.365779922000002</v>
      </c>
      <c r="H2113">
        <v>3.21853020773415E-2</v>
      </c>
      <c r="I2113">
        <v>2</v>
      </c>
      <c r="J2113">
        <v>0.62544426799999997</v>
      </c>
      <c r="P2113"/>
      <c r="V2113">
        <v>2.66229209328799E-2</v>
      </c>
      <c r="W2113">
        <v>2</v>
      </c>
      <c r="X2113">
        <v>75273.455579461996</v>
      </c>
      <c r="Y2113">
        <v>0</v>
      </c>
      <c r="Z2113" s="1">
        <v>1E+100</v>
      </c>
      <c r="AA2113">
        <v>100</v>
      </c>
    </row>
    <row r="2114" spans="1:27" x14ac:dyDescent="0.2">
      <c r="A2114">
        <v>40</v>
      </c>
      <c r="B2114">
        <v>2</v>
      </c>
      <c r="C2114">
        <v>0.2</v>
      </c>
      <c r="D2114">
        <v>100</v>
      </c>
      <c r="E2114">
        <v>0.28221064396395601</v>
      </c>
      <c r="F2114">
        <v>2</v>
      </c>
      <c r="G2114">
        <v>31.082823162</v>
      </c>
      <c r="H2114">
        <v>7.4347859338974503E-2</v>
      </c>
      <c r="I2114">
        <v>2</v>
      </c>
      <c r="J2114">
        <v>1.152393113</v>
      </c>
      <c r="P2114"/>
      <c r="V2114">
        <v>6.5908130088251096E-2</v>
      </c>
      <c r="W2114">
        <v>2</v>
      </c>
      <c r="X2114">
        <v>75410.758771552006</v>
      </c>
      <c r="Y2114">
        <v>1217</v>
      </c>
      <c r="Z2114">
        <v>4.0820894887037804</v>
      </c>
      <c r="AA2114">
        <v>100</v>
      </c>
    </row>
    <row r="2115" spans="1:27" x14ac:dyDescent="0.2">
      <c r="A2115">
        <v>40</v>
      </c>
      <c r="B2115">
        <v>2</v>
      </c>
      <c r="C2115">
        <v>0.2</v>
      </c>
      <c r="D2115">
        <v>100</v>
      </c>
      <c r="E2115">
        <v>0.23454705438458201</v>
      </c>
      <c r="F2115">
        <v>2</v>
      </c>
      <c r="G2115">
        <v>42.444316100999998</v>
      </c>
      <c r="H2115">
        <v>0.10102816847459101</v>
      </c>
      <c r="I2115">
        <v>2</v>
      </c>
      <c r="J2115">
        <v>1.335120394</v>
      </c>
      <c r="P2115"/>
      <c r="V2115">
        <v>9.2672081874489207E-2</v>
      </c>
      <c r="W2115">
        <v>2</v>
      </c>
      <c r="X2115">
        <v>75336.809143327002</v>
      </c>
      <c r="Y2115">
        <v>0</v>
      </c>
      <c r="Z2115" s="1">
        <v>1E+100</v>
      </c>
      <c r="AA2115">
        <v>100</v>
      </c>
    </row>
    <row r="2116" spans="1:27" x14ac:dyDescent="0.2">
      <c r="A2116">
        <v>40</v>
      </c>
      <c r="B2116">
        <v>2</v>
      </c>
      <c r="C2116">
        <v>0.3</v>
      </c>
      <c r="D2116">
        <v>100</v>
      </c>
      <c r="E2116">
        <v>1.55108319565235E-2</v>
      </c>
      <c r="F2116">
        <v>2</v>
      </c>
      <c r="G2116">
        <v>32.973130732000001</v>
      </c>
      <c r="H2116">
        <v>2.0972231083871602E-2</v>
      </c>
      <c r="I2116">
        <v>2</v>
      </c>
      <c r="J2116">
        <v>0.45211128900000003</v>
      </c>
      <c r="P2116"/>
      <c r="V2116">
        <v>1.56363283883749E-2</v>
      </c>
      <c r="W2116">
        <v>2</v>
      </c>
      <c r="X2116">
        <v>75279.337095869007</v>
      </c>
      <c r="Y2116">
        <v>0</v>
      </c>
      <c r="Z2116" s="1">
        <v>1E+100</v>
      </c>
      <c r="AA2116">
        <v>100</v>
      </c>
    </row>
    <row r="2117" spans="1:27" x14ac:dyDescent="0.2">
      <c r="A2117">
        <v>40</v>
      </c>
      <c r="B2117">
        <v>2</v>
      </c>
      <c r="C2117">
        <v>0.4</v>
      </c>
      <c r="D2117">
        <v>100</v>
      </c>
      <c r="E2117">
        <v>1.8098650375893501E-2</v>
      </c>
      <c r="F2117">
        <v>2</v>
      </c>
      <c r="G2117">
        <v>33.181773810999999</v>
      </c>
      <c r="H2117">
        <v>2.1954728385783901E-2</v>
      </c>
      <c r="I2117">
        <v>2</v>
      </c>
      <c r="J2117">
        <v>0.35447832200000001</v>
      </c>
      <c r="P2117"/>
      <c r="V2117">
        <v>1.62796492906177E-2</v>
      </c>
      <c r="W2117">
        <v>2</v>
      </c>
      <c r="X2117">
        <v>75297.909771049002</v>
      </c>
      <c r="Y2117">
        <v>0</v>
      </c>
      <c r="Z2117" s="1">
        <v>1E+100</v>
      </c>
      <c r="AA2117">
        <v>100</v>
      </c>
    </row>
    <row r="2118" spans="1:27" x14ac:dyDescent="0.2">
      <c r="A2118">
        <v>40</v>
      </c>
      <c r="B2118">
        <v>2</v>
      </c>
      <c r="C2118">
        <v>0.1</v>
      </c>
      <c r="D2118">
        <v>100</v>
      </c>
      <c r="E2118">
        <v>0.73329058397647595</v>
      </c>
      <c r="F2118">
        <v>2</v>
      </c>
      <c r="G2118">
        <v>33.146103443999998</v>
      </c>
      <c r="H2118">
        <v>0.54022980437054402</v>
      </c>
      <c r="I2118">
        <v>2</v>
      </c>
      <c r="J2118">
        <v>2.1307809870000001</v>
      </c>
      <c r="P2118"/>
      <c r="V2118">
        <v>0.54178341274256303</v>
      </c>
      <c r="W2118">
        <v>2</v>
      </c>
      <c r="X2118">
        <v>76176.015151975007</v>
      </c>
      <c r="Y2118">
        <v>12133</v>
      </c>
      <c r="Z2118">
        <v>0.82205404770434398</v>
      </c>
      <c r="AA2118">
        <v>100</v>
      </c>
    </row>
    <row r="2119" spans="1:27" x14ac:dyDescent="0.2">
      <c r="A2119">
        <v>40</v>
      </c>
      <c r="B2119">
        <v>2</v>
      </c>
      <c r="C2119">
        <v>0.3</v>
      </c>
      <c r="D2119">
        <v>100</v>
      </c>
      <c r="E2119">
        <v>3.03056073598898E-2</v>
      </c>
      <c r="F2119">
        <v>2</v>
      </c>
      <c r="G2119">
        <v>34.552987629999997</v>
      </c>
      <c r="H2119">
        <v>2.9960646663337299E-2</v>
      </c>
      <c r="I2119">
        <v>2</v>
      </c>
      <c r="J2119">
        <v>0.370453009</v>
      </c>
      <c r="P2119"/>
      <c r="V2119">
        <v>2.3592114729432501E-2</v>
      </c>
      <c r="W2119">
        <v>2</v>
      </c>
      <c r="X2119">
        <v>75284.593018557993</v>
      </c>
      <c r="Y2119">
        <v>0</v>
      </c>
      <c r="Z2119" s="1">
        <v>1E+100</v>
      </c>
      <c r="AA2119">
        <v>100</v>
      </c>
    </row>
    <row r="2120" spans="1:27" x14ac:dyDescent="0.2">
      <c r="A2120">
        <v>40</v>
      </c>
      <c r="B2120">
        <v>2</v>
      </c>
      <c r="C2120">
        <v>0.2</v>
      </c>
      <c r="D2120">
        <v>100</v>
      </c>
      <c r="E2120">
        <v>0.193807538765182</v>
      </c>
      <c r="F2120">
        <v>2</v>
      </c>
      <c r="G2120">
        <v>29.383887327</v>
      </c>
      <c r="H2120">
        <v>6.7128407689667102E-2</v>
      </c>
      <c r="I2120">
        <v>2</v>
      </c>
      <c r="J2120">
        <v>1.0410897530000001</v>
      </c>
      <c r="P2120"/>
      <c r="V2120">
        <v>6.16964772762967E-2</v>
      </c>
      <c r="W2120">
        <v>2</v>
      </c>
      <c r="X2120">
        <v>75566.571335585002</v>
      </c>
      <c r="Y2120">
        <v>2533</v>
      </c>
      <c r="Z2120">
        <v>2.4308757397993701</v>
      </c>
      <c r="AA2120">
        <v>100</v>
      </c>
    </row>
    <row r="2121" spans="1:27" x14ac:dyDescent="0.2">
      <c r="A2121">
        <v>40</v>
      </c>
      <c r="B2121">
        <v>2</v>
      </c>
      <c r="C2121">
        <v>0.4</v>
      </c>
      <c r="D2121">
        <v>100</v>
      </c>
      <c r="E2121">
        <v>1.22886393567952E-2</v>
      </c>
      <c r="F2121">
        <v>2</v>
      </c>
      <c r="G2121">
        <v>31.906693967999999</v>
      </c>
      <c r="H2121">
        <v>1.70797873577655E-2</v>
      </c>
      <c r="I2121">
        <v>2</v>
      </c>
      <c r="J2121">
        <v>0.36368189099999998</v>
      </c>
      <c r="P2121"/>
      <c r="V2121">
        <v>1.21805181175853E-2</v>
      </c>
      <c r="W2121">
        <v>2</v>
      </c>
      <c r="X2121">
        <v>75276.714019861</v>
      </c>
      <c r="Y2121">
        <v>0</v>
      </c>
      <c r="Z2121" s="1">
        <v>1E+100</v>
      </c>
      <c r="AA2121">
        <v>100</v>
      </c>
    </row>
    <row r="2122" spans="1:27" x14ac:dyDescent="0.2">
      <c r="A2122">
        <v>40</v>
      </c>
      <c r="B2122">
        <v>2</v>
      </c>
      <c r="C2122">
        <v>0.1</v>
      </c>
      <c r="D2122">
        <v>100</v>
      </c>
      <c r="E2122">
        <v>0.77358129786753205</v>
      </c>
      <c r="F2122">
        <v>2</v>
      </c>
      <c r="G2122">
        <v>38.295935749999998</v>
      </c>
      <c r="H2122">
        <v>0.62051117532423306</v>
      </c>
      <c r="I2122">
        <v>2</v>
      </c>
      <c r="J2122">
        <v>2.309350212</v>
      </c>
      <c r="P2122"/>
      <c r="V2122">
        <v>0.62175925933615905</v>
      </c>
      <c r="W2122">
        <v>2</v>
      </c>
      <c r="X2122">
        <v>76393.552978901993</v>
      </c>
      <c r="Y2122">
        <v>19927</v>
      </c>
      <c r="Z2122">
        <v>0.23392383559303701</v>
      </c>
      <c r="AA2122">
        <v>100</v>
      </c>
    </row>
    <row r="2123" spans="1:27" x14ac:dyDescent="0.2">
      <c r="A2123">
        <v>40</v>
      </c>
      <c r="B2123">
        <v>2</v>
      </c>
      <c r="C2123">
        <v>0.3</v>
      </c>
      <c r="D2123">
        <v>100</v>
      </c>
      <c r="E2123">
        <v>6.8843740983857094E-2</v>
      </c>
      <c r="F2123">
        <v>2</v>
      </c>
      <c r="G2123">
        <v>28.864125000000001</v>
      </c>
      <c r="H2123">
        <v>2.33408626052252E-2</v>
      </c>
      <c r="I2123">
        <v>2</v>
      </c>
      <c r="J2123">
        <v>0.50539989200000002</v>
      </c>
      <c r="P2123"/>
      <c r="V2123">
        <v>1.9285576764510801E-2</v>
      </c>
      <c r="W2123">
        <v>2</v>
      </c>
      <c r="X2123">
        <v>75241.163106820997</v>
      </c>
      <c r="Y2123">
        <v>0</v>
      </c>
      <c r="Z2123" s="1">
        <v>1E+100</v>
      </c>
      <c r="AA2123">
        <v>100</v>
      </c>
    </row>
    <row r="2124" spans="1:27" x14ac:dyDescent="0.2">
      <c r="A2124">
        <v>40</v>
      </c>
      <c r="B2124">
        <v>2</v>
      </c>
      <c r="C2124">
        <v>0.4</v>
      </c>
      <c r="D2124">
        <v>100</v>
      </c>
      <c r="E2124">
        <v>1.2045868789891299E-2</v>
      </c>
      <c r="F2124">
        <v>2</v>
      </c>
      <c r="G2124">
        <v>29.697410059999999</v>
      </c>
      <c r="H2124">
        <v>1.6059925479400002E-2</v>
      </c>
      <c r="I2124">
        <v>2</v>
      </c>
      <c r="J2124">
        <v>0.25450055100000002</v>
      </c>
      <c r="P2124"/>
      <c r="V2124">
        <v>1.11376533398144E-2</v>
      </c>
      <c r="W2124">
        <v>2</v>
      </c>
      <c r="X2124">
        <v>75262.365692858002</v>
      </c>
      <c r="Y2124">
        <v>0</v>
      </c>
      <c r="Z2124" s="1">
        <v>1E+100</v>
      </c>
      <c r="AA2124">
        <v>100</v>
      </c>
    </row>
    <row r="2125" spans="1:27" x14ac:dyDescent="0.2">
      <c r="A2125">
        <v>40</v>
      </c>
      <c r="B2125">
        <v>2</v>
      </c>
      <c r="C2125">
        <v>0.1</v>
      </c>
      <c r="D2125">
        <v>100</v>
      </c>
      <c r="E2125">
        <v>0.65663718866437704</v>
      </c>
      <c r="F2125">
        <v>2</v>
      </c>
      <c r="G2125">
        <v>32.378049247</v>
      </c>
      <c r="H2125">
        <v>0.53750770953946403</v>
      </c>
      <c r="I2125">
        <v>2</v>
      </c>
      <c r="J2125">
        <v>2.0640648810000002</v>
      </c>
      <c r="P2125"/>
      <c r="V2125">
        <v>0.53684388508472702</v>
      </c>
      <c r="W2125">
        <v>2</v>
      </c>
      <c r="X2125">
        <v>76239.634933966998</v>
      </c>
      <c r="Y2125">
        <v>9973</v>
      </c>
      <c r="Z2125">
        <v>0.52490632813512295</v>
      </c>
      <c r="AA2125">
        <v>100</v>
      </c>
    </row>
    <row r="2126" spans="1:27" x14ac:dyDescent="0.2">
      <c r="A2126">
        <v>40</v>
      </c>
      <c r="B2126">
        <v>2</v>
      </c>
      <c r="C2126">
        <v>0.2</v>
      </c>
      <c r="D2126">
        <v>100</v>
      </c>
      <c r="E2126">
        <v>0.18038223313038601</v>
      </c>
      <c r="F2126">
        <v>2</v>
      </c>
      <c r="G2126">
        <v>25.803057782</v>
      </c>
      <c r="H2126">
        <v>6.2874419231119805E-2</v>
      </c>
      <c r="I2126">
        <v>2</v>
      </c>
      <c r="J2126">
        <v>0.70531538999999999</v>
      </c>
      <c r="P2126"/>
      <c r="V2126">
        <v>5.0217017661508899E-2</v>
      </c>
      <c r="W2126">
        <v>2</v>
      </c>
      <c r="X2126">
        <v>77138.521149362001</v>
      </c>
      <c r="Y2126">
        <v>4226</v>
      </c>
      <c r="Z2126">
        <v>1.8908900419592101</v>
      </c>
      <c r="AA2126">
        <v>100</v>
      </c>
    </row>
    <row r="2127" spans="1:27" x14ac:dyDescent="0.2">
      <c r="A2127">
        <v>40</v>
      </c>
      <c r="B2127">
        <v>2</v>
      </c>
      <c r="C2127">
        <v>0.4</v>
      </c>
      <c r="D2127">
        <v>100</v>
      </c>
      <c r="E2127">
        <v>1.40452757466043E-2</v>
      </c>
      <c r="F2127">
        <v>2</v>
      </c>
      <c r="G2127">
        <v>27.652404410999999</v>
      </c>
      <c r="H2127">
        <v>1.8417132173159802E-2</v>
      </c>
      <c r="I2127">
        <v>2</v>
      </c>
      <c r="J2127">
        <v>0.47711365900000002</v>
      </c>
      <c r="P2127"/>
      <c r="V2127">
        <v>1.24657592141565E-2</v>
      </c>
      <c r="W2127">
        <v>2</v>
      </c>
      <c r="X2127">
        <v>75242.066931991998</v>
      </c>
      <c r="Y2127">
        <v>0</v>
      </c>
      <c r="Z2127" s="1">
        <v>1E+100</v>
      </c>
      <c r="AA2127">
        <v>100</v>
      </c>
    </row>
    <row r="2128" spans="1:27" x14ac:dyDescent="0.2">
      <c r="A2128">
        <v>40</v>
      </c>
      <c r="B2128">
        <v>2</v>
      </c>
      <c r="C2128">
        <v>0.3</v>
      </c>
      <c r="D2128">
        <v>100</v>
      </c>
      <c r="E2128">
        <v>1.5428024842915399E-2</v>
      </c>
      <c r="F2128">
        <v>2</v>
      </c>
      <c r="G2128">
        <v>33.926443317</v>
      </c>
      <c r="H2128">
        <v>2.1767076513354199E-2</v>
      </c>
      <c r="I2128">
        <v>2</v>
      </c>
      <c r="J2128">
        <v>0.45045197100000001</v>
      </c>
      <c r="P2128"/>
      <c r="V2128">
        <v>1.56571306425436E-2</v>
      </c>
      <c r="W2128">
        <v>2</v>
      </c>
      <c r="X2128">
        <v>75313.645647634999</v>
      </c>
      <c r="Y2128">
        <v>0</v>
      </c>
      <c r="Z2128" s="1">
        <v>1E+100</v>
      </c>
      <c r="AA2128">
        <v>100</v>
      </c>
    </row>
    <row r="2129" spans="1:27" x14ac:dyDescent="0.2">
      <c r="A2129">
        <v>40</v>
      </c>
      <c r="B2129">
        <v>2</v>
      </c>
      <c r="C2129">
        <v>0.2</v>
      </c>
      <c r="D2129">
        <v>100</v>
      </c>
      <c r="E2129">
        <v>0.23277938178454699</v>
      </c>
      <c r="F2129">
        <v>2</v>
      </c>
      <c r="G2129">
        <v>29.626432645000001</v>
      </c>
      <c r="H2129">
        <v>7.7365646742158498E-2</v>
      </c>
      <c r="I2129">
        <v>2</v>
      </c>
      <c r="J2129">
        <v>0.81417019999999996</v>
      </c>
      <c r="P2129"/>
      <c r="V2129">
        <v>6.8527623328366302E-2</v>
      </c>
      <c r="W2129">
        <v>2</v>
      </c>
      <c r="X2129">
        <v>75256.915431047004</v>
      </c>
      <c r="Y2129">
        <v>0</v>
      </c>
      <c r="Z2129" s="1">
        <v>1E+100</v>
      </c>
      <c r="AA2129">
        <v>100</v>
      </c>
    </row>
    <row r="2130" spans="1:27" x14ac:dyDescent="0.2">
      <c r="A2130">
        <v>40</v>
      </c>
      <c r="B2130">
        <v>2</v>
      </c>
      <c r="C2130">
        <v>0.2</v>
      </c>
      <c r="D2130">
        <v>100</v>
      </c>
      <c r="E2130">
        <v>0.178705175366032</v>
      </c>
      <c r="F2130">
        <v>2</v>
      </c>
      <c r="G2130">
        <v>29.530220385</v>
      </c>
      <c r="H2130">
        <v>6.0346634342330799E-2</v>
      </c>
      <c r="I2130">
        <v>2</v>
      </c>
      <c r="J2130">
        <v>0.96610522700000001</v>
      </c>
      <c r="P2130"/>
      <c r="V2130">
        <v>5.03679529040406E-2</v>
      </c>
      <c r="W2130">
        <v>2</v>
      </c>
      <c r="X2130">
        <v>75268.931722006004</v>
      </c>
      <c r="Y2130">
        <v>0</v>
      </c>
      <c r="Z2130" s="1">
        <v>1E+100</v>
      </c>
      <c r="AA2130">
        <v>100</v>
      </c>
    </row>
    <row r="2131" spans="1:27" x14ac:dyDescent="0.2">
      <c r="A2131">
        <v>40</v>
      </c>
      <c r="B2131">
        <v>2</v>
      </c>
      <c r="C2131">
        <v>0.4</v>
      </c>
      <c r="D2131">
        <v>100</v>
      </c>
      <c r="E2131">
        <v>1.2680406195219599E-2</v>
      </c>
      <c r="F2131">
        <v>2</v>
      </c>
      <c r="G2131">
        <v>30.460051601</v>
      </c>
      <c r="H2131">
        <v>1.5594103299686499E-2</v>
      </c>
      <c r="I2131">
        <v>2</v>
      </c>
      <c r="J2131">
        <v>0.39864712299999999</v>
      </c>
      <c r="P2131"/>
      <c r="V2131">
        <v>1.01342438507965E-2</v>
      </c>
      <c r="W2131">
        <v>2</v>
      </c>
      <c r="X2131">
        <v>75276.190176598</v>
      </c>
      <c r="Y2131">
        <v>0</v>
      </c>
      <c r="Z2131" s="1">
        <v>1E+100</v>
      </c>
      <c r="AA2131">
        <v>100</v>
      </c>
    </row>
    <row r="2132" spans="1:27" x14ac:dyDescent="0.2">
      <c r="A2132">
        <v>40</v>
      </c>
      <c r="B2132">
        <v>2</v>
      </c>
      <c r="C2132">
        <v>0.3</v>
      </c>
      <c r="D2132">
        <v>100</v>
      </c>
      <c r="E2132">
        <v>6.9319155376430103E-2</v>
      </c>
      <c r="F2132">
        <v>2</v>
      </c>
      <c r="G2132">
        <v>28.717636789</v>
      </c>
      <c r="H2132">
        <v>2.2998616729311999E-2</v>
      </c>
      <c r="I2132">
        <v>2</v>
      </c>
      <c r="J2132">
        <v>0.48311514799999999</v>
      </c>
      <c r="P2132"/>
      <c r="V2132">
        <v>1.9250477920753298E-2</v>
      </c>
      <c r="W2132">
        <v>2</v>
      </c>
      <c r="X2132">
        <v>75285.339665241001</v>
      </c>
      <c r="Y2132">
        <v>0</v>
      </c>
      <c r="Z2132" s="1">
        <v>1E+100</v>
      </c>
      <c r="AA2132">
        <v>100</v>
      </c>
    </row>
    <row r="2133" spans="1:27" x14ac:dyDescent="0.2">
      <c r="A2133">
        <v>40</v>
      </c>
      <c r="B2133">
        <v>2</v>
      </c>
      <c r="C2133">
        <v>0.3</v>
      </c>
      <c r="D2133">
        <v>100</v>
      </c>
      <c r="E2133">
        <v>4.3118556270224401E-2</v>
      </c>
      <c r="F2133">
        <v>2</v>
      </c>
      <c r="G2133">
        <v>30.296299954999999</v>
      </c>
      <c r="H2133">
        <v>2.4056207263836699E-2</v>
      </c>
      <c r="I2133">
        <v>2</v>
      </c>
      <c r="J2133">
        <v>0.38084543399999998</v>
      </c>
      <c r="P2133"/>
      <c r="V2133">
        <v>1.9634303123662499E-2</v>
      </c>
      <c r="W2133">
        <v>2</v>
      </c>
      <c r="X2133">
        <v>75284.256628139003</v>
      </c>
      <c r="Y2133">
        <v>0</v>
      </c>
      <c r="Z2133" s="1">
        <v>1E+100</v>
      </c>
      <c r="AA2133">
        <v>100</v>
      </c>
    </row>
    <row r="2134" spans="1:27" x14ac:dyDescent="0.2">
      <c r="A2134">
        <v>40</v>
      </c>
      <c r="B2134">
        <v>2</v>
      </c>
      <c r="C2134">
        <v>0.1</v>
      </c>
      <c r="D2134">
        <v>100</v>
      </c>
      <c r="E2134">
        <v>0.84126322555297395</v>
      </c>
      <c r="F2134">
        <v>2</v>
      </c>
      <c r="G2134">
        <v>36.474514626999998</v>
      </c>
      <c r="H2134">
        <v>0.68211606539443104</v>
      </c>
      <c r="I2134">
        <v>2</v>
      </c>
      <c r="J2134">
        <v>2.2826296629999998</v>
      </c>
      <c r="P2134"/>
      <c r="V2134">
        <v>0.683445257419379</v>
      </c>
      <c r="W2134">
        <v>2</v>
      </c>
      <c r="X2134">
        <v>76260.151963302007</v>
      </c>
      <c r="Y2134">
        <v>7923</v>
      </c>
      <c r="Z2134">
        <v>0.59787587199568404</v>
      </c>
      <c r="AA2134">
        <v>100</v>
      </c>
    </row>
    <row r="2135" spans="1:27" x14ac:dyDescent="0.2">
      <c r="A2135">
        <v>40</v>
      </c>
      <c r="B2135">
        <v>2</v>
      </c>
      <c r="C2135">
        <v>0.2</v>
      </c>
      <c r="D2135">
        <v>100</v>
      </c>
      <c r="E2135">
        <v>0.2507765042583</v>
      </c>
      <c r="F2135">
        <v>2</v>
      </c>
      <c r="G2135">
        <v>28.937177589000001</v>
      </c>
      <c r="H2135">
        <v>0.119815410624935</v>
      </c>
      <c r="I2135">
        <v>2</v>
      </c>
      <c r="J2135">
        <v>0.95405805300000002</v>
      </c>
      <c r="P2135"/>
      <c r="V2135">
        <v>0.100594827027694</v>
      </c>
      <c r="W2135">
        <v>2</v>
      </c>
      <c r="X2135">
        <v>76157.565965396003</v>
      </c>
      <c r="Y2135">
        <v>6317</v>
      </c>
      <c r="Z2135">
        <v>2.2672446495507699</v>
      </c>
      <c r="AA2135">
        <v>100</v>
      </c>
    </row>
    <row r="2136" spans="1:27" x14ac:dyDescent="0.2">
      <c r="A2136">
        <v>40</v>
      </c>
      <c r="B2136">
        <v>2</v>
      </c>
      <c r="C2136">
        <v>0.4</v>
      </c>
      <c r="D2136">
        <v>100</v>
      </c>
      <c r="E2136">
        <v>1.37980496051741E-2</v>
      </c>
      <c r="F2136">
        <v>2</v>
      </c>
      <c r="G2136">
        <v>30.824315567999999</v>
      </c>
      <c r="H2136">
        <v>2.0963230814503301E-2</v>
      </c>
      <c r="I2136">
        <v>2</v>
      </c>
      <c r="J2136">
        <v>0.43903856600000002</v>
      </c>
      <c r="P2136"/>
      <c r="V2136">
        <v>1.5516359883936501E-2</v>
      </c>
      <c r="W2136">
        <v>2</v>
      </c>
      <c r="X2136">
        <v>75275.341550874</v>
      </c>
      <c r="Y2136">
        <v>0</v>
      </c>
      <c r="Z2136" s="1">
        <v>1E+100</v>
      </c>
      <c r="AA2136">
        <v>100</v>
      </c>
    </row>
    <row r="2137" spans="1:27" x14ac:dyDescent="0.2">
      <c r="A2137">
        <v>40</v>
      </c>
      <c r="B2137">
        <v>2</v>
      </c>
      <c r="C2137">
        <v>0.1</v>
      </c>
      <c r="D2137">
        <v>100</v>
      </c>
      <c r="E2137">
        <v>1.05639325788438</v>
      </c>
      <c r="F2137">
        <v>2</v>
      </c>
      <c r="G2137">
        <v>33.494554634000004</v>
      </c>
      <c r="H2137">
        <v>0.78063841592512395</v>
      </c>
      <c r="I2137">
        <v>2</v>
      </c>
      <c r="J2137">
        <v>2.4821926630000002</v>
      </c>
      <c r="P2137"/>
      <c r="V2137">
        <v>0.78442286741687905</v>
      </c>
      <c r="W2137">
        <v>2</v>
      </c>
      <c r="X2137">
        <v>76233.823561946003</v>
      </c>
      <c r="Y2137">
        <v>6431</v>
      </c>
      <c r="Z2137">
        <v>0.44009735678255801</v>
      </c>
      <c r="AA2137">
        <v>100</v>
      </c>
    </row>
    <row r="2138" spans="1:27" x14ac:dyDescent="0.2">
      <c r="A2138">
        <v>40</v>
      </c>
      <c r="B2138">
        <v>2</v>
      </c>
      <c r="C2138">
        <v>0.1</v>
      </c>
      <c r="D2138">
        <v>100</v>
      </c>
      <c r="E2138">
        <v>0.75256590082240804</v>
      </c>
      <c r="F2138">
        <v>2</v>
      </c>
      <c r="G2138">
        <v>30.592996353</v>
      </c>
      <c r="H2138">
        <v>0.68883005940330799</v>
      </c>
      <c r="I2138">
        <v>2</v>
      </c>
      <c r="J2138">
        <v>2.0517583629999998</v>
      </c>
      <c r="P2138"/>
      <c r="V2138">
        <v>0.68940540483456103</v>
      </c>
      <c r="W2138">
        <v>2</v>
      </c>
      <c r="X2138">
        <v>76088.250527513999</v>
      </c>
      <c r="Y2138">
        <v>9887</v>
      </c>
      <c r="Z2138">
        <v>0.40387346223748599</v>
      </c>
      <c r="AA2138">
        <v>100</v>
      </c>
    </row>
    <row r="2139" spans="1:27" x14ac:dyDescent="0.2">
      <c r="A2139">
        <v>40</v>
      </c>
      <c r="B2139">
        <v>2</v>
      </c>
      <c r="C2139">
        <v>0.1</v>
      </c>
      <c r="D2139">
        <v>100</v>
      </c>
      <c r="E2139">
        <v>0.82419903431005104</v>
      </c>
      <c r="F2139">
        <v>2</v>
      </c>
      <c r="G2139">
        <v>28.220876297</v>
      </c>
      <c r="H2139">
        <v>0.70447702302870296</v>
      </c>
      <c r="I2139">
        <v>2</v>
      </c>
      <c r="J2139">
        <v>2.2112089589999999</v>
      </c>
      <c r="P2139"/>
      <c r="V2139">
        <v>0.72331264862866296</v>
      </c>
      <c r="W2139">
        <v>2</v>
      </c>
      <c r="X2139">
        <v>77330.175461241</v>
      </c>
      <c r="Y2139">
        <v>17729</v>
      </c>
      <c r="Z2139">
        <v>0.49907934263751302</v>
      </c>
      <c r="AA2139">
        <v>100</v>
      </c>
    </row>
    <row r="2140" spans="1:27" x14ac:dyDescent="0.2">
      <c r="A2140">
        <v>40</v>
      </c>
      <c r="B2140">
        <v>2</v>
      </c>
      <c r="C2140">
        <v>0.3</v>
      </c>
      <c r="D2140">
        <v>100</v>
      </c>
      <c r="E2140">
        <v>0.12511654499937699</v>
      </c>
      <c r="F2140">
        <v>2</v>
      </c>
      <c r="G2140">
        <v>29.139327399999999</v>
      </c>
      <c r="H2140">
        <v>3.2875113431246397E-2</v>
      </c>
      <c r="I2140">
        <v>2</v>
      </c>
      <c r="J2140">
        <v>0.43243247899999998</v>
      </c>
      <c r="P2140"/>
      <c r="V2140">
        <v>2.9175294891911199E-2</v>
      </c>
      <c r="W2140">
        <v>2</v>
      </c>
      <c r="X2140">
        <v>75264.210918883997</v>
      </c>
      <c r="Y2140">
        <v>0</v>
      </c>
      <c r="Z2140" s="1">
        <v>1E+100</v>
      </c>
      <c r="AA2140">
        <v>100</v>
      </c>
    </row>
    <row r="2141" spans="1:27" x14ac:dyDescent="0.2">
      <c r="A2141">
        <v>40</v>
      </c>
      <c r="B2141">
        <v>2</v>
      </c>
      <c r="C2141">
        <v>0.2</v>
      </c>
      <c r="D2141">
        <v>100</v>
      </c>
      <c r="E2141">
        <v>0.125623925788588</v>
      </c>
      <c r="F2141">
        <v>2</v>
      </c>
      <c r="G2141">
        <v>29.201406448</v>
      </c>
      <c r="H2141">
        <v>5.9741422372554302E-2</v>
      </c>
      <c r="I2141">
        <v>2</v>
      </c>
      <c r="J2141">
        <v>0.77428297300000004</v>
      </c>
      <c r="P2141"/>
      <c r="V2141">
        <v>5.3865226321278797E-2</v>
      </c>
      <c r="W2141">
        <v>2</v>
      </c>
      <c r="X2141">
        <v>76564.142476498004</v>
      </c>
      <c r="Y2141">
        <v>2440</v>
      </c>
      <c r="Z2141">
        <v>2.5307117983259002</v>
      </c>
      <c r="AA2141">
        <v>100</v>
      </c>
    </row>
    <row r="2142" spans="1:27" x14ac:dyDescent="0.2">
      <c r="A2142">
        <v>40</v>
      </c>
      <c r="B2142">
        <v>2</v>
      </c>
      <c r="C2142">
        <v>0.4</v>
      </c>
      <c r="D2142">
        <v>100</v>
      </c>
      <c r="E2142">
        <v>1.2279981458686201E-2</v>
      </c>
      <c r="F2142">
        <v>2</v>
      </c>
      <c r="G2142">
        <v>31.203897259000001</v>
      </c>
      <c r="H2142">
        <v>1.60137250488568E-2</v>
      </c>
      <c r="I2142">
        <v>2</v>
      </c>
      <c r="J2142">
        <v>0.31521624500000001</v>
      </c>
      <c r="P2142"/>
      <c r="V2142">
        <v>1.0865632553719E-2</v>
      </c>
      <c r="W2142">
        <v>2</v>
      </c>
      <c r="X2142">
        <v>75256.046525258993</v>
      </c>
      <c r="Y2142">
        <v>0</v>
      </c>
      <c r="Z2142" s="1">
        <v>1E+100</v>
      </c>
      <c r="AA2142">
        <v>100</v>
      </c>
    </row>
    <row r="2143" spans="1:27" x14ac:dyDescent="0.2">
      <c r="A2143">
        <v>40</v>
      </c>
      <c r="B2143">
        <v>2</v>
      </c>
      <c r="C2143">
        <v>0.3</v>
      </c>
      <c r="D2143">
        <v>100</v>
      </c>
      <c r="E2143">
        <v>8.4714139254255097E-2</v>
      </c>
      <c r="F2143">
        <v>2</v>
      </c>
      <c r="G2143">
        <v>31.680383437</v>
      </c>
      <c r="H2143">
        <v>3.8934268714021399E-2</v>
      </c>
      <c r="I2143">
        <v>2</v>
      </c>
      <c r="J2143">
        <v>0.77279143500000003</v>
      </c>
      <c r="P2143"/>
      <c r="V2143">
        <v>3.3348454457925197E-2</v>
      </c>
      <c r="W2143">
        <v>2</v>
      </c>
      <c r="X2143">
        <v>75255.624657064007</v>
      </c>
      <c r="Y2143">
        <v>0</v>
      </c>
      <c r="Z2143" s="1">
        <v>1E+100</v>
      </c>
      <c r="AA2143">
        <v>100</v>
      </c>
    </row>
    <row r="2144" spans="1:27" x14ac:dyDescent="0.2">
      <c r="A2144">
        <v>40</v>
      </c>
      <c r="B2144">
        <v>2</v>
      </c>
      <c r="C2144">
        <v>0.4</v>
      </c>
      <c r="D2144">
        <v>100</v>
      </c>
      <c r="E2144">
        <v>3.9055278727472303E-2</v>
      </c>
      <c r="F2144">
        <v>2</v>
      </c>
      <c r="G2144">
        <v>36.082996803</v>
      </c>
      <c r="H2144">
        <v>2.3849323695590199E-2</v>
      </c>
      <c r="I2144">
        <v>2</v>
      </c>
      <c r="J2144">
        <v>0.39510863899999998</v>
      </c>
      <c r="P2144"/>
      <c r="V2144">
        <v>1.7083004257622301E-2</v>
      </c>
      <c r="W2144">
        <v>2</v>
      </c>
      <c r="X2144">
        <v>75285.528475037994</v>
      </c>
      <c r="Y2144">
        <v>0</v>
      </c>
      <c r="Z2144" s="1">
        <v>1E+100</v>
      </c>
      <c r="AA2144">
        <v>100</v>
      </c>
    </row>
    <row r="2145" spans="1:27" x14ac:dyDescent="0.2">
      <c r="A2145">
        <v>40</v>
      </c>
      <c r="B2145">
        <v>2</v>
      </c>
      <c r="C2145">
        <v>0.1</v>
      </c>
      <c r="D2145">
        <v>100</v>
      </c>
      <c r="E2145">
        <v>0.93463427613050198</v>
      </c>
      <c r="F2145">
        <v>2</v>
      </c>
      <c r="G2145">
        <v>35.872481239999999</v>
      </c>
      <c r="H2145">
        <v>0.94223752952578399</v>
      </c>
      <c r="I2145">
        <v>2</v>
      </c>
      <c r="J2145">
        <v>2.3196158840000001</v>
      </c>
      <c r="P2145"/>
      <c r="V2145">
        <v>0.94446354829941803</v>
      </c>
      <c r="W2145">
        <v>2</v>
      </c>
      <c r="X2145">
        <v>76042.108322001994</v>
      </c>
      <c r="Y2145">
        <v>7920</v>
      </c>
      <c r="Z2145">
        <v>0.31736653833240902</v>
      </c>
      <c r="AA2145">
        <v>100</v>
      </c>
    </row>
    <row r="2146" spans="1:27" x14ac:dyDescent="0.2">
      <c r="A2146">
        <v>40</v>
      </c>
      <c r="B2146">
        <v>2</v>
      </c>
      <c r="C2146">
        <v>0.3</v>
      </c>
      <c r="D2146">
        <v>100</v>
      </c>
      <c r="E2146">
        <v>0.113040214407339</v>
      </c>
      <c r="F2146">
        <v>2</v>
      </c>
      <c r="G2146">
        <v>30.656772408999998</v>
      </c>
      <c r="H2146">
        <v>2.42053298604268E-2</v>
      </c>
      <c r="I2146">
        <v>2</v>
      </c>
      <c r="J2146">
        <v>0.456037635</v>
      </c>
      <c r="P2146"/>
      <c r="V2146">
        <v>1.9315180620873802E-2</v>
      </c>
      <c r="W2146">
        <v>2</v>
      </c>
      <c r="X2146">
        <v>75264.739448622</v>
      </c>
      <c r="Y2146">
        <v>0</v>
      </c>
      <c r="Z2146" s="1">
        <v>1E+100</v>
      </c>
      <c r="AA2146">
        <v>100</v>
      </c>
    </row>
    <row r="2147" spans="1:27" x14ac:dyDescent="0.2">
      <c r="A2147">
        <v>40</v>
      </c>
      <c r="B2147">
        <v>2</v>
      </c>
      <c r="C2147">
        <v>0.1</v>
      </c>
      <c r="D2147">
        <v>100</v>
      </c>
      <c r="E2147">
        <v>1.1092295060713799</v>
      </c>
      <c r="F2147">
        <v>2</v>
      </c>
      <c r="G2147">
        <v>31.028988781999999</v>
      </c>
      <c r="H2147">
        <v>1.02016760945116</v>
      </c>
      <c r="I2147">
        <v>2</v>
      </c>
      <c r="J2147">
        <v>2.028954551</v>
      </c>
      <c r="P2147"/>
      <c r="V2147">
        <v>1.0242263222600001</v>
      </c>
      <c r="W2147">
        <v>2</v>
      </c>
      <c r="X2147">
        <v>76097.583530971999</v>
      </c>
      <c r="Y2147">
        <v>9689</v>
      </c>
      <c r="Z2147">
        <v>0.58488161183004095</v>
      </c>
      <c r="AA2147">
        <v>100</v>
      </c>
    </row>
    <row r="2148" spans="1:27" x14ac:dyDescent="0.2">
      <c r="A2148">
        <v>40</v>
      </c>
      <c r="B2148">
        <v>2</v>
      </c>
      <c r="C2148">
        <v>0.4</v>
      </c>
      <c r="D2148">
        <v>100</v>
      </c>
      <c r="E2148">
        <v>2.4307678188394299E-2</v>
      </c>
      <c r="F2148">
        <v>2</v>
      </c>
      <c r="G2148">
        <v>32.426785807999998</v>
      </c>
      <c r="H2148">
        <v>1.7162405320869899E-2</v>
      </c>
      <c r="I2148">
        <v>2</v>
      </c>
      <c r="J2148">
        <v>0.301707536</v>
      </c>
      <c r="P2148"/>
      <c r="V2148">
        <v>1.2121711438800401E-2</v>
      </c>
      <c r="W2148">
        <v>2</v>
      </c>
      <c r="X2148">
        <v>75269.792435181007</v>
      </c>
      <c r="Y2148">
        <v>0</v>
      </c>
      <c r="Z2148" s="1">
        <v>1E+100</v>
      </c>
      <c r="AA2148">
        <v>100</v>
      </c>
    </row>
    <row r="2149" spans="1:27" x14ac:dyDescent="0.2">
      <c r="A2149">
        <v>40</v>
      </c>
      <c r="B2149">
        <v>2</v>
      </c>
      <c r="C2149">
        <v>0.2</v>
      </c>
      <c r="D2149">
        <v>100</v>
      </c>
      <c r="E2149">
        <v>0.27889421308551599</v>
      </c>
      <c r="F2149">
        <v>2</v>
      </c>
      <c r="G2149">
        <v>34.616876114999997</v>
      </c>
      <c r="H2149">
        <v>7.76417994624269E-2</v>
      </c>
      <c r="I2149">
        <v>2</v>
      </c>
      <c r="J2149">
        <v>1.186082818</v>
      </c>
      <c r="P2149"/>
      <c r="V2149">
        <v>7.3591372564435001E-2</v>
      </c>
      <c r="W2149">
        <v>2</v>
      </c>
      <c r="X2149">
        <v>76663.847719872007</v>
      </c>
      <c r="Y2149">
        <v>2436</v>
      </c>
      <c r="Z2149">
        <v>3.57054713061734</v>
      </c>
      <c r="AA2149">
        <v>100</v>
      </c>
    </row>
    <row r="2150" spans="1:27" x14ac:dyDescent="0.2">
      <c r="A2150">
        <v>40</v>
      </c>
      <c r="B2150">
        <v>2</v>
      </c>
      <c r="C2150">
        <v>0.1</v>
      </c>
      <c r="D2150">
        <v>100</v>
      </c>
      <c r="E2150">
        <v>1.01235088661517</v>
      </c>
      <c r="F2150">
        <v>2</v>
      </c>
      <c r="G2150">
        <v>31.781643249999998</v>
      </c>
      <c r="H2150">
        <v>0.92753977856965397</v>
      </c>
      <c r="I2150">
        <v>2</v>
      </c>
      <c r="J2150">
        <v>2.0693486779999999</v>
      </c>
      <c r="P2150"/>
      <c r="V2150">
        <v>0.93159018426253404</v>
      </c>
      <c r="W2150">
        <v>2</v>
      </c>
      <c r="X2150">
        <v>75745.436803838005</v>
      </c>
      <c r="Y2150">
        <v>13361</v>
      </c>
      <c r="Z2150">
        <v>0.60939898614852595</v>
      </c>
      <c r="AA2150">
        <v>100</v>
      </c>
    </row>
    <row r="2151" spans="1:27" x14ac:dyDescent="0.2">
      <c r="A2151">
        <v>40</v>
      </c>
      <c r="B2151">
        <v>2</v>
      </c>
      <c r="C2151">
        <v>0.2</v>
      </c>
      <c r="D2151">
        <v>100</v>
      </c>
      <c r="E2151">
        <v>0.23268122977675801</v>
      </c>
      <c r="F2151">
        <v>2</v>
      </c>
      <c r="G2151">
        <v>27.608038419</v>
      </c>
      <c r="H2151">
        <v>0.16385697031937399</v>
      </c>
      <c r="I2151">
        <v>2</v>
      </c>
      <c r="J2151">
        <v>0.86926678899999998</v>
      </c>
      <c r="P2151"/>
      <c r="V2151">
        <v>0.16254851751404001</v>
      </c>
      <c r="W2151">
        <v>2</v>
      </c>
      <c r="X2151">
        <v>77578.833863741995</v>
      </c>
      <c r="Y2151">
        <v>4879</v>
      </c>
      <c r="Z2151">
        <v>3.6239638308070399</v>
      </c>
      <c r="AA2151">
        <v>100</v>
      </c>
    </row>
    <row r="2152" spans="1:27" x14ac:dyDescent="0.2">
      <c r="A2152">
        <v>40</v>
      </c>
      <c r="B2152">
        <v>2</v>
      </c>
      <c r="C2152">
        <v>0.3</v>
      </c>
      <c r="D2152">
        <v>100</v>
      </c>
      <c r="E2152">
        <v>3.3770523168965699E-2</v>
      </c>
      <c r="F2152">
        <v>2</v>
      </c>
      <c r="G2152">
        <v>32.816082282000004</v>
      </c>
      <c r="H2152">
        <v>3.3703370239245398E-2</v>
      </c>
      <c r="I2152">
        <v>2</v>
      </c>
      <c r="J2152">
        <v>0.56173362900000001</v>
      </c>
      <c r="P2152"/>
      <c r="V2152">
        <v>2.6120111453820299E-2</v>
      </c>
      <c r="W2152">
        <v>2</v>
      </c>
      <c r="X2152">
        <v>75284.209367207004</v>
      </c>
      <c r="Y2152">
        <v>0</v>
      </c>
      <c r="Z2152" s="1">
        <v>1E+100</v>
      </c>
      <c r="AA2152">
        <v>100</v>
      </c>
    </row>
    <row r="2153" spans="1:27" x14ac:dyDescent="0.2">
      <c r="A2153">
        <v>40</v>
      </c>
      <c r="B2153">
        <v>2</v>
      </c>
      <c r="C2153">
        <v>0.2</v>
      </c>
      <c r="D2153">
        <v>100</v>
      </c>
      <c r="E2153">
        <v>0.18288802284151401</v>
      </c>
      <c r="F2153">
        <v>2</v>
      </c>
      <c r="G2153">
        <v>29.177415132</v>
      </c>
      <c r="H2153">
        <v>6.4090830265593396E-2</v>
      </c>
      <c r="I2153">
        <v>2</v>
      </c>
      <c r="J2153">
        <v>1.0444274710000001</v>
      </c>
      <c r="P2153"/>
      <c r="V2153">
        <v>6.2136104056523297E-2</v>
      </c>
      <c r="W2153">
        <v>2</v>
      </c>
      <c r="X2153">
        <v>77311.132019687997</v>
      </c>
      <c r="Y2153">
        <v>3791</v>
      </c>
      <c r="Z2153">
        <v>2.5302387421070298</v>
      </c>
      <c r="AA2153">
        <v>100</v>
      </c>
    </row>
    <row r="2154" spans="1:27" x14ac:dyDescent="0.2">
      <c r="A2154">
        <v>40</v>
      </c>
      <c r="B2154">
        <v>2</v>
      </c>
      <c r="C2154">
        <v>0.4</v>
      </c>
      <c r="D2154">
        <v>100</v>
      </c>
      <c r="E2154">
        <v>1.1181920615556999E-2</v>
      </c>
      <c r="F2154">
        <v>2</v>
      </c>
      <c r="G2154">
        <v>29.121761229000001</v>
      </c>
      <c r="H2154">
        <v>1.4021686585909E-2</v>
      </c>
      <c r="I2154">
        <v>2</v>
      </c>
      <c r="J2154">
        <v>0.243674537</v>
      </c>
      <c r="P2154"/>
      <c r="V2154">
        <v>9.2748317158468895E-3</v>
      </c>
      <c r="W2154">
        <v>2</v>
      </c>
      <c r="X2154">
        <v>75228.108283249996</v>
      </c>
      <c r="Y2154">
        <v>0</v>
      </c>
      <c r="Z2154" s="1">
        <v>1E+100</v>
      </c>
      <c r="AA2154">
        <v>100</v>
      </c>
    </row>
    <row r="2155" spans="1:27" x14ac:dyDescent="0.2">
      <c r="A2155">
        <v>40</v>
      </c>
      <c r="B2155">
        <v>2</v>
      </c>
      <c r="C2155">
        <v>0.1</v>
      </c>
      <c r="D2155">
        <v>100</v>
      </c>
      <c r="E2155">
        <v>0.796950283756094</v>
      </c>
      <c r="F2155">
        <v>2</v>
      </c>
      <c r="G2155">
        <v>31.328850967000001</v>
      </c>
      <c r="H2155">
        <v>0.40040657139850699</v>
      </c>
      <c r="I2155">
        <v>2</v>
      </c>
      <c r="J2155">
        <v>1.986202783</v>
      </c>
      <c r="P2155"/>
      <c r="V2155">
        <v>0.40063665524605502</v>
      </c>
      <c r="W2155">
        <v>2</v>
      </c>
      <c r="X2155">
        <v>76125.329108644</v>
      </c>
      <c r="Y2155">
        <v>7886</v>
      </c>
      <c r="Z2155">
        <v>0.46258880646148998</v>
      </c>
      <c r="AA2155">
        <v>100</v>
      </c>
    </row>
    <row r="2156" spans="1:27" x14ac:dyDescent="0.2">
      <c r="A2156">
        <v>40</v>
      </c>
      <c r="B2156">
        <v>2</v>
      </c>
      <c r="C2156">
        <v>0.4</v>
      </c>
      <c r="D2156">
        <v>100</v>
      </c>
      <c r="E2156">
        <v>1.6061373361202301E-2</v>
      </c>
      <c r="F2156">
        <v>2</v>
      </c>
      <c r="G2156">
        <v>30.227908332999998</v>
      </c>
      <c r="H2156">
        <v>1.8021713887510098E-2</v>
      </c>
      <c r="I2156">
        <v>2</v>
      </c>
      <c r="J2156">
        <v>0.12965464400000001</v>
      </c>
      <c r="P2156"/>
      <c r="V2156">
        <v>1.29830013254616E-2</v>
      </c>
      <c r="W2156">
        <v>2</v>
      </c>
      <c r="X2156">
        <v>75253.199237402994</v>
      </c>
      <c r="Y2156">
        <v>0</v>
      </c>
      <c r="Z2156" s="1">
        <v>1E+100</v>
      </c>
      <c r="AA2156">
        <v>100</v>
      </c>
    </row>
    <row r="2157" spans="1:27" x14ac:dyDescent="0.2">
      <c r="A2157">
        <v>40</v>
      </c>
      <c r="B2157">
        <v>2</v>
      </c>
      <c r="C2157">
        <v>0.2</v>
      </c>
      <c r="D2157">
        <v>100</v>
      </c>
      <c r="E2157">
        <v>0.197547464597533</v>
      </c>
      <c r="F2157">
        <v>2</v>
      </c>
      <c r="G2157">
        <v>28.058688215</v>
      </c>
      <c r="H2157">
        <v>6.7944294899104293E-2</v>
      </c>
      <c r="I2157">
        <v>2</v>
      </c>
      <c r="J2157">
        <v>0.72441634200000005</v>
      </c>
      <c r="P2157"/>
      <c r="V2157">
        <v>6.0425887056683003E-2</v>
      </c>
      <c r="W2157">
        <v>2</v>
      </c>
      <c r="X2157">
        <v>76554.008443351995</v>
      </c>
      <c r="Y2157">
        <v>4811</v>
      </c>
      <c r="Z2157">
        <v>2.64182337219972</v>
      </c>
      <c r="AA2157">
        <v>100</v>
      </c>
    </row>
    <row r="2158" spans="1:27" x14ac:dyDescent="0.2">
      <c r="A2158">
        <v>40</v>
      </c>
      <c r="B2158">
        <v>2</v>
      </c>
      <c r="C2158">
        <v>0.3</v>
      </c>
      <c r="D2158">
        <v>100</v>
      </c>
      <c r="E2158">
        <v>5.2399828785284E-2</v>
      </c>
      <c r="F2158">
        <v>2</v>
      </c>
      <c r="G2158">
        <v>32.587567608999997</v>
      </c>
      <c r="H2158">
        <v>3.3477025755819401E-2</v>
      </c>
      <c r="I2158">
        <v>2</v>
      </c>
      <c r="J2158">
        <v>0.66502144100000005</v>
      </c>
      <c r="P2158"/>
      <c r="V2158">
        <v>2.7115017434692901E-2</v>
      </c>
      <c r="W2158">
        <v>2</v>
      </c>
      <c r="X2158">
        <v>75267.175973977006</v>
      </c>
      <c r="Y2158">
        <v>0</v>
      </c>
      <c r="Z2158" s="1">
        <v>1E+100</v>
      </c>
      <c r="AA2158">
        <v>100</v>
      </c>
    </row>
    <row r="2159" spans="1:27" x14ac:dyDescent="0.2">
      <c r="A2159">
        <v>40</v>
      </c>
      <c r="B2159">
        <v>2</v>
      </c>
      <c r="C2159">
        <v>0.4</v>
      </c>
      <c r="D2159">
        <v>100</v>
      </c>
      <c r="E2159">
        <v>6.1795952068683498E-2</v>
      </c>
      <c r="F2159">
        <v>2</v>
      </c>
      <c r="G2159">
        <v>32.987594962999999</v>
      </c>
      <c r="H2159">
        <v>2.3662964260231598E-2</v>
      </c>
      <c r="I2159">
        <v>2</v>
      </c>
      <c r="J2159">
        <v>0.50033456600000004</v>
      </c>
      <c r="P2159"/>
      <c r="V2159">
        <v>1.6555018267860201E-2</v>
      </c>
      <c r="W2159">
        <v>2</v>
      </c>
      <c r="X2159">
        <v>75274.581136374007</v>
      </c>
      <c r="Y2159">
        <v>0</v>
      </c>
      <c r="Z2159" s="1">
        <v>1E+100</v>
      </c>
      <c r="AA2159">
        <v>100</v>
      </c>
    </row>
    <row r="2160" spans="1:27" x14ac:dyDescent="0.2">
      <c r="A2160">
        <v>40</v>
      </c>
      <c r="B2160">
        <v>2</v>
      </c>
      <c r="C2160">
        <v>0.3</v>
      </c>
      <c r="D2160">
        <v>100</v>
      </c>
      <c r="E2160">
        <v>7.8965091032112203E-2</v>
      </c>
      <c r="F2160">
        <v>2</v>
      </c>
      <c r="G2160">
        <v>23.398822015</v>
      </c>
      <c r="H2160">
        <v>3.6597061576064398E-2</v>
      </c>
      <c r="I2160">
        <v>2</v>
      </c>
      <c r="J2160">
        <v>0.53605327599999997</v>
      </c>
      <c r="P2160"/>
      <c r="V2160">
        <v>3.0059113653995499E-2</v>
      </c>
      <c r="W2160">
        <v>2</v>
      </c>
      <c r="X2160">
        <v>76867.843631901997</v>
      </c>
      <c r="Y2160">
        <v>4469</v>
      </c>
      <c r="Z2160">
        <v>3.68668495710327</v>
      </c>
      <c r="AA2160">
        <v>100</v>
      </c>
    </row>
    <row r="2161" spans="1:27" x14ac:dyDescent="0.2">
      <c r="A2161">
        <v>40</v>
      </c>
      <c r="B2161">
        <v>2</v>
      </c>
      <c r="C2161">
        <v>0.1</v>
      </c>
      <c r="D2161">
        <v>100</v>
      </c>
      <c r="E2161">
        <v>0.76217779530484298</v>
      </c>
      <c r="F2161">
        <v>2</v>
      </c>
      <c r="G2161">
        <v>28.630014086999999</v>
      </c>
      <c r="H2161">
        <v>0.62518731552186202</v>
      </c>
      <c r="I2161">
        <v>2</v>
      </c>
      <c r="J2161">
        <v>2.5731906640000002</v>
      </c>
      <c r="P2161"/>
      <c r="V2161">
        <v>0.62354190609576299</v>
      </c>
      <c r="W2161">
        <v>2</v>
      </c>
      <c r="X2161">
        <v>76337.046200879995</v>
      </c>
      <c r="Y2161">
        <v>10142</v>
      </c>
      <c r="Z2161">
        <v>0.43694621152778901</v>
      </c>
      <c r="AA2161">
        <v>100</v>
      </c>
    </row>
    <row r="2162" spans="1:27" x14ac:dyDescent="0.2">
      <c r="A2162">
        <v>40</v>
      </c>
      <c r="B2162">
        <v>2</v>
      </c>
      <c r="C2162">
        <v>0.2</v>
      </c>
      <c r="D2162">
        <v>100</v>
      </c>
      <c r="E2162">
        <v>0.19529077539714901</v>
      </c>
      <c r="F2162">
        <v>2</v>
      </c>
      <c r="G2162">
        <v>32.613927072999999</v>
      </c>
      <c r="H2162">
        <v>6.3446690851850798E-2</v>
      </c>
      <c r="I2162">
        <v>2</v>
      </c>
      <c r="J2162">
        <v>0.69635263300000005</v>
      </c>
      <c r="P2162"/>
      <c r="V2162">
        <v>5.9537831607536798E-2</v>
      </c>
      <c r="W2162">
        <v>2</v>
      </c>
      <c r="X2162">
        <v>76347.953529006001</v>
      </c>
      <c r="Y2162">
        <v>4158</v>
      </c>
      <c r="Z2162">
        <v>2.3323471131116</v>
      </c>
      <c r="AA2162">
        <v>100</v>
      </c>
    </row>
    <row r="2163" spans="1:27" x14ac:dyDescent="0.2">
      <c r="A2163">
        <v>20</v>
      </c>
      <c r="B2163">
        <v>3</v>
      </c>
      <c r="C2163">
        <v>0.3</v>
      </c>
      <c r="D2163">
        <v>100</v>
      </c>
      <c r="E2163">
        <v>0.51022293747006298</v>
      </c>
      <c r="F2163">
        <v>3</v>
      </c>
      <c r="G2163">
        <v>28.395007438</v>
      </c>
      <c r="H2163">
        <v>0.19740811979751699</v>
      </c>
      <c r="I2163">
        <v>3</v>
      </c>
      <c r="J2163">
        <v>0.93714886799999997</v>
      </c>
      <c r="P2163"/>
      <c r="V2163">
        <v>0.19454596885463199</v>
      </c>
      <c r="W2163">
        <v>3</v>
      </c>
      <c r="X2163">
        <v>75160.081783635993</v>
      </c>
      <c r="Y2163">
        <v>178026</v>
      </c>
      <c r="Z2163">
        <v>0.48650813899803302</v>
      </c>
      <c r="AA2163">
        <v>100</v>
      </c>
    </row>
    <row r="2164" spans="1:27" x14ac:dyDescent="0.2">
      <c r="A2164">
        <v>20</v>
      </c>
      <c r="B2164">
        <v>3</v>
      </c>
      <c r="C2164">
        <v>0.4</v>
      </c>
      <c r="D2164">
        <v>100</v>
      </c>
      <c r="E2164">
        <v>0.316476463713181</v>
      </c>
      <c r="F2164">
        <v>3</v>
      </c>
      <c r="G2164">
        <v>27.744385462</v>
      </c>
      <c r="H2164">
        <v>4.38466393659823E-2</v>
      </c>
      <c r="I2164">
        <v>3</v>
      </c>
      <c r="J2164">
        <v>0.41417755099999998</v>
      </c>
      <c r="P2164"/>
      <c r="V2164">
        <v>3.8973284007266198E-2</v>
      </c>
      <c r="W2164">
        <v>3</v>
      </c>
      <c r="X2164">
        <v>75222.166490721997</v>
      </c>
      <c r="Y2164">
        <v>141370</v>
      </c>
      <c r="Z2164">
        <v>1.1349754817164299</v>
      </c>
      <c r="AA2164">
        <v>100</v>
      </c>
    </row>
    <row r="2165" spans="1:27" x14ac:dyDescent="0.2">
      <c r="A2165">
        <v>20</v>
      </c>
      <c r="B2165">
        <v>3</v>
      </c>
      <c r="C2165">
        <v>0.1</v>
      </c>
      <c r="D2165">
        <v>100</v>
      </c>
      <c r="E2165">
        <v>0.999520224577363</v>
      </c>
      <c r="F2165">
        <v>3</v>
      </c>
      <c r="G2165">
        <v>27.753966202000001</v>
      </c>
      <c r="H2165">
        <v>0.97391946342341595</v>
      </c>
      <c r="I2165">
        <v>3</v>
      </c>
      <c r="J2165">
        <v>0.56185218800000003</v>
      </c>
      <c r="P2165"/>
      <c r="V2165">
        <v>1.02490600307215</v>
      </c>
      <c r="W2165">
        <v>3</v>
      </c>
      <c r="X2165">
        <v>75237.782188202997</v>
      </c>
      <c r="Y2165">
        <v>57580</v>
      </c>
      <c r="Z2165">
        <v>7.7564142944610099E-3</v>
      </c>
      <c r="AA2165">
        <v>100</v>
      </c>
    </row>
    <row r="2166" spans="1:27" x14ac:dyDescent="0.2">
      <c r="A2166">
        <v>20</v>
      </c>
      <c r="B2166">
        <v>3</v>
      </c>
      <c r="C2166">
        <v>0.4</v>
      </c>
      <c r="D2166">
        <v>100</v>
      </c>
      <c r="E2166">
        <v>0.28987485527756401</v>
      </c>
      <c r="F2166">
        <v>3</v>
      </c>
      <c r="G2166">
        <v>28.594117645000001</v>
      </c>
      <c r="H2166">
        <v>0.14927641645868001</v>
      </c>
      <c r="I2166">
        <v>3</v>
      </c>
      <c r="J2166">
        <v>0.57674538799999997</v>
      </c>
      <c r="P2166"/>
      <c r="V2166">
        <v>0.144669820026993</v>
      </c>
      <c r="W2166">
        <v>3</v>
      </c>
      <c r="X2166">
        <v>75248.789573834001</v>
      </c>
      <c r="Y2166">
        <v>159308</v>
      </c>
      <c r="Z2166">
        <v>0.57050445540698402</v>
      </c>
      <c r="AA2166">
        <v>100</v>
      </c>
    </row>
    <row r="2167" spans="1:27" x14ac:dyDescent="0.2">
      <c r="A2167">
        <v>20</v>
      </c>
      <c r="B2167">
        <v>3</v>
      </c>
      <c r="C2167">
        <v>0.2</v>
      </c>
      <c r="D2167">
        <v>100</v>
      </c>
      <c r="E2167">
        <v>0.91029604438367895</v>
      </c>
      <c r="F2167">
        <v>3</v>
      </c>
      <c r="G2167">
        <v>28.293356160999998</v>
      </c>
      <c r="H2167">
        <v>1.0303292601672001</v>
      </c>
      <c r="I2167">
        <v>3</v>
      </c>
      <c r="J2167">
        <v>0.885803903</v>
      </c>
      <c r="P2167"/>
      <c r="V2167">
        <v>1.0341940888744301</v>
      </c>
      <c r="W2167">
        <v>3</v>
      </c>
      <c r="X2167">
        <v>75347.425527915999</v>
      </c>
      <c r="Y2167">
        <v>95392</v>
      </c>
      <c r="Z2167">
        <v>3.75713244104827E-2</v>
      </c>
      <c r="AA2167">
        <v>100</v>
      </c>
    </row>
    <row r="2168" spans="1:27" x14ac:dyDescent="0.2">
      <c r="A2168">
        <v>20</v>
      </c>
      <c r="B2168">
        <v>3</v>
      </c>
      <c r="C2168">
        <v>0.1</v>
      </c>
      <c r="D2168">
        <v>100</v>
      </c>
      <c r="E2168">
        <v>1.2154350471222499</v>
      </c>
      <c r="F2168">
        <v>3</v>
      </c>
      <c r="G2168">
        <v>22.540701196000001</v>
      </c>
      <c r="H2168">
        <v>1.02811057365335</v>
      </c>
      <c r="I2168">
        <v>3</v>
      </c>
      <c r="J2168">
        <v>0.68203535699999995</v>
      </c>
      <c r="P2168"/>
      <c r="V2168">
        <v>1.1150792037883901</v>
      </c>
      <c r="W2168">
        <v>3</v>
      </c>
      <c r="X2168">
        <v>75409.884948007995</v>
      </c>
      <c r="Y2168">
        <v>154186</v>
      </c>
      <c r="Z2168">
        <v>6.5036443460793599E-3</v>
      </c>
      <c r="AA2168">
        <v>100</v>
      </c>
    </row>
    <row r="2169" spans="1:27" x14ac:dyDescent="0.2">
      <c r="A2169">
        <v>20</v>
      </c>
      <c r="B2169">
        <v>3</v>
      </c>
      <c r="C2169">
        <v>0.1</v>
      </c>
      <c r="D2169">
        <v>100</v>
      </c>
      <c r="E2169">
        <v>1.2542869265210701</v>
      </c>
      <c r="F2169">
        <v>3</v>
      </c>
      <c r="G2169">
        <v>28.643581164</v>
      </c>
      <c r="H2169">
        <v>0.91578847446927403</v>
      </c>
      <c r="I2169">
        <v>3</v>
      </c>
      <c r="J2169">
        <v>0.87515950300000001</v>
      </c>
      <c r="P2169"/>
      <c r="V2169">
        <v>0.91550495530805298</v>
      </c>
      <c r="W2169">
        <v>3</v>
      </c>
      <c r="X2169">
        <v>75411.291299037999</v>
      </c>
      <c r="Y2169">
        <v>71220</v>
      </c>
      <c r="Z2169">
        <v>6.84357804207895E-3</v>
      </c>
      <c r="AA2169">
        <v>100</v>
      </c>
    </row>
    <row r="2170" spans="1:27" x14ac:dyDescent="0.2">
      <c r="A2170">
        <v>20</v>
      </c>
      <c r="B2170">
        <v>3</v>
      </c>
      <c r="C2170">
        <v>0.1</v>
      </c>
      <c r="D2170">
        <v>100</v>
      </c>
      <c r="E2170">
        <v>1.0110407958296099</v>
      </c>
      <c r="F2170">
        <v>3</v>
      </c>
      <c r="G2170">
        <v>28.213488420000001</v>
      </c>
      <c r="H2170">
        <v>0.99506688475372496</v>
      </c>
      <c r="I2170">
        <v>3</v>
      </c>
      <c r="J2170">
        <v>0.82327435500000001</v>
      </c>
      <c r="P2170"/>
      <c r="V2170">
        <v>0.99530511959127199</v>
      </c>
      <c r="W2170">
        <v>3</v>
      </c>
      <c r="X2170">
        <v>75534.073819826997</v>
      </c>
      <c r="Y2170">
        <v>113487</v>
      </c>
      <c r="Z2170">
        <v>6.6070780215073104E-3</v>
      </c>
      <c r="AA2170">
        <v>100</v>
      </c>
    </row>
    <row r="2171" spans="1:27" x14ac:dyDescent="0.2">
      <c r="A2171">
        <v>20</v>
      </c>
      <c r="B2171">
        <v>3</v>
      </c>
      <c r="C2171">
        <v>0.3</v>
      </c>
      <c r="D2171">
        <v>100</v>
      </c>
      <c r="E2171">
        <v>0.69670001679201099</v>
      </c>
      <c r="F2171">
        <v>3</v>
      </c>
      <c r="G2171">
        <v>26.405988413999999</v>
      </c>
      <c r="H2171">
        <v>0.73594104761629398</v>
      </c>
      <c r="I2171">
        <v>3</v>
      </c>
      <c r="J2171">
        <v>0.84869539800000005</v>
      </c>
      <c r="P2171"/>
      <c r="V2171">
        <v>0.74068062696789005</v>
      </c>
      <c r="W2171">
        <v>3</v>
      </c>
      <c r="X2171">
        <v>75557.476702259999</v>
      </c>
      <c r="Y2171">
        <v>79817</v>
      </c>
      <c r="Z2171">
        <v>0.31929460108403801</v>
      </c>
      <c r="AA2171">
        <v>100</v>
      </c>
    </row>
    <row r="2172" spans="1:27" x14ac:dyDescent="0.2">
      <c r="A2172">
        <v>20</v>
      </c>
      <c r="B2172">
        <v>3</v>
      </c>
      <c r="C2172">
        <v>0.3</v>
      </c>
      <c r="D2172">
        <v>100</v>
      </c>
      <c r="E2172">
        <v>0.65462021288056604</v>
      </c>
      <c r="F2172">
        <v>3</v>
      </c>
      <c r="G2172">
        <v>29.55650855</v>
      </c>
      <c r="H2172">
        <v>0.311890982692621</v>
      </c>
      <c r="I2172">
        <v>3</v>
      </c>
      <c r="J2172">
        <v>0.80824954699999996</v>
      </c>
      <c r="P2172"/>
      <c r="V2172">
        <v>0.30975581925349999</v>
      </c>
      <c r="W2172">
        <v>3</v>
      </c>
      <c r="X2172">
        <v>75602.825072617998</v>
      </c>
      <c r="Y2172">
        <v>6328</v>
      </c>
      <c r="Z2172">
        <v>0.38313192856529199</v>
      </c>
      <c r="AA2172">
        <v>100</v>
      </c>
    </row>
    <row r="2173" spans="1:27" x14ac:dyDescent="0.2">
      <c r="A2173">
        <v>20</v>
      </c>
      <c r="B2173">
        <v>3</v>
      </c>
      <c r="C2173">
        <v>0.4</v>
      </c>
      <c r="D2173">
        <v>100</v>
      </c>
      <c r="E2173">
        <v>0.286338417014737</v>
      </c>
      <c r="F2173">
        <v>3</v>
      </c>
      <c r="G2173">
        <v>28.551499010000001</v>
      </c>
      <c r="H2173">
        <v>0.14880292405461101</v>
      </c>
      <c r="I2173">
        <v>3</v>
      </c>
      <c r="J2173">
        <v>0.54662215000000003</v>
      </c>
      <c r="P2173"/>
      <c r="V2173">
        <v>0.145842294911909</v>
      </c>
      <c r="W2173">
        <v>3</v>
      </c>
      <c r="X2173">
        <v>75658.486476945007</v>
      </c>
      <c r="Y2173">
        <v>66085</v>
      </c>
      <c r="Z2173">
        <v>0.49524632909682298</v>
      </c>
      <c r="AA2173">
        <v>100</v>
      </c>
    </row>
    <row r="2174" spans="1:27" x14ac:dyDescent="0.2">
      <c r="A2174">
        <v>20</v>
      </c>
      <c r="B2174">
        <v>3</v>
      </c>
      <c r="C2174">
        <v>0.1</v>
      </c>
      <c r="D2174">
        <v>100</v>
      </c>
      <c r="E2174">
        <v>1.06139528489565</v>
      </c>
      <c r="F2174">
        <v>3</v>
      </c>
      <c r="G2174">
        <v>28.454383798999999</v>
      </c>
      <c r="H2174">
        <v>1.0231514614292501</v>
      </c>
      <c r="I2174">
        <v>3</v>
      </c>
      <c r="J2174">
        <v>0.77991206800000001</v>
      </c>
      <c r="P2174"/>
      <c r="V2174">
        <v>1.16068873429676</v>
      </c>
      <c r="W2174">
        <v>3</v>
      </c>
      <c r="X2174">
        <v>75893.139320925999</v>
      </c>
      <c r="Y2174">
        <v>114329</v>
      </c>
      <c r="Z2174">
        <v>6.2545987677396497E-3</v>
      </c>
      <c r="AA2174">
        <v>100</v>
      </c>
    </row>
    <row r="2175" spans="1:27" x14ac:dyDescent="0.2">
      <c r="A2175">
        <v>20</v>
      </c>
      <c r="B2175">
        <v>3</v>
      </c>
      <c r="C2175">
        <v>0.2</v>
      </c>
      <c r="D2175">
        <v>100</v>
      </c>
      <c r="E2175">
        <v>1.0547092905427899</v>
      </c>
      <c r="F2175">
        <v>3</v>
      </c>
      <c r="G2175">
        <v>27.535819643</v>
      </c>
      <c r="H2175">
        <v>0.98895887611427302</v>
      </c>
      <c r="I2175">
        <v>3</v>
      </c>
      <c r="J2175">
        <v>0.85921831000000004</v>
      </c>
      <c r="P2175"/>
      <c r="V2175">
        <v>0.98987578464090797</v>
      </c>
      <c r="W2175">
        <v>3</v>
      </c>
      <c r="X2175">
        <v>75967.357877805</v>
      </c>
      <c r="Y2175">
        <v>4182</v>
      </c>
      <c r="Z2175">
        <v>7.2751165562743303E-2</v>
      </c>
      <c r="AA2175">
        <v>100</v>
      </c>
    </row>
    <row r="2176" spans="1:27" x14ac:dyDescent="0.2">
      <c r="A2176">
        <v>20</v>
      </c>
      <c r="B2176">
        <v>3</v>
      </c>
      <c r="C2176">
        <v>0.2</v>
      </c>
      <c r="D2176">
        <v>100</v>
      </c>
      <c r="E2176">
        <v>0.83721062491194098</v>
      </c>
      <c r="F2176">
        <v>3</v>
      </c>
      <c r="G2176">
        <v>28.729279429999998</v>
      </c>
      <c r="H2176">
        <v>0.83713908086936195</v>
      </c>
      <c r="I2176">
        <v>3</v>
      </c>
      <c r="J2176">
        <v>0.92521890299999998</v>
      </c>
      <c r="P2176"/>
      <c r="V2176">
        <v>0.83783262062608799</v>
      </c>
      <c r="W2176">
        <v>3</v>
      </c>
      <c r="X2176">
        <v>75967.374583234996</v>
      </c>
      <c r="Y2176">
        <v>6485</v>
      </c>
      <c r="Z2176">
        <v>0.11994075019473199</v>
      </c>
      <c r="AA2176">
        <v>100</v>
      </c>
    </row>
    <row r="2177" spans="1:27" x14ac:dyDescent="0.2">
      <c r="A2177">
        <v>20</v>
      </c>
      <c r="B2177">
        <v>3</v>
      </c>
      <c r="C2177">
        <v>0.3</v>
      </c>
      <c r="D2177">
        <v>100</v>
      </c>
      <c r="E2177">
        <v>0.47265145025660599</v>
      </c>
      <c r="F2177">
        <v>3</v>
      </c>
      <c r="G2177">
        <v>27.743620109999998</v>
      </c>
      <c r="H2177">
        <v>0.30105157877712102</v>
      </c>
      <c r="I2177">
        <v>3</v>
      </c>
      <c r="J2177">
        <v>0.64391247699999998</v>
      </c>
      <c r="P2177"/>
      <c r="V2177">
        <v>0.30158473305974798</v>
      </c>
      <c r="W2177">
        <v>3</v>
      </c>
      <c r="X2177">
        <v>76433.526880903999</v>
      </c>
      <c r="Y2177">
        <v>4869</v>
      </c>
      <c r="Z2177">
        <v>0.59736159057865701</v>
      </c>
      <c r="AA2177">
        <v>100</v>
      </c>
    </row>
    <row r="2178" spans="1:27" x14ac:dyDescent="0.2">
      <c r="A2178">
        <v>20</v>
      </c>
      <c r="B2178">
        <v>3</v>
      </c>
      <c r="C2178">
        <v>0.4</v>
      </c>
      <c r="D2178">
        <v>100</v>
      </c>
      <c r="E2178">
        <v>0.33274429845091102</v>
      </c>
      <c r="F2178">
        <v>3</v>
      </c>
      <c r="G2178">
        <v>27.916037683999999</v>
      </c>
      <c r="H2178">
        <v>0.133610742974651</v>
      </c>
      <c r="I2178">
        <v>3</v>
      </c>
      <c r="J2178">
        <v>0.43441507000000001</v>
      </c>
      <c r="P2178"/>
      <c r="V2178">
        <v>0.115492542040943</v>
      </c>
      <c r="W2178">
        <v>3</v>
      </c>
      <c r="X2178">
        <v>76436.164294094997</v>
      </c>
      <c r="Y2178">
        <v>74963</v>
      </c>
      <c r="Z2178">
        <v>0.50263644084498804</v>
      </c>
      <c r="AA2178">
        <v>100</v>
      </c>
    </row>
    <row r="2179" spans="1:27" x14ac:dyDescent="0.2">
      <c r="A2179">
        <v>20</v>
      </c>
      <c r="B2179">
        <v>3</v>
      </c>
      <c r="C2179">
        <v>0.4</v>
      </c>
      <c r="D2179">
        <v>100</v>
      </c>
      <c r="E2179">
        <v>0.283514832874251</v>
      </c>
      <c r="F2179">
        <v>3</v>
      </c>
      <c r="G2179">
        <v>26.390588521000002</v>
      </c>
      <c r="H2179">
        <v>7.8040529368668801E-2</v>
      </c>
      <c r="I2179">
        <v>3</v>
      </c>
      <c r="J2179">
        <v>0.45561338699999998</v>
      </c>
      <c r="P2179"/>
      <c r="V2179">
        <v>7.2351943276330294E-2</v>
      </c>
      <c r="W2179">
        <v>3</v>
      </c>
      <c r="X2179">
        <v>76761.557102727995</v>
      </c>
      <c r="Y2179">
        <v>119756</v>
      </c>
      <c r="Z2179">
        <v>0.24181565280345599</v>
      </c>
      <c r="AA2179">
        <v>100</v>
      </c>
    </row>
    <row r="2180" spans="1:27" x14ac:dyDescent="0.2">
      <c r="A2180">
        <v>20</v>
      </c>
      <c r="B2180">
        <v>3</v>
      </c>
      <c r="C2180">
        <v>0.2</v>
      </c>
      <c r="D2180">
        <v>100</v>
      </c>
      <c r="E2180">
        <v>0.85409277780113402</v>
      </c>
      <c r="F2180">
        <v>3</v>
      </c>
      <c r="G2180">
        <v>22.218506273999999</v>
      </c>
      <c r="H2180">
        <v>0.86067762206075504</v>
      </c>
      <c r="I2180">
        <v>3</v>
      </c>
      <c r="J2180">
        <v>0.70270316099999997</v>
      </c>
      <c r="P2180"/>
      <c r="V2180">
        <v>0.859765199082694</v>
      </c>
      <c r="W2180">
        <v>3</v>
      </c>
      <c r="X2180">
        <v>76810.120261742006</v>
      </c>
      <c r="Y2180">
        <v>105468</v>
      </c>
      <c r="Z2180">
        <v>7.9372100497209302E-2</v>
      </c>
      <c r="AA2180">
        <v>100</v>
      </c>
    </row>
    <row r="2181" spans="1:27" x14ac:dyDescent="0.2">
      <c r="A2181">
        <v>20</v>
      </c>
      <c r="B2181">
        <v>3</v>
      </c>
      <c r="C2181">
        <v>0.2</v>
      </c>
      <c r="D2181">
        <v>100</v>
      </c>
      <c r="E2181">
        <v>0.82100407093844896</v>
      </c>
      <c r="F2181">
        <v>3</v>
      </c>
      <c r="G2181">
        <v>25.795406202999999</v>
      </c>
      <c r="H2181">
        <v>0.76274783499246501</v>
      </c>
      <c r="I2181">
        <v>3</v>
      </c>
      <c r="J2181">
        <v>0.78256187099999996</v>
      </c>
      <c r="P2181"/>
      <c r="V2181">
        <v>0.76433990621402204</v>
      </c>
      <c r="W2181">
        <v>3</v>
      </c>
      <c r="X2181">
        <v>76895.452565722997</v>
      </c>
      <c r="Y2181">
        <v>106377</v>
      </c>
      <c r="Z2181">
        <v>4.3691317833859801E-2</v>
      </c>
      <c r="AA2181">
        <v>100</v>
      </c>
    </row>
    <row r="2182" spans="1:27" x14ac:dyDescent="0.2">
      <c r="A2182">
        <v>20</v>
      </c>
      <c r="B2182">
        <v>3</v>
      </c>
      <c r="C2182">
        <v>0.3</v>
      </c>
      <c r="D2182">
        <v>100</v>
      </c>
      <c r="E2182">
        <v>0.61264755391307302</v>
      </c>
      <c r="F2182">
        <v>3</v>
      </c>
      <c r="G2182">
        <v>27.803440058</v>
      </c>
      <c r="H2182">
        <v>0.67901041719157096</v>
      </c>
      <c r="I2182">
        <v>3</v>
      </c>
      <c r="J2182">
        <v>0.90341028400000001</v>
      </c>
      <c r="P2182"/>
      <c r="V2182">
        <v>0.68417455154786899</v>
      </c>
      <c r="W2182">
        <v>3</v>
      </c>
      <c r="X2182">
        <v>77631.618903779003</v>
      </c>
      <c r="Y2182">
        <v>116513</v>
      </c>
      <c r="Z2182">
        <v>0.27881906875822299</v>
      </c>
      <c r="AA2182">
        <v>100</v>
      </c>
    </row>
    <row r="2183" spans="1:27" x14ac:dyDescent="0.2">
      <c r="A2183">
        <v>30</v>
      </c>
      <c r="B2183">
        <v>1</v>
      </c>
      <c r="C2183">
        <v>0.4</v>
      </c>
      <c r="D2183">
        <v>20</v>
      </c>
      <c r="E2183">
        <v>5.4581421634959597E-2</v>
      </c>
      <c r="F2183">
        <v>1</v>
      </c>
      <c r="G2183">
        <v>34.031318200999998</v>
      </c>
      <c r="H2183">
        <v>8.2811749495892803E-2</v>
      </c>
      <c r="I2183">
        <v>1</v>
      </c>
      <c r="J2183">
        <v>0.18456088700000001</v>
      </c>
      <c r="P2183"/>
      <c r="V2183">
        <v>6.4457598268359104E-2</v>
      </c>
      <c r="W2183">
        <v>1</v>
      </c>
      <c r="X2183">
        <v>102.82912635700001</v>
      </c>
      <c r="Y2183">
        <v>133</v>
      </c>
      <c r="Z2183">
        <v>8.8515384523297699E-3</v>
      </c>
      <c r="AA2183">
        <v>36</v>
      </c>
    </row>
    <row r="2184" spans="1:27" x14ac:dyDescent="0.2">
      <c r="A2184">
        <v>30</v>
      </c>
      <c r="B2184">
        <v>1</v>
      </c>
      <c r="C2184">
        <v>0.4</v>
      </c>
      <c r="D2184">
        <v>20</v>
      </c>
      <c r="E2184">
        <v>6.1362258946354803E-2</v>
      </c>
      <c r="F2184">
        <v>1</v>
      </c>
      <c r="G2184">
        <v>30.863936296999999</v>
      </c>
      <c r="H2184">
        <v>7.3068177848460106E-2</v>
      </c>
      <c r="I2184">
        <v>1</v>
      </c>
      <c r="J2184">
        <v>0.23898541300000001</v>
      </c>
      <c r="P2184"/>
      <c r="V2184">
        <v>4.8081767728847702E-2</v>
      </c>
      <c r="W2184">
        <v>1</v>
      </c>
      <c r="X2184">
        <v>81.783616076000001</v>
      </c>
      <c r="Y2184">
        <v>117</v>
      </c>
      <c r="Z2184">
        <v>1.8900232353375999E-3</v>
      </c>
      <c r="AA2184">
        <v>1</v>
      </c>
    </row>
    <row r="2185" spans="1:27" x14ac:dyDescent="0.2">
      <c r="A2185">
        <v>30</v>
      </c>
      <c r="B2185">
        <v>1</v>
      </c>
      <c r="C2185">
        <v>0.3</v>
      </c>
      <c r="D2185">
        <v>20</v>
      </c>
      <c r="E2185">
        <v>5.22544296577667E-2</v>
      </c>
      <c r="F2185">
        <v>1</v>
      </c>
      <c r="G2185">
        <v>34.079364282</v>
      </c>
      <c r="H2185">
        <v>7.28443041535458E-2</v>
      </c>
      <c r="I2185">
        <v>1</v>
      </c>
      <c r="J2185">
        <v>0.20821762599999999</v>
      </c>
      <c r="P2185"/>
      <c r="V2185">
        <v>5.3832087883698698E-2</v>
      </c>
      <c r="W2185">
        <v>1</v>
      </c>
      <c r="X2185">
        <v>258.88921707700001</v>
      </c>
      <c r="Y2185">
        <v>218</v>
      </c>
      <c r="Z2185">
        <v>6.0933508346616696E-3</v>
      </c>
      <c r="AA2185">
        <v>19</v>
      </c>
    </row>
    <row r="2186" spans="1:27" x14ac:dyDescent="0.2">
      <c r="A2186">
        <v>40</v>
      </c>
      <c r="B2186">
        <v>1</v>
      </c>
      <c r="C2186">
        <v>0.4</v>
      </c>
      <c r="D2186">
        <v>20</v>
      </c>
      <c r="E2186">
        <v>4.8556244110154398E-2</v>
      </c>
      <c r="F2186">
        <v>1</v>
      </c>
      <c r="G2186">
        <v>33.783432495</v>
      </c>
      <c r="H2186">
        <v>5.9234623200411098E-2</v>
      </c>
      <c r="I2186">
        <v>1</v>
      </c>
      <c r="J2186">
        <v>0.26783243699999998</v>
      </c>
      <c r="P2186"/>
      <c r="V2186">
        <v>4.0005366129374498E-2</v>
      </c>
      <c r="W2186">
        <v>1</v>
      </c>
      <c r="X2186">
        <v>192.77634540899999</v>
      </c>
      <c r="Y2186">
        <v>97</v>
      </c>
      <c r="Z2186">
        <v>5.5547687768680003E-3</v>
      </c>
      <c r="AA2186">
        <v>48</v>
      </c>
    </row>
    <row r="2187" spans="1:27" x14ac:dyDescent="0.2">
      <c r="A2187">
        <v>40</v>
      </c>
      <c r="B2187">
        <v>1</v>
      </c>
      <c r="C2187">
        <v>0.3</v>
      </c>
      <c r="D2187">
        <v>20</v>
      </c>
      <c r="E2187">
        <v>5.5340093047424897E-2</v>
      </c>
      <c r="F2187">
        <v>1</v>
      </c>
      <c r="G2187">
        <v>31.589609813999999</v>
      </c>
      <c r="H2187">
        <v>6.9939307885296301E-2</v>
      </c>
      <c r="I2187">
        <v>1</v>
      </c>
      <c r="J2187">
        <v>0.32098520699999999</v>
      </c>
      <c r="P2187"/>
      <c r="V2187">
        <v>4.8085676155695402E-2</v>
      </c>
      <c r="W2187">
        <v>1</v>
      </c>
      <c r="X2187">
        <v>454.23810922899997</v>
      </c>
      <c r="Y2187">
        <v>1098</v>
      </c>
      <c r="Z2187">
        <v>4.8827110484488401E-3</v>
      </c>
      <c r="AA2187">
        <v>1</v>
      </c>
    </row>
    <row r="2188" spans="1:27" x14ac:dyDescent="0.2">
      <c r="A2188">
        <v>40</v>
      </c>
      <c r="B2188">
        <v>1</v>
      </c>
      <c r="C2188">
        <v>0.4</v>
      </c>
      <c r="D2188">
        <v>20</v>
      </c>
      <c r="E2188">
        <v>6.5278932583268098E-2</v>
      </c>
      <c r="F2188">
        <v>1</v>
      </c>
      <c r="G2188">
        <v>35.207695389000001</v>
      </c>
      <c r="H2188">
        <v>7.2679150605002796E-2</v>
      </c>
      <c r="I2188">
        <v>1</v>
      </c>
      <c r="J2188">
        <v>0.241704377</v>
      </c>
      <c r="P2188"/>
      <c r="V2188">
        <v>4.4447541639799998E-2</v>
      </c>
      <c r="W2188">
        <v>1</v>
      </c>
      <c r="X2188">
        <v>232.91866278699999</v>
      </c>
      <c r="Y2188">
        <v>183</v>
      </c>
      <c r="Z2188">
        <v>9.3534977186155999E-3</v>
      </c>
      <c r="AA2188">
        <v>46</v>
      </c>
    </row>
    <row r="2189" spans="1:27" x14ac:dyDescent="0.2">
      <c r="A2189">
        <v>40</v>
      </c>
      <c r="B2189">
        <v>1</v>
      </c>
      <c r="C2189">
        <v>0.4</v>
      </c>
      <c r="D2189">
        <v>20</v>
      </c>
      <c r="E2189">
        <v>6.1631683905788097E-2</v>
      </c>
      <c r="F2189">
        <v>1</v>
      </c>
      <c r="G2189">
        <v>32.753265951000003</v>
      </c>
      <c r="H2189">
        <v>7.5518128070357696E-2</v>
      </c>
      <c r="I2189">
        <v>1</v>
      </c>
      <c r="J2189">
        <v>0.26962441999999998</v>
      </c>
      <c r="P2189"/>
      <c r="V2189">
        <v>5.0776871951462597E-2</v>
      </c>
      <c r="W2189">
        <v>1</v>
      </c>
      <c r="X2189">
        <v>144.742249767</v>
      </c>
      <c r="Y2189">
        <v>261</v>
      </c>
      <c r="Z2189">
        <v>6.24253665729312E-3</v>
      </c>
      <c r="AA2189">
        <v>1</v>
      </c>
    </row>
    <row r="2190" spans="1:27" x14ac:dyDescent="0.2">
      <c r="A2190">
        <v>40</v>
      </c>
      <c r="B2190">
        <v>1</v>
      </c>
      <c r="C2190">
        <v>0.4</v>
      </c>
      <c r="D2190">
        <v>20</v>
      </c>
      <c r="E2190">
        <v>5.5202624698594903E-2</v>
      </c>
      <c r="F2190">
        <v>1</v>
      </c>
      <c r="G2190">
        <v>32.586443576999997</v>
      </c>
      <c r="H2190">
        <v>6.0168135168189703E-2</v>
      </c>
      <c r="I2190">
        <v>1</v>
      </c>
      <c r="J2190">
        <v>0.42161839299999998</v>
      </c>
      <c r="P2190"/>
      <c r="V2190">
        <v>3.5311895533009403E-2</v>
      </c>
      <c r="W2190">
        <v>1</v>
      </c>
      <c r="X2190">
        <v>167.40946947099999</v>
      </c>
      <c r="Y2190">
        <v>261</v>
      </c>
      <c r="Z2190">
        <v>2.3514428674928901E-3</v>
      </c>
      <c r="AA2190">
        <v>1</v>
      </c>
    </row>
    <row r="2191" spans="1:27" x14ac:dyDescent="0.2">
      <c r="A2191">
        <v>40</v>
      </c>
      <c r="B2191">
        <v>1</v>
      </c>
      <c r="C2191">
        <v>0.4</v>
      </c>
      <c r="D2191">
        <v>20</v>
      </c>
      <c r="E2191">
        <v>5.0972354936282403E-2</v>
      </c>
      <c r="F2191">
        <v>1</v>
      </c>
      <c r="G2191">
        <v>43.416286991</v>
      </c>
      <c r="H2191">
        <v>5.5873108509026097E-2</v>
      </c>
      <c r="I2191">
        <v>1</v>
      </c>
      <c r="J2191">
        <v>0.39719588900000002</v>
      </c>
      <c r="P2191"/>
      <c r="V2191">
        <v>3.2900312115174801E-2</v>
      </c>
      <c r="W2191">
        <v>1</v>
      </c>
      <c r="X2191">
        <v>314.51003968800001</v>
      </c>
      <c r="Y2191">
        <v>181</v>
      </c>
      <c r="Z2191">
        <v>2.8357381663290899E-4</v>
      </c>
      <c r="AA2191">
        <v>4</v>
      </c>
    </row>
    <row r="2192" spans="1:27" x14ac:dyDescent="0.2">
      <c r="A2192">
        <v>40</v>
      </c>
      <c r="B2192">
        <v>1</v>
      </c>
      <c r="C2192">
        <v>0.4</v>
      </c>
      <c r="D2192">
        <v>20</v>
      </c>
      <c r="E2192">
        <v>4.9938002594897703E-2</v>
      </c>
      <c r="F2192">
        <v>1</v>
      </c>
      <c r="G2192">
        <v>33.185713065999998</v>
      </c>
      <c r="H2192">
        <v>6.0199473669353E-2</v>
      </c>
      <c r="I2192">
        <v>1</v>
      </c>
      <c r="J2192">
        <v>0.488351861</v>
      </c>
      <c r="P2192"/>
      <c r="V2192">
        <v>3.9671652501540103E-2</v>
      </c>
      <c r="W2192">
        <v>1</v>
      </c>
      <c r="X2192">
        <v>136.97991961299999</v>
      </c>
      <c r="Y2192">
        <v>143</v>
      </c>
      <c r="Z2192">
        <v>9.2636630830842392E-3</v>
      </c>
      <c r="AA2192">
        <v>1</v>
      </c>
    </row>
    <row r="2193" spans="1:27" x14ac:dyDescent="0.2">
      <c r="A2193">
        <v>40</v>
      </c>
      <c r="B2193">
        <v>1</v>
      </c>
      <c r="C2193">
        <v>0.4</v>
      </c>
      <c r="D2193">
        <v>20</v>
      </c>
      <c r="E2193">
        <v>5.2925457861312197E-2</v>
      </c>
      <c r="F2193">
        <v>1</v>
      </c>
      <c r="G2193">
        <v>33.449926245999997</v>
      </c>
      <c r="H2193">
        <v>6.3205989973511498E-2</v>
      </c>
      <c r="I2193">
        <v>1</v>
      </c>
      <c r="J2193">
        <v>0.37052990200000002</v>
      </c>
      <c r="P2193"/>
      <c r="V2193">
        <v>4.1280335648763503E-2</v>
      </c>
      <c r="W2193">
        <v>1</v>
      </c>
      <c r="X2193">
        <v>145.33372181199999</v>
      </c>
      <c r="Y2193">
        <v>171</v>
      </c>
      <c r="Z2193">
        <v>2.42652774748108E-3</v>
      </c>
      <c r="AA2193">
        <v>1</v>
      </c>
    </row>
    <row r="2194" spans="1:27" x14ac:dyDescent="0.2">
      <c r="A2194">
        <v>40</v>
      </c>
      <c r="B2194">
        <v>1</v>
      </c>
      <c r="C2194">
        <v>0.4</v>
      </c>
      <c r="D2194">
        <v>20</v>
      </c>
      <c r="E2194">
        <v>4.8168325731829803E-2</v>
      </c>
      <c r="F2194">
        <v>1</v>
      </c>
      <c r="G2194">
        <v>46.768813137000002</v>
      </c>
      <c r="H2194">
        <v>5.4378006373287997E-2</v>
      </c>
      <c r="I2194">
        <v>1</v>
      </c>
      <c r="J2194">
        <v>0.79264706399999996</v>
      </c>
      <c r="P2194"/>
      <c r="V2194">
        <v>3.3073919118917397E-2</v>
      </c>
      <c r="W2194">
        <v>1</v>
      </c>
      <c r="X2194">
        <v>206.82223292200001</v>
      </c>
      <c r="Y2194">
        <v>167</v>
      </c>
      <c r="Z2194">
        <v>2.34537649630972E-3</v>
      </c>
      <c r="AA2194">
        <v>1</v>
      </c>
    </row>
    <row r="2195" spans="1:27" x14ac:dyDescent="0.2">
      <c r="A2195">
        <v>40</v>
      </c>
      <c r="B2195">
        <v>1</v>
      </c>
      <c r="C2195">
        <v>0.3</v>
      </c>
      <c r="D2195">
        <v>20</v>
      </c>
      <c r="E2195">
        <v>5.9250362880595799E-2</v>
      </c>
      <c r="F2195">
        <v>1</v>
      </c>
      <c r="G2195">
        <v>34.302745985999998</v>
      </c>
      <c r="H2195">
        <v>7.2437040359172797E-2</v>
      </c>
      <c r="I2195">
        <v>1</v>
      </c>
      <c r="J2195">
        <v>0.36493218500000002</v>
      </c>
      <c r="P2195"/>
      <c r="V2195">
        <v>4.8004109027614199E-2</v>
      </c>
      <c r="W2195">
        <v>1</v>
      </c>
      <c r="X2195">
        <v>605.66226553599995</v>
      </c>
      <c r="Y2195">
        <v>131</v>
      </c>
      <c r="Z2195">
        <v>4.5963992488395802E-3</v>
      </c>
      <c r="AA2195">
        <v>6</v>
      </c>
    </row>
    <row r="2196" spans="1:27" x14ac:dyDescent="0.2">
      <c r="A2196">
        <v>40</v>
      </c>
      <c r="B2196">
        <v>1</v>
      </c>
      <c r="C2196">
        <v>0.4</v>
      </c>
      <c r="D2196">
        <v>20</v>
      </c>
      <c r="E2196">
        <v>5.5661206719310498E-2</v>
      </c>
      <c r="F2196">
        <v>1</v>
      </c>
      <c r="G2196">
        <v>44.807329170999999</v>
      </c>
      <c r="H2196">
        <v>6.6922329319987303E-2</v>
      </c>
      <c r="I2196">
        <v>1</v>
      </c>
      <c r="J2196">
        <v>0.421359339</v>
      </c>
      <c r="P2196"/>
      <c r="V2196">
        <v>4.3969376068772201E-2</v>
      </c>
      <c r="W2196">
        <v>1</v>
      </c>
      <c r="X2196">
        <v>209.713013281</v>
      </c>
      <c r="Y2196">
        <v>137</v>
      </c>
      <c r="Z2196">
        <v>2.2680748659773499E-3</v>
      </c>
      <c r="AA2196">
        <v>1</v>
      </c>
    </row>
    <row r="2197" spans="1:27" x14ac:dyDescent="0.2">
      <c r="A2197">
        <v>40</v>
      </c>
      <c r="B2197">
        <v>1</v>
      </c>
      <c r="C2197">
        <v>0.3</v>
      </c>
      <c r="D2197">
        <v>20</v>
      </c>
      <c r="E2197">
        <v>5.3175923507559501E-2</v>
      </c>
      <c r="F2197">
        <v>1</v>
      </c>
      <c r="G2197">
        <v>34.385231136000002</v>
      </c>
      <c r="H2197">
        <v>7.4672607435911101E-2</v>
      </c>
      <c r="I2197">
        <v>1</v>
      </c>
      <c r="J2197">
        <v>0.35423103299999997</v>
      </c>
      <c r="P2197"/>
      <c r="V2197">
        <v>5.4803297952506297E-2</v>
      </c>
      <c r="W2197">
        <v>1</v>
      </c>
      <c r="X2197">
        <v>521.98355620999996</v>
      </c>
      <c r="Y2197">
        <v>157</v>
      </c>
      <c r="Z2197">
        <v>9.7152110096967396E-3</v>
      </c>
      <c r="AA2197">
        <v>37</v>
      </c>
    </row>
    <row r="2198" spans="1:27" x14ac:dyDescent="0.2">
      <c r="A2198">
        <v>40</v>
      </c>
      <c r="B2198">
        <v>1</v>
      </c>
      <c r="C2198">
        <v>0.4</v>
      </c>
      <c r="D2198">
        <v>20</v>
      </c>
      <c r="E2198">
        <v>5.4876962200422499E-2</v>
      </c>
      <c r="F2198">
        <v>1</v>
      </c>
      <c r="G2198">
        <v>31.121682138000001</v>
      </c>
      <c r="H2198">
        <v>7.07350653624743E-2</v>
      </c>
      <c r="I2198">
        <v>1</v>
      </c>
      <c r="J2198">
        <v>0.29230646500000002</v>
      </c>
      <c r="P2198"/>
      <c r="V2198">
        <v>4.9445929483469597E-2</v>
      </c>
      <c r="W2198">
        <v>1</v>
      </c>
      <c r="X2198">
        <v>193.44781340500001</v>
      </c>
      <c r="Y2198">
        <v>236</v>
      </c>
      <c r="Z2198">
        <v>6.6141774564059102E-3</v>
      </c>
      <c r="AA2198">
        <v>5</v>
      </c>
    </row>
    <row r="2199" spans="1:27" x14ac:dyDescent="0.2">
      <c r="A2199">
        <v>20</v>
      </c>
      <c r="B2199">
        <v>2</v>
      </c>
      <c r="C2199">
        <v>0.2</v>
      </c>
      <c r="D2199">
        <v>20</v>
      </c>
      <c r="E2199">
        <v>0.55389734321431205</v>
      </c>
      <c r="F2199">
        <v>2</v>
      </c>
      <c r="G2199">
        <v>28.030920306999999</v>
      </c>
      <c r="H2199">
        <v>0.50113885718176099</v>
      </c>
      <c r="I2199">
        <v>2</v>
      </c>
      <c r="J2199">
        <v>0.36948164</v>
      </c>
      <c r="P2199"/>
      <c r="V2199">
        <v>0.498009232904713</v>
      </c>
      <c r="W2199">
        <v>2</v>
      </c>
      <c r="X2199">
        <v>75105.736059881994</v>
      </c>
      <c r="Y2199">
        <v>218847</v>
      </c>
      <c r="Z2199">
        <v>0.51178639597681996</v>
      </c>
      <c r="AA2199">
        <v>100</v>
      </c>
    </row>
    <row r="2200" spans="1:27" x14ac:dyDescent="0.2">
      <c r="A2200">
        <v>20</v>
      </c>
      <c r="B2200">
        <v>2</v>
      </c>
      <c r="C2200">
        <v>0.2</v>
      </c>
      <c r="D2200">
        <v>20</v>
      </c>
      <c r="E2200">
        <v>0.63142787687666901</v>
      </c>
      <c r="F2200">
        <v>2</v>
      </c>
      <c r="G2200">
        <v>26.411629835999999</v>
      </c>
      <c r="H2200">
        <v>0.66296672349854402</v>
      </c>
      <c r="I2200">
        <v>2</v>
      </c>
      <c r="J2200">
        <v>0.33071557200000001</v>
      </c>
      <c r="P2200"/>
      <c r="V2200">
        <v>0.66153493955081699</v>
      </c>
      <c r="W2200">
        <v>2</v>
      </c>
      <c r="X2200">
        <v>75124.17341263</v>
      </c>
      <c r="Y2200">
        <v>136721</v>
      </c>
      <c r="Z2200">
        <v>0.52634496068640102</v>
      </c>
      <c r="AA2200">
        <v>100</v>
      </c>
    </row>
    <row r="2201" spans="1:27" x14ac:dyDescent="0.2">
      <c r="A2201">
        <v>20</v>
      </c>
      <c r="B2201">
        <v>2</v>
      </c>
      <c r="C2201">
        <v>0.3</v>
      </c>
      <c r="D2201">
        <v>20</v>
      </c>
      <c r="E2201">
        <v>0.28509872609589698</v>
      </c>
      <c r="F2201">
        <v>2</v>
      </c>
      <c r="G2201">
        <v>28.374758039</v>
      </c>
      <c r="H2201">
        <v>0.261613045045123</v>
      </c>
      <c r="I2201">
        <v>2</v>
      </c>
      <c r="J2201">
        <v>0.30645425100000001</v>
      </c>
      <c r="P2201"/>
      <c r="V2201">
        <v>0.22496750483126901</v>
      </c>
      <c r="W2201">
        <v>2</v>
      </c>
      <c r="X2201">
        <v>75138.084937178006</v>
      </c>
      <c r="Y2201">
        <v>161298</v>
      </c>
      <c r="Z2201">
        <v>1.6976757907173701</v>
      </c>
      <c r="AA2201">
        <v>100</v>
      </c>
    </row>
    <row r="2202" spans="1:27" x14ac:dyDescent="0.2">
      <c r="A2202">
        <v>20</v>
      </c>
      <c r="B2202">
        <v>2</v>
      </c>
      <c r="C2202">
        <v>0.4</v>
      </c>
      <c r="D2202">
        <v>20</v>
      </c>
      <c r="E2202">
        <v>0.22971648792286301</v>
      </c>
      <c r="F2202">
        <v>2</v>
      </c>
      <c r="G2202">
        <v>26.351187634999999</v>
      </c>
      <c r="H2202">
        <v>0.17572727080012199</v>
      </c>
      <c r="I2202">
        <v>2</v>
      </c>
      <c r="J2202">
        <v>0.19176110499999999</v>
      </c>
      <c r="P2202"/>
      <c r="V2202">
        <v>0.15644329241633501</v>
      </c>
      <c r="W2202">
        <v>2</v>
      </c>
      <c r="X2202">
        <v>75143.003505254994</v>
      </c>
      <c r="Y2202">
        <v>114116</v>
      </c>
      <c r="Z2202">
        <v>2.6627296819083401</v>
      </c>
      <c r="AA2202">
        <v>100</v>
      </c>
    </row>
    <row r="2203" spans="1:27" x14ac:dyDescent="0.2">
      <c r="A2203">
        <v>20</v>
      </c>
      <c r="B2203">
        <v>2</v>
      </c>
      <c r="C2203">
        <v>0.4</v>
      </c>
      <c r="D2203">
        <v>20</v>
      </c>
      <c r="E2203">
        <v>0.31327986352704201</v>
      </c>
      <c r="F2203">
        <v>2</v>
      </c>
      <c r="G2203">
        <v>29.182240523000001</v>
      </c>
      <c r="H2203">
        <v>0.25515762151391302</v>
      </c>
      <c r="I2203">
        <v>2</v>
      </c>
      <c r="J2203">
        <v>0.228258608</v>
      </c>
      <c r="P2203"/>
      <c r="V2203">
        <v>0.219406142047751</v>
      </c>
      <c r="W2203">
        <v>2</v>
      </c>
      <c r="X2203">
        <v>75156.779591273997</v>
      </c>
      <c r="Y2203">
        <v>137845</v>
      </c>
      <c r="Z2203">
        <v>2.8743606619085602</v>
      </c>
      <c r="AA2203">
        <v>100</v>
      </c>
    </row>
    <row r="2204" spans="1:27" x14ac:dyDescent="0.2">
      <c r="A2204">
        <v>20</v>
      </c>
      <c r="B2204">
        <v>2</v>
      </c>
      <c r="C2204">
        <v>0.4</v>
      </c>
      <c r="D2204">
        <v>20</v>
      </c>
      <c r="E2204">
        <v>0.22399117338573099</v>
      </c>
      <c r="F2204">
        <v>2</v>
      </c>
      <c r="G2204">
        <v>27.72451482</v>
      </c>
      <c r="H2204">
        <v>0.15537045715699799</v>
      </c>
      <c r="I2204">
        <v>2</v>
      </c>
      <c r="J2204">
        <v>0.175382757</v>
      </c>
      <c r="P2204"/>
      <c r="V2204">
        <v>0.135689529462795</v>
      </c>
      <c r="W2204">
        <v>2</v>
      </c>
      <c r="X2204">
        <v>75113.730670018995</v>
      </c>
      <c r="Y2204">
        <v>142463</v>
      </c>
      <c r="Z2204">
        <v>2.7862535264031298</v>
      </c>
      <c r="AA2204">
        <v>100</v>
      </c>
    </row>
    <row r="2205" spans="1:27" x14ac:dyDescent="0.2">
      <c r="A2205">
        <v>20</v>
      </c>
      <c r="B2205">
        <v>2</v>
      </c>
      <c r="C2205">
        <v>0.3</v>
      </c>
      <c r="D2205">
        <v>20</v>
      </c>
      <c r="E2205">
        <v>0.32004107359587303</v>
      </c>
      <c r="F2205">
        <v>2</v>
      </c>
      <c r="G2205">
        <v>28.617904945999999</v>
      </c>
      <c r="H2205">
        <v>0.226646661545405</v>
      </c>
      <c r="I2205">
        <v>2</v>
      </c>
      <c r="J2205">
        <v>0.169090506</v>
      </c>
      <c r="P2205"/>
      <c r="V2205">
        <v>0.189028554774989</v>
      </c>
      <c r="W2205">
        <v>2</v>
      </c>
      <c r="X2205">
        <v>75177.516389743003</v>
      </c>
      <c r="Y2205">
        <v>130287</v>
      </c>
      <c r="Z2205">
        <v>0.70572857033039305</v>
      </c>
      <c r="AA2205">
        <v>100</v>
      </c>
    </row>
    <row r="2206" spans="1:27" x14ac:dyDescent="0.2">
      <c r="A2206">
        <v>20</v>
      </c>
      <c r="B2206">
        <v>2</v>
      </c>
      <c r="C2206">
        <v>0.2</v>
      </c>
      <c r="D2206">
        <v>20</v>
      </c>
      <c r="E2206">
        <v>0.665765343226005</v>
      </c>
      <c r="F2206">
        <v>2</v>
      </c>
      <c r="G2206">
        <v>27.364351112000001</v>
      </c>
      <c r="H2206">
        <v>0.55682082154681101</v>
      </c>
      <c r="I2206">
        <v>2</v>
      </c>
      <c r="J2206">
        <v>0.30423445199999999</v>
      </c>
      <c r="P2206"/>
      <c r="V2206">
        <v>0.55878590266422501</v>
      </c>
      <c r="W2206">
        <v>2</v>
      </c>
      <c r="X2206">
        <v>75382.922582875006</v>
      </c>
      <c r="Y2206">
        <v>7177</v>
      </c>
      <c r="Z2206">
        <v>0.67438142594037398</v>
      </c>
      <c r="AA2206">
        <v>100</v>
      </c>
    </row>
    <row r="2207" spans="1:27" x14ac:dyDescent="0.2">
      <c r="A2207">
        <v>20</v>
      </c>
      <c r="B2207">
        <v>2</v>
      </c>
      <c r="C2207">
        <v>0.4</v>
      </c>
      <c r="D2207">
        <v>20</v>
      </c>
      <c r="E2207">
        <v>0.100763241085567</v>
      </c>
      <c r="F2207">
        <v>2</v>
      </c>
      <c r="G2207">
        <v>25.435406822000001</v>
      </c>
      <c r="H2207">
        <v>9.9575416108892395E-2</v>
      </c>
      <c r="I2207">
        <v>2</v>
      </c>
      <c r="J2207">
        <v>0.10519519099999999</v>
      </c>
      <c r="P2207"/>
      <c r="V2207">
        <v>7.5652312004226896E-2</v>
      </c>
      <c r="W2207">
        <v>2</v>
      </c>
      <c r="X2207">
        <v>75405.944667604999</v>
      </c>
      <c r="Y2207">
        <v>7120</v>
      </c>
      <c r="Z2207">
        <v>2.40528094163892</v>
      </c>
      <c r="AA2207">
        <v>100</v>
      </c>
    </row>
    <row r="2208" spans="1:27" x14ac:dyDescent="0.2">
      <c r="A2208">
        <v>20</v>
      </c>
      <c r="B2208">
        <v>2</v>
      </c>
      <c r="C2208">
        <v>0.2</v>
      </c>
      <c r="D2208">
        <v>20</v>
      </c>
      <c r="E2208">
        <v>0.48621673274295402</v>
      </c>
      <c r="F2208">
        <v>2</v>
      </c>
      <c r="G2208">
        <v>28.624980445999999</v>
      </c>
      <c r="H2208">
        <v>0.37001384514929903</v>
      </c>
      <c r="I2208">
        <v>2</v>
      </c>
      <c r="J2208">
        <v>0.383106787</v>
      </c>
      <c r="P2208"/>
      <c r="V2208">
        <v>0.34954738882454001</v>
      </c>
      <c r="W2208">
        <v>2</v>
      </c>
      <c r="X2208">
        <v>75403.760849489001</v>
      </c>
      <c r="Y2208">
        <v>7201</v>
      </c>
      <c r="Z2208">
        <v>0.30958230994235097</v>
      </c>
      <c r="AA2208">
        <v>100</v>
      </c>
    </row>
    <row r="2209" spans="1:27" x14ac:dyDescent="0.2">
      <c r="A2209">
        <v>20</v>
      </c>
      <c r="B2209">
        <v>2</v>
      </c>
      <c r="C2209">
        <v>0.3</v>
      </c>
      <c r="D2209">
        <v>20</v>
      </c>
      <c r="E2209">
        <v>0.26053011026216599</v>
      </c>
      <c r="F2209">
        <v>2</v>
      </c>
      <c r="G2209">
        <v>26.273402306000001</v>
      </c>
      <c r="H2209">
        <v>0.214287442936029</v>
      </c>
      <c r="I2209">
        <v>2</v>
      </c>
      <c r="J2209">
        <v>8.0877088999999999E-2</v>
      </c>
      <c r="P2209"/>
      <c r="V2209">
        <v>0.19746551460867601</v>
      </c>
      <c r="W2209">
        <v>2</v>
      </c>
      <c r="X2209">
        <v>75415.684105833003</v>
      </c>
      <c r="Y2209">
        <v>6588</v>
      </c>
      <c r="Z2209">
        <v>1.5231177659461499</v>
      </c>
      <c r="AA2209">
        <v>100</v>
      </c>
    </row>
    <row r="2210" spans="1:27" x14ac:dyDescent="0.2">
      <c r="A2210">
        <v>20</v>
      </c>
      <c r="B2210">
        <v>2</v>
      </c>
      <c r="C2210">
        <v>0.2</v>
      </c>
      <c r="D2210">
        <v>20</v>
      </c>
      <c r="E2210">
        <v>0.88020399746703704</v>
      </c>
      <c r="F2210">
        <v>2</v>
      </c>
      <c r="G2210">
        <v>28.346443325999999</v>
      </c>
      <c r="H2210">
        <v>0.82502148375963302</v>
      </c>
      <c r="I2210">
        <v>2</v>
      </c>
      <c r="J2210">
        <v>0.34310471599999998</v>
      </c>
      <c r="P2210"/>
      <c r="V2210">
        <v>0.84661975668920597</v>
      </c>
      <c r="W2210">
        <v>2</v>
      </c>
      <c r="X2210">
        <v>75413.589612031996</v>
      </c>
      <c r="Y2210">
        <v>7865</v>
      </c>
      <c r="Z2210">
        <v>0.33105249833252898</v>
      </c>
      <c r="AA2210">
        <v>100</v>
      </c>
    </row>
    <row r="2211" spans="1:27" x14ac:dyDescent="0.2">
      <c r="A2211">
        <v>20</v>
      </c>
      <c r="B2211">
        <v>2</v>
      </c>
      <c r="C2211">
        <v>0.3</v>
      </c>
      <c r="D2211">
        <v>20</v>
      </c>
      <c r="E2211">
        <v>0.29158739281921903</v>
      </c>
      <c r="F2211">
        <v>2</v>
      </c>
      <c r="G2211">
        <v>28.722877374999999</v>
      </c>
      <c r="H2211">
        <v>0.15494364805863001</v>
      </c>
      <c r="I2211">
        <v>2</v>
      </c>
      <c r="J2211">
        <v>0.244920162</v>
      </c>
      <c r="P2211"/>
      <c r="V2211">
        <v>0.14021124519693001</v>
      </c>
      <c r="W2211">
        <v>2</v>
      </c>
      <c r="X2211">
        <v>75433.786883373003</v>
      </c>
      <c r="Y2211">
        <v>5998</v>
      </c>
      <c r="Z2211">
        <v>2.69271795054792</v>
      </c>
      <c r="AA2211">
        <v>100</v>
      </c>
    </row>
    <row r="2212" spans="1:27" x14ac:dyDescent="0.2">
      <c r="A2212">
        <v>20</v>
      </c>
      <c r="B2212">
        <v>2</v>
      </c>
      <c r="C2212">
        <v>0.3</v>
      </c>
      <c r="D2212">
        <v>20</v>
      </c>
      <c r="E2212">
        <v>0.44472254815762802</v>
      </c>
      <c r="F2212">
        <v>2</v>
      </c>
      <c r="G2212">
        <v>27.445535154000002</v>
      </c>
      <c r="H2212">
        <v>0.33730111720351902</v>
      </c>
      <c r="I2212">
        <v>2</v>
      </c>
      <c r="J2212">
        <v>0.33565597400000002</v>
      </c>
      <c r="P2212"/>
      <c r="V2212">
        <v>0.307619075986172</v>
      </c>
      <c r="W2212">
        <v>2</v>
      </c>
      <c r="X2212">
        <v>75443.921806345999</v>
      </c>
      <c r="Y2212">
        <v>6419</v>
      </c>
      <c r="Z2212">
        <v>1.35709193670728</v>
      </c>
      <c r="AA2212">
        <v>100</v>
      </c>
    </row>
    <row r="2213" spans="1:27" x14ac:dyDescent="0.2">
      <c r="A2213">
        <v>20</v>
      </c>
      <c r="B2213">
        <v>2</v>
      </c>
      <c r="C2213">
        <v>0.4</v>
      </c>
      <c r="D2213">
        <v>20</v>
      </c>
      <c r="E2213">
        <v>0.10974743493535501</v>
      </c>
      <c r="F2213">
        <v>2</v>
      </c>
      <c r="G2213">
        <v>25.361333308999999</v>
      </c>
      <c r="H2213">
        <v>0.12543556676630799</v>
      </c>
      <c r="I2213">
        <v>2</v>
      </c>
      <c r="J2213">
        <v>0.20976539499999999</v>
      </c>
      <c r="P2213"/>
      <c r="V2213">
        <v>0.102957425950637</v>
      </c>
      <c r="W2213">
        <v>2</v>
      </c>
      <c r="X2213">
        <v>75391.916541782994</v>
      </c>
      <c r="Y2213">
        <v>7511</v>
      </c>
      <c r="Z2213">
        <v>2.1358639329246198</v>
      </c>
      <c r="AA2213">
        <v>100</v>
      </c>
    </row>
    <row r="2214" spans="1:27" x14ac:dyDescent="0.2">
      <c r="A2214">
        <v>20</v>
      </c>
      <c r="B2214">
        <v>2</v>
      </c>
      <c r="C2214">
        <v>0.2</v>
      </c>
      <c r="D2214">
        <v>20</v>
      </c>
      <c r="E2214">
        <v>0.95946761916094403</v>
      </c>
      <c r="F2214">
        <v>2</v>
      </c>
      <c r="G2214">
        <v>28.194939141999999</v>
      </c>
      <c r="H2214">
        <v>0.97172863539657295</v>
      </c>
      <c r="I2214">
        <v>2</v>
      </c>
      <c r="J2214">
        <v>0.43961867599999999</v>
      </c>
      <c r="P2214"/>
      <c r="V2214">
        <v>0.98003999810148101</v>
      </c>
      <c r="W2214">
        <v>2</v>
      </c>
      <c r="X2214">
        <v>75453.875037537</v>
      </c>
      <c r="Y2214">
        <v>7237</v>
      </c>
      <c r="Z2214">
        <v>0.492578591843994</v>
      </c>
      <c r="AA2214">
        <v>100</v>
      </c>
    </row>
    <row r="2215" spans="1:27" x14ac:dyDescent="0.2">
      <c r="A2215">
        <v>20</v>
      </c>
      <c r="B2215">
        <v>2</v>
      </c>
      <c r="C2215">
        <v>0.3</v>
      </c>
      <c r="D2215">
        <v>20</v>
      </c>
      <c r="E2215">
        <v>0.239678602441389</v>
      </c>
      <c r="F2215">
        <v>2</v>
      </c>
      <c r="G2215">
        <v>29.030522204</v>
      </c>
      <c r="H2215">
        <v>0.17153225417722001</v>
      </c>
      <c r="I2215">
        <v>2</v>
      </c>
      <c r="J2215">
        <v>0.29492108500000003</v>
      </c>
      <c r="P2215"/>
      <c r="V2215">
        <v>0.15893881158039599</v>
      </c>
      <c r="W2215">
        <v>2</v>
      </c>
      <c r="X2215">
        <v>75454.48326927</v>
      </c>
      <c r="Y2215">
        <v>6911</v>
      </c>
      <c r="Z2215">
        <v>1.3702214745816499</v>
      </c>
      <c r="AA2215">
        <v>100</v>
      </c>
    </row>
    <row r="2216" spans="1:27" x14ac:dyDescent="0.2">
      <c r="A2216">
        <v>20</v>
      </c>
      <c r="B2216">
        <v>2</v>
      </c>
      <c r="C2216">
        <v>0.3</v>
      </c>
      <c r="D2216">
        <v>20</v>
      </c>
      <c r="E2216">
        <v>0.406277203985067</v>
      </c>
      <c r="F2216">
        <v>2</v>
      </c>
      <c r="G2216">
        <v>27.942625243999998</v>
      </c>
      <c r="H2216">
        <v>0.27441859458858903</v>
      </c>
      <c r="I2216">
        <v>2</v>
      </c>
      <c r="J2216">
        <v>0.15537990800000001</v>
      </c>
      <c r="P2216"/>
      <c r="V2216">
        <v>0.26177148162484598</v>
      </c>
      <c r="W2216">
        <v>2</v>
      </c>
      <c r="X2216">
        <v>75398.252700445999</v>
      </c>
      <c r="Y2216">
        <v>8314</v>
      </c>
      <c r="Z2216">
        <v>1.3528643194440499</v>
      </c>
      <c r="AA2216">
        <v>100</v>
      </c>
    </row>
    <row r="2217" spans="1:27" x14ac:dyDescent="0.2">
      <c r="A2217">
        <v>20</v>
      </c>
      <c r="B2217">
        <v>2</v>
      </c>
      <c r="C2217">
        <v>0.4</v>
      </c>
      <c r="D2217">
        <v>20</v>
      </c>
      <c r="E2217">
        <v>0.154045657268746</v>
      </c>
      <c r="F2217">
        <v>2</v>
      </c>
      <c r="G2217">
        <v>32.792473678999997</v>
      </c>
      <c r="H2217">
        <v>0.14221577157977999</v>
      </c>
      <c r="I2217">
        <v>2</v>
      </c>
      <c r="J2217">
        <v>0.24135615499999999</v>
      </c>
      <c r="P2217"/>
      <c r="V2217">
        <v>0.11254028482973399</v>
      </c>
      <c r="W2217">
        <v>2</v>
      </c>
      <c r="X2217">
        <v>75416.689922142003</v>
      </c>
      <c r="Y2217">
        <v>6517</v>
      </c>
      <c r="Z2217">
        <v>1.0280968807128299</v>
      </c>
      <c r="AA2217">
        <v>100</v>
      </c>
    </row>
    <row r="2218" spans="1:27" x14ac:dyDescent="0.2">
      <c r="A2218">
        <v>20</v>
      </c>
      <c r="B2218">
        <v>2</v>
      </c>
      <c r="C2218">
        <v>0.3</v>
      </c>
      <c r="D2218">
        <v>20</v>
      </c>
      <c r="E2218">
        <v>0.34189455472001801</v>
      </c>
      <c r="F2218">
        <v>2</v>
      </c>
      <c r="G2218">
        <v>27.813642657999999</v>
      </c>
      <c r="H2218">
        <v>0.295217752907737</v>
      </c>
      <c r="I2218">
        <v>2</v>
      </c>
      <c r="J2218">
        <v>0.15490742199999999</v>
      </c>
      <c r="P2218"/>
      <c r="V2218">
        <v>0.26755130668355698</v>
      </c>
      <c r="W2218">
        <v>2</v>
      </c>
      <c r="X2218">
        <v>75426.412165497997</v>
      </c>
      <c r="Y2218">
        <v>7128</v>
      </c>
      <c r="Z2218">
        <v>0.89465840425651799</v>
      </c>
      <c r="AA2218">
        <v>100</v>
      </c>
    </row>
    <row r="2219" spans="1:27" x14ac:dyDescent="0.2">
      <c r="A2219">
        <v>20</v>
      </c>
      <c r="B2219">
        <v>2</v>
      </c>
      <c r="C2219">
        <v>0.4</v>
      </c>
      <c r="D2219">
        <v>20</v>
      </c>
      <c r="E2219">
        <v>0.12684372116885001</v>
      </c>
      <c r="F2219">
        <v>2</v>
      </c>
      <c r="G2219">
        <v>28.480885036</v>
      </c>
      <c r="H2219">
        <v>0.10648778281410599</v>
      </c>
      <c r="I2219">
        <v>2</v>
      </c>
      <c r="J2219">
        <v>0.17950820000000001</v>
      </c>
      <c r="P2219"/>
      <c r="V2219">
        <v>9.0999430310522406E-2</v>
      </c>
      <c r="W2219">
        <v>2</v>
      </c>
      <c r="X2219">
        <v>75486.677840228993</v>
      </c>
      <c r="Y2219">
        <v>114352</v>
      </c>
      <c r="Z2219">
        <v>1.8074249464002601</v>
      </c>
      <c r="AA2219">
        <v>100</v>
      </c>
    </row>
    <row r="2220" spans="1:27" x14ac:dyDescent="0.2">
      <c r="A2220">
        <v>20</v>
      </c>
      <c r="B2220">
        <v>2</v>
      </c>
      <c r="C2220">
        <v>0.4</v>
      </c>
      <c r="D2220">
        <v>20</v>
      </c>
      <c r="E2220">
        <v>0.124512861581942</v>
      </c>
      <c r="F2220">
        <v>2</v>
      </c>
      <c r="G2220">
        <v>29.482427457</v>
      </c>
      <c r="H2220">
        <v>0.134750251208409</v>
      </c>
      <c r="I2220">
        <v>2</v>
      </c>
      <c r="J2220">
        <v>0.22000414300000001</v>
      </c>
      <c r="P2220"/>
      <c r="V2220">
        <v>0.111611042926847</v>
      </c>
      <c r="W2220">
        <v>2</v>
      </c>
      <c r="X2220">
        <v>75434.303357572004</v>
      </c>
      <c r="Y2220">
        <v>7091</v>
      </c>
      <c r="Z2220">
        <v>1.4053215821877501</v>
      </c>
      <c r="AA2220">
        <v>100</v>
      </c>
    </row>
    <row r="2221" spans="1:27" x14ac:dyDescent="0.2">
      <c r="A2221">
        <v>20</v>
      </c>
      <c r="B2221">
        <v>2</v>
      </c>
      <c r="C2221">
        <v>0.2</v>
      </c>
      <c r="D2221">
        <v>20</v>
      </c>
      <c r="E2221">
        <v>0.70669540984030399</v>
      </c>
      <c r="F2221">
        <v>2</v>
      </c>
      <c r="G2221">
        <v>28.835130681999999</v>
      </c>
      <c r="H2221">
        <v>0.58659000419951102</v>
      </c>
      <c r="I2221">
        <v>2</v>
      </c>
      <c r="J2221">
        <v>0.57405743799999998</v>
      </c>
      <c r="P2221"/>
      <c r="V2221">
        <v>0.58403605525694302</v>
      </c>
      <c r="W2221">
        <v>2</v>
      </c>
      <c r="X2221">
        <v>75498.222285764001</v>
      </c>
      <c r="Y2221">
        <v>7809</v>
      </c>
      <c r="Z2221">
        <v>0.39874263221820599</v>
      </c>
      <c r="AA2221">
        <v>100</v>
      </c>
    </row>
    <row r="2222" spans="1:27" x14ac:dyDescent="0.2">
      <c r="A2222">
        <v>20</v>
      </c>
      <c r="B2222">
        <v>2</v>
      </c>
      <c r="C2222">
        <v>0.3</v>
      </c>
      <c r="D2222">
        <v>20</v>
      </c>
      <c r="E2222">
        <v>0.823187582440153</v>
      </c>
      <c r="F2222">
        <v>2</v>
      </c>
      <c r="G2222">
        <v>28.354585846999999</v>
      </c>
      <c r="H2222">
        <v>0.74027007578242099</v>
      </c>
      <c r="I2222">
        <v>2</v>
      </c>
      <c r="J2222">
        <v>0.49328114099999998</v>
      </c>
      <c r="P2222"/>
      <c r="V2222">
        <v>0.74292920964021103</v>
      </c>
      <c r="W2222">
        <v>2</v>
      </c>
      <c r="X2222">
        <v>75509.753275819996</v>
      </c>
      <c r="Y2222">
        <v>6006</v>
      </c>
      <c r="Z2222">
        <v>0.91779577879242402</v>
      </c>
      <c r="AA2222">
        <v>100</v>
      </c>
    </row>
    <row r="2223" spans="1:27" x14ac:dyDescent="0.2">
      <c r="A2223">
        <v>20</v>
      </c>
      <c r="B2223">
        <v>2</v>
      </c>
      <c r="C2223">
        <v>0.3</v>
      </c>
      <c r="D2223">
        <v>20</v>
      </c>
      <c r="E2223">
        <v>0.429080817046401</v>
      </c>
      <c r="F2223">
        <v>2</v>
      </c>
      <c r="G2223">
        <v>28.295132396</v>
      </c>
      <c r="H2223">
        <v>0.36899274573570501</v>
      </c>
      <c r="I2223">
        <v>2</v>
      </c>
      <c r="J2223">
        <v>0.38643086900000001</v>
      </c>
      <c r="P2223"/>
      <c r="V2223">
        <v>0.33957595180448003</v>
      </c>
      <c r="W2223">
        <v>2</v>
      </c>
      <c r="X2223">
        <v>75459.990308841996</v>
      </c>
      <c r="Y2223">
        <v>7135</v>
      </c>
      <c r="Z2223">
        <v>0.77074905942986505</v>
      </c>
      <c r="AA2223">
        <v>100</v>
      </c>
    </row>
    <row r="2224" spans="1:27" x14ac:dyDescent="0.2">
      <c r="A2224">
        <v>20</v>
      </c>
      <c r="B2224">
        <v>2</v>
      </c>
      <c r="C2224">
        <v>0.4</v>
      </c>
      <c r="D2224">
        <v>20</v>
      </c>
      <c r="E2224">
        <v>7.9153546584024195E-2</v>
      </c>
      <c r="F2224">
        <v>2</v>
      </c>
      <c r="G2224">
        <v>29.577868648999999</v>
      </c>
      <c r="H2224">
        <v>9.43421459917171E-2</v>
      </c>
      <c r="I2224">
        <v>2</v>
      </c>
      <c r="J2224">
        <v>0.192161416</v>
      </c>
      <c r="P2224"/>
      <c r="V2224">
        <v>7.0909296325186E-2</v>
      </c>
      <c r="W2224">
        <v>2</v>
      </c>
      <c r="X2224">
        <v>75520.107068279001</v>
      </c>
      <c r="Y2224">
        <v>8050</v>
      </c>
      <c r="Z2224">
        <v>1.34236059810245</v>
      </c>
      <c r="AA2224">
        <v>100</v>
      </c>
    </row>
    <row r="2225" spans="1:27" x14ac:dyDescent="0.2">
      <c r="A2225">
        <v>20</v>
      </c>
      <c r="B2225">
        <v>2</v>
      </c>
      <c r="C2225">
        <v>0.2</v>
      </c>
      <c r="D2225">
        <v>20</v>
      </c>
      <c r="E2225">
        <v>0.73443086680995895</v>
      </c>
      <c r="F2225">
        <v>2</v>
      </c>
      <c r="G2225">
        <v>27.861102579000001</v>
      </c>
      <c r="H2225">
        <v>0.61978995490342503</v>
      </c>
      <c r="I2225">
        <v>2</v>
      </c>
      <c r="J2225">
        <v>0.63854859500000005</v>
      </c>
      <c r="P2225"/>
      <c r="V2225">
        <v>0.61288221550146804</v>
      </c>
      <c r="W2225">
        <v>2</v>
      </c>
      <c r="X2225">
        <v>75537.545420887007</v>
      </c>
      <c r="Y2225">
        <v>6560</v>
      </c>
      <c r="Z2225">
        <v>0.39366224609096001</v>
      </c>
      <c r="AA2225">
        <v>100</v>
      </c>
    </row>
    <row r="2226" spans="1:27" x14ac:dyDescent="0.2">
      <c r="A2226">
        <v>20</v>
      </c>
      <c r="B2226">
        <v>2</v>
      </c>
      <c r="C2226">
        <v>0.4</v>
      </c>
      <c r="D2226">
        <v>20</v>
      </c>
      <c r="E2226">
        <v>0.30717900009864002</v>
      </c>
      <c r="F2226">
        <v>2</v>
      </c>
      <c r="G2226">
        <v>29.598690686000001</v>
      </c>
      <c r="H2226">
        <v>0.17576129007694599</v>
      </c>
      <c r="I2226">
        <v>2</v>
      </c>
      <c r="J2226">
        <v>0.21115440499999999</v>
      </c>
      <c r="P2226"/>
      <c r="V2226">
        <v>0.15459082406243199</v>
      </c>
      <c r="W2226">
        <v>2</v>
      </c>
      <c r="X2226">
        <v>75495.553066031993</v>
      </c>
      <c r="Y2226">
        <v>110542</v>
      </c>
      <c r="Z2226">
        <v>1.2173309942422501</v>
      </c>
      <c r="AA2226">
        <v>100</v>
      </c>
    </row>
    <row r="2227" spans="1:27" x14ac:dyDescent="0.2">
      <c r="A2227">
        <v>20</v>
      </c>
      <c r="B2227">
        <v>2</v>
      </c>
      <c r="C2227">
        <v>0.2</v>
      </c>
      <c r="D2227">
        <v>20</v>
      </c>
      <c r="E2227">
        <v>0.85288201489224402</v>
      </c>
      <c r="F2227">
        <v>2</v>
      </c>
      <c r="G2227">
        <v>28.448267610999999</v>
      </c>
      <c r="H2227">
        <v>0.87296076751505503</v>
      </c>
      <c r="I2227">
        <v>2</v>
      </c>
      <c r="J2227">
        <v>0.55684977999999996</v>
      </c>
      <c r="P2227"/>
      <c r="V2227">
        <v>0.88409848098777999</v>
      </c>
      <c r="W2227">
        <v>2</v>
      </c>
      <c r="X2227">
        <v>75658.527721563994</v>
      </c>
      <c r="Y2227">
        <v>4811</v>
      </c>
      <c r="Z2227">
        <v>1.08471506185646</v>
      </c>
      <c r="AA2227">
        <v>100</v>
      </c>
    </row>
    <row r="2228" spans="1:27" x14ac:dyDescent="0.2">
      <c r="A2228">
        <v>20</v>
      </c>
      <c r="B2228">
        <v>2</v>
      </c>
      <c r="C2228">
        <v>0.2</v>
      </c>
      <c r="D2228">
        <v>20</v>
      </c>
      <c r="E2228">
        <v>0.74654967378583503</v>
      </c>
      <c r="F2228">
        <v>2</v>
      </c>
      <c r="G2228">
        <v>28.466417256</v>
      </c>
      <c r="H2228">
        <v>0.91212850816813695</v>
      </c>
      <c r="I2228">
        <v>2</v>
      </c>
      <c r="J2228">
        <v>0.56204547699999996</v>
      </c>
      <c r="P2228"/>
      <c r="V2228">
        <v>0.92124154975279005</v>
      </c>
      <c r="W2228">
        <v>2</v>
      </c>
      <c r="X2228">
        <v>75681.789461809996</v>
      </c>
      <c r="Y2228">
        <v>91982</v>
      </c>
      <c r="Z2228">
        <v>0.381798398174788</v>
      </c>
      <c r="AA2228">
        <v>100</v>
      </c>
    </row>
    <row r="2229" spans="1:27" x14ac:dyDescent="0.2">
      <c r="A2229">
        <v>20</v>
      </c>
      <c r="B2229">
        <v>2</v>
      </c>
      <c r="C2229">
        <v>0.4</v>
      </c>
      <c r="D2229">
        <v>20</v>
      </c>
      <c r="E2229">
        <v>0.16555086912658801</v>
      </c>
      <c r="F2229">
        <v>2</v>
      </c>
      <c r="G2229">
        <v>28.895294814</v>
      </c>
      <c r="H2229">
        <v>0.128260860629552</v>
      </c>
      <c r="I2229">
        <v>2</v>
      </c>
      <c r="J2229">
        <v>0.19283752400000001</v>
      </c>
      <c r="P2229"/>
      <c r="V2229">
        <v>9.9219878033472902E-2</v>
      </c>
      <c r="W2229">
        <v>2</v>
      </c>
      <c r="X2229">
        <v>75706.385756464006</v>
      </c>
      <c r="Y2229">
        <v>129299</v>
      </c>
      <c r="Z2229">
        <v>2.1299313349372802</v>
      </c>
      <c r="AA2229">
        <v>100</v>
      </c>
    </row>
    <row r="2230" spans="1:27" x14ac:dyDescent="0.2">
      <c r="A2230">
        <v>20</v>
      </c>
      <c r="B2230">
        <v>2</v>
      </c>
      <c r="C2230">
        <v>0.4</v>
      </c>
      <c r="D2230">
        <v>20</v>
      </c>
      <c r="E2230">
        <v>0.123852331633273</v>
      </c>
      <c r="F2230">
        <v>2</v>
      </c>
      <c r="G2230">
        <v>28.587131904</v>
      </c>
      <c r="H2230">
        <v>0.11201559235759199</v>
      </c>
      <c r="I2230">
        <v>2</v>
      </c>
      <c r="J2230">
        <v>0.17314464900000001</v>
      </c>
      <c r="P2230"/>
      <c r="V2230">
        <v>9.1260250301821402E-2</v>
      </c>
      <c r="W2230">
        <v>2</v>
      </c>
      <c r="X2230">
        <v>75757.065622376002</v>
      </c>
      <c r="Y2230">
        <v>3629</v>
      </c>
      <c r="Z2230">
        <v>2.51763825526541</v>
      </c>
      <c r="AA2230">
        <v>100</v>
      </c>
    </row>
    <row r="2231" spans="1:27" x14ac:dyDescent="0.2">
      <c r="A2231">
        <v>20</v>
      </c>
      <c r="B2231">
        <v>2</v>
      </c>
      <c r="C2231">
        <v>0.4</v>
      </c>
      <c r="D2231">
        <v>20</v>
      </c>
      <c r="E2231">
        <v>0.22479388996074601</v>
      </c>
      <c r="F2231">
        <v>2</v>
      </c>
      <c r="G2231">
        <v>28.638023196999999</v>
      </c>
      <c r="H2231">
        <v>0.17288093425738699</v>
      </c>
      <c r="I2231">
        <v>2</v>
      </c>
      <c r="J2231">
        <v>0.22178182199999999</v>
      </c>
      <c r="P2231"/>
      <c r="V2231">
        <v>0.14742762943902499</v>
      </c>
      <c r="W2231">
        <v>2</v>
      </c>
      <c r="X2231">
        <v>75769.917012375998</v>
      </c>
      <c r="Y2231">
        <v>6472</v>
      </c>
      <c r="Z2231">
        <v>1.6866284128409399</v>
      </c>
      <c r="AA2231">
        <v>100</v>
      </c>
    </row>
    <row r="2232" spans="1:27" x14ac:dyDescent="0.2">
      <c r="A2232">
        <v>20</v>
      </c>
      <c r="B2232">
        <v>2</v>
      </c>
      <c r="C2232">
        <v>0.3</v>
      </c>
      <c r="D2232">
        <v>20</v>
      </c>
      <c r="E2232">
        <v>0.23135687874196201</v>
      </c>
      <c r="F2232">
        <v>2</v>
      </c>
      <c r="G2232">
        <v>30.490959371999999</v>
      </c>
      <c r="H2232">
        <v>0.16658983135549599</v>
      </c>
      <c r="I2232">
        <v>2</v>
      </c>
      <c r="J2232">
        <v>0.17593605300000001</v>
      </c>
      <c r="P2232"/>
      <c r="V2232">
        <v>0.14945616830594599</v>
      </c>
      <c r="W2232">
        <v>2</v>
      </c>
      <c r="X2232">
        <v>75800.685767620002</v>
      </c>
      <c r="Y2232">
        <v>3663</v>
      </c>
      <c r="Z2232">
        <v>1.40164815421121</v>
      </c>
      <c r="AA2232">
        <v>100</v>
      </c>
    </row>
    <row r="2233" spans="1:27" x14ac:dyDescent="0.2">
      <c r="A2233">
        <v>20</v>
      </c>
      <c r="B2233">
        <v>2</v>
      </c>
      <c r="C2233">
        <v>0.3</v>
      </c>
      <c r="D2233">
        <v>20</v>
      </c>
      <c r="E2233">
        <v>0.29329524442329802</v>
      </c>
      <c r="F2233">
        <v>2</v>
      </c>
      <c r="G2233">
        <v>28.238431417000001</v>
      </c>
      <c r="H2233">
        <v>0.21963794922353999</v>
      </c>
      <c r="I2233">
        <v>2</v>
      </c>
      <c r="J2233">
        <v>0.174108923</v>
      </c>
      <c r="P2233"/>
      <c r="V2233">
        <v>0.19557349576261099</v>
      </c>
      <c r="W2233">
        <v>2</v>
      </c>
      <c r="X2233">
        <v>75778.885246741993</v>
      </c>
      <c r="Y2233">
        <v>3895</v>
      </c>
      <c r="Z2233">
        <v>1.15920540026672</v>
      </c>
      <c r="AA2233">
        <v>100</v>
      </c>
    </row>
    <row r="2234" spans="1:27" x14ac:dyDescent="0.2">
      <c r="A2234">
        <v>20</v>
      </c>
      <c r="B2234">
        <v>2</v>
      </c>
      <c r="C2234">
        <v>0.4</v>
      </c>
      <c r="D2234">
        <v>20</v>
      </c>
      <c r="E2234">
        <v>0.282973649002149</v>
      </c>
      <c r="F2234">
        <v>2</v>
      </c>
      <c r="G2234">
        <v>28.165016173000001</v>
      </c>
      <c r="H2234">
        <v>0.25183252115749999</v>
      </c>
      <c r="I2234">
        <v>2</v>
      </c>
      <c r="J2234">
        <v>0.17177057300000001</v>
      </c>
      <c r="P2234"/>
      <c r="V2234">
        <v>0.220665822798185</v>
      </c>
      <c r="W2234">
        <v>2</v>
      </c>
      <c r="X2234">
        <v>75807.596407350007</v>
      </c>
      <c r="Y2234">
        <v>6437</v>
      </c>
      <c r="Z2234">
        <v>1.8020347919441999</v>
      </c>
      <c r="AA2234">
        <v>100</v>
      </c>
    </row>
    <row r="2235" spans="1:27" x14ac:dyDescent="0.2">
      <c r="A2235">
        <v>20</v>
      </c>
      <c r="B2235">
        <v>2</v>
      </c>
      <c r="C2235">
        <v>0.4</v>
      </c>
      <c r="D2235">
        <v>20</v>
      </c>
      <c r="E2235">
        <v>0.19143224225591601</v>
      </c>
      <c r="F2235">
        <v>2</v>
      </c>
      <c r="G2235">
        <v>27.624393389000002</v>
      </c>
      <c r="H2235">
        <v>0.17074879905629101</v>
      </c>
      <c r="I2235">
        <v>2</v>
      </c>
      <c r="J2235">
        <v>0.16653480100000001</v>
      </c>
      <c r="P2235"/>
      <c r="V2235">
        <v>0.13564071235984801</v>
      </c>
      <c r="W2235">
        <v>2</v>
      </c>
      <c r="X2235">
        <v>75830.710418315997</v>
      </c>
      <c r="Y2235">
        <v>3362</v>
      </c>
      <c r="Z2235">
        <v>0.96288218762907996</v>
      </c>
      <c r="AA2235">
        <v>100</v>
      </c>
    </row>
    <row r="2236" spans="1:27" x14ac:dyDescent="0.2">
      <c r="A2236">
        <v>30</v>
      </c>
      <c r="B2236">
        <v>2</v>
      </c>
      <c r="C2236">
        <v>0.2</v>
      </c>
      <c r="D2236">
        <v>20</v>
      </c>
      <c r="E2236">
        <v>0.329758181343696</v>
      </c>
      <c r="F2236">
        <v>2</v>
      </c>
      <c r="G2236">
        <v>27.494992515</v>
      </c>
      <c r="H2236">
        <v>0.222208555409842</v>
      </c>
      <c r="I2236">
        <v>2</v>
      </c>
      <c r="J2236">
        <v>0.67603579199999997</v>
      </c>
      <c r="P2236"/>
      <c r="V2236">
        <v>0.19871009125009501</v>
      </c>
      <c r="W2236">
        <v>2</v>
      </c>
      <c r="X2236">
        <v>75595.504175727998</v>
      </c>
      <c r="Y2236">
        <v>84173</v>
      </c>
      <c r="Z2236">
        <v>3.1169860759278998</v>
      </c>
      <c r="AA2236">
        <v>100</v>
      </c>
    </row>
    <row r="2237" spans="1:27" x14ac:dyDescent="0.2">
      <c r="A2237">
        <v>30</v>
      </c>
      <c r="B2237">
        <v>2</v>
      </c>
      <c r="C2237">
        <v>0.3</v>
      </c>
      <c r="D2237">
        <v>20</v>
      </c>
      <c r="E2237">
        <v>0.19420966205613099</v>
      </c>
      <c r="F2237">
        <v>2</v>
      </c>
      <c r="G2237">
        <v>27.939467951000001</v>
      </c>
      <c r="H2237">
        <v>0.199386301566532</v>
      </c>
      <c r="I2237">
        <v>2</v>
      </c>
      <c r="J2237">
        <v>0.36726125100000001</v>
      </c>
      <c r="P2237"/>
      <c r="V2237">
        <v>0.16720927460440599</v>
      </c>
      <c r="W2237">
        <v>2</v>
      </c>
      <c r="X2237">
        <v>75661.216729520995</v>
      </c>
      <c r="Y2237">
        <v>67737</v>
      </c>
      <c r="Z2237">
        <v>5.0215823932726202</v>
      </c>
      <c r="AA2237">
        <v>100</v>
      </c>
    </row>
    <row r="2238" spans="1:27" x14ac:dyDescent="0.2">
      <c r="A2238">
        <v>30</v>
      </c>
      <c r="B2238">
        <v>2</v>
      </c>
      <c r="C2238">
        <v>0.2</v>
      </c>
      <c r="D2238">
        <v>20</v>
      </c>
      <c r="E2238">
        <v>0.38032703070811502</v>
      </c>
      <c r="F2238">
        <v>2</v>
      </c>
      <c r="G2238">
        <v>27.550899991000001</v>
      </c>
      <c r="H2238">
        <v>0.30909690797678502</v>
      </c>
      <c r="I2238">
        <v>2</v>
      </c>
      <c r="J2238">
        <v>0.57740195800000005</v>
      </c>
      <c r="P2238"/>
      <c r="V2238">
        <v>0.29516169811439003</v>
      </c>
      <c r="W2238">
        <v>2</v>
      </c>
      <c r="X2238">
        <v>75610.551499976995</v>
      </c>
      <c r="Y2238">
        <v>77293</v>
      </c>
      <c r="Z2238">
        <v>3.3825812448421901</v>
      </c>
      <c r="AA2238">
        <v>100</v>
      </c>
    </row>
    <row r="2239" spans="1:27" x14ac:dyDescent="0.2">
      <c r="A2239">
        <v>30</v>
      </c>
      <c r="B2239">
        <v>2</v>
      </c>
      <c r="C2239">
        <v>0.3</v>
      </c>
      <c r="D2239">
        <v>20</v>
      </c>
      <c r="E2239">
        <v>0.180441685387047</v>
      </c>
      <c r="F2239">
        <v>2</v>
      </c>
      <c r="G2239">
        <v>26.531581977999998</v>
      </c>
      <c r="H2239">
        <v>0.14569340602286901</v>
      </c>
      <c r="I2239">
        <v>2</v>
      </c>
      <c r="J2239">
        <v>0.215794443</v>
      </c>
      <c r="P2239"/>
      <c r="V2239">
        <v>0.113800883173814</v>
      </c>
      <c r="W2239">
        <v>2</v>
      </c>
      <c r="X2239">
        <v>75625.284948212997</v>
      </c>
      <c r="Y2239">
        <v>75248</v>
      </c>
      <c r="Z2239">
        <v>4.4693976544351903</v>
      </c>
      <c r="AA2239">
        <v>100</v>
      </c>
    </row>
    <row r="2240" spans="1:27" x14ac:dyDescent="0.2">
      <c r="A2240">
        <v>20</v>
      </c>
      <c r="B2240">
        <v>2</v>
      </c>
      <c r="C2240">
        <v>0.3</v>
      </c>
      <c r="D2240">
        <v>20</v>
      </c>
      <c r="E2240">
        <v>0.26264048384310901</v>
      </c>
      <c r="F2240">
        <v>2</v>
      </c>
      <c r="G2240">
        <v>28.797086201999999</v>
      </c>
      <c r="H2240">
        <v>0.16242519210108899</v>
      </c>
      <c r="I2240">
        <v>2</v>
      </c>
      <c r="J2240">
        <v>0.259610748</v>
      </c>
      <c r="P2240"/>
      <c r="V2240">
        <v>0.14686398373006801</v>
      </c>
      <c r="W2240">
        <v>2</v>
      </c>
      <c r="X2240">
        <v>75871.691507280004</v>
      </c>
      <c r="Y2240">
        <v>3941</v>
      </c>
      <c r="Z2240">
        <v>0.97606152459957196</v>
      </c>
      <c r="AA2240">
        <v>100</v>
      </c>
    </row>
    <row r="2241" spans="1:27" x14ac:dyDescent="0.2">
      <c r="A2241">
        <v>20</v>
      </c>
      <c r="B2241">
        <v>2</v>
      </c>
      <c r="C2241">
        <v>0.3</v>
      </c>
      <c r="D2241">
        <v>20</v>
      </c>
      <c r="E2241">
        <v>0.52804928071607304</v>
      </c>
      <c r="F2241">
        <v>2</v>
      </c>
      <c r="G2241">
        <v>30.492951975</v>
      </c>
      <c r="H2241">
        <v>0.38373178916401202</v>
      </c>
      <c r="I2241">
        <v>2</v>
      </c>
      <c r="J2241">
        <v>0.48815998799999999</v>
      </c>
      <c r="P2241"/>
      <c r="V2241">
        <v>0.36811166870009399</v>
      </c>
      <c r="W2241">
        <v>2</v>
      </c>
      <c r="X2241">
        <v>75875.952494077996</v>
      </c>
      <c r="Y2241">
        <v>3908</v>
      </c>
      <c r="Z2241">
        <v>1.0664090431237301</v>
      </c>
      <c r="AA2241">
        <v>100</v>
      </c>
    </row>
    <row r="2242" spans="1:27" x14ac:dyDescent="0.2">
      <c r="A2242">
        <v>20</v>
      </c>
      <c r="B2242">
        <v>2</v>
      </c>
      <c r="C2242">
        <v>0.3</v>
      </c>
      <c r="D2242">
        <v>20</v>
      </c>
      <c r="E2242">
        <v>0.52056766856788195</v>
      </c>
      <c r="F2242">
        <v>2</v>
      </c>
      <c r="G2242">
        <v>28.816680425000001</v>
      </c>
      <c r="H2242">
        <v>0.38348755152102698</v>
      </c>
      <c r="I2242">
        <v>2</v>
      </c>
      <c r="J2242">
        <v>0.44438640299999999</v>
      </c>
      <c r="P2242"/>
      <c r="V2242">
        <v>0.36627995099537197</v>
      </c>
      <c r="W2242">
        <v>2</v>
      </c>
      <c r="X2242">
        <v>75885.462394197995</v>
      </c>
      <c r="Y2242">
        <v>3723</v>
      </c>
      <c r="Z2242">
        <v>1.86271748485341</v>
      </c>
      <c r="AA2242">
        <v>100</v>
      </c>
    </row>
    <row r="2243" spans="1:27" x14ac:dyDescent="0.2">
      <c r="A2243">
        <v>30</v>
      </c>
      <c r="B2243">
        <v>2</v>
      </c>
      <c r="C2243">
        <v>0.3</v>
      </c>
      <c r="D2243">
        <v>20</v>
      </c>
      <c r="E2243">
        <v>0.20136310836636301</v>
      </c>
      <c r="F2243">
        <v>2</v>
      </c>
      <c r="G2243">
        <v>28.483105128999998</v>
      </c>
      <c r="H2243">
        <v>0.13887723059381099</v>
      </c>
      <c r="I2243">
        <v>2</v>
      </c>
      <c r="J2243">
        <v>0.34382015100000002</v>
      </c>
      <c r="P2243"/>
      <c r="V2243">
        <v>0.123170302859701</v>
      </c>
      <c r="W2243">
        <v>2</v>
      </c>
      <c r="X2243">
        <v>75857.61480209</v>
      </c>
      <c r="Y2243">
        <v>27671</v>
      </c>
      <c r="Z2243">
        <v>3.9229507822910801</v>
      </c>
      <c r="AA2243">
        <v>100</v>
      </c>
    </row>
    <row r="2244" spans="1:27" x14ac:dyDescent="0.2">
      <c r="A2244">
        <v>30</v>
      </c>
      <c r="B2244">
        <v>2</v>
      </c>
      <c r="C2244">
        <v>0.1</v>
      </c>
      <c r="D2244">
        <v>20</v>
      </c>
      <c r="E2244">
        <v>0.89678236264646405</v>
      </c>
      <c r="F2244">
        <v>2</v>
      </c>
      <c r="G2244">
        <v>28.077577818000002</v>
      </c>
      <c r="H2244">
        <v>0.91448770498453802</v>
      </c>
      <c r="I2244">
        <v>2</v>
      </c>
      <c r="J2244">
        <v>0.75636277100000004</v>
      </c>
      <c r="P2244"/>
      <c r="V2244">
        <v>0.91746358768246605</v>
      </c>
      <c r="W2244">
        <v>2</v>
      </c>
      <c r="X2244">
        <v>75931.429913934</v>
      </c>
      <c r="Y2244">
        <v>38459</v>
      </c>
      <c r="Z2244">
        <v>0.20265661757730399</v>
      </c>
      <c r="AA2244">
        <v>100</v>
      </c>
    </row>
    <row r="2245" spans="1:27" x14ac:dyDescent="0.2">
      <c r="A2245">
        <v>30</v>
      </c>
      <c r="B2245">
        <v>2</v>
      </c>
      <c r="C2245">
        <v>0.4</v>
      </c>
      <c r="D2245">
        <v>20</v>
      </c>
      <c r="E2245">
        <v>0.114898251312008</v>
      </c>
      <c r="F2245">
        <v>2</v>
      </c>
      <c r="G2245">
        <v>26.867511792999998</v>
      </c>
      <c r="H2245">
        <v>0.105366930210259</v>
      </c>
      <c r="I2245">
        <v>2</v>
      </c>
      <c r="J2245">
        <v>0.17960791500000001</v>
      </c>
      <c r="P2245"/>
      <c r="V2245">
        <v>7.89778075360065E-2</v>
      </c>
      <c r="W2245">
        <v>2</v>
      </c>
      <c r="X2245">
        <v>75905.027406609006</v>
      </c>
      <c r="Y2245">
        <v>27638</v>
      </c>
      <c r="Z2245">
        <v>7.1379689394652797</v>
      </c>
      <c r="AA2245">
        <v>100</v>
      </c>
    </row>
    <row r="2246" spans="1:27" x14ac:dyDescent="0.2">
      <c r="A2246">
        <v>20</v>
      </c>
      <c r="B2246">
        <v>2</v>
      </c>
      <c r="C2246">
        <v>0.4</v>
      </c>
      <c r="D2246">
        <v>20</v>
      </c>
      <c r="E2246">
        <v>0.48179571786815401</v>
      </c>
      <c r="F2246">
        <v>2</v>
      </c>
      <c r="G2246">
        <v>28.408773003</v>
      </c>
      <c r="H2246">
        <v>0.29560907185192198</v>
      </c>
      <c r="I2246">
        <v>2</v>
      </c>
      <c r="J2246">
        <v>0.25191787300000001</v>
      </c>
      <c r="P2246"/>
      <c r="V2246">
        <v>0.26615676957122397</v>
      </c>
      <c r="W2246">
        <v>2</v>
      </c>
      <c r="X2246">
        <v>76144.550458052996</v>
      </c>
      <c r="Y2246">
        <v>4028</v>
      </c>
      <c r="Z2246">
        <v>2.0473356538295699</v>
      </c>
      <c r="AA2246">
        <v>100</v>
      </c>
    </row>
    <row r="2247" spans="1:27" x14ac:dyDescent="0.2">
      <c r="A2247">
        <v>30</v>
      </c>
      <c r="B2247">
        <v>2</v>
      </c>
      <c r="C2247">
        <v>0.1</v>
      </c>
      <c r="D2247">
        <v>20</v>
      </c>
      <c r="E2247">
        <v>0.86066563248032002</v>
      </c>
      <c r="F2247">
        <v>2</v>
      </c>
      <c r="G2247">
        <v>28.799463503999998</v>
      </c>
      <c r="H2247">
        <v>0.88608959214459304</v>
      </c>
      <c r="I2247">
        <v>2</v>
      </c>
      <c r="J2247">
        <v>1.261361636</v>
      </c>
      <c r="P2247"/>
      <c r="V2247">
        <v>0.88879856406115199</v>
      </c>
      <c r="W2247">
        <v>2</v>
      </c>
      <c r="X2247">
        <v>75902.092031071996</v>
      </c>
      <c r="Y2247">
        <v>17801</v>
      </c>
      <c r="Z2247">
        <v>0.31866313574196697</v>
      </c>
      <c r="AA2247">
        <v>100</v>
      </c>
    </row>
    <row r="2248" spans="1:27" x14ac:dyDescent="0.2">
      <c r="A2248">
        <v>20</v>
      </c>
      <c r="B2248">
        <v>2</v>
      </c>
      <c r="C2248">
        <v>0.3</v>
      </c>
      <c r="D2248">
        <v>20</v>
      </c>
      <c r="E2248">
        <v>0.35747070813068099</v>
      </c>
      <c r="F2248">
        <v>2</v>
      </c>
      <c r="G2248">
        <v>26.638740424000002</v>
      </c>
      <c r="H2248">
        <v>0.20723252133180101</v>
      </c>
      <c r="I2248">
        <v>2</v>
      </c>
      <c r="J2248">
        <v>0.28094514700000001</v>
      </c>
      <c r="P2248"/>
      <c r="V2248">
        <v>0.18013660041159801</v>
      </c>
      <c r="W2248">
        <v>2</v>
      </c>
      <c r="X2248">
        <v>76300.358491381994</v>
      </c>
      <c r="Y2248">
        <v>129976</v>
      </c>
      <c r="Z2248">
        <v>0.42972721620571902</v>
      </c>
      <c r="AA2248">
        <v>100</v>
      </c>
    </row>
    <row r="2249" spans="1:27" x14ac:dyDescent="0.2">
      <c r="A2249">
        <v>30</v>
      </c>
      <c r="B2249">
        <v>2</v>
      </c>
      <c r="C2249">
        <v>0.1</v>
      </c>
      <c r="D2249">
        <v>20</v>
      </c>
      <c r="E2249">
        <v>0.806541423987852</v>
      </c>
      <c r="F2249">
        <v>2</v>
      </c>
      <c r="G2249">
        <v>28.33766151</v>
      </c>
      <c r="H2249">
        <v>0.81294421994937904</v>
      </c>
      <c r="I2249">
        <v>2</v>
      </c>
      <c r="J2249">
        <v>1.2047336719999999</v>
      </c>
      <c r="P2249"/>
      <c r="V2249">
        <v>0.81389192804764299</v>
      </c>
      <c r="W2249">
        <v>2</v>
      </c>
      <c r="X2249">
        <v>76086.534639378995</v>
      </c>
      <c r="Y2249">
        <v>20942</v>
      </c>
      <c r="Z2249">
        <v>0.40659947244322803</v>
      </c>
      <c r="AA2249">
        <v>100</v>
      </c>
    </row>
    <row r="2250" spans="1:27" x14ac:dyDescent="0.2">
      <c r="A2250">
        <v>30</v>
      </c>
      <c r="B2250">
        <v>2</v>
      </c>
      <c r="C2250">
        <v>0.1</v>
      </c>
      <c r="D2250">
        <v>20</v>
      </c>
      <c r="E2250">
        <v>0.90358382385602498</v>
      </c>
      <c r="F2250">
        <v>2</v>
      </c>
      <c r="G2250">
        <v>28.904623385000001</v>
      </c>
      <c r="H2250">
        <v>0.81895885770726795</v>
      </c>
      <c r="I2250">
        <v>2</v>
      </c>
      <c r="J2250">
        <v>0.82378129200000005</v>
      </c>
      <c r="P2250"/>
      <c r="V2250">
        <v>0.82198008380290799</v>
      </c>
      <c r="W2250">
        <v>2</v>
      </c>
      <c r="X2250">
        <v>76125.216316457998</v>
      </c>
      <c r="Y2250">
        <v>26439</v>
      </c>
      <c r="Z2250">
        <v>0.25712072321107898</v>
      </c>
      <c r="AA2250">
        <v>100</v>
      </c>
    </row>
    <row r="2251" spans="1:27" x14ac:dyDescent="0.2">
      <c r="A2251">
        <v>30</v>
      </c>
      <c r="B2251">
        <v>2</v>
      </c>
      <c r="C2251">
        <v>0.1</v>
      </c>
      <c r="D2251">
        <v>20</v>
      </c>
      <c r="E2251">
        <v>0.86502141031386903</v>
      </c>
      <c r="F2251">
        <v>2</v>
      </c>
      <c r="G2251">
        <v>28.568866824000001</v>
      </c>
      <c r="H2251">
        <v>0.83802712499218202</v>
      </c>
      <c r="I2251">
        <v>2</v>
      </c>
      <c r="J2251">
        <v>1.2607594019999999</v>
      </c>
      <c r="P2251"/>
      <c r="V2251">
        <v>0.84058659986825202</v>
      </c>
      <c r="W2251">
        <v>2</v>
      </c>
      <c r="X2251">
        <v>76242.726804068006</v>
      </c>
      <c r="Y2251">
        <v>25102</v>
      </c>
      <c r="Z2251">
        <v>0.24816342201452801</v>
      </c>
      <c r="AA2251">
        <v>100</v>
      </c>
    </row>
    <row r="2252" spans="1:27" x14ac:dyDescent="0.2">
      <c r="A2252">
        <v>30</v>
      </c>
      <c r="B2252">
        <v>2</v>
      </c>
      <c r="C2252">
        <v>0.4</v>
      </c>
      <c r="D2252">
        <v>20</v>
      </c>
      <c r="E2252">
        <v>0.109946207049284</v>
      </c>
      <c r="F2252">
        <v>2</v>
      </c>
      <c r="G2252">
        <v>26.566952125</v>
      </c>
      <c r="H2252">
        <v>0.11239776295579899</v>
      </c>
      <c r="I2252">
        <v>2</v>
      </c>
      <c r="J2252">
        <v>0.27586476799999998</v>
      </c>
      <c r="P2252"/>
      <c r="V2252">
        <v>9.0965253673602003E-2</v>
      </c>
      <c r="W2252">
        <v>2</v>
      </c>
      <c r="X2252">
        <v>76404.516131030003</v>
      </c>
      <c r="Y2252">
        <v>77516</v>
      </c>
      <c r="Z2252">
        <v>6.9648216684014601</v>
      </c>
      <c r="AA2252">
        <v>100</v>
      </c>
    </row>
    <row r="2253" spans="1:27" x14ac:dyDescent="0.2">
      <c r="A2253">
        <v>20</v>
      </c>
      <c r="B2253">
        <v>2</v>
      </c>
      <c r="C2253">
        <v>0.4</v>
      </c>
      <c r="D2253">
        <v>20</v>
      </c>
      <c r="E2253">
        <v>8.9379929595787402E-2</v>
      </c>
      <c r="F2253">
        <v>2</v>
      </c>
      <c r="G2253">
        <v>27.716114366999999</v>
      </c>
      <c r="H2253">
        <v>8.7805672721436204E-2</v>
      </c>
      <c r="I2253">
        <v>2</v>
      </c>
      <c r="J2253">
        <v>0.104858109</v>
      </c>
      <c r="P2253"/>
      <c r="V2253">
        <v>5.8002157192132503E-2</v>
      </c>
      <c r="W2253">
        <v>2</v>
      </c>
      <c r="X2253">
        <v>76666.911801542999</v>
      </c>
      <c r="Y2253">
        <v>130071</v>
      </c>
      <c r="Z2253">
        <v>2.1641383279221</v>
      </c>
      <c r="AA2253">
        <v>100</v>
      </c>
    </row>
    <row r="2254" spans="1:27" x14ac:dyDescent="0.2">
      <c r="A2254">
        <v>30</v>
      </c>
      <c r="B2254">
        <v>2</v>
      </c>
      <c r="C2254">
        <v>0.1</v>
      </c>
      <c r="D2254">
        <v>20</v>
      </c>
      <c r="E2254">
        <v>0.92360633993271601</v>
      </c>
      <c r="F2254">
        <v>2</v>
      </c>
      <c r="G2254">
        <v>27.984926536</v>
      </c>
      <c r="H2254">
        <v>0.83511712334396604</v>
      </c>
      <c r="I2254">
        <v>2</v>
      </c>
      <c r="J2254">
        <v>0.90874714300000003</v>
      </c>
      <c r="P2254"/>
      <c r="V2254">
        <v>0.84147070778617805</v>
      </c>
      <c r="W2254">
        <v>2</v>
      </c>
      <c r="X2254">
        <v>76446.208156598994</v>
      </c>
      <c r="Y2254">
        <v>35515</v>
      </c>
      <c r="Z2254">
        <v>0.13378102748433801</v>
      </c>
      <c r="AA2254">
        <v>100</v>
      </c>
    </row>
    <row r="2255" spans="1:27" x14ac:dyDescent="0.2">
      <c r="A2255">
        <v>30</v>
      </c>
      <c r="B2255">
        <v>2</v>
      </c>
      <c r="C2255">
        <v>0.3</v>
      </c>
      <c r="D2255">
        <v>20</v>
      </c>
      <c r="E2255">
        <v>0.14601407197570501</v>
      </c>
      <c r="F2255">
        <v>2</v>
      </c>
      <c r="G2255">
        <v>29.157875811</v>
      </c>
      <c r="H2255">
        <v>0.15437078529354401</v>
      </c>
      <c r="I2255">
        <v>2</v>
      </c>
      <c r="J2255">
        <v>0.29488305599999998</v>
      </c>
      <c r="P2255"/>
      <c r="V2255">
        <v>0.121482363064701</v>
      </c>
      <c r="W2255">
        <v>2</v>
      </c>
      <c r="X2255">
        <v>76564.975839666993</v>
      </c>
      <c r="Y2255">
        <v>21915</v>
      </c>
      <c r="Z2255">
        <v>5.8583563190447299</v>
      </c>
      <c r="AA2255">
        <v>100</v>
      </c>
    </row>
    <row r="2256" spans="1:27" x14ac:dyDescent="0.2">
      <c r="A2256">
        <v>30</v>
      </c>
      <c r="B2256">
        <v>2</v>
      </c>
      <c r="C2256">
        <v>0.4</v>
      </c>
      <c r="D2256">
        <v>20</v>
      </c>
      <c r="E2256">
        <v>0.14006908122596901</v>
      </c>
      <c r="F2256">
        <v>2</v>
      </c>
      <c r="G2256">
        <v>28.705766579999999</v>
      </c>
      <c r="H2256">
        <v>0.100150009370874</v>
      </c>
      <c r="I2256">
        <v>2</v>
      </c>
      <c r="J2256">
        <v>0.25215628600000001</v>
      </c>
      <c r="P2256"/>
      <c r="V2256">
        <v>7.5568317220007897E-2</v>
      </c>
      <c r="W2256">
        <v>2</v>
      </c>
      <c r="X2256">
        <v>76750.872969667995</v>
      </c>
      <c r="Y2256">
        <v>39526</v>
      </c>
      <c r="Z2256">
        <v>9.4124631425674998</v>
      </c>
      <c r="AA2256">
        <v>100</v>
      </c>
    </row>
    <row r="2257" spans="1:27" x14ac:dyDescent="0.2">
      <c r="A2257">
        <v>30</v>
      </c>
      <c r="B2257">
        <v>2</v>
      </c>
      <c r="C2257">
        <v>0.3</v>
      </c>
      <c r="D2257">
        <v>20</v>
      </c>
      <c r="E2257">
        <v>0.115361301520569</v>
      </c>
      <c r="F2257">
        <v>2</v>
      </c>
      <c r="G2257">
        <v>28.433687076999998</v>
      </c>
      <c r="H2257">
        <v>8.8988258791575001E-2</v>
      </c>
      <c r="I2257">
        <v>2</v>
      </c>
      <c r="J2257">
        <v>0.24131587800000001</v>
      </c>
      <c r="P2257"/>
      <c r="V2257">
        <v>6.5739702043234705E-2</v>
      </c>
      <c r="W2257">
        <v>2</v>
      </c>
      <c r="X2257">
        <v>76753.113828078</v>
      </c>
      <c r="Y2257">
        <v>2786</v>
      </c>
      <c r="Z2257">
        <v>8.8590665788142307</v>
      </c>
      <c r="AA2257">
        <v>100</v>
      </c>
    </row>
    <row r="2258" spans="1:27" x14ac:dyDescent="0.2">
      <c r="A2258">
        <v>30</v>
      </c>
      <c r="B2258">
        <v>2</v>
      </c>
      <c r="C2258">
        <v>0.4</v>
      </c>
      <c r="D2258">
        <v>20</v>
      </c>
      <c r="E2258">
        <v>9.9206919223105997E-2</v>
      </c>
      <c r="F2258">
        <v>2</v>
      </c>
      <c r="G2258">
        <v>27.895464508</v>
      </c>
      <c r="H2258">
        <v>0.120600324292907</v>
      </c>
      <c r="I2258">
        <v>2</v>
      </c>
      <c r="J2258">
        <v>0.285019674</v>
      </c>
      <c r="P2258"/>
      <c r="V2258">
        <v>8.98238242027707E-2</v>
      </c>
      <c r="W2258">
        <v>2</v>
      </c>
      <c r="X2258">
        <v>76846.407563027999</v>
      </c>
      <c r="Y2258">
        <v>2407</v>
      </c>
      <c r="Z2258">
        <v>7.1454491160420703</v>
      </c>
      <c r="AA2258">
        <v>100</v>
      </c>
    </row>
    <row r="2259" spans="1:27" x14ac:dyDescent="0.2">
      <c r="A2259">
        <v>30</v>
      </c>
      <c r="B2259">
        <v>2</v>
      </c>
      <c r="C2259">
        <v>0.3</v>
      </c>
      <c r="D2259">
        <v>20</v>
      </c>
      <c r="E2259">
        <v>0.110918589263719</v>
      </c>
      <c r="F2259">
        <v>2</v>
      </c>
      <c r="G2259">
        <v>28.585763902</v>
      </c>
      <c r="H2259">
        <v>0.109716366725016</v>
      </c>
      <c r="I2259">
        <v>2</v>
      </c>
      <c r="J2259">
        <v>0.27124474199999998</v>
      </c>
      <c r="P2259"/>
      <c r="V2259">
        <v>9.3247476597939194E-2</v>
      </c>
      <c r="W2259">
        <v>2</v>
      </c>
      <c r="X2259">
        <v>76930.521179225005</v>
      </c>
      <c r="Y2259">
        <v>2754</v>
      </c>
      <c r="Z2259">
        <v>5.8529306436711801</v>
      </c>
      <c r="AA2259">
        <v>100</v>
      </c>
    </row>
    <row r="2260" spans="1:27" x14ac:dyDescent="0.2">
      <c r="A2260">
        <v>30</v>
      </c>
      <c r="B2260">
        <v>2</v>
      </c>
      <c r="C2260">
        <v>0.2</v>
      </c>
      <c r="D2260">
        <v>20</v>
      </c>
      <c r="E2260">
        <v>0.38096720110390703</v>
      </c>
      <c r="F2260">
        <v>2</v>
      </c>
      <c r="G2260">
        <v>28.773352599999999</v>
      </c>
      <c r="H2260">
        <v>0.30622066860934599</v>
      </c>
      <c r="I2260">
        <v>2</v>
      </c>
      <c r="J2260">
        <v>0.62556351399999999</v>
      </c>
      <c r="P2260"/>
      <c r="V2260">
        <v>0.29461180437392898</v>
      </c>
      <c r="W2260">
        <v>2</v>
      </c>
      <c r="X2260">
        <v>76942.593906210997</v>
      </c>
      <c r="Y2260">
        <v>2772</v>
      </c>
      <c r="Z2260">
        <v>2.4017860208016399</v>
      </c>
      <c r="AA2260">
        <v>100</v>
      </c>
    </row>
    <row r="2261" spans="1:27" x14ac:dyDescent="0.2">
      <c r="A2261">
        <v>30</v>
      </c>
      <c r="B2261">
        <v>2</v>
      </c>
      <c r="C2261">
        <v>0.3</v>
      </c>
      <c r="D2261">
        <v>20</v>
      </c>
      <c r="E2261">
        <v>8.0678997777038394E-2</v>
      </c>
      <c r="F2261">
        <v>2</v>
      </c>
      <c r="G2261">
        <v>28.864212374000001</v>
      </c>
      <c r="H2261">
        <v>9.77139363747387E-2</v>
      </c>
      <c r="I2261">
        <v>2</v>
      </c>
      <c r="J2261">
        <v>0.34862944299999998</v>
      </c>
      <c r="P2261"/>
      <c r="V2261">
        <v>7.8261611755361199E-2</v>
      </c>
      <c r="W2261">
        <v>2</v>
      </c>
      <c r="X2261">
        <v>77009.863722822003</v>
      </c>
      <c r="Y2261">
        <v>3126</v>
      </c>
      <c r="Z2261">
        <v>2.63063653082463</v>
      </c>
      <c r="AA2261">
        <v>100</v>
      </c>
    </row>
    <row r="2262" spans="1:27" x14ac:dyDescent="0.2">
      <c r="A2262">
        <v>30</v>
      </c>
      <c r="B2262">
        <v>2</v>
      </c>
      <c r="C2262">
        <v>0.4</v>
      </c>
      <c r="D2262">
        <v>20</v>
      </c>
      <c r="E2262">
        <v>7.6709608256537901E-2</v>
      </c>
      <c r="F2262">
        <v>2</v>
      </c>
      <c r="G2262">
        <v>28.210288168999998</v>
      </c>
      <c r="H2262">
        <v>9.3432446793993595E-2</v>
      </c>
      <c r="I2262">
        <v>2</v>
      </c>
      <c r="J2262">
        <v>0.21732489199999999</v>
      </c>
      <c r="P2262"/>
      <c r="V2262">
        <v>7.2150027335505601E-2</v>
      </c>
      <c r="W2262">
        <v>2</v>
      </c>
      <c r="X2262">
        <v>77059.069216206</v>
      </c>
      <c r="Y2262">
        <v>73713</v>
      </c>
      <c r="Z2262">
        <v>4.3645434147312496</v>
      </c>
      <c r="AA2262">
        <v>100</v>
      </c>
    </row>
    <row r="2263" spans="1:27" x14ac:dyDescent="0.2">
      <c r="A2263">
        <v>30</v>
      </c>
      <c r="B2263">
        <v>2</v>
      </c>
      <c r="C2263">
        <v>0.1</v>
      </c>
      <c r="D2263">
        <v>20</v>
      </c>
      <c r="E2263">
        <v>0.83959950318756504</v>
      </c>
      <c r="F2263">
        <v>2</v>
      </c>
      <c r="G2263">
        <v>28.998810579000001</v>
      </c>
      <c r="H2263">
        <v>1.00608949595884</v>
      </c>
      <c r="I2263">
        <v>2</v>
      </c>
      <c r="J2263">
        <v>1.2754583850000001</v>
      </c>
      <c r="P2263"/>
      <c r="V2263">
        <v>1.0120766022544301</v>
      </c>
      <c r="W2263">
        <v>2</v>
      </c>
      <c r="X2263">
        <v>77029.080632301004</v>
      </c>
      <c r="Y2263">
        <v>51782</v>
      </c>
      <c r="Z2263">
        <v>0.24814776743033301</v>
      </c>
      <c r="AA2263">
        <v>100</v>
      </c>
    </row>
    <row r="2264" spans="1:27" x14ac:dyDescent="0.2">
      <c r="A2264">
        <v>30</v>
      </c>
      <c r="B2264">
        <v>2</v>
      </c>
      <c r="C2264">
        <v>0.3</v>
      </c>
      <c r="D2264">
        <v>20</v>
      </c>
      <c r="E2264">
        <v>0.12751510488649401</v>
      </c>
      <c r="F2264">
        <v>2</v>
      </c>
      <c r="G2264">
        <v>29.096834473000001</v>
      </c>
      <c r="H2264">
        <v>0.102279795894974</v>
      </c>
      <c r="I2264">
        <v>2</v>
      </c>
      <c r="J2264">
        <v>0.37215551899999999</v>
      </c>
      <c r="P2264"/>
      <c r="V2264">
        <v>7.6841257517795206E-2</v>
      </c>
      <c r="W2264">
        <v>2</v>
      </c>
      <c r="X2264">
        <v>77054.806079343994</v>
      </c>
      <c r="Y2264">
        <v>2545</v>
      </c>
      <c r="Z2264">
        <v>4.7167452606972802</v>
      </c>
      <c r="AA2264">
        <v>100</v>
      </c>
    </row>
    <row r="2265" spans="1:27" x14ac:dyDescent="0.2">
      <c r="A2265">
        <v>30</v>
      </c>
      <c r="B2265">
        <v>2</v>
      </c>
      <c r="C2265">
        <v>0.4</v>
      </c>
      <c r="D2265">
        <v>20</v>
      </c>
      <c r="E2265">
        <v>0.173816351472206</v>
      </c>
      <c r="F2265">
        <v>2</v>
      </c>
      <c r="G2265">
        <v>26.616352978999998</v>
      </c>
      <c r="H2265">
        <v>0.130088710977629</v>
      </c>
      <c r="I2265">
        <v>2</v>
      </c>
      <c r="J2265">
        <v>0.23492934700000001</v>
      </c>
      <c r="P2265"/>
      <c r="V2265">
        <v>0.101196661716277</v>
      </c>
      <c r="W2265">
        <v>2</v>
      </c>
      <c r="X2265">
        <v>77129.454479103995</v>
      </c>
      <c r="Y2265">
        <v>2495</v>
      </c>
      <c r="Z2265">
        <v>6.1830184934231696</v>
      </c>
      <c r="AA2265">
        <v>100</v>
      </c>
    </row>
    <row r="2266" spans="1:27" x14ac:dyDescent="0.2">
      <c r="A2266">
        <v>30</v>
      </c>
      <c r="B2266">
        <v>2</v>
      </c>
      <c r="C2266">
        <v>0.1</v>
      </c>
      <c r="D2266">
        <v>20</v>
      </c>
      <c r="E2266">
        <v>0.92284159448976699</v>
      </c>
      <c r="F2266">
        <v>2</v>
      </c>
      <c r="G2266">
        <v>28.504232984000001</v>
      </c>
      <c r="H2266">
        <v>1.05215563902382</v>
      </c>
      <c r="I2266">
        <v>2</v>
      </c>
      <c r="J2266">
        <v>1.252964983</v>
      </c>
      <c r="P2266"/>
      <c r="V2266">
        <v>1.0595749335509901</v>
      </c>
      <c r="W2266">
        <v>2</v>
      </c>
      <c r="X2266">
        <v>77104.948740231994</v>
      </c>
      <c r="Y2266">
        <v>38626</v>
      </c>
      <c r="Z2266">
        <v>0.28553886196293599</v>
      </c>
      <c r="AA2266">
        <v>100</v>
      </c>
    </row>
    <row r="2267" spans="1:27" x14ac:dyDescent="0.2">
      <c r="A2267">
        <v>30</v>
      </c>
      <c r="B2267">
        <v>2</v>
      </c>
      <c r="C2267">
        <v>0.3</v>
      </c>
      <c r="D2267">
        <v>20</v>
      </c>
      <c r="E2267">
        <v>0.20893333058289801</v>
      </c>
      <c r="F2267">
        <v>2</v>
      </c>
      <c r="G2267">
        <v>27.909799217</v>
      </c>
      <c r="H2267">
        <v>0.18624063922183001</v>
      </c>
      <c r="I2267">
        <v>2</v>
      </c>
      <c r="J2267">
        <v>0.33792731399999998</v>
      </c>
      <c r="P2267"/>
      <c r="V2267">
        <v>0.17224035052474401</v>
      </c>
      <c r="W2267">
        <v>2</v>
      </c>
      <c r="X2267">
        <v>77213.976128255003</v>
      </c>
      <c r="Y2267">
        <v>25364</v>
      </c>
      <c r="Z2267">
        <v>4.7430945004471097</v>
      </c>
      <c r="AA2267">
        <v>100</v>
      </c>
    </row>
    <row r="2268" spans="1:27" x14ac:dyDescent="0.2">
      <c r="A2268">
        <v>20</v>
      </c>
      <c r="B2268">
        <v>2</v>
      </c>
      <c r="C2268">
        <v>0.4</v>
      </c>
      <c r="D2268">
        <v>20</v>
      </c>
      <c r="E2268">
        <v>8.11320739918511E-2</v>
      </c>
      <c r="F2268">
        <v>2</v>
      </c>
      <c r="G2268">
        <v>28.853416238000001</v>
      </c>
      <c r="H2268">
        <v>9.7556626355084997E-2</v>
      </c>
      <c r="I2268">
        <v>2</v>
      </c>
      <c r="J2268">
        <v>0.17272781200000001</v>
      </c>
      <c r="P2268"/>
      <c r="V2268">
        <v>7.8183790245096502E-2</v>
      </c>
      <c r="W2268">
        <v>2</v>
      </c>
      <c r="X2268">
        <v>77508.733915428005</v>
      </c>
      <c r="Y2268">
        <v>153058</v>
      </c>
      <c r="Z2268">
        <v>0.832121264602245</v>
      </c>
      <c r="AA2268">
        <v>100</v>
      </c>
    </row>
    <row r="2269" spans="1:27" x14ac:dyDescent="0.2">
      <c r="A2269">
        <v>30</v>
      </c>
      <c r="B2269">
        <v>2</v>
      </c>
      <c r="C2269">
        <v>0.2</v>
      </c>
      <c r="D2269">
        <v>20</v>
      </c>
      <c r="E2269">
        <v>0.37735314895286698</v>
      </c>
      <c r="F2269">
        <v>2</v>
      </c>
      <c r="G2269">
        <v>28.431715140000001</v>
      </c>
      <c r="H2269">
        <v>0.24048159167519101</v>
      </c>
      <c r="I2269">
        <v>2</v>
      </c>
      <c r="J2269">
        <v>0.30639565899999999</v>
      </c>
      <c r="P2269"/>
      <c r="V2269">
        <v>0.21620957362190499</v>
      </c>
      <c r="W2269">
        <v>2</v>
      </c>
      <c r="X2269">
        <v>77298.685017751995</v>
      </c>
      <c r="Y2269">
        <v>3770</v>
      </c>
      <c r="Z2269">
        <v>1.4710933615642601</v>
      </c>
      <c r="AA2269">
        <v>100</v>
      </c>
    </row>
    <row r="2270" spans="1:27" x14ac:dyDescent="0.2">
      <c r="A2270">
        <v>30</v>
      </c>
      <c r="B2270">
        <v>2</v>
      </c>
      <c r="C2270">
        <v>0.1</v>
      </c>
      <c r="D2270">
        <v>20</v>
      </c>
      <c r="E2270">
        <v>0.93322392865647097</v>
      </c>
      <c r="F2270">
        <v>2</v>
      </c>
      <c r="G2270">
        <v>28.768153808000001</v>
      </c>
      <c r="H2270">
        <v>0.991260730790958</v>
      </c>
      <c r="I2270">
        <v>2</v>
      </c>
      <c r="J2270">
        <v>0.90072200499999999</v>
      </c>
      <c r="P2270"/>
      <c r="V2270">
        <v>0.997661686396345</v>
      </c>
      <c r="W2270">
        <v>2</v>
      </c>
      <c r="X2270">
        <v>77316.988985121003</v>
      </c>
      <c r="Y2270">
        <v>37728</v>
      </c>
      <c r="Z2270">
        <v>0.23358418018267299</v>
      </c>
      <c r="AA2270">
        <v>100</v>
      </c>
    </row>
    <row r="2271" spans="1:27" x14ac:dyDescent="0.2">
      <c r="A2271">
        <v>30</v>
      </c>
      <c r="B2271">
        <v>2</v>
      </c>
      <c r="C2271">
        <v>0.2</v>
      </c>
      <c r="D2271">
        <v>20</v>
      </c>
      <c r="E2271">
        <v>0.42061473067989802</v>
      </c>
      <c r="F2271">
        <v>2</v>
      </c>
      <c r="G2271">
        <v>28.428133093</v>
      </c>
      <c r="H2271">
        <v>0.33292713773723398</v>
      </c>
      <c r="I2271">
        <v>2</v>
      </c>
      <c r="J2271">
        <v>0.47180757899999998</v>
      </c>
      <c r="P2271"/>
      <c r="V2271">
        <v>0.31449612743655397</v>
      </c>
      <c r="W2271">
        <v>2</v>
      </c>
      <c r="X2271">
        <v>77369.203146394997</v>
      </c>
      <c r="Y2271">
        <v>70486</v>
      </c>
      <c r="Z2271">
        <v>2.6946982657966898</v>
      </c>
      <c r="AA2271">
        <v>100</v>
      </c>
    </row>
    <row r="2272" spans="1:27" x14ac:dyDescent="0.2">
      <c r="A2272">
        <v>30</v>
      </c>
      <c r="B2272">
        <v>2</v>
      </c>
      <c r="C2272">
        <v>0.1</v>
      </c>
      <c r="D2272">
        <v>20</v>
      </c>
      <c r="E2272">
        <v>1.1344135978524601</v>
      </c>
      <c r="F2272">
        <v>2</v>
      </c>
      <c r="G2272">
        <v>32.224834461</v>
      </c>
      <c r="H2272">
        <v>1.12798849807349</v>
      </c>
      <c r="I2272">
        <v>2</v>
      </c>
      <c r="J2272">
        <v>1.3684485159999999</v>
      </c>
      <c r="P2272"/>
      <c r="V2272">
        <v>1.13412549276332</v>
      </c>
      <c r="W2272">
        <v>2</v>
      </c>
      <c r="X2272">
        <v>76000.814181195994</v>
      </c>
      <c r="Y2272">
        <v>41708</v>
      </c>
      <c r="Z2272">
        <v>0.134092335538087</v>
      </c>
      <c r="AA2272">
        <v>100</v>
      </c>
    </row>
    <row r="2273" spans="1:27" x14ac:dyDescent="0.2">
      <c r="A2273">
        <v>20</v>
      </c>
      <c r="B2273">
        <v>2</v>
      </c>
      <c r="C2273">
        <v>0.4</v>
      </c>
      <c r="D2273">
        <v>20</v>
      </c>
      <c r="E2273">
        <v>8.5707343866829794E-2</v>
      </c>
      <c r="F2273">
        <v>2</v>
      </c>
      <c r="G2273">
        <v>27.737868638999998</v>
      </c>
      <c r="H2273">
        <v>8.8614362308419403E-2</v>
      </c>
      <c r="I2273">
        <v>2</v>
      </c>
      <c r="J2273">
        <v>0.20544541199999999</v>
      </c>
      <c r="P2273"/>
      <c r="V2273">
        <v>6.5400114545571694E-2</v>
      </c>
      <c r="W2273">
        <v>2</v>
      </c>
      <c r="X2273">
        <v>77574.504688026005</v>
      </c>
      <c r="Y2273">
        <v>102523</v>
      </c>
      <c r="Z2273">
        <v>1.44436794480498</v>
      </c>
      <c r="AA2273">
        <v>100</v>
      </c>
    </row>
    <row r="2274" spans="1:27" x14ac:dyDescent="0.2">
      <c r="A2274">
        <v>30</v>
      </c>
      <c r="B2274">
        <v>2</v>
      </c>
      <c r="C2274">
        <v>0.2</v>
      </c>
      <c r="D2274">
        <v>20</v>
      </c>
      <c r="E2274">
        <v>0.33678239635540902</v>
      </c>
      <c r="F2274">
        <v>2</v>
      </c>
      <c r="G2274">
        <v>28.150789433</v>
      </c>
      <c r="H2274">
        <v>0.28064282012750302</v>
      </c>
      <c r="I2274">
        <v>2</v>
      </c>
      <c r="J2274">
        <v>0.933189826</v>
      </c>
      <c r="P2274"/>
      <c r="V2274">
        <v>0.25695836124701399</v>
      </c>
      <c r="W2274">
        <v>2</v>
      </c>
      <c r="X2274">
        <v>77369.673382851994</v>
      </c>
      <c r="Y2274">
        <v>2951</v>
      </c>
      <c r="Z2274">
        <v>2.1113248712349302</v>
      </c>
      <c r="AA2274">
        <v>100</v>
      </c>
    </row>
    <row r="2275" spans="1:27" x14ac:dyDescent="0.2">
      <c r="A2275">
        <v>30</v>
      </c>
      <c r="B2275">
        <v>2</v>
      </c>
      <c r="C2275">
        <v>0.3</v>
      </c>
      <c r="D2275">
        <v>20</v>
      </c>
      <c r="E2275">
        <v>0.22423020885199499</v>
      </c>
      <c r="F2275">
        <v>2</v>
      </c>
      <c r="G2275">
        <v>29.144083565999999</v>
      </c>
      <c r="H2275">
        <v>0.15937591624049299</v>
      </c>
      <c r="I2275">
        <v>2</v>
      </c>
      <c r="J2275">
        <v>0.39634512300000002</v>
      </c>
      <c r="P2275"/>
      <c r="V2275">
        <v>0.137263476216404</v>
      </c>
      <c r="W2275">
        <v>2</v>
      </c>
      <c r="X2275">
        <v>77588.582202088</v>
      </c>
      <c r="Y2275">
        <v>2972</v>
      </c>
      <c r="Z2275">
        <v>6.1278878834827299</v>
      </c>
      <c r="AA2275">
        <v>100</v>
      </c>
    </row>
    <row r="2276" spans="1:27" x14ac:dyDescent="0.2">
      <c r="A2276">
        <v>30</v>
      </c>
      <c r="B2276">
        <v>2</v>
      </c>
      <c r="C2276">
        <v>0.2</v>
      </c>
      <c r="D2276">
        <v>20</v>
      </c>
      <c r="E2276">
        <v>0.37938507154724399</v>
      </c>
      <c r="F2276">
        <v>2</v>
      </c>
      <c r="G2276">
        <v>27.918359829</v>
      </c>
      <c r="H2276">
        <v>0.28356712604446299</v>
      </c>
      <c r="I2276">
        <v>2</v>
      </c>
      <c r="J2276">
        <v>0.52783059300000001</v>
      </c>
      <c r="P2276"/>
      <c r="V2276">
        <v>0.26058483029114798</v>
      </c>
      <c r="W2276">
        <v>2</v>
      </c>
      <c r="X2276">
        <v>77783.036777899993</v>
      </c>
      <c r="Y2276">
        <v>70426</v>
      </c>
      <c r="Z2276">
        <v>2.5024292108343702</v>
      </c>
      <c r="AA2276">
        <v>100</v>
      </c>
    </row>
    <row r="2277" spans="1:27" x14ac:dyDescent="0.2">
      <c r="A2277">
        <v>30</v>
      </c>
      <c r="B2277">
        <v>2</v>
      </c>
      <c r="C2277">
        <v>0.1</v>
      </c>
      <c r="D2277">
        <v>20</v>
      </c>
      <c r="E2277">
        <v>0.96489985237213804</v>
      </c>
      <c r="F2277">
        <v>2</v>
      </c>
      <c r="G2277">
        <v>28.532144329000001</v>
      </c>
      <c r="H2277">
        <v>0.93435397176029</v>
      </c>
      <c r="I2277">
        <v>2</v>
      </c>
      <c r="J2277">
        <v>1.264364772</v>
      </c>
      <c r="P2277"/>
      <c r="V2277">
        <v>0.93812467725531201</v>
      </c>
      <c r="W2277">
        <v>2</v>
      </c>
      <c r="X2277">
        <v>77765.911147174003</v>
      </c>
      <c r="Y2277">
        <v>32125</v>
      </c>
      <c r="Z2277">
        <v>0.23577784219113701</v>
      </c>
      <c r="AA2277">
        <v>100</v>
      </c>
    </row>
    <row r="2278" spans="1:27" x14ac:dyDescent="0.2">
      <c r="A2278">
        <v>30</v>
      </c>
      <c r="B2278">
        <v>2</v>
      </c>
      <c r="C2278">
        <v>0.2</v>
      </c>
      <c r="D2278">
        <v>20</v>
      </c>
      <c r="E2278">
        <v>0.326381759693253</v>
      </c>
      <c r="F2278">
        <v>2</v>
      </c>
      <c r="G2278">
        <v>28.585482699</v>
      </c>
      <c r="H2278">
        <v>0.19337503466162401</v>
      </c>
      <c r="I2278">
        <v>2</v>
      </c>
      <c r="J2278">
        <v>0.46086738700000002</v>
      </c>
      <c r="P2278"/>
      <c r="V2278">
        <v>0.175590579865159</v>
      </c>
      <c r="W2278">
        <v>2</v>
      </c>
      <c r="X2278">
        <v>78221.004865277995</v>
      </c>
      <c r="Y2278">
        <v>3836</v>
      </c>
      <c r="Z2278">
        <v>2.5085786547315299</v>
      </c>
      <c r="AA2278">
        <v>100</v>
      </c>
    </row>
    <row r="2279" spans="1:27" x14ac:dyDescent="0.2">
      <c r="A2279">
        <v>30</v>
      </c>
      <c r="B2279">
        <v>2</v>
      </c>
      <c r="C2279">
        <v>0.3</v>
      </c>
      <c r="D2279">
        <v>20</v>
      </c>
      <c r="E2279">
        <v>0.133646737811179</v>
      </c>
      <c r="F2279">
        <v>2</v>
      </c>
      <c r="G2279">
        <v>28.119822114000002</v>
      </c>
      <c r="H2279">
        <v>0.107930445840567</v>
      </c>
      <c r="I2279">
        <v>2</v>
      </c>
      <c r="J2279">
        <v>0.13154576600000001</v>
      </c>
      <c r="P2279"/>
      <c r="V2279">
        <v>8.4007579935716697E-2</v>
      </c>
      <c r="W2279">
        <v>2</v>
      </c>
      <c r="X2279">
        <v>78291.405285945002</v>
      </c>
      <c r="Y2279">
        <v>3147</v>
      </c>
      <c r="Z2279">
        <v>3.14980450738403</v>
      </c>
      <c r="AA2279">
        <v>100</v>
      </c>
    </row>
    <row r="2280" spans="1:27" x14ac:dyDescent="0.2">
      <c r="A2280">
        <v>30</v>
      </c>
      <c r="B2280">
        <v>2</v>
      </c>
      <c r="C2280">
        <v>0.4</v>
      </c>
      <c r="D2280">
        <v>20</v>
      </c>
      <c r="E2280">
        <v>0.143709749730528</v>
      </c>
      <c r="F2280">
        <v>2</v>
      </c>
      <c r="G2280">
        <v>26.592007961</v>
      </c>
      <c r="H2280">
        <v>0.118185251942956</v>
      </c>
      <c r="I2280">
        <v>2</v>
      </c>
      <c r="J2280">
        <v>0.25807856699999998</v>
      </c>
      <c r="P2280"/>
      <c r="V2280">
        <v>9.4355408008312505E-2</v>
      </c>
      <c r="W2280">
        <v>2</v>
      </c>
      <c r="X2280">
        <v>78362.902089691997</v>
      </c>
      <c r="Y2280">
        <v>2402</v>
      </c>
      <c r="Z2280">
        <v>5.4205518543440103</v>
      </c>
      <c r="AA2280">
        <v>100</v>
      </c>
    </row>
    <row r="2281" spans="1:27" x14ac:dyDescent="0.2">
      <c r="A2281">
        <v>30</v>
      </c>
      <c r="B2281">
        <v>2</v>
      </c>
      <c r="C2281">
        <v>0.4</v>
      </c>
      <c r="D2281">
        <v>20</v>
      </c>
      <c r="E2281">
        <v>0.107635834740649</v>
      </c>
      <c r="F2281">
        <v>2</v>
      </c>
      <c r="G2281">
        <v>27.831671313000001</v>
      </c>
      <c r="H2281">
        <v>0.11939175022039999</v>
      </c>
      <c r="I2281">
        <v>2</v>
      </c>
      <c r="J2281">
        <v>0.198624734</v>
      </c>
      <c r="P2281"/>
      <c r="V2281">
        <v>8.55182681302432E-2</v>
      </c>
      <c r="W2281">
        <v>2</v>
      </c>
      <c r="X2281">
        <v>78580.176843078996</v>
      </c>
      <c r="Y2281">
        <v>2964</v>
      </c>
      <c r="Z2281">
        <v>5.2281887755852896</v>
      </c>
      <c r="AA2281">
        <v>100</v>
      </c>
    </row>
    <row r="2282" spans="1:27" x14ac:dyDescent="0.2">
      <c r="A2282">
        <v>30</v>
      </c>
      <c r="B2282">
        <v>2</v>
      </c>
      <c r="C2282">
        <v>0.4</v>
      </c>
      <c r="D2282">
        <v>20</v>
      </c>
      <c r="E2282">
        <v>5.9490401438041601E-2</v>
      </c>
      <c r="F2282">
        <v>2</v>
      </c>
      <c r="G2282">
        <v>28.857498072999999</v>
      </c>
      <c r="H2282">
        <v>9.2534178751987495E-2</v>
      </c>
      <c r="I2282">
        <v>2</v>
      </c>
      <c r="J2282">
        <v>0.30391517499999998</v>
      </c>
      <c r="P2282"/>
      <c r="V2282">
        <v>7.2166808802011997E-2</v>
      </c>
      <c r="W2282">
        <v>2</v>
      </c>
      <c r="X2282">
        <v>78592.029683176996</v>
      </c>
      <c r="Y2282">
        <v>2398</v>
      </c>
      <c r="Z2282">
        <v>8.6729174760421301</v>
      </c>
      <c r="AA2282">
        <v>100</v>
      </c>
    </row>
    <row r="2283" spans="1:27" x14ac:dyDescent="0.2">
      <c r="A2283">
        <v>30</v>
      </c>
      <c r="B2283">
        <v>2</v>
      </c>
      <c r="C2283">
        <v>0.4</v>
      </c>
      <c r="D2283">
        <v>20</v>
      </c>
      <c r="E2283">
        <v>0.145883132333852</v>
      </c>
      <c r="F2283">
        <v>2</v>
      </c>
      <c r="G2283">
        <v>28.883968615000001</v>
      </c>
      <c r="H2283">
        <v>0.13989912594655701</v>
      </c>
      <c r="I2283">
        <v>2</v>
      </c>
      <c r="J2283">
        <v>0.33121055599999999</v>
      </c>
      <c r="P2283"/>
      <c r="V2283">
        <v>0.11613315416919601</v>
      </c>
      <c r="W2283">
        <v>2</v>
      </c>
      <c r="X2283">
        <v>78620.242660125004</v>
      </c>
      <c r="Y2283">
        <v>2858</v>
      </c>
      <c r="Z2283">
        <v>4.5875302455206102</v>
      </c>
      <c r="AA2283">
        <v>100</v>
      </c>
    </row>
    <row r="2284" spans="1:27" x14ac:dyDescent="0.2">
      <c r="A2284">
        <v>30</v>
      </c>
      <c r="B2284">
        <v>2</v>
      </c>
      <c r="C2284">
        <v>0.4</v>
      </c>
      <c r="D2284">
        <v>20</v>
      </c>
      <c r="E2284">
        <v>0.148921940760991</v>
      </c>
      <c r="F2284">
        <v>2</v>
      </c>
      <c r="G2284">
        <v>30.745224775000001</v>
      </c>
      <c r="H2284">
        <v>0.152292924805181</v>
      </c>
      <c r="I2284">
        <v>2</v>
      </c>
      <c r="J2284">
        <v>0.24037735900000001</v>
      </c>
      <c r="P2284"/>
      <c r="V2284">
        <v>0.13028569832679701</v>
      </c>
      <c r="W2284">
        <v>2</v>
      </c>
      <c r="X2284">
        <v>78673.331167248994</v>
      </c>
      <c r="Y2284">
        <v>2432</v>
      </c>
      <c r="Z2284">
        <v>3.8876821274698101</v>
      </c>
      <c r="AA2284">
        <v>100</v>
      </c>
    </row>
    <row r="2285" spans="1:27" x14ac:dyDescent="0.2">
      <c r="A2285">
        <v>20</v>
      </c>
      <c r="B2285">
        <v>2</v>
      </c>
      <c r="C2285">
        <v>0.3</v>
      </c>
      <c r="D2285">
        <v>20</v>
      </c>
      <c r="E2285">
        <v>0.36126028053034798</v>
      </c>
      <c r="F2285">
        <v>2</v>
      </c>
      <c r="G2285">
        <v>28.482289186999999</v>
      </c>
      <c r="H2285">
        <v>0.32954027721380602</v>
      </c>
      <c r="I2285">
        <v>2</v>
      </c>
      <c r="J2285">
        <v>0.255098669</v>
      </c>
      <c r="P2285"/>
      <c r="V2285">
        <v>0.30740290670406101</v>
      </c>
      <c r="W2285">
        <v>2</v>
      </c>
      <c r="X2285">
        <v>78866.143156684004</v>
      </c>
      <c r="Y2285">
        <v>46972</v>
      </c>
      <c r="Z2285">
        <v>0.65914494008709101</v>
      </c>
      <c r="AA2285">
        <v>100</v>
      </c>
    </row>
    <row r="2286" spans="1:27" x14ac:dyDescent="0.2">
      <c r="A2286">
        <v>30</v>
      </c>
      <c r="B2286">
        <v>2</v>
      </c>
      <c r="C2286">
        <v>0.4</v>
      </c>
      <c r="D2286">
        <v>20</v>
      </c>
      <c r="E2286">
        <v>0.15131109378708499</v>
      </c>
      <c r="F2286">
        <v>2</v>
      </c>
      <c r="G2286">
        <v>26.085126372000001</v>
      </c>
      <c r="H2286">
        <v>0.106471167428008</v>
      </c>
      <c r="I2286">
        <v>2</v>
      </c>
      <c r="J2286">
        <v>0.21693290100000001</v>
      </c>
      <c r="P2286"/>
      <c r="V2286">
        <v>9.2155515842661698E-2</v>
      </c>
      <c r="W2286">
        <v>2</v>
      </c>
      <c r="X2286">
        <v>78633.301931512993</v>
      </c>
      <c r="Y2286">
        <v>2404</v>
      </c>
      <c r="Z2286">
        <v>3.7900920690553899</v>
      </c>
      <c r="AA2286">
        <v>100</v>
      </c>
    </row>
    <row r="2287" spans="1:27" x14ac:dyDescent="0.2">
      <c r="A2287">
        <v>30</v>
      </c>
      <c r="B2287">
        <v>2</v>
      </c>
      <c r="C2287">
        <v>0.3</v>
      </c>
      <c r="D2287">
        <v>20</v>
      </c>
      <c r="E2287">
        <v>0.27159684124677003</v>
      </c>
      <c r="F2287">
        <v>2</v>
      </c>
      <c r="G2287">
        <v>26.961254871000001</v>
      </c>
      <c r="H2287">
        <v>0.24649566726140501</v>
      </c>
      <c r="I2287">
        <v>2</v>
      </c>
      <c r="J2287">
        <v>0.26817120700000002</v>
      </c>
      <c r="P2287"/>
      <c r="V2287">
        <v>0.23184806747703801</v>
      </c>
      <c r="W2287">
        <v>2</v>
      </c>
      <c r="X2287">
        <v>78694.994493181002</v>
      </c>
      <c r="Y2287">
        <v>2394</v>
      </c>
      <c r="Z2287">
        <v>3.9209714496500898</v>
      </c>
      <c r="AA2287">
        <v>100</v>
      </c>
    </row>
    <row r="2288" spans="1:27" x14ac:dyDescent="0.2">
      <c r="A2288">
        <v>30</v>
      </c>
      <c r="B2288">
        <v>2</v>
      </c>
      <c r="C2288">
        <v>0.3</v>
      </c>
      <c r="D2288">
        <v>20</v>
      </c>
      <c r="E2288">
        <v>0.24500659306602501</v>
      </c>
      <c r="F2288">
        <v>2</v>
      </c>
      <c r="G2288">
        <v>28.777634176999999</v>
      </c>
      <c r="H2288">
        <v>0.18117122183790099</v>
      </c>
      <c r="I2288">
        <v>2</v>
      </c>
      <c r="J2288">
        <v>0.476166115</v>
      </c>
      <c r="P2288"/>
      <c r="V2288">
        <v>0.163115076035699</v>
      </c>
      <c r="W2288">
        <v>2</v>
      </c>
      <c r="X2288">
        <v>78707.592491956006</v>
      </c>
      <c r="Y2288">
        <v>2441</v>
      </c>
      <c r="Z2288">
        <v>2.8601704363318201</v>
      </c>
      <c r="AA2288">
        <v>100</v>
      </c>
    </row>
    <row r="2289" spans="1:27" x14ac:dyDescent="0.2">
      <c r="A2289">
        <v>30</v>
      </c>
      <c r="B2289">
        <v>2</v>
      </c>
      <c r="C2289">
        <v>0.3</v>
      </c>
      <c r="D2289">
        <v>20</v>
      </c>
      <c r="E2289">
        <v>0.159187630833176</v>
      </c>
      <c r="F2289">
        <v>2</v>
      </c>
      <c r="G2289">
        <v>29.978707914000001</v>
      </c>
      <c r="H2289">
        <v>0.155062929841216</v>
      </c>
      <c r="I2289">
        <v>2</v>
      </c>
      <c r="J2289">
        <v>0.243259696</v>
      </c>
      <c r="P2289"/>
      <c r="V2289">
        <v>0.12805893890685499</v>
      </c>
      <c r="W2289">
        <v>2</v>
      </c>
      <c r="X2289">
        <v>75291.504767017002</v>
      </c>
      <c r="Y2289">
        <v>26446</v>
      </c>
      <c r="Z2289">
        <v>4.2965983958498004</v>
      </c>
      <c r="AA2289">
        <v>100</v>
      </c>
    </row>
    <row r="2290" spans="1:27" x14ac:dyDescent="0.2">
      <c r="A2290">
        <v>30</v>
      </c>
      <c r="B2290">
        <v>2</v>
      </c>
      <c r="C2290">
        <v>0.4</v>
      </c>
      <c r="D2290">
        <v>20</v>
      </c>
      <c r="E2290">
        <v>5.3869307122137902E-2</v>
      </c>
      <c r="F2290">
        <v>2</v>
      </c>
      <c r="G2290">
        <v>27.942529972999999</v>
      </c>
      <c r="H2290">
        <v>7.5446929677421795E-2</v>
      </c>
      <c r="I2290">
        <v>2</v>
      </c>
      <c r="J2290">
        <v>0.26135868400000001</v>
      </c>
      <c r="P2290"/>
      <c r="V2290">
        <v>5.6258313469153699E-2</v>
      </c>
      <c r="W2290">
        <v>2</v>
      </c>
      <c r="X2290">
        <v>78779.788156406998</v>
      </c>
      <c r="Y2290">
        <v>2408</v>
      </c>
      <c r="Z2290">
        <v>10.1239425469502</v>
      </c>
      <c r="AA2290">
        <v>100</v>
      </c>
    </row>
    <row r="2291" spans="1:27" x14ac:dyDescent="0.2">
      <c r="A2291">
        <v>30</v>
      </c>
      <c r="B2291">
        <v>2</v>
      </c>
      <c r="C2291">
        <v>0.4</v>
      </c>
      <c r="D2291">
        <v>20</v>
      </c>
      <c r="E2291">
        <v>0.147395064401589</v>
      </c>
      <c r="F2291">
        <v>2</v>
      </c>
      <c r="G2291">
        <v>30.082996869999999</v>
      </c>
      <c r="H2291">
        <v>0.124378291097166</v>
      </c>
      <c r="I2291">
        <v>2</v>
      </c>
      <c r="J2291">
        <v>0.22076427400000001</v>
      </c>
      <c r="P2291"/>
      <c r="V2291">
        <v>0.101405144611216</v>
      </c>
      <c r="W2291">
        <v>2</v>
      </c>
      <c r="X2291">
        <v>78801.385390836993</v>
      </c>
      <c r="Y2291">
        <v>2827</v>
      </c>
      <c r="Z2291">
        <v>4.5348637512397501</v>
      </c>
      <c r="AA2291">
        <v>100</v>
      </c>
    </row>
    <row r="2292" spans="1:27" x14ac:dyDescent="0.2">
      <c r="A2292">
        <v>30</v>
      </c>
      <c r="B2292">
        <v>2</v>
      </c>
      <c r="C2292">
        <v>0.2</v>
      </c>
      <c r="D2292">
        <v>20</v>
      </c>
      <c r="E2292">
        <v>0.349455773684542</v>
      </c>
      <c r="F2292">
        <v>2</v>
      </c>
      <c r="G2292">
        <v>28.764710697000002</v>
      </c>
      <c r="H2292">
        <v>0.252691465620834</v>
      </c>
      <c r="I2292">
        <v>2</v>
      </c>
      <c r="J2292">
        <v>0.40588719200000001</v>
      </c>
      <c r="P2292"/>
      <c r="V2292">
        <v>0.22788108385634701</v>
      </c>
      <c r="W2292">
        <v>2</v>
      </c>
      <c r="X2292">
        <v>78819.460790490004</v>
      </c>
      <c r="Y2292">
        <v>2453</v>
      </c>
      <c r="Z2292">
        <v>3.8950960318779799</v>
      </c>
      <c r="AA2292">
        <v>100</v>
      </c>
    </row>
    <row r="2293" spans="1:27" x14ac:dyDescent="0.2">
      <c r="A2293">
        <v>30</v>
      </c>
      <c r="B2293">
        <v>2</v>
      </c>
      <c r="C2293">
        <v>0.3</v>
      </c>
      <c r="D2293">
        <v>20</v>
      </c>
      <c r="E2293">
        <v>0.25179811381010098</v>
      </c>
      <c r="F2293">
        <v>2</v>
      </c>
      <c r="G2293">
        <v>27.020386795</v>
      </c>
      <c r="H2293">
        <v>0.16341752782059599</v>
      </c>
      <c r="I2293">
        <v>2</v>
      </c>
      <c r="J2293">
        <v>0.43421493999999999</v>
      </c>
      <c r="P2293"/>
      <c r="V2293">
        <v>0.143294790536865</v>
      </c>
      <c r="W2293">
        <v>2</v>
      </c>
      <c r="X2293">
        <v>78833.130512346994</v>
      </c>
      <c r="Y2293">
        <v>2845</v>
      </c>
      <c r="Z2293">
        <v>5.4144930941820304</v>
      </c>
      <c r="AA2293">
        <v>100</v>
      </c>
    </row>
    <row r="2294" spans="1:27" x14ac:dyDescent="0.2">
      <c r="A2294">
        <v>30</v>
      </c>
      <c r="B2294">
        <v>2</v>
      </c>
      <c r="C2294">
        <v>0.3</v>
      </c>
      <c r="D2294">
        <v>20</v>
      </c>
      <c r="E2294">
        <v>8.2595563620529902E-2</v>
      </c>
      <c r="F2294">
        <v>2</v>
      </c>
      <c r="G2294">
        <v>28.899456462</v>
      </c>
      <c r="H2294">
        <v>9.5363769827346706E-2</v>
      </c>
      <c r="I2294">
        <v>2</v>
      </c>
      <c r="J2294">
        <v>8.1124256000000006E-2</v>
      </c>
      <c r="P2294"/>
      <c r="V2294">
        <v>7.2985078875072204E-2</v>
      </c>
      <c r="W2294">
        <v>2</v>
      </c>
      <c r="X2294">
        <v>78834.792915255995</v>
      </c>
      <c r="Y2294">
        <v>2885</v>
      </c>
      <c r="Z2294">
        <v>4.6907982442335197</v>
      </c>
      <c r="AA2294">
        <v>100</v>
      </c>
    </row>
    <row r="2295" spans="1:27" x14ac:dyDescent="0.2">
      <c r="A2295">
        <v>30</v>
      </c>
      <c r="B2295">
        <v>2</v>
      </c>
      <c r="C2295">
        <v>0.1</v>
      </c>
      <c r="D2295">
        <v>20</v>
      </c>
      <c r="E2295">
        <v>0.94917940780159005</v>
      </c>
      <c r="F2295">
        <v>2</v>
      </c>
      <c r="G2295">
        <v>27.649837283</v>
      </c>
      <c r="H2295">
        <v>0.90737591534886097</v>
      </c>
      <c r="I2295">
        <v>2</v>
      </c>
      <c r="J2295">
        <v>0.95828971699999999</v>
      </c>
      <c r="P2295"/>
      <c r="V2295">
        <v>0.90906345581519798</v>
      </c>
      <c r="W2295">
        <v>2</v>
      </c>
      <c r="X2295">
        <v>78983.743099143001</v>
      </c>
      <c r="Y2295">
        <v>34083</v>
      </c>
      <c r="Z2295">
        <v>0.35950154484998997</v>
      </c>
      <c r="AA2295">
        <v>100</v>
      </c>
    </row>
    <row r="2296" spans="1:27" x14ac:dyDescent="0.2">
      <c r="A2296">
        <v>30</v>
      </c>
      <c r="B2296">
        <v>2</v>
      </c>
      <c r="C2296">
        <v>0.2</v>
      </c>
      <c r="D2296">
        <v>20</v>
      </c>
      <c r="E2296">
        <v>0.44175012917405798</v>
      </c>
      <c r="F2296">
        <v>2</v>
      </c>
      <c r="G2296">
        <v>29.731264688</v>
      </c>
      <c r="H2296">
        <v>0.403492762451925</v>
      </c>
      <c r="I2296">
        <v>2</v>
      </c>
      <c r="J2296">
        <v>0.71103095999999999</v>
      </c>
      <c r="P2296"/>
      <c r="V2296">
        <v>0.38887817298567201</v>
      </c>
      <c r="W2296">
        <v>2</v>
      </c>
      <c r="X2296">
        <v>78991.362694744006</v>
      </c>
      <c r="Y2296">
        <v>2497</v>
      </c>
      <c r="Z2296">
        <v>3.0531505208154099</v>
      </c>
      <c r="AA2296">
        <v>100</v>
      </c>
    </row>
    <row r="2297" spans="1:27" x14ac:dyDescent="0.2">
      <c r="A2297">
        <v>30</v>
      </c>
      <c r="B2297">
        <v>2</v>
      </c>
      <c r="C2297">
        <v>0.2</v>
      </c>
      <c r="D2297">
        <v>20</v>
      </c>
      <c r="E2297">
        <v>0.46269518287991102</v>
      </c>
      <c r="F2297">
        <v>2</v>
      </c>
      <c r="G2297">
        <v>27.59919064</v>
      </c>
      <c r="H2297">
        <v>0.28746021846421499</v>
      </c>
      <c r="I2297">
        <v>2</v>
      </c>
      <c r="J2297">
        <v>0.32072522999999997</v>
      </c>
      <c r="P2297"/>
      <c r="V2297">
        <v>0.27751037446528698</v>
      </c>
      <c r="W2297">
        <v>2</v>
      </c>
      <c r="X2297">
        <v>79023.113831673007</v>
      </c>
      <c r="Y2297">
        <v>2382</v>
      </c>
      <c r="Z2297">
        <v>1.5406458919769599</v>
      </c>
      <c r="AA2297">
        <v>100</v>
      </c>
    </row>
    <row r="2298" spans="1:27" x14ac:dyDescent="0.2">
      <c r="A2298">
        <v>30</v>
      </c>
      <c r="B2298">
        <v>2</v>
      </c>
      <c r="C2298">
        <v>0.2</v>
      </c>
      <c r="D2298">
        <v>20</v>
      </c>
      <c r="E2298">
        <v>0.45253855897569101</v>
      </c>
      <c r="F2298">
        <v>2</v>
      </c>
      <c r="G2298">
        <v>26.652688172000001</v>
      </c>
      <c r="H2298">
        <v>0.30444571703789902</v>
      </c>
      <c r="I2298">
        <v>2</v>
      </c>
      <c r="J2298">
        <v>0.57591408499999996</v>
      </c>
      <c r="P2298"/>
      <c r="V2298">
        <v>0.28100348030522698</v>
      </c>
      <c r="W2298">
        <v>2</v>
      </c>
      <c r="X2298">
        <v>79031.949813735002</v>
      </c>
      <c r="Y2298">
        <v>2475</v>
      </c>
      <c r="Z2298">
        <v>4.1606303563275997</v>
      </c>
      <c r="AA2298">
        <v>100</v>
      </c>
    </row>
    <row r="2299" spans="1:27" x14ac:dyDescent="0.2">
      <c r="A2299">
        <v>30</v>
      </c>
      <c r="B2299">
        <v>2</v>
      </c>
      <c r="C2299">
        <v>0.1</v>
      </c>
      <c r="D2299">
        <v>20</v>
      </c>
      <c r="E2299">
        <v>0.81262052981938604</v>
      </c>
      <c r="F2299">
        <v>2</v>
      </c>
      <c r="G2299">
        <v>27.924183658</v>
      </c>
      <c r="H2299">
        <v>0.73805736755937801</v>
      </c>
      <c r="I2299">
        <v>2</v>
      </c>
      <c r="J2299">
        <v>1.0490816860000001</v>
      </c>
      <c r="P2299"/>
      <c r="V2299">
        <v>0.73819495668344504</v>
      </c>
      <c r="W2299">
        <v>2</v>
      </c>
      <c r="X2299">
        <v>75904.515019619997</v>
      </c>
      <c r="Y2299">
        <v>17828</v>
      </c>
      <c r="Z2299">
        <v>0.123585838668077</v>
      </c>
      <c r="AA2299">
        <v>100</v>
      </c>
    </row>
    <row r="2300" spans="1:27" x14ac:dyDescent="0.2">
      <c r="A2300">
        <v>30</v>
      </c>
      <c r="B2300">
        <v>2</v>
      </c>
      <c r="C2300">
        <v>0.3</v>
      </c>
      <c r="D2300">
        <v>20</v>
      </c>
      <c r="E2300">
        <v>0.26033977493705401</v>
      </c>
      <c r="F2300">
        <v>2</v>
      </c>
      <c r="G2300">
        <v>28.983931760000001</v>
      </c>
      <c r="H2300">
        <v>0.18536847813829199</v>
      </c>
      <c r="I2300">
        <v>2</v>
      </c>
      <c r="J2300">
        <v>0.37863473199999997</v>
      </c>
      <c r="P2300"/>
      <c r="V2300">
        <v>0.165260365902373</v>
      </c>
      <c r="W2300">
        <v>2</v>
      </c>
      <c r="X2300">
        <v>79233.430244542993</v>
      </c>
      <c r="Y2300">
        <v>2438</v>
      </c>
      <c r="Z2300">
        <v>4.7739085651337501</v>
      </c>
      <c r="AA2300">
        <v>100</v>
      </c>
    </row>
    <row r="2301" spans="1:27" x14ac:dyDescent="0.2">
      <c r="A2301">
        <v>30</v>
      </c>
      <c r="B2301">
        <v>2</v>
      </c>
      <c r="C2301">
        <v>0.1</v>
      </c>
      <c r="D2301">
        <v>20</v>
      </c>
      <c r="E2301">
        <v>0.84321892778894203</v>
      </c>
      <c r="F2301">
        <v>2</v>
      </c>
      <c r="G2301">
        <v>27.912467917000001</v>
      </c>
      <c r="H2301">
        <v>0.82767554233948304</v>
      </c>
      <c r="I2301">
        <v>2</v>
      </c>
      <c r="J2301">
        <v>1.2535716729999999</v>
      </c>
      <c r="P2301"/>
      <c r="V2301">
        <v>0.83358137680614697</v>
      </c>
      <c r="W2301">
        <v>2</v>
      </c>
      <c r="X2301">
        <v>79255.751517063996</v>
      </c>
      <c r="Y2301">
        <v>41307</v>
      </c>
      <c r="Z2301">
        <v>0.35068086615772898</v>
      </c>
      <c r="AA2301">
        <v>100</v>
      </c>
    </row>
    <row r="2302" spans="1:27" x14ac:dyDescent="0.2">
      <c r="A2302">
        <v>20</v>
      </c>
      <c r="B2302">
        <v>2</v>
      </c>
      <c r="C2302">
        <v>0.3</v>
      </c>
      <c r="D2302">
        <v>20</v>
      </c>
      <c r="E2302">
        <v>0.216522796084544</v>
      </c>
      <c r="F2302">
        <v>2</v>
      </c>
      <c r="G2302">
        <v>28.514320174000002</v>
      </c>
      <c r="H2302">
        <v>0.17077415003351501</v>
      </c>
      <c r="I2302">
        <v>2</v>
      </c>
      <c r="J2302">
        <v>0.31160848499999999</v>
      </c>
      <c r="P2302"/>
      <c r="V2302">
        <v>0.15377418045997701</v>
      </c>
      <c r="W2302">
        <v>2</v>
      </c>
      <c r="X2302">
        <v>79600.401547699003</v>
      </c>
      <c r="Y2302">
        <v>101158</v>
      </c>
      <c r="Z2302">
        <v>0.87615558914158498</v>
      </c>
      <c r="AA2302">
        <v>100</v>
      </c>
    </row>
    <row r="2303" spans="1:27" x14ac:dyDescent="0.2">
      <c r="A2303">
        <v>30</v>
      </c>
      <c r="B2303">
        <v>2</v>
      </c>
      <c r="C2303">
        <v>0.4</v>
      </c>
      <c r="D2303">
        <v>20</v>
      </c>
      <c r="E2303">
        <v>0.14216645943278</v>
      </c>
      <c r="F2303">
        <v>2</v>
      </c>
      <c r="G2303">
        <v>30.112115344999999</v>
      </c>
      <c r="H2303">
        <v>0.139993287829285</v>
      </c>
      <c r="I2303">
        <v>2</v>
      </c>
      <c r="J2303">
        <v>0.28602809299999998</v>
      </c>
      <c r="P2303"/>
      <c r="V2303">
        <v>0.10849726440013301</v>
      </c>
      <c r="W2303">
        <v>2</v>
      </c>
      <c r="X2303">
        <v>75884.989376830999</v>
      </c>
      <c r="Y2303">
        <v>27911</v>
      </c>
      <c r="Z2303">
        <v>9.0913357339595606</v>
      </c>
      <c r="AA2303">
        <v>100</v>
      </c>
    </row>
    <row r="2304" spans="1:27" x14ac:dyDescent="0.2">
      <c r="A2304">
        <v>30</v>
      </c>
      <c r="B2304">
        <v>2</v>
      </c>
      <c r="C2304">
        <v>0.3</v>
      </c>
      <c r="D2304">
        <v>20</v>
      </c>
      <c r="E2304">
        <v>0.21300260169524601</v>
      </c>
      <c r="F2304">
        <v>2</v>
      </c>
      <c r="G2304">
        <v>29.197471952000001</v>
      </c>
      <c r="H2304">
        <v>0.15710348630652499</v>
      </c>
      <c r="I2304">
        <v>2</v>
      </c>
      <c r="J2304">
        <v>0.37401873299999999</v>
      </c>
      <c r="P2304"/>
      <c r="V2304">
        <v>0.136677636416008</v>
      </c>
      <c r="W2304">
        <v>2</v>
      </c>
      <c r="X2304">
        <v>79384.210352288006</v>
      </c>
      <c r="Y2304">
        <v>2255</v>
      </c>
      <c r="Z2304">
        <v>2.1660258887041701</v>
      </c>
      <c r="AA2304">
        <v>100</v>
      </c>
    </row>
    <row r="2305" spans="1:27" x14ac:dyDescent="0.2">
      <c r="A2305">
        <v>20</v>
      </c>
      <c r="B2305">
        <v>2</v>
      </c>
      <c r="C2305">
        <v>0.4</v>
      </c>
      <c r="D2305">
        <v>20</v>
      </c>
      <c r="E2305">
        <v>0.28066868141086299</v>
      </c>
      <c r="F2305">
        <v>2</v>
      </c>
      <c r="G2305">
        <v>28.574524152999999</v>
      </c>
      <c r="H2305">
        <v>0.169980781869014</v>
      </c>
      <c r="I2305">
        <v>2</v>
      </c>
      <c r="J2305">
        <v>0.23018703800000001</v>
      </c>
      <c r="P2305"/>
      <c r="V2305">
        <v>0.14360883773743499</v>
      </c>
      <c r="W2305">
        <v>2</v>
      </c>
      <c r="X2305">
        <v>80338.582722495004</v>
      </c>
      <c r="Y2305">
        <v>122856</v>
      </c>
      <c r="Z2305">
        <v>1.2668717633659901</v>
      </c>
      <c r="AA2305">
        <v>100</v>
      </c>
    </row>
    <row r="2306" spans="1:27" x14ac:dyDescent="0.2">
      <c r="A2306">
        <v>30</v>
      </c>
      <c r="B2306">
        <v>2</v>
      </c>
      <c r="C2306">
        <v>0.4</v>
      </c>
      <c r="D2306">
        <v>20</v>
      </c>
      <c r="E2306">
        <v>6.4110253100781001E-2</v>
      </c>
      <c r="F2306">
        <v>2</v>
      </c>
      <c r="G2306">
        <v>28.758232495000001</v>
      </c>
      <c r="H2306">
        <v>8.2572955082210395E-2</v>
      </c>
      <c r="I2306">
        <v>2</v>
      </c>
      <c r="J2306">
        <v>0.25271269299999999</v>
      </c>
      <c r="P2306"/>
      <c r="V2306">
        <v>6.1353491961181499E-2</v>
      </c>
      <c r="W2306">
        <v>2</v>
      </c>
      <c r="X2306">
        <v>80206.027450826994</v>
      </c>
      <c r="Y2306">
        <v>35149</v>
      </c>
      <c r="Z2306">
        <v>4.3734677335687504</v>
      </c>
      <c r="AA2306">
        <v>100</v>
      </c>
    </row>
    <row r="2307" spans="1:27" x14ac:dyDescent="0.2">
      <c r="A2307">
        <v>30</v>
      </c>
      <c r="B2307">
        <v>2</v>
      </c>
      <c r="C2307">
        <v>0.3</v>
      </c>
      <c r="D2307">
        <v>20</v>
      </c>
      <c r="E2307">
        <v>0.177823382366713</v>
      </c>
      <c r="F2307">
        <v>2</v>
      </c>
      <c r="G2307">
        <v>27.000333283</v>
      </c>
      <c r="H2307">
        <v>0.17088530871077401</v>
      </c>
      <c r="I2307">
        <v>2</v>
      </c>
      <c r="J2307">
        <v>0.28288724399999998</v>
      </c>
      <c r="P2307"/>
      <c r="V2307">
        <v>0.144251836711038</v>
      </c>
      <c r="W2307">
        <v>2</v>
      </c>
      <c r="X2307">
        <v>80723.277269746002</v>
      </c>
      <c r="Y2307">
        <v>37077</v>
      </c>
      <c r="Z2307">
        <v>2.3198263521487501</v>
      </c>
      <c r="AA2307">
        <v>100</v>
      </c>
    </row>
    <row r="2308" spans="1:27" x14ac:dyDescent="0.2">
      <c r="A2308">
        <v>30</v>
      </c>
      <c r="B2308">
        <v>2</v>
      </c>
      <c r="C2308">
        <v>0.2</v>
      </c>
      <c r="D2308">
        <v>20</v>
      </c>
      <c r="E2308">
        <v>0.28700737693508399</v>
      </c>
      <c r="F2308">
        <v>2</v>
      </c>
      <c r="G2308">
        <v>29.375039604000001</v>
      </c>
      <c r="H2308">
        <v>0.196249147118321</v>
      </c>
      <c r="I2308">
        <v>2</v>
      </c>
      <c r="J2308">
        <v>0.47180675799999999</v>
      </c>
      <c r="P2308"/>
      <c r="V2308">
        <v>0.17959483985689501</v>
      </c>
      <c r="W2308">
        <v>2</v>
      </c>
      <c r="X2308">
        <v>77390.216304948</v>
      </c>
      <c r="Y2308">
        <v>70191</v>
      </c>
      <c r="Z2308">
        <v>3.7860446206110798</v>
      </c>
      <c r="AA2308">
        <v>100</v>
      </c>
    </row>
    <row r="2309" spans="1:27" x14ac:dyDescent="0.2">
      <c r="A2309">
        <v>30</v>
      </c>
      <c r="B2309">
        <v>2</v>
      </c>
      <c r="C2309">
        <v>0.2</v>
      </c>
      <c r="D2309">
        <v>20</v>
      </c>
      <c r="E2309">
        <v>0.34547463710040799</v>
      </c>
      <c r="F2309">
        <v>2</v>
      </c>
      <c r="G2309">
        <v>22.700078216000001</v>
      </c>
      <c r="H2309">
        <v>0.30534547581029597</v>
      </c>
      <c r="I2309">
        <v>2</v>
      </c>
      <c r="J2309">
        <v>0.58358028900000003</v>
      </c>
      <c r="P2309"/>
      <c r="V2309">
        <v>0.29005898668644398</v>
      </c>
      <c r="W2309">
        <v>2</v>
      </c>
      <c r="X2309">
        <v>77011.987627812996</v>
      </c>
      <c r="Y2309">
        <v>2642</v>
      </c>
      <c r="Z2309">
        <v>3.11123191185724</v>
      </c>
      <c r="AA2309">
        <v>100</v>
      </c>
    </row>
    <row r="2310" spans="1:27" x14ac:dyDescent="0.2">
      <c r="A2310">
        <v>30</v>
      </c>
      <c r="B2310">
        <v>2</v>
      </c>
      <c r="C2310">
        <v>0.3</v>
      </c>
      <c r="D2310">
        <v>20</v>
      </c>
      <c r="E2310">
        <v>0.237220391094352</v>
      </c>
      <c r="F2310">
        <v>2</v>
      </c>
      <c r="G2310">
        <v>21.954001292000001</v>
      </c>
      <c r="H2310">
        <v>0.23224979739853599</v>
      </c>
      <c r="I2310">
        <v>2</v>
      </c>
      <c r="J2310">
        <v>0.30167254300000002</v>
      </c>
      <c r="P2310"/>
      <c r="V2310">
        <v>0.220117566690092</v>
      </c>
      <c r="W2310">
        <v>2</v>
      </c>
      <c r="X2310">
        <v>77433.139800609002</v>
      </c>
      <c r="Y2310">
        <v>2652</v>
      </c>
      <c r="Z2310">
        <v>4.6348745629275996</v>
      </c>
      <c r="AA2310">
        <v>100</v>
      </c>
    </row>
    <row r="2311" spans="1:27" x14ac:dyDescent="0.2">
      <c r="A2311">
        <v>30</v>
      </c>
      <c r="B2311">
        <v>2</v>
      </c>
      <c r="C2311">
        <v>0.4</v>
      </c>
      <c r="D2311">
        <v>20</v>
      </c>
      <c r="E2311">
        <v>6.2491960240255599E-2</v>
      </c>
      <c r="F2311">
        <v>2</v>
      </c>
      <c r="G2311">
        <v>23.848928268000002</v>
      </c>
      <c r="H2311">
        <v>7.5571636493351496E-2</v>
      </c>
      <c r="I2311">
        <v>2</v>
      </c>
      <c r="J2311">
        <v>0.18836234199999999</v>
      </c>
      <c r="P2311"/>
      <c r="V2311">
        <v>5.0967830549198699E-2</v>
      </c>
      <c r="W2311">
        <v>2</v>
      </c>
      <c r="X2311">
        <v>77283.907923141</v>
      </c>
      <c r="Y2311">
        <v>77742</v>
      </c>
      <c r="Z2311">
        <v>5.4693780526413303</v>
      </c>
      <c r="AA2311">
        <v>100</v>
      </c>
    </row>
    <row r="2312" spans="1:27" x14ac:dyDescent="0.2">
      <c r="A2312">
        <v>30</v>
      </c>
      <c r="B2312">
        <v>2</v>
      </c>
      <c r="C2312">
        <v>0.4</v>
      </c>
      <c r="D2312">
        <v>20</v>
      </c>
      <c r="E2312">
        <v>0.13827895593929501</v>
      </c>
      <c r="F2312">
        <v>2</v>
      </c>
      <c r="G2312">
        <v>25.67033575</v>
      </c>
      <c r="H2312">
        <v>9.5745621859815805E-2</v>
      </c>
      <c r="I2312">
        <v>2</v>
      </c>
      <c r="J2312">
        <v>0.26656317099999999</v>
      </c>
      <c r="P2312"/>
      <c r="V2312">
        <v>7.6994195201684906E-2</v>
      </c>
      <c r="W2312">
        <v>2</v>
      </c>
      <c r="X2312">
        <v>78319.282609034999</v>
      </c>
      <c r="Y2312">
        <v>2392</v>
      </c>
      <c r="Z2312">
        <v>8.7181993598041991</v>
      </c>
      <c r="AA2312">
        <v>100</v>
      </c>
    </row>
    <row r="2313" spans="1:27" x14ac:dyDescent="0.2">
      <c r="A2313">
        <v>30</v>
      </c>
      <c r="B2313">
        <v>2</v>
      </c>
      <c r="C2313">
        <v>0.1</v>
      </c>
      <c r="D2313">
        <v>20</v>
      </c>
      <c r="E2313">
        <v>0.75730910258701201</v>
      </c>
      <c r="F2313">
        <v>2</v>
      </c>
      <c r="G2313">
        <v>22.530727531</v>
      </c>
      <c r="H2313">
        <v>0.73587746517929598</v>
      </c>
      <c r="I2313">
        <v>2</v>
      </c>
      <c r="J2313">
        <v>0.57999945399999997</v>
      </c>
      <c r="P2313"/>
      <c r="V2313">
        <v>0.73361970427467205</v>
      </c>
      <c r="W2313">
        <v>2</v>
      </c>
      <c r="X2313">
        <v>77881.743379598993</v>
      </c>
      <c r="Y2313">
        <v>57893</v>
      </c>
      <c r="Z2313">
        <v>0.233477844539101</v>
      </c>
      <c r="AA2313">
        <v>100</v>
      </c>
    </row>
    <row r="2314" spans="1:27" x14ac:dyDescent="0.2">
      <c r="A2314">
        <v>30</v>
      </c>
      <c r="B2314">
        <v>2</v>
      </c>
      <c r="C2314">
        <v>0.2</v>
      </c>
      <c r="D2314">
        <v>20</v>
      </c>
      <c r="E2314">
        <v>0.497166419321108</v>
      </c>
      <c r="F2314">
        <v>2</v>
      </c>
      <c r="G2314">
        <v>25.905096150999999</v>
      </c>
      <c r="H2314">
        <v>0.48941910089351698</v>
      </c>
      <c r="I2314">
        <v>2</v>
      </c>
      <c r="J2314">
        <v>0.455583179</v>
      </c>
      <c r="P2314"/>
      <c r="V2314">
        <v>0.486117386684083</v>
      </c>
      <c r="W2314">
        <v>2</v>
      </c>
      <c r="X2314">
        <v>78823.958024009</v>
      </c>
      <c r="Y2314">
        <v>2378</v>
      </c>
      <c r="Z2314">
        <v>3.5735231215421601</v>
      </c>
      <c r="AA2314">
        <v>100</v>
      </c>
    </row>
    <row r="2315" spans="1:27" x14ac:dyDescent="0.2">
      <c r="A2315">
        <v>30</v>
      </c>
      <c r="B2315">
        <v>2</v>
      </c>
      <c r="C2315">
        <v>0.4</v>
      </c>
      <c r="D2315">
        <v>20</v>
      </c>
      <c r="E2315">
        <v>8.4835505995467894E-2</v>
      </c>
      <c r="F2315">
        <v>2</v>
      </c>
      <c r="G2315">
        <v>28.174823816</v>
      </c>
      <c r="H2315">
        <v>9.6445370150778004E-2</v>
      </c>
      <c r="I2315">
        <v>2</v>
      </c>
      <c r="J2315">
        <v>0.246505894</v>
      </c>
      <c r="P2315"/>
      <c r="V2315">
        <v>7.2239914483357107E-2</v>
      </c>
      <c r="W2315">
        <v>2</v>
      </c>
      <c r="X2315">
        <v>80172.171055672006</v>
      </c>
      <c r="Y2315">
        <v>2072</v>
      </c>
      <c r="Z2315">
        <v>5.7842914941702404</v>
      </c>
      <c r="AA2315">
        <v>100</v>
      </c>
    </row>
    <row r="2316" spans="1:27" x14ac:dyDescent="0.2">
      <c r="A2316">
        <v>30</v>
      </c>
      <c r="B2316">
        <v>2</v>
      </c>
      <c r="C2316">
        <v>0.3</v>
      </c>
      <c r="D2316">
        <v>20</v>
      </c>
      <c r="E2316">
        <v>0.14596943472208601</v>
      </c>
      <c r="F2316">
        <v>2</v>
      </c>
      <c r="G2316">
        <v>29.610270863</v>
      </c>
      <c r="H2316">
        <v>0.13683354426331901</v>
      </c>
      <c r="I2316">
        <v>2</v>
      </c>
      <c r="J2316">
        <v>0.22733115400000001</v>
      </c>
      <c r="P2316"/>
      <c r="V2316">
        <v>0.116846990238284</v>
      </c>
      <c r="W2316">
        <v>2</v>
      </c>
      <c r="X2316">
        <v>78780.917887504998</v>
      </c>
      <c r="Y2316">
        <v>2389</v>
      </c>
      <c r="Z2316">
        <v>3.7016793350376198</v>
      </c>
      <c r="AA2316">
        <v>100</v>
      </c>
    </row>
    <row r="2317" spans="1:27" x14ac:dyDescent="0.2">
      <c r="A2317">
        <v>30</v>
      </c>
      <c r="B2317">
        <v>2</v>
      </c>
      <c r="C2317">
        <v>0.3</v>
      </c>
      <c r="D2317">
        <v>20</v>
      </c>
      <c r="E2317">
        <v>0.181040159425576</v>
      </c>
      <c r="F2317">
        <v>2</v>
      </c>
      <c r="G2317">
        <v>23.767272502000001</v>
      </c>
      <c r="H2317">
        <v>0.158340713295229</v>
      </c>
      <c r="I2317">
        <v>2</v>
      </c>
      <c r="J2317">
        <v>0.22325183900000001</v>
      </c>
      <c r="P2317"/>
      <c r="V2317">
        <v>0.135093192231517</v>
      </c>
      <c r="W2317">
        <v>2</v>
      </c>
      <c r="X2317">
        <v>77907.649846354994</v>
      </c>
      <c r="Y2317">
        <v>2485</v>
      </c>
      <c r="Z2317">
        <v>3.5406897374194402</v>
      </c>
      <c r="AA2317">
        <v>100</v>
      </c>
    </row>
    <row r="2318" spans="1:27" x14ac:dyDescent="0.2">
      <c r="A2318">
        <v>20</v>
      </c>
      <c r="B2318">
        <v>2</v>
      </c>
      <c r="C2318">
        <v>0.3</v>
      </c>
      <c r="D2318">
        <v>20</v>
      </c>
      <c r="E2318">
        <v>0.42251965375406902</v>
      </c>
      <c r="F2318">
        <v>2</v>
      </c>
      <c r="G2318">
        <v>27.545477247000001</v>
      </c>
      <c r="H2318">
        <v>0.357090822554264</v>
      </c>
      <c r="I2318">
        <v>2</v>
      </c>
      <c r="J2318">
        <v>0.22029791400000001</v>
      </c>
      <c r="P2318"/>
      <c r="V2318">
        <v>0.34643895022133597</v>
      </c>
      <c r="W2318">
        <v>2</v>
      </c>
      <c r="X2318">
        <v>82193.680918533006</v>
      </c>
      <c r="Y2318">
        <v>128139</v>
      </c>
      <c r="Z2318">
        <v>0.30099353724108302</v>
      </c>
      <c r="AA2318">
        <v>100</v>
      </c>
    </row>
    <row r="2319" spans="1:27" x14ac:dyDescent="0.2">
      <c r="A2319">
        <v>30</v>
      </c>
      <c r="B2319">
        <v>2</v>
      </c>
      <c r="C2319">
        <v>0.1</v>
      </c>
      <c r="D2319">
        <v>20</v>
      </c>
      <c r="E2319">
        <v>0.77062903564957397</v>
      </c>
      <c r="F2319">
        <v>2</v>
      </c>
      <c r="G2319">
        <v>29.824116955000001</v>
      </c>
      <c r="H2319">
        <v>0.60220592386302696</v>
      </c>
      <c r="I2319">
        <v>2</v>
      </c>
      <c r="J2319">
        <v>1.280243053</v>
      </c>
      <c r="P2319"/>
      <c r="V2319">
        <v>0.59812885223853396</v>
      </c>
      <c r="W2319">
        <v>2</v>
      </c>
      <c r="X2319">
        <v>78140.666151799</v>
      </c>
      <c r="Y2319">
        <v>38267</v>
      </c>
      <c r="Z2319">
        <v>0.39249605836055301</v>
      </c>
      <c r="AA2319">
        <v>100</v>
      </c>
    </row>
    <row r="2320" spans="1:27" x14ac:dyDescent="0.2">
      <c r="A2320">
        <v>30</v>
      </c>
      <c r="B2320">
        <v>2</v>
      </c>
      <c r="C2320">
        <v>0.2</v>
      </c>
      <c r="D2320">
        <v>20</v>
      </c>
      <c r="E2320">
        <v>0.37836453742662601</v>
      </c>
      <c r="F2320">
        <v>2</v>
      </c>
      <c r="G2320">
        <v>30.660488399999998</v>
      </c>
      <c r="H2320">
        <v>0.30368032400786998</v>
      </c>
      <c r="I2320">
        <v>2</v>
      </c>
      <c r="J2320">
        <v>0.64762191599999996</v>
      </c>
      <c r="P2320"/>
      <c r="V2320">
        <v>0.29598216283235002</v>
      </c>
      <c r="W2320">
        <v>2</v>
      </c>
      <c r="X2320">
        <v>78917.908795791998</v>
      </c>
      <c r="Y2320">
        <v>2437</v>
      </c>
      <c r="Z2320">
        <v>2.0144981144021501</v>
      </c>
      <c r="AA2320">
        <v>100</v>
      </c>
    </row>
    <row r="2321" spans="1:27" x14ac:dyDescent="0.2">
      <c r="A2321">
        <v>30</v>
      </c>
      <c r="B2321">
        <v>2</v>
      </c>
      <c r="C2321">
        <v>0.3</v>
      </c>
      <c r="D2321">
        <v>20</v>
      </c>
      <c r="E2321">
        <v>0.189626435734602</v>
      </c>
      <c r="F2321">
        <v>2</v>
      </c>
      <c r="G2321">
        <v>24.830545860000001</v>
      </c>
      <c r="H2321">
        <v>0.160150199500601</v>
      </c>
      <c r="I2321">
        <v>2</v>
      </c>
      <c r="J2321">
        <v>0.34834478000000002</v>
      </c>
      <c r="P2321"/>
      <c r="V2321">
        <v>0.14350076553793401</v>
      </c>
      <c r="W2321">
        <v>2</v>
      </c>
      <c r="X2321">
        <v>77810.346399421003</v>
      </c>
      <c r="Y2321">
        <v>24820</v>
      </c>
      <c r="Z2321">
        <v>4.3018973857791298</v>
      </c>
      <c r="AA2321">
        <v>100</v>
      </c>
    </row>
    <row r="2322" spans="1:27" x14ac:dyDescent="0.2">
      <c r="A2322">
        <v>30</v>
      </c>
      <c r="B2322">
        <v>2</v>
      </c>
      <c r="C2322">
        <v>0.4</v>
      </c>
      <c r="D2322">
        <v>20</v>
      </c>
      <c r="E2322">
        <v>8.0999010130211699E-2</v>
      </c>
      <c r="F2322">
        <v>2</v>
      </c>
      <c r="G2322">
        <v>29.133066930999998</v>
      </c>
      <c r="H2322">
        <v>6.7546926193134793E-2</v>
      </c>
      <c r="I2322">
        <v>2</v>
      </c>
      <c r="J2322">
        <v>0.20399452700000001</v>
      </c>
      <c r="P2322"/>
      <c r="V2322">
        <v>4.60071368532688E-2</v>
      </c>
      <c r="W2322">
        <v>2</v>
      </c>
      <c r="X2322">
        <v>76816.421449675006</v>
      </c>
      <c r="Y2322">
        <v>36950</v>
      </c>
      <c r="Z2322">
        <v>5.8445832085591798</v>
      </c>
      <c r="AA2322">
        <v>100</v>
      </c>
    </row>
    <row r="2323" spans="1:27" x14ac:dyDescent="0.2">
      <c r="A2323">
        <v>30</v>
      </c>
      <c r="B2323">
        <v>2</v>
      </c>
      <c r="C2323">
        <v>0.4</v>
      </c>
      <c r="D2323">
        <v>20</v>
      </c>
      <c r="E2323">
        <v>0.112861450682967</v>
      </c>
      <c r="F2323">
        <v>2</v>
      </c>
      <c r="G2323">
        <v>22.032969996999999</v>
      </c>
      <c r="H2323">
        <v>8.9139919451555999E-2</v>
      </c>
      <c r="I2323">
        <v>2</v>
      </c>
      <c r="J2323">
        <v>0.20841325499999999</v>
      </c>
      <c r="P2323"/>
      <c r="V2323">
        <v>6.5004833444031407E-2</v>
      </c>
      <c r="W2323">
        <v>2</v>
      </c>
      <c r="X2323">
        <v>79636.709970680997</v>
      </c>
      <c r="Y2323">
        <v>2224</v>
      </c>
      <c r="Z2323">
        <v>4.8430329235888996</v>
      </c>
      <c r="AA2323">
        <v>100</v>
      </c>
    </row>
    <row r="2324" spans="1:27" x14ac:dyDescent="0.2">
      <c r="A2324">
        <v>30</v>
      </c>
      <c r="B2324">
        <v>2</v>
      </c>
      <c r="C2324">
        <v>0.1</v>
      </c>
      <c r="D2324">
        <v>20</v>
      </c>
      <c r="E2324">
        <v>0.92763474793209899</v>
      </c>
      <c r="F2324">
        <v>2</v>
      </c>
      <c r="G2324">
        <v>28.095324545</v>
      </c>
      <c r="H2324">
        <v>0.87325864280243104</v>
      </c>
      <c r="I2324">
        <v>2</v>
      </c>
      <c r="J2324">
        <v>1.2209862039999999</v>
      </c>
      <c r="P2324"/>
      <c r="V2324">
        <v>0.87519666590488898</v>
      </c>
      <c r="W2324">
        <v>2</v>
      </c>
      <c r="X2324">
        <v>76907.926489410005</v>
      </c>
      <c r="Y2324">
        <v>23704</v>
      </c>
      <c r="Z2324">
        <v>0.31953719884312898</v>
      </c>
      <c r="AA2324">
        <v>100</v>
      </c>
    </row>
    <row r="2325" spans="1:27" x14ac:dyDescent="0.2">
      <c r="A2325">
        <v>30</v>
      </c>
      <c r="B2325">
        <v>2</v>
      </c>
      <c r="C2325">
        <v>0.1</v>
      </c>
      <c r="D2325">
        <v>20</v>
      </c>
      <c r="E2325">
        <v>0.77593073229964404</v>
      </c>
      <c r="F2325">
        <v>2</v>
      </c>
      <c r="G2325">
        <v>22.995056758</v>
      </c>
      <c r="H2325">
        <v>0.77946948290558604</v>
      </c>
      <c r="I2325">
        <v>2</v>
      </c>
      <c r="J2325">
        <v>0.76893018199999996</v>
      </c>
      <c r="P2325"/>
      <c r="V2325">
        <v>0.75086318996711898</v>
      </c>
      <c r="W2325">
        <v>2</v>
      </c>
      <c r="X2325">
        <v>79819.537468990005</v>
      </c>
      <c r="Y2325">
        <v>53017</v>
      </c>
      <c r="Z2325">
        <v>0.35650038091875003</v>
      </c>
      <c r="AA2325">
        <v>100</v>
      </c>
    </row>
    <row r="2326" spans="1:27" x14ac:dyDescent="0.2">
      <c r="A2326">
        <v>30</v>
      </c>
      <c r="B2326">
        <v>2</v>
      </c>
      <c r="C2326">
        <v>0.2</v>
      </c>
      <c r="D2326">
        <v>20</v>
      </c>
      <c r="E2326">
        <v>0.35919596602297699</v>
      </c>
      <c r="F2326">
        <v>2</v>
      </c>
      <c r="G2326">
        <v>24.839062535</v>
      </c>
      <c r="H2326">
        <v>0.277769723547728</v>
      </c>
      <c r="I2326">
        <v>2</v>
      </c>
      <c r="J2326">
        <v>0.505040661</v>
      </c>
      <c r="P2326"/>
      <c r="V2326">
        <v>0.25515587163467901</v>
      </c>
      <c r="W2326">
        <v>2</v>
      </c>
      <c r="X2326">
        <v>80538.765339491001</v>
      </c>
      <c r="Y2326">
        <v>2378</v>
      </c>
      <c r="Z2326">
        <v>3.2494470967304601</v>
      </c>
      <c r="AA2326">
        <v>100</v>
      </c>
    </row>
    <row r="2327" spans="1:27" x14ac:dyDescent="0.2">
      <c r="A2327">
        <v>30</v>
      </c>
      <c r="B2327">
        <v>2</v>
      </c>
      <c r="C2327">
        <v>0.2</v>
      </c>
      <c r="D2327">
        <v>20</v>
      </c>
      <c r="E2327">
        <v>0.37588074131742399</v>
      </c>
      <c r="F2327">
        <v>2</v>
      </c>
      <c r="G2327">
        <v>31.375191716</v>
      </c>
      <c r="H2327">
        <v>0.358991222296493</v>
      </c>
      <c r="I2327">
        <v>2</v>
      </c>
      <c r="J2327">
        <v>0.54052350999999998</v>
      </c>
      <c r="P2327"/>
      <c r="V2327">
        <v>0.34089243778733702</v>
      </c>
      <c r="W2327">
        <v>2</v>
      </c>
      <c r="X2327">
        <v>78775.229713773995</v>
      </c>
      <c r="Y2327">
        <v>2450</v>
      </c>
      <c r="Z2327">
        <v>1.58298703473883</v>
      </c>
      <c r="AA2327">
        <v>100</v>
      </c>
    </row>
    <row r="2328" spans="1:27" x14ac:dyDescent="0.2">
      <c r="A2328">
        <v>30</v>
      </c>
      <c r="B2328">
        <v>2</v>
      </c>
      <c r="C2328">
        <v>0.3</v>
      </c>
      <c r="D2328">
        <v>20</v>
      </c>
      <c r="E2328">
        <v>0.19652118805317201</v>
      </c>
      <c r="F2328">
        <v>2</v>
      </c>
      <c r="G2328">
        <v>28.333593427</v>
      </c>
      <c r="H2328">
        <v>0.16335333108077199</v>
      </c>
      <c r="I2328">
        <v>2</v>
      </c>
      <c r="J2328">
        <v>0.37803919800000002</v>
      </c>
      <c r="P2328"/>
      <c r="V2328">
        <v>0.13956183122264201</v>
      </c>
      <c r="W2328">
        <v>2</v>
      </c>
      <c r="X2328">
        <v>80300.280141098003</v>
      </c>
      <c r="Y2328">
        <v>2401</v>
      </c>
      <c r="Z2328">
        <v>4.9553137092316302</v>
      </c>
      <c r="AA2328">
        <v>100</v>
      </c>
    </row>
    <row r="2329" spans="1:27" x14ac:dyDescent="0.2">
      <c r="A2329">
        <v>30</v>
      </c>
      <c r="B2329">
        <v>3</v>
      </c>
      <c r="C2329">
        <v>0.3</v>
      </c>
      <c r="D2329">
        <v>100</v>
      </c>
      <c r="E2329">
        <v>0.34054128188888599</v>
      </c>
      <c r="F2329">
        <v>3</v>
      </c>
      <c r="G2329">
        <v>28.759640921999999</v>
      </c>
      <c r="H2329">
        <v>0.125652488918026</v>
      </c>
      <c r="I2329">
        <v>3</v>
      </c>
      <c r="J2329">
        <v>0.96643803399999995</v>
      </c>
      <c r="P2329"/>
      <c r="V2329">
        <v>0.118210227422472</v>
      </c>
      <c r="W2329">
        <v>3</v>
      </c>
      <c r="X2329">
        <v>75496.637090203003</v>
      </c>
      <c r="Y2329">
        <v>33747</v>
      </c>
      <c r="Z2329">
        <v>2.0734470783827401</v>
      </c>
      <c r="AA2329">
        <v>100</v>
      </c>
    </row>
    <row r="2330" spans="1:27" x14ac:dyDescent="0.2">
      <c r="A2330">
        <v>30</v>
      </c>
      <c r="B2330">
        <v>3</v>
      </c>
      <c r="C2330">
        <v>0.2</v>
      </c>
      <c r="D2330">
        <v>100</v>
      </c>
      <c r="E2330">
        <v>0.60989655006698595</v>
      </c>
      <c r="F2330">
        <v>3</v>
      </c>
      <c r="G2330">
        <v>34.650513834000002</v>
      </c>
      <c r="H2330">
        <v>0.39769399900642899</v>
      </c>
      <c r="I2330">
        <v>3</v>
      </c>
      <c r="J2330">
        <v>1.8169833909999999</v>
      </c>
      <c r="P2330"/>
      <c r="V2330">
        <v>0.39362727467837499</v>
      </c>
      <c r="W2330">
        <v>3</v>
      </c>
      <c r="X2330">
        <v>75527.775127435001</v>
      </c>
      <c r="Y2330">
        <v>41236</v>
      </c>
      <c r="Z2330">
        <v>1.1314300904832599</v>
      </c>
      <c r="AA2330">
        <v>100</v>
      </c>
    </row>
    <row r="2331" spans="1:27" x14ac:dyDescent="0.2">
      <c r="A2331">
        <v>30</v>
      </c>
      <c r="B2331">
        <v>3</v>
      </c>
      <c r="C2331">
        <v>0.4</v>
      </c>
      <c r="D2331">
        <v>100</v>
      </c>
      <c r="E2331">
        <v>0.103324598245581</v>
      </c>
      <c r="F2331">
        <v>3</v>
      </c>
      <c r="G2331">
        <v>31.034932263000002</v>
      </c>
      <c r="H2331">
        <v>3.76350057133433E-2</v>
      </c>
      <c r="I2331">
        <v>3</v>
      </c>
      <c r="J2331">
        <v>0.79151140799999997</v>
      </c>
      <c r="P2331"/>
      <c r="V2331">
        <v>3.2852430327006701E-2</v>
      </c>
      <c r="W2331">
        <v>3</v>
      </c>
      <c r="X2331">
        <v>75552.436625667004</v>
      </c>
      <c r="Y2331">
        <v>41350</v>
      </c>
      <c r="Z2331">
        <v>4.2561383017583001</v>
      </c>
      <c r="AA2331">
        <v>100</v>
      </c>
    </row>
    <row r="2332" spans="1:27" x14ac:dyDescent="0.2">
      <c r="A2332">
        <v>30</v>
      </c>
      <c r="B2332">
        <v>3</v>
      </c>
      <c r="C2332">
        <v>0.3</v>
      </c>
      <c r="D2332">
        <v>100</v>
      </c>
      <c r="E2332">
        <v>0.36057809750241399</v>
      </c>
      <c r="F2332">
        <v>3</v>
      </c>
      <c r="G2332">
        <v>36.849285604000002</v>
      </c>
      <c r="H2332">
        <v>0.14613051887025799</v>
      </c>
      <c r="I2332">
        <v>3</v>
      </c>
      <c r="J2332">
        <v>1.2669459999999999</v>
      </c>
      <c r="P2332"/>
      <c r="V2332">
        <v>0.12803109814038899</v>
      </c>
      <c r="W2332">
        <v>3</v>
      </c>
      <c r="X2332">
        <v>75339.298540571006</v>
      </c>
      <c r="Y2332">
        <v>16507</v>
      </c>
      <c r="Z2332">
        <v>3.2109825993538799</v>
      </c>
      <c r="AA2332">
        <v>100</v>
      </c>
    </row>
    <row r="2333" spans="1:27" x14ac:dyDescent="0.2">
      <c r="A2333">
        <v>30</v>
      </c>
      <c r="B2333">
        <v>3</v>
      </c>
      <c r="C2333">
        <v>0.1</v>
      </c>
      <c r="D2333">
        <v>100</v>
      </c>
      <c r="E2333">
        <v>1.2294611244386799</v>
      </c>
      <c r="F2333">
        <v>3</v>
      </c>
      <c r="G2333">
        <v>38.347231721</v>
      </c>
      <c r="H2333">
        <v>1.06418337181219</v>
      </c>
      <c r="I2333">
        <v>3</v>
      </c>
      <c r="J2333">
        <v>2.1762227589999998</v>
      </c>
      <c r="P2333"/>
      <c r="V2333">
        <v>1.06512695722831</v>
      </c>
      <c r="W2333">
        <v>3</v>
      </c>
      <c r="X2333">
        <v>75899.515064933003</v>
      </c>
      <c r="Y2333">
        <v>32265</v>
      </c>
      <c r="Z2333">
        <v>6.7910276703914099E-2</v>
      </c>
      <c r="AA2333">
        <v>100</v>
      </c>
    </row>
    <row r="2334" spans="1:27" x14ac:dyDescent="0.2">
      <c r="A2334">
        <v>30</v>
      </c>
      <c r="B2334">
        <v>3</v>
      </c>
      <c r="C2334">
        <v>0.4</v>
      </c>
      <c r="D2334">
        <v>100</v>
      </c>
      <c r="E2334">
        <v>0.235187161115509</v>
      </c>
      <c r="F2334">
        <v>3</v>
      </c>
      <c r="G2334">
        <v>37.735013602000002</v>
      </c>
      <c r="H2334">
        <v>7.7492511402500797E-2</v>
      </c>
      <c r="I2334">
        <v>3</v>
      </c>
      <c r="J2334">
        <v>0.87878908099999997</v>
      </c>
      <c r="P2334"/>
      <c r="V2334">
        <v>6.9138468946255693E-2</v>
      </c>
      <c r="W2334">
        <v>3</v>
      </c>
      <c r="X2334">
        <v>75972.289467719995</v>
      </c>
      <c r="Y2334">
        <v>12426</v>
      </c>
      <c r="Z2334">
        <v>2.4578159054381099</v>
      </c>
      <c r="AA2334">
        <v>100</v>
      </c>
    </row>
    <row r="2335" spans="1:27" x14ac:dyDescent="0.2">
      <c r="A2335">
        <v>30</v>
      </c>
      <c r="B2335">
        <v>3</v>
      </c>
      <c r="C2335">
        <v>0.3</v>
      </c>
      <c r="D2335">
        <v>100</v>
      </c>
      <c r="E2335">
        <v>0.195937884928963</v>
      </c>
      <c r="F2335">
        <v>3</v>
      </c>
      <c r="G2335">
        <v>33.736849751999998</v>
      </c>
      <c r="H2335">
        <v>6.8550288319229297E-2</v>
      </c>
      <c r="I2335">
        <v>3</v>
      </c>
      <c r="J2335">
        <v>0.82998143499999999</v>
      </c>
      <c r="P2335"/>
      <c r="V2335">
        <v>5.9883112905183902E-2</v>
      </c>
      <c r="W2335">
        <v>3</v>
      </c>
      <c r="X2335">
        <v>75480.412584329999</v>
      </c>
      <c r="Y2335">
        <v>15696</v>
      </c>
      <c r="Z2335">
        <v>3.25988908737963</v>
      </c>
      <c r="AA2335">
        <v>100</v>
      </c>
    </row>
    <row r="2336" spans="1:27" x14ac:dyDescent="0.2">
      <c r="A2336">
        <v>30</v>
      </c>
      <c r="B2336">
        <v>3</v>
      </c>
      <c r="C2336">
        <v>0.1</v>
      </c>
      <c r="D2336">
        <v>100</v>
      </c>
      <c r="E2336">
        <v>1.1851510431749901</v>
      </c>
      <c r="F2336">
        <v>3</v>
      </c>
      <c r="G2336">
        <v>34.962816517</v>
      </c>
      <c r="H2336">
        <v>1.054387853263</v>
      </c>
      <c r="I2336">
        <v>3</v>
      </c>
      <c r="J2336">
        <v>1.9358825660000001</v>
      </c>
      <c r="P2336"/>
      <c r="V2336">
        <v>1.0549296231610199</v>
      </c>
      <c r="W2336">
        <v>3</v>
      </c>
      <c r="X2336">
        <v>75908.466815549007</v>
      </c>
      <c r="Y2336">
        <v>21223</v>
      </c>
      <c r="Z2336">
        <v>5.3464806659021903E-2</v>
      </c>
      <c r="AA2336">
        <v>100</v>
      </c>
    </row>
    <row r="2337" spans="1:27" x14ac:dyDescent="0.2">
      <c r="A2337">
        <v>30</v>
      </c>
      <c r="B2337">
        <v>3</v>
      </c>
      <c r="C2337">
        <v>0.4</v>
      </c>
      <c r="D2337">
        <v>100</v>
      </c>
      <c r="E2337">
        <v>0.123236858752329</v>
      </c>
      <c r="F2337">
        <v>3</v>
      </c>
      <c r="G2337">
        <v>35.840020332000002</v>
      </c>
      <c r="H2337">
        <v>3.7798006972272202E-2</v>
      </c>
      <c r="I2337">
        <v>3</v>
      </c>
      <c r="J2337">
        <v>0.74099705699999996</v>
      </c>
      <c r="P2337"/>
      <c r="V2337">
        <v>3.3058019185121697E-2</v>
      </c>
      <c r="W2337">
        <v>3</v>
      </c>
      <c r="X2337">
        <v>75739.831361236997</v>
      </c>
      <c r="Y2337">
        <v>12213</v>
      </c>
      <c r="Z2337">
        <v>4.5604232001951397</v>
      </c>
      <c r="AA2337">
        <v>100</v>
      </c>
    </row>
    <row r="2338" spans="1:27" x14ac:dyDescent="0.2">
      <c r="A2338">
        <v>30</v>
      </c>
      <c r="B2338">
        <v>3</v>
      </c>
      <c r="C2338">
        <v>0.1</v>
      </c>
      <c r="D2338">
        <v>100</v>
      </c>
      <c r="E2338">
        <v>0.97380684717766897</v>
      </c>
      <c r="F2338">
        <v>3</v>
      </c>
      <c r="G2338">
        <v>38.330799880999997</v>
      </c>
      <c r="H2338">
        <v>0.90145588828076495</v>
      </c>
      <c r="I2338">
        <v>3</v>
      </c>
      <c r="J2338">
        <v>1.8171241419999999</v>
      </c>
      <c r="P2338"/>
      <c r="V2338">
        <v>0.90223471153844503</v>
      </c>
      <c r="W2338">
        <v>3</v>
      </c>
      <c r="X2338">
        <v>76384.338542972997</v>
      </c>
      <c r="Y2338">
        <v>32568</v>
      </c>
      <c r="Z2338">
        <v>8.7044565231578594E-2</v>
      </c>
      <c r="AA2338">
        <v>100</v>
      </c>
    </row>
    <row r="2339" spans="1:27" x14ac:dyDescent="0.2">
      <c r="A2339">
        <v>30</v>
      </c>
      <c r="B2339">
        <v>3</v>
      </c>
      <c r="C2339">
        <v>0.3</v>
      </c>
      <c r="D2339">
        <v>100</v>
      </c>
      <c r="E2339">
        <v>0.31251866557152203</v>
      </c>
      <c r="F2339">
        <v>3</v>
      </c>
      <c r="G2339">
        <v>29.828387575000001</v>
      </c>
      <c r="H2339">
        <v>0.15972008713574101</v>
      </c>
      <c r="I2339">
        <v>3</v>
      </c>
      <c r="J2339">
        <v>0.92697432400000002</v>
      </c>
      <c r="P2339"/>
      <c r="V2339">
        <v>0.156417653857821</v>
      </c>
      <c r="W2339">
        <v>3</v>
      </c>
      <c r="X2339">
        <v>75508.978846176004</v>
      </c>
      <c r="Y2339">
        <v>13146</v>
      </c>
      <c r="Z2339">
        <v>3.62839289245857</v>
      </c>
      <c r="AA2339">
        <v>100</v>
      </c>
    </row>
    <row r="2340" spans="1:27" x14ac:dyDescent="0.2">
      <c r="A2340">
        <v>30</v>
      </c>
      <c r="B2340">
        <v>3</v>
      </c>
      <c r="C2340">
        <v>0.4</v>
      </c>
      <c r="D2340">
        <v>100</v>
      </c>
      <c r="E2340">
        <v>0.18073526268456799</v>
      </c>
      <c r="F2340">
        <v>3</v>
      </c>
      <c r="G2340">
        <v>33.358068080000002</v>
      </c>
      <c r="H2340">
        <v>9.6183809837510098E-2</v>
      </c>
      <c r="I2340">
        <v>3</v>
      </c>
      <c r="J2340">
        <v>0.61560953699999998</v>
      </c>
      <c r="P2340"/>
      <c r="V2340">
        <v>9.3741716976462997E-2</v>
      </c>
      <c r="W2340">
        <v>3</v>
      </c>
      <c r="X2340">
        <v>75650.834676357001</v>
      </c>
      <c r="Y2340">
        <v>11097</v>
      </c>
      <c r="Z2340">
        <v>3.2240510411702399</v>
      </c>
      <c r="AA2340">
        <v>100</v>
      </c>
    </row>
    <row r="2341" spans="1:27" x14ac:dyDescent="0.2">
      <c r="A2341">
        <v>30</v>
      </c>
      <c r="B2341">
        <v>3</v>
      </c>
      <c r="C2341">
        <v>0.4</v>
      </c>
      <c r="D2341">
        <v>100</v>
      </c>
      <c r="E2341">
        <v>0.20629627249427901</v>
      </c>
      <c r="F2341">
        <v>3</v>
      </c>
      <c r="G2341">
        <v>35.262720711</v>
      </c>
      <c r="H2341">
        <v>5.3038597794672501E-2</v>
      </c>
      <c r="I2341">
        <v>3</v>
      </c>
      <c r="J2341">
        <v>0.75495615299999996</v>
      </c>
      <c r="P2341"/>
      <c r="V2341">
        <v>4.8798377487841903E-2</v>
      </c>
      <c r="W2341">
        <v>3</v>
      </c>
      <c r="X2341">
        <v>75478.243322840004</v>
      </c>
      <c r="Y2341">
        <v>33112</v>
      </c>
      <c r="Z2341">
        <v>8.2827011869394394</v>
      </c>
      <c r="AA2341">
        <v>100</v>
      </c>
    </row>
    <row r="2342" spans="1:27" x14ac:dyDescent="0.2">
      <c r="A2342">
        <v>30</v>
      </c>
      <c r="B2342">
        <v>3</v>
      </c>
      <c r="C2342">
        <v>0.3</v>
      </c>
      <c r="D2342">
        <v>100</v>
      </c>
      <c r="E2342">
        <v>0.29912536769471898</v>
      </c>
      <c r="F2342">
        <v>3</v>
      </c>
      <c r="G2342">
        <v>30.474570599</v>
      </c>
      <c r="H2342">
        <v>0.12565899171895401</v>
      </c>
      <c r="I2342">
        <v>3</v>
      </c>
      <c r="J2342">
        <v>1.0648231319999999</v>
      </c>
      <c r="P2342"/>
      <c r="V2342">
        <v>0.116571622970122</v>
      </c>
      <c r="W2342">
        <v>3</v>
      </c>
      <c r="X2342">
        <v>75687.793254218006</v>
      </c>
      <c r="Y2342">
        <v>13640</v>
      </c>
      <c r="Z2342">
        <v>4.6598602252070096</v>
      </c>
      <c r="AA2342">
        <v>100</v>
      </c>
    </row>
    <row r="2343" spans="1:27" x14ac:dyDescent="0.2">
      <c r="A2343">
        <v>30</v>
      </c>
      <c r="B2343">
        <v>3</v>
      </c>
      <c r="C2343">
        <v>0.1</v>
      </c>
      <c r="D2343">
        <v>100</v>
      </c>
      <c r="E2343">
        <v>0.96815597077342797</v>
      </c>
      <c r="F2343">
        <v>3</v>
      </c>
      <c r="G2343">
        <v>32.219780958000001</v>
      </c>
      <c r="H2343">
        <v>0.94931621332377003</v>
      </c>
      <c r="I2343">
        <v>3</v>
      </c>
      <c r="J2343">
        <v>1.8286417230000001</v>
      </c>
      <c r="P2343"/>
      <c r="V2343">
        <v>0.949858180123902</v>
      </c>
      <c r="W2343">
        <v>3</v>
      </c>
      <c r="X2343">
        <v>75985.305080067003</v>
      </c>
      <c r="Y2343">
        <v>12290</v>
      </c>
      <c r="Z2343">
        <v>0.121740123601234</v>
      </c>
      <c r="AA2343">
        <v>100</v>
      </c>
    </row>
    <row r="2344" spans="1:27" x14ac:dyDescent="0.2">
      <c r="A2344">
        <v>30</v>
      </c>
      <c r="B2344">
        <v>3</v>
      </c>
      <c r="C2344">
        <v>0.2</v>
      </c>
      <c r="D2344">
        <v>100</v>
      </c>
      <c r="E2344">
        <v>0.652985366445893</v>
      </c>
      <c r="F2344">
        <v>3</v>
      </c>
      <c r="G2344">
        <v>28.161882151</v>
      </c>
      <c r="H2344">
        <v>0.38560163791653301</v>
      </c>
      <c r="I2344">
        <v>3</v>
      </c>
      <c r="J2344">
        <v>1.704710599</v>
      </c>
      <c r="P2344"/>
      <c r="V2344">
        <v>0.386985022279144</v>
      </c>
      <c r="W2344">
        <v>3</v>
      </c>
      <c r="X2344">
        <v>76663.972881075999</v>
      </c>
      <c r="Y2344">
        <v>4932</v>
      </c>
      <c r="Z2344">
        <v>1.2903332395509499</v>
      </c>
      <c r="AA2344">
        <v>100</v>
      </c>
    </row>
    <row r="2345" spans="1:27" x14ac:dyDescent="0.2">
      <c r="A2345">
        <v>30</v>
      </c>
      <c r="B2345">
        <v>3</v>
      </c>
      <c r="C2345">
        <v>0.2</v>
      </c>
      <c r="D2345">
        <v>100</v>
      </c>
      <c r="E2345">
        <v>0.552739940910978</v>
      </c>
      <c r="F2345">
        <v>3</v>
      </c>
      <c r="G2345">
        <v>38.227472278</v>
      </c>
      <c r="H2345">
        <v>0.23089361962940999</v>
      </c>
      <c r="I2345">
        <v>3</v>
      </c>
      <c r="J2345">
        <v>2.3406465029999999</v>
      </c>
      <c r="P2345"/>
      <c r="V2345">
        <v>0.21646469330071899</v>
      </c>
      <c r="W2345">
        <v>3</v>
      </c>
      <c r="X2345">
        <v>75469.194541824996</v>
      </c>
      <c r="Y2345">
        <v>42486</v>
      </c>
      <c r="Z2345">
        <v>1.3949774354514299</v>
      </c>
      <c r="AA2345">
        <v>100</v>
      </c>
    </row>
    <row r="2346" spans="1:27" x14ac:dyDescent="0.2">
      <c r="A2346">
        <v>30</v>
      </c>
      <c r="B2346">
        <v>3</v>
      </c>
      <c r="C2346">
        <v>0.1</v>
      </c>
      <c r="D2346">
        <v>100</v>
      </c>
      <c r="E2346">
        <v>1.1604172701526101</v>
      </c>
      <c r="F2346">
        <v>3</v>
      </c>
      <c r="G2346">
        <v>33.821007657000003</v>
      </c>
      <c r="H2346">
        <v>1.0681080062134001</v>
      </c>
      <c r="I2346">
        <v>3</v>
      </c>
      <c r="J2346">
        <v>1.7196572619999999</v>
      </c>
      <c r="P2346"/>
      <c r="V2346">
        <v>1.0689481515227399</v>
      </c>
      <c r="W2346">
        <v>3</v>
      </c>
      <c r="X2346">
        <v>75932.859644846001</v>
      </c>
      <c r="Y2346">
        <v>12726</v>
      </c>
      <c r="Z2346">
        <v>2.6734580174497799E-2</v>
      </c>
      <c r="AA2346">
        <v>100</v>
      </c>
    </row>
    <row r="2347" spans="1:27" x14ac:dyDescent="0.2">
      <c r="A2347">
        <v>30</v>
      </c>
      <c r="B2347">
        <v>3</v>
      </c>
      <c r="C2347">
        <v>0.1</v>
      </c>
      <c r="D2347">
        <v>100</v>
      </c>
      <c r="E2347">
        <v>1.0117912351115299</v>
      </c>
      <c r="F2347">
        <v>3</v>
      </c>
      <c r="G2347">
        <v>29.855392341999998</v>
      </c>
      <c r="H2347">
        <v>0.99045425494180594</v>
      </c>
      <c r="I2347">
        <v>3</v>
      </c>
      <c r="J2347">
        <v>1.5677884339999999</v>
      </c>
      <c r="P2347"/>
      <c r="V2347">
        <v>0.99153211231066396</v>
      </c>
      <c r="W2347">
        <v>3</v>
      </c>
      <c r="X2347">
        <v>76060.958675282003</v>
      </c>
      <c r="Y2347">
        <v>13148</v>
      </c>
      <c r="Z2347">
        <v>3.40722714736219E-2</v>
      </c>
      <c r="AA2347">
        <v>100</v>
      </c>
    </row>
    <row r="2348" spans="1:27" x14ac:dyDescent="0.2">
      <c r="A2348">
        <v>30</v>
      </c>
      <c r="B2348">
        <v>3</v>
      </c>
      <c r="C2348">
        <v>0.3</v>
      </c>
      <c r="D2348">
        <v>100</v>
      </c>
      <c r="E2348">
        <v>0.27390121558820801</v>
      </c>
      <c r="F2348">
        <v>3</v>
      </c>
      <c r="G2348">
        <v>40.881573998</v>
      </c>
      <c r="H2348">
        <v>9.4854828494609397E-2</v>
      </c>
      <c r="I2348">
        <v>3</v>
      </c>
      <c r="J2348">
        <v>1.5371537289999999</v>
      </c>
      <c r="P2348"/>
      <c r="V2348">
        <v>8.0919007750134206E-2</v>
      </c>
      <c r="W2348">
        <v>3</v>
      </c>
      <c r="X2348">
        <v>75602.067985054004</v>
      </c>
      <c r="Y2348">
        <v>43012</v>
      </c>
      <c r="Z2348">
        <v>4.4944960930515601</v>
      </c>
      <c r="AA2348">
        <v>100</v>
      </c>
    </row>
    <row r="2349" spans="1:27" x14ac:dyDescent="0.2">
      <c r="A2349">
        <v>30</v>
      </c>
      <c r="B2349">
        <v>3</v>
      </c>
      <c r="C2349">
        <v>0.3</v>
      </c>
      <c r="D2349">
        <v>100</v>
      </c>
      <c r="E2349">
        <v>0.22498387239134299</v>
      </c>
      <c r="F2349">
        <v>3</v>
      </c>
      <c r="G2349">
        <v>43.414280556999998</v>
      </c>
      <c r="H2349">
        <v>6.1004133524481897E-2</v>
      </c>
      <c r="I2349">
        <v>3</v>
      </c>
      <c r="J2349">
        <v>1.4263766090000001</v>
      </c>
      <c r="P2349"/>
      <c r="V2349">
        <v>5.6363853869440303E-2</v>
      </c>
      <c r="W2349">
        <v>3</v>
      </c>
      <c r="X2349">
        <v>76642.991444769999</v>
      </c>
      <c r="Y2349">
        <v>4667</v>
      </c>
      <c r="Z2349">
        <v>2.6948357251439998</v>
      </c>
      <c r="AA2349">
        <v>100</v>
      </c>
    </row>
    <row r="2350" spans="1:27" x14ac:dyDescent="0.2">
      <c r="A2350">
        <v>30</v>
      </c>
      <c r="B2350">
        <v>3</v>
      </c>
      <c r="C2350">
        <v>0.2</v>
      </c>
      <c r="D2350">
        <v>100</v>
      </c>
      <c r="E2350">
        <v>0.70744048620626099</v>
      </c>
      <c r="F2350">
        <v>3</v>
      </c>
      <c r="G2350">
        <v>37.901576749999997</v>
      </c>
      <c r="H2350">
        <v>0.314233456769757</v>
      </c>
      <c r="I2350">
        <v>3</v>
      </c>
      <c r="J2350">
        <v>1.916646021</v>
      </c>
      <c r="P2350"/>
      <c r="V2350">
        <v>0.31080622973697802</v>
      </c>
      <c r="W2350">
        <v>3</v>
      </c>
      <c r="X2350">
        <v>76669.296522664998</v>
      </c>
      <c r="Y2350">
        <v>55322</v>
      </c>
      <c r="Z2350">
        <v>1.45557806418558</v>
      </c>
      <c r="AA2350">
        <v>100</v>
      </c>
    </row>
    <row r="2351" spans="1:27" x14ac:dyDescent="0.2">
      <c r="A2351">
        <v>30</v>
      </c>
      <c r="B2351">
        <v>3</v>
      </c>
      <c r="C2351">
        <v>0.1</v>
      </c>
      <c r="D2351">
        <v>100</v>
      </c>
      <c r="E2351">
        <v>0.99031733188099902</v>
      </c>
      <c r="F2351">
        <v>3</v>
      </c>
      <c r="G2351">
        <v>37.816131282999997</v>
      </c>
      <c r="H2351">
        <v>0.95823812393958596</v>
      </c>
      <c r="I2351">
        <v>3</v>
      </c>
      <c r="J2351">
        <v>1.990719535</v>
      </c>
      <c r="P2351"/>
      <c r="V2351">
        <v>0.95896835823837501</v>
      </c>
      <c r="W2351">
        <v>3</v>
      </c>
      <c r="X2351">
        <v>77017.220952889998</v>
      </c>
      <c r="Y2351">
        <v>31806</v>
      </c>
      <c r="Z2351">
        <v>0.12430922818025</v>
      </c>
      <c r="AA2351">
        <v>100</v>
      </c>
    </row>
    <row r="2352" spans="1:27" x14ac:dyDescent="0.2">
      <c r="A2352">
        <v>30</v>
      </c>
      <c r="B2352">
        <v>3</v>
      </c>
      <c r="C2352">
        <v>0.2</v>
      </c>
      <c r="D2352">
        <v>100</v>
      </c>
      <c r="E2352">
        <v>0.72238121367578501</v>
      </c>
      <c r="F2352">
        <v>3</v>
      </c>
      <c r="G2352">
        <v>32.450562691000002</v>
      </c>
      <c r="H2352">
        <v>0.40173634426706001</v>
      </c>
      <c r="I2352">
        <v>3</v>
      </c>
      <c r="J2352">
        <v>1.7490653789999999</v>
      </c>
      <c r="P2352"/>
      <c r="V2352">
        <v>0.40092302972323302</v>
      </c>
      <c r="W2352">
        <v>3</v>
      </c>
      <c r="X2352">
        <v>75562.108161780998</v>
      </c>
      <c r="Y2352">
        <v>14168</v>
      </c>
      <c r="Z2352">
        <v>1.1268919988552899</v>
      </c>
      <c r="AA2352">
        <v>100</v>
      </c>
    </row>
    <row r="2353" spans="1:27" x14ac:dyDescent="0.2">
      <c r="A2353">
        <v>30</v>
      </c>
      <c r="B2353">
        <v>3</v>
      </c>
      <c r="C2353">
        <v>0.4</v>
      </c>
      <c r="D2353">
        <v>100</v>
      </c>
      <c r="E2353">
        <v>0.13292590388610501</v>
      </c>
      <c r="F2353">
        <v>3</v>
      </c>
      <c r="G2353">
        <v>28.970809752000001</v>
      </c>
      <c r="H2353">
        <v>3.67220516453204E-2</v>
      </c>
      <c r="I2353">
        <v>3</v>
      </c>
      <c r="J2353">
        <v>0.50111174199999997</v>
      </c>
      <c r="P2353"/>
      <c r="V2353">
        <v>3.1027490971003199E-2</v>
      </c>
      <c r="W2353">
        <v>3</v>
      </c>
      <c r="X2353">
        <v>75517.828336659004</v>
      </c>
      <c r="Y2353">
        <v>11422</v>
      </c>
      <c r="Z2353">
        <v>4.2554751548668701</v>
      </c>
      <c r="AA2353">
        <v>100</v>
      </c>
    </row>
    <row r="2354" spans="1:27" x14ac:dyDescent="0.2">
      <c r="A2354">
        <v>30</v>
      </c>
      <c r="B2354">
        <v>3</v>
      </c>
      <c r="C2354">
        <v>0.3</v>
      </c>
      <c r="D2354">
        <v>100</v>
      </c>
      <c r="E2354">
        <v>0.33551228954894602</v>
      </c>
      <c r="F2354">
        <v>3</v>
      </c>
      <c r="G2354">
        <v>36.375337084999998</v>
      </c>
      <c r="H2354">
        <v>7.70106230489324E-2</v>
      </c>
      <c r="I2354">
        <v>3</v>
      </c>
      <c r="J2354">
        <v>1.1629276770000001</v>
      </c>
      <c r="P2354"/>
      <c r="V2354">
        <v>7.3023066098905895E-2</v>
      </c>
      <c r="W2354">
        <v>3</v>
      </c>
      <c r="X2354">
        <v>75542.268329869999</v>
      </c>
      <c r="Y2354">
        <v>38962</v>
      </c>
      <c r="Z2354">
        <v>3.8465561057102802</v>
      </c>
      <c r="AA2354">
        <v>100</v>
      </c>
    </row>
    <row r="2355" spans="1:27" x14ac:dyDescent="0.2">
      <c r="A2355">
        <v>30</v>
      </c>
      <c r="B2355">
        <v>3</v>
      </c>
      <c r="C2355">
        <v>0.4</v>
      </c>
      <c r="D2355">
        <v>100</v>
      </c>
      <c r="E2355">
        <v>5.7528276236156903E-2</v>
      </c>
      <c r="F2355">
        <v>3</v>
      </c>
      <c r="G2355">
        <v>34.737966966000002</v>
      </c>
      <c r="H2355">
        <v>3.1335081254354497E-2</v>
      </c>
      <c r="I2355">
        <v>3</v>
      </c>
      <c r="J2355">
        <v>0.56931048699999998</v>
      </c>
      <c r="P2355"/>
      <c r="V2355">
        <v>2.6127308984333599E-2</v>
      </c>
      <c r="W2355">
        <v>3</v>
      </c>
      <c r="X2355">
        <v>77312.308410509999</v>
      </c>
      <c r="Y2355">
        <v>4360</v>
      </c>
      <c r="Z2355">
        <v>2.88896169077992</v>
      </c>
      <c r="AA2355">
        <v>100</v>
      </c>
    </row>
    <row r="2356" spans="1:27" x14ac:dyDescent="0.2">
      <c r="A2356">
        <v>30</v>
      </c>
      <c r="B2356">
        <v>3</v>
      </c>
      <c r="C2356">
        <v>0.2</v>
      </c>
      <c r="D2356">
        <v>100</v>
      </c>
      <c r="E2356">
        <v>0.48262280026604798</v>
      </c>
      <c r="F2356">
        <v>3</v>
      </c>
      <c r="G2356">
        <v>30.279375405</v>
      </c>
      <c r="H2356">
        <v>0.32738838175625401</v>
      </c>
      <c r="I2356">
        <v>3</v>
      </c>
      <c r="J2356">
        <v>1.445002686</v>
      </c>
      <c r="P2356"/>
      <c r="V2356">
        <v>0.32580912098091802</v>
      </c>
      <c r="W2356">
        <v>3</v>
      </c>
      <c r="X2356">
        <v>76073.456914634007</v>
      </c>
      <c r="Y2356">
        <v>56147</v>
      </c>
      <c r="Z2356">
        <v>1.09430080623325</v>
      </c>
      <c r="AA2356">
        <v>100</v>
      </c>
    </row>
    <row r="2357" spans="1:27" x14ac:dyDescent="0.2">
      <c r="A2357">
        <v>30</v>
      </c>
      <c r="B2357">
        <v>3</v>
      </c>
      <c r="C2357">
        <v>0.3</v>
      </c>
      <c r="D2357">
        <v>100</v>
      </c>
      <c r="E2357">
        <v>0.329159495018361</v>
      </c>
      <c r="F2357">
        <v>3</v>
      </c>
      <c r="G2357">
        <v>33.449593927999999</v>
      </c>
      <c r="H2357">
        <v>0.14577545451027801</v>
      </c>
      <c r="I2357">
        <v>3</v>
      </c>
      <c r="J2357">
        <v>0.89047729499999995</v>
      </c>
      <c r="P2357"/>
      <c r="V2357">
        <v>0.14250510163525101</v>
      </c>
      <c r="W2357">
        <v>3</v>
      </c>
      <c r="X2357">
        <v>75758.439504434995</v>
      </c>
      <c r="Y2357">
        <v>7466</v>
      </c>
      <c r="Z2357">
        <v>2.5796842517720502</v>
      </c>
      <c r="AA2357">
        <v>100</v>
      </c>
    </row>
    <row r="2358" spans="1:27" x14ac:dyDescent="0.2">
      <c r="A2358">
        <v>30</v>
      </c>
      <c r="B2358">
        <v>3</v>
      </c>
      <c r="C2358">
        <v>0.4</v>
      </c>
      <c r="D2358">
        <v>100</v>
      </c>
      <c r="E2358">
        <v>0.117284664804715</v>
      </c>
      <c r="F2358">
        <v>3</v>
      </c>
      <c r="G2358">
        <v>33.828779511999997</v>
      </c>
      <c r="H2358">
        <v>3.2220844546785199E-2</v>
      </c>
      <c r="I2358">
        <v>3</v>
      </c>
      <c r="J2358">
        <v>0.71069265000000004</v>
      </c>
      <c r="P2358"/>
      <c r="V2358">
        <v>2.69009166454399E-2</v>
      </c>
      <c r="W2358">
        <v>3</v>
      </c>
      <c r="X2358">
        <v>75890.381937942002</v>
      </c>
      <c r="Y2358">
        <v>2581</v>
      </c>
      <c r="Z2358">
        <v>6.6754182580680199</v>
      </c>
      <c r="AA2358">
        <v>100</v>
      </c>
    </row>
    <row r="2359" spans="1:27" x14ac:dyDescent="0.2">
      <c r="A2359">
        <v>30</v>
      </c>
      <c r="B2359">
        <v>3</v>
      </c>
      <c r="C2359">
        <v>0.1</v>
      </c>
      <c r="D2359">
        <v>100</v>
      </c>
      <c r="E2359">
        <v>1.0840259493448701</v>
      </c>
      <c r="F2359">
        <v>3</v>
      </c>
      <c r="G2359">
        <v>32.668467763999999</v>
      </c>
      <c r="H2359">
        <v>0.98479354263769003</v>
      </c>
      <c r="I2359">
        <v>3</v>
      </c>
      <c r="J2359">
        <v>1.855668576</v>
      </c>
      <c r="P2359"/>
      <c r="V2359">
        <v>0.98551341782560897</v>
      </c>
      <c r="W2359">
        <v>3</v>
      </c>
      <c r="X2359">
        <v>76223.723696685003</v>
      </c>
      <c r="Y2359">
        <v>13500</v>
      </c>
      <c r="Z2359">
        <v>0.103166537391038</v>
      </c>
      <c r="AA2359">
        <v>100</v>
      </c>
    </row>
    <row r="2360" spans="1:27" x14ac:dyDescent="0.2">
      <c r="A2360">
        <v>30</v>
      </c>
      <c r="B2360">
        <v>3</v>
      </c>
      <c r="C2360">
        <v>0.4</v>
      </c>
      <c r="D2360">
        <v>100</v>
      </c>
      <c r="E2360">
        <v>0.122959648082172</v>
      </c>
      <c r="F2360">
        <v>3</v>
      </c>
      <c r="G2360">
        <v>33.211393412</v>
      </c>
      <c r="H2360">
        <v>4.9751283038994697E-2</v>
      </c>
      <c r="I2360">
        <v>3</v>
      </c>
      <c r="J2360">
        <v>0.74478619400000001</v>
      </c>
      <c r="P2360"/>
      <c r="V2360">
        <v>4.060838000006E-2</v>
      </c>
      <c r="W2360">
        <v>3</v>
      </c>
      <c r="X2360">
        <v>75754.895740784996</v>
      </c>
      <c r="Y2360">
        <v>19515</v>
      </c>
      <c r="Z2360">
        <v>1.7539488776710599</v>
      </c>
      <c r="AA2360">
        <v>100</v>
      </c>
    </row>
    <row r="2361" spans="1:27" x14ac:dyDescent="0.2">
      <c r="A2361">
        <v>30</v>
      </c>
      <c r="B2361">
        <v>3</v>
      </c>
      <c r="C2361">
        <v>0.3</v>
      </c>
      <c r="D2361">
        <v>100</v>
      </c>
      <c r="E2361">
        <v>0.24958799044401</v>
      </c>
      <c r="F2361">
        <v>3</v>
      </c>
      <c r="G2361">
        <v>32.033301274999999</v>
      </c>
      <c r="H2361">
        <v>4.2399411073786503E-2</v>
      </c>
      <c r="I2361">
        <v>3</v>
      </c>
      <c r="J2361">
        <v>0.89389359800000001</v>
      </c>
      <c r="P2361"/>
      <c r="V2361">
        <v>3.6605291858931598E-2</v>
      </c>
      <c r="W2361">
        <v>3</v>
      </c>
      <c r="X2361">
        <v>76124.742100100004</v>
      </c>
      <c r="Y2361">
        <v>11045</v>
      </c>
      <c r="Z2361">
        <v>4.8599288745954201</v>
      </c>
      <c r="AA2361">
        <v>100</v>
      </c>
    </row>
    <row r="2362" spans="1:27" x14ac:dyDescent="0.2">
      <c r="A2362">
        <v>30</v>
      </c>
      <c r="B2362">
        <v>3</v>
      </c>
      <c r="C2362">
        <v>0.1</v>
      </c>
      <c r="D2362">
        <v>100</v>
      </c>
      <c r="E2362">
        <v>1.0214355747288399</v>
      </c>
      <c r="F2362">
        <v>3</v>
      </c>
      <c r="G2362">
        <v>30.448838561999999</v>
      </c>
      <c r="H2362">
        <v>0.97359947419611803</v>
      </c>
      <c r="I2362">
        <v>3</v>
      </c>
      <c r="J2362">
        <v>1.596348648</v>
      </c>
      <c r="P2362"/>
      <c r="V2362">
        <v>0.97403934878634402</v>
      </c>
      <c r="W2362">
        <v>3</v>
      </c>
      <c r="X2362">
        <v>76166.995181835999</v>
      </c>
      <c r="Y2362">
        <v>13646</v>
      </c>
      <c r="Z2362">
        <v>6.4349413195552693E-2</v>
      </c>
      <c r="AA2362">
        <v>100</v>
      </c>
    </row>
    <row r="2363" spans="1:27" x14ac:dyDescent="0.2">
      <c r="A2363">
        <v>30</v>
      </c>
      <c r="B2363">
        <v>3</v>
      </c>
      <c r="C2363">
        <v>0.2</v>
      </c>
      <c r="D2363">
        <v>100</v>
      </c>
      <c r="E2363">
        <v>0.77261319626763103</v>
      </c>
      <c r="F2363">
        <v>3</v>
      </c>
      <c r="G2363">
        <v>38.464123131999997</v>
      </c>
      <c r="H2363">
        <v>0.40017785493848801</v>
      </c>
      <c r="I2363">
        <v>3</v>
      </c>
      <c r="J2363">
        <v>1.945200061</v>
      </c>
      <c r="P2363"/>
      <c r="V2363">
        <v>0.399196986810468</v>
      </c>
      <c r="W2363">
        <v>3</v>
      </c>
      <c r="X2363">
        <v>78050.353656869993</v>
      </c>
      <c r="Y2363">
        <v>2516</v>
      </c>
      <c r="Z2363">
        <v>2.28916002189544</v>
      </c>
      <c r="AA2363">
        <v>100</v>
      </c>
    </row>
    <row r="2364" spans="1:27" x14ac:dyDescent="0.2">
      <c r="A2364">
        <v>30</v>
      </c>
      <c r="B2364">
        <v>3</v>
      </c>
      <c r="C2364">
        <v>0.1</v>
      </c>
      <c r="D2364">
        <v>100</v>
      </c>
      <c r="E2364">
        <v>1.1383899223982801</v>
      </c>
      <c r="F2364">
        <v>3</v>
      </c>
      <c r="G2364">
        <v>31.190559794999999</v>
      </c>
      <c r="H2364">
        <v>1.0574426514294499</v>
      </c>
      <c r="I2364">
        <v>3</v>
      </c>
      <c r="J2364">
        <v>1.818126675</v>
      </c>
      <c r="P2364"/>
      <c r="V2364">
        <v>1.05857870584</v>
      </c>
      <c r="W2364">
        <v>3</v>
      </c>
      <c r="X2364">
        <v>77240.483213817002</v>
      </c>
      <c r="Y2364">
        <v>27184</v>
      </c>
      <c r="Z2364">
        <v>0.11315205608097</v>
      </c>
      <c r="AA2364">
        <v>100</v>
      </c>
    </row>
    <row r="2365" spans="1:27" x14ac:dyDescent="0.2">
      <c r="A2365">
        <v>30</v>
      </c>
      <c r="B2365">
        <v>3</v>
      </c>
      <c r="C2365">
        <v>0.2</v>
      </c>
      <c r="D2365">
        <v>100</v>
      </c>
      <c r="E2365">
        <v>0.66905885451337399</v>
      </c>
      <c r="F2365">
        <v>3</v>
      </c>
      <c r="G2365">
        <v>30.930135813</v>
      </c>
      <c r="H2365">
        <v>0.58195176435778695</v>
      </c>
      <c r="I2365">
        <v>3</v>
      </c>
      <c r="J2365">
        <v>1.7324912589999999</v>
      </c>
      <c r="P2365"/>
      <c r="V2365">
        <v>0.59053459402745201</v>
      </c>
      <c r="W2365">
        <v>3</v>
      </c>
      <c r="X2365">
        <v>76020.861686994002</v>
      </c>
      <c r="Y2365">
        <v>50541</v>
      </c>
      <c r="Z2365">
        <v>1.8080680750317</v>
      </c>
      <c r="AA2365">
        <v>100</v>
      </c>
    </row>
    <row r="2366" spans="1:27" x14ac:dyDescent="0.2">
      <c r="A2366">
        <v>30</v>
      </c>
      <c r="B2366">
        <v>3</v>
      </c>
      <c r="C2366">
        <v>0.3</v>
      </c>
      <c r="D2366">
        <v>100</v>
      </c>
      <c r="E2366">
        <v>0.27891205223382798</v>
      </c>
      <c r="F2366">
        <v>3</v>
      </c>
      <c r="G2366">
        <v>28.868375661000002</v>
      </c>
      <c r="H2366">
        <v>8.9571371592984797E-2</v>
      </c>
      <c r="I2366">
        <v>3</v>
      </c>
      <c r="J2366">
        <v>1.36941581</v>
      </c>
      <c r="P2366"/>
      <c r="V2366">
        <v>8.3515602528432306E-2</v>
      </c>
      <c r="W2366">
        <v>3</v>
      </c>
      <c r="X2366">
        <v>75756.055858402993</v>
      </c>
      <c r="Y2366">
        <v>34024</v>
      </c>
      <c r="Z2366">
        <v>2.0015688326602601</v>
      </c>
      <c r="AA2366">
        <v>100</v>
      </c>
    </row>
    <row r="2367" spans="1:27" x14ac:dyDescent="0.2">
      <c r="A2367">
        <v>30</v>
      </c>
      <c r="B2367">
        <v>3</v>
      </c>
      <c r="C2367">
        <v>0.1</v>
      </c>
      <c r="D2367">
        <v>100</v>
      </c>
      <c r="E2367">
        <v>0.87984874462870999</v>
      </c>
      <c r="F2367">
        <v>3</v>
      </c>
      <c r="G2367">
        <v>38.260092380000003</v>
      </c>
      <c r="H2367">
        <v>0.85419866882196005</v>
      </c>
      <c r="I2367">
        <v>3</v>
      </c>
      <c r="J2367">
        <v>1.895810217</v>
      </c>
      <c r="P2367"/>
      <c r="V2367">
        <v>0.85525112879395004</v>
      </c>
      <c r="W2367">
        <v>3</v>
      </c>
      <c r="X2367">
        <v>75817.037761692001</v>
      </c>
      <c r="Y2367">
        <v>32050</v>
      </c>
      <c r="Z2367">
        <v>6.1739880844344897E-2</v>
      </c>
      <c r="AA2367">
        <v>100</v>
      </c>
    </row>
    <row r="2368" spans="1:27" x14ac:dyDescent="0.2">
      <c r="A2368">
        <v>30</v>
      </c>
      <c r="B2368">
        <v>3</v>
      </c>
      <c r="C2368">
        <v>0.3</v>
      </c>
      <c r="D2368">
        <v>100</v>
      </c>
      <c r="E2368">
        <v>0.31782370553945299</v>
      </c>
      <c r="F2368">
        <v>3</v>
      </c>
      <c r="G2368">
        <v>48.597845450000001</v>
      </c>
      <c r="H2368">
        <v>6.2383782344329397E-2</v>
      </c>
      <c r="I2368">
        <v>3</v>
      </c>
      <c r="J2368">
        <v>2.0835037270000001</v>
      </c>
      <c r="P2368"/>
      <c r="V2368">
        <v>5.7620977376173999E-2</v>
      </c>
      <c r="W2368">
        <v>3</v>
      </c>
      <c r="X2368">
        <v>78555.791724302995</v>
      </c>
      <c r="Y2368">
        <v>2586</v>
      </c>
      <c r="Z2368">
        <v>4.1854592889649203</v>
      </c>
      <c r="AA2368">
        <v>100</v>
      </c>
    </row>
    <row r="2369" spans="1:27" x14ac:dyDescent="0.2">
      <c r="A2369">
        <v>30</v>
      </c>
      <c r="B2369">
        <v>3</v>
      </c>
      <c r="C2369">
        <v>0.1</v>
      </c>
      <c r="D2369">
        <v>100</v>
      </c>
      <c r="E2369">
        <v>1.0202649148529599</v>
      </c>
      <c r="F2369">
        <v>3</v>
      </c>
      <c r="G2369">
        <v>30.509435914000001</v>
      </c>
      <c r="H2369">
        <v>0.97729414752822696</v>
      </c>
      <c r="I2369">
        <v>3</v>
      </c>
      <c r="J2369">
        <v>1.639460253</v>
      </c>
      <c r="P2369"/>
      <c r="V2369">
        <v>0.97786592283823504</v>
      </c>
      <c r="W2369">
        <v>3</v>
      </c>
      <c r="X2369">
        <v>76391.916017037001</v>
      </c>
      <c r="Y2369">
        <v>32378</v>
      </c>
      <c r="Z2369">
        <v>0.15292619300721</v>
      </c>
      <c r="AA2369">
        <v>100</v>
      </c>
    </row>
    <row r="2370" spans="1:27" x14ac:dyDescent="0.2">
      <c r="A2370">
        <v>30</v>
      </c>
      <c r="B2370">
        <v>3</v>
      </c>
      <c r="C2370">
        <v>0.2</v>
      </c>
      <c r="D2370">
        <v>100</v>
      </c>
      <c r="E2370">
        <v>0.74619154254415598</v>
      </c>
      <c r="F2370">
        <v>3</v>
      </c>
      <c r="G2370">
        <v>36.504057260000003</v>
      </c>
      <c r="H2370">
        <v>0.84373130028265797</v>
      </c>
      <c r="I2370">
        <v>3</v>
      </c>
      <c r="J2370">
        <v>2.1291203369999998</v>
      </c>
      <c r="P2370"/>
      <c r="V2370">
        <v>0.85008392462768001</v>
      </c>
      <c r="W2370">
        <v>3</v>
      </c>
      <c r="X2370">
        <v>78149.651067642</v>
      </c>
      <c r="Y2370">
        <v>4755</v>
      </c>
      <c r="Z2370">
        <v>1.40887318352542</v>
      </c>
      <c r="AA2370">
        <v>100</v>
      </c>
    </row>
    <row r="2371" spans="1:27" x14ac:dyDescent="0.2">
      <c r="A2371">
        <v>30</v>
      </c>
      <c r="B2371">
        <v>3</v>
      </c>
      <c r="C2371">
        <v>0.2</v>
      </c>
      <c r="D2371">
        <v>100</v>
      </c>
      <c r="E2371">
        <v>0.72040304544782496</v>
      </c>
      <c r="F2371">
        <v>3</v>
      </c>
      <c r="G2371">
        <v>36.558026661</v>
      </c>
      <c r="H2371">
        <v>0.58152111935514705</v>
      </c>
      <c r="I2371">
        <v>3</v>
      </c>
      <c r="J2371">
        <v>2.1540609420000001</v>
      </c>
      <c r="P2371"/>
      <c r="V2371">
        <v>0.58332539471086498</v>
      </c>
      <c r="W2371">
        <v>3</v>
      </c>
      <c r="X2371">
        <v>78078.833837943006</v>
      </c>
      <c r="Y2371">
        <v>2542</v>
      </c>
      <c r="Z2371">
        <v>1.5314962367011</v>
      </c>
      <c r="AA2371">
        <v>100</v>
      </c>
    </row>
    <row r="2372" spans="1:27" x14ac:dyDescent="0.2">
      <c r="A2372">
        <v>30</v>
      </c>
      <c r="B2372">
        <v>2</v>
      </c>
      <c r="C2372">
        <v>0.1</v>
      </c>
      <c r="D2372">
        <v>20</v>
      </c>
      <c r="E2372">
        <v>0.77062903564957397</v>
      </c>
      <c r="F2372">
        <v>2</v>
      </c>
      <c r="G2372">
        <v>29.824116955000001</v>
      </c>
      <c r="H2372">
        <v>0.60220592386302696</v>
      </c>
      <c r="I2372">
        <v>2</v>
      </c>
      <c r="J2372">
        <v>1.280243053</v>
      </c>
      <c r="P2372"/>
      <c r="V2372">
        <v>0.59812885223853396</v>
      </c>
      <c r="W2372">
        <v>2</v>
      </c>
      <c r="X2372">
        <v>78140.666151799</v>
      </c>
      <c r="Y2372">
        <v>38267</v>
      </c>
      <c r="Z2372">
        <v>0.39249605836055301</v>
      </c>
      <c r="AA2372">
        <v>100</v>
      </c>
    </row>
    <row r="2373" spans="1:27" x14ac:dyDescent="0.2">
      <c r="A2373">
        <v>30</v>
      </c>
      <c r="B2373">
        <v>2</v>
      </c>
      <c r="C2373">
        <v>0.2</v>
      </c>
      <c r="D2373">
        <v>20</v>
      </c>
      <c r="E2373">
        <v>0.37836453742662601</v>
      </c>
      <c r="F2373">
        <v>2</v>
      </c>
      <c r="G2373">
        <v>30.660488399999998</v>
      </c>
      <c r="H2373">
        <v>0.30368032400786998</v>
      </c>
      <c r="I2373">
        <v>2</v>
      </c>
      <c r="J2373">
        <v>0.64762191599999996</v>
      </c>
      <c r="P2373"/>
      <c r="V2373">
        <v>0.29598216283235002</v>
      </c>
      <c r="W2373">
        <v>2</v>
      </c>
      <c r="X2373">
        <v>78917.908795791998</v>
      </c>
      <c r="Y2373">
        <v>2437</v>
      </c>
      <c r="Z2373">
        <v>2.0144981144021501</v>
      </c>
      <c r="AA2373">
        <v>100</v>
      </c>
    </row>
    <row r="2374" spans="1:27" x14ac:dyDescent="0.2">
      <c r="A2374">
        <v>30</v>
      </c>
      <c r="B2374">
        <v>2</v>
      </c>
      <c r="C2374">
        <v>0.3</v>
      </c>
      <c r="D2374">
        <v>20</v>
      </c>
      <c r="E2374">
        <v>0.189626435734602</v>
      </c>
      <c r="F2374">
        <v>2</v>
      </c>
      <c r="G2374">
        <v>24.830545860000001</v>
      </c>
      <c r="H2374">
        <v>0.160150199500601</v>
      </c>
      <c r="I2374">
        <v>2</v>
      </c>
      <c r="J2374">
        <v>0.34834478000000002</v>
      </c>
      <c r="P2374"/>
      <c r="V2374">
        <v>0.14350076553793401</v>
      </c>
      <c r="W2374">
        <v>2</v>
      </c>
      <c r="X2374">
        <v>77810.346399421003</v>
      </c>
      <c r="Y2374">
        <v>24820</v>
      </c>
      <c r="Z2374">
        <v>4.3018973857791298</v>
      </c>
      <c r="AA2374">
        <v>100</v>
      </c>
    </row>
    <row r="2375" spans="1:27" x14ac:dyDescent="0.2">
      <c r="A2375">
        <v>30</v>
      </c>
      <c r="B2375">
        <v>2</v>
      </c>
      <c r="C2375">
        <v>0.4</v>
      </c>
      <c r="D2375">
        <v>20</v>
      </c>
      <c r="E2375">
        <v>8.0999010130211699E-2</v>
      </c>
      <c r="F2375">
        <v>2</v>
      </c>
      <c r="G2375">
        <v>29.133066930999998</v>
      </c>
      <c r="H2375">
        <v>6.7546926193134793E-2</v>
      </c>
      <c r="I2375">
        <v>2</v>
      </c>
      <c r="J2375">
        <v>0.20399452700000001</v>
      </c>
      <c r="P2375"/>
      <c r="V2375">
        <v>4.60071368532688E-2</v>
      </c>
      <c r="W2375">
        <v>2</v>
      </c>
      <c r="X2375">
        <v>76816.421449675006</v>
      </c>
      <c r="Y2375">
        <v>36950</v>
      </c>
      <c r="Z2375">
        <v>5.8445832085591798</v>
      </c>
      <c r="AA2375">
        <v>100</v>
      </c>
    </row>
    <row r="2376" spans="1:27" x14ac:dyDescent="0.2">
      <c r="A2376">
        <v>30</v>
      </c>
      <c r="B2376">
        <v>2</v>
      </c>
      <c r="C2376">
        <v>0.4</v>
      </c>
      <c r="D2376">
        <v>20</v>
      </c>
      <c r="E2376">
        <v>0.112861450682967</v>
      </c>
      <c r="F2376">
        <v>2</v>
      </c>
      <c r="G2376">
        <v>22.032969996999999</v>
      </c>
      <c r="H2376">
        <v>8.9139919451555999E-2</v>
      </c>
      <c r="I2376">
        <v>2</v>
      </c>
      <c r="J2376">
        <v>0.20841325499999999</v>
      </c>
      <c r="P2376"/>
      <c r="V2376">
        <v>6.5004833444031407E-2</v>
      </c>
      <c r="W2376">
        <v>2</v>
      </c>
      <c r="X2376">
        <v>79636.709970680997</v>
      </c>
      <c r="Y2376">
        <v>2224</v>
      </c>
      <c r="Z2376">
        <v>4.8430329235888996</v>
      </c>
      <c r="AA2376">
        <v>100</v>
      </c>
    </row>
    <row r="2377" spans="1:27" x14ac:dyDescent="0.2">
      <c r="A2377">
        <v>30</v>
      </c>
      <c r="B2377">
        <v>2</v>
      </c>
      <c r="C2377">
        <v>0.1</v>
      </c>
      <c r="D2377">
        <v>20</v>
      </c>
      <c r="E2377">
        <v>0.92763474793209899</v>
      </c>
      <c r="F2377">
        <v>2</v>
      </c>
      <c r="G2377">
        <v>28.095324545</v>
      </c>
      <c r="H2377">
        <v>0.87325864280243104</v>
      </c>
      <c r="I2377">
        <v>2</v>
      </c>
      <c r="J2377">
        <v>1.2209862039999999</v>
      </c>
      <c r="P2377"/>
      <c r="V2377">
        <v>0.87519666590488898</v>
      </c>
      <c r="W2377">
        <v>2</v>
      </c>
      <c r="X2377">
        <v>76907.926489410005</v>
      </c>
      <c r="Y2377">
        <v>23704</v>
      </c>
      <c r="Z2377">
        <v>0.31953719884312898</v>
      </c>
      <c r="AA2377">
        <v>100</v>
      </c>
    </row>
    <row r="2378" spans="1:27" x14ac:dyDescent="0.2">
      <c r="A2378">
        <v>30</v>
      </c>
      <c r="B2378">
        <v>2</v>
      </c>
      <c r="C2378">
        <v>0.1</v>
      </c>
      <c r="D2378">
        <v>20</v>
      </c>
      <c r="E2378">
        <v>0.77593073229964404</v>
      </c>
      <c r="F2378">
        <v>2</v>
      </c>
      <c r="G2378">
        <v>22.995056758</v>
      </c>
      <c r="H2378">
        <v>0.77946948290558604</v>
      </c>
      <c r="I2378">
        <v>2</v>
      </c>
      <c r="J2378">
        <v>0.76893018199999996</v>
      </c>
      <c r="P2378"/>
      <c r="V2378">
        <v>0.75086318996711898</v>
      </c>
      <c r="W2378">
        <v>2</v>
      </c>
      <c r="X2378">
        <v>79819.537468990005</v>
      </c>
      <c r="Y2378">
        <v>53017</v>
      </c>
      <c r="Z2378">
        <v>0.35650038091875003</v>
      </c>
      <c r="AA2378">
        <v>100</v>
      </c>
    </row>
    <row r="2379" spans="1:27" x14ac:dyDescent="0.2">
      <c r="A2379">
        <v>30</v>
      </c>
      <c r="B2379">
        <v>2</v>
      </c>
      <c r="C2379">
        <v>0.2</v>
      </c>
      <c r="D2379">
        <v>20</v>
      </c>
      <c r="E2379">
        <v>0.35919596602297699</v>
      </c>
      <c r="F2379">
        <v>2</v>
      </c>
      <c r="G2379">
        <v>24.839062535</v>
      </c>
      <c r="H2379">
        <v>0.277769723547728</v>
      </c>
      <c r="I2379">
        <v>2</v>
      </c>
      <c r="J2379">
        <v>0.505040661</v>
      </c>
      <c r="P2379"/>
      <c r="V2379">
        <v>0.25515587163467901</v>
      </c>
      <c r="W2379">
        <v>2</v>
      </c>
      <c r="X2379">
        <v>80538.765339491001</v>
      </c>
      <c r="Y2379">
        <v>2378</v>
      </c>
      <c r="Z2379">
        <v>3.2494470967304601</v>
      </c>
      <c r="AA2379">
        <v>100</v>
      </c>
    </row>
    <row r="2380" spans="1:27" x14ac:dyDescent="0.2">
      <c r="A2380">
        <v>30</v>
      </c>
      <c r="B2380">
        <v>2</v>
      </c>
      <c r="C2380">
        <v>0.2</v>
      </c>
      <c r="D2380">
        <v>20</v>
      </c>
      <c r="E2380">
        <v>0.37588074131742399</v>
      </c>
      <c r="F2380">
        <v>2</v>
      </c>
      <c r="G2380">
        <v>31.375191716</v>
      </c>
      <c r="H2380">
        <v>0.358991222296493</v>
      </c>
      <c r="I2380">
        <v>2</v>
      </c>
      <c r="J2380">
        <v>0.54052350999999998</v>
      </c>
      <c r="P2380"/>
      <c r="V2380">
        <v>0.34089243778733702</v>
      </c>
      <c r="W2380">
        <v>2</v>
      </c>
      <c r="X2380">
        <v>78775.229713773995</v>
      </c>
      <c r="Y2380">
        <v>2450</v>
      </c>
      <c r="Z2380">
        <v>1.58298703473883</v>
      </c>
      <c r="AA2380">
        <v>100</v>
      </c>
    </row>
    <row r="2381" spans="1:27" x14ac:dyDescent="0.2">
      <c r="A2381">
        <v>30</v>
      </c>
      <c r="B2381">
        <v>2</v>
      </c>
      <c r="C2381">
        <v>0.3</v>
      </c>
      <c r="D2381">
        <v>20</v>
      </c>
      <c r="E2381">
        <v>0.19652118805317201</v>
      </c>
      <c r="F2381">
        <v>2</v>
      </c>
      <c r="G2381">
        <v>28.333593427</v>
      </c>
      <c r="H2381">
        <v>0.16335333108077199</v>
      </c>
      <c r="I2381">
        <v>2</v>
      </c>
      <c r="J2381">
        <v>0.37803919800000002</v>
      </c>
      <c r="P2381"/>
      <c r="V2381">
        <v>0.13956183122264201</v>
      </c>
      <c r="W2381">
        <v>2</v>
      </c>
      <c r="X2381">
        <v>80300.280141098003</v>
      </c>
      <c r="Y2381">
        <v>2401</v>
      </c>
      <c r="Z2381">
        <v>4.9553137092316302</v>
      </c>
      <c r="AA2381">
        <v>100</v>
      </c>
    </row>
    <row r="2382" spans="1:27" x14ac:dyDescent="0.2">
      <c r="A2382">
        <v>30</v>
      </c>
      <c r="B2382">
        <v>2</v>
      </c>
      <c r="C2382">
        <v>0.3</v>
      </c>
      <c r="D2382">
        <v>20</v>
      </c>
      <c r="E2382">
        <v>0.27734687324776902</v>
      </c>
      <c r="F2382">
        <v>2</v>
      </c>
      <c r="G2382">
        <v>32.241382383999998</v>
      </c>
      <c r="H2382">
        <v>0.21551586487327701</v>
      </c>
      <c r="I2382">
        <v>2</v>
      </c>
      <c r="J2382">
        <v>0.37813308699999998</v>
      </c>
      <c r="P2382"/>
      <c r="V2382">
        <v>0.19916813898675301</v>
      </c>
      <c r="W2382">
        <v>2</v>
      </c>
      <c r="X2382">
        <v>75525.694254438</v>
      </c>
      <c r="Y2382">
        <v>78599</v>
      </c>
      <c r="Z2382">
        <v>5.0145571365482198</v>
      </c>
      <c r="AA2382">
        <v>100</v>
      </c>
    </row>
    <row r="2383" spans="1:27" x14ac:dyDescent="0.2">
      <c r="A2383">
        <v>30</v>
      </c>
      <c r="B2383">
        <v>2</v>
      </c>
      <c r="C2383">
        <v>0.1</v>
      </c>
      <c r="D2383">
        <v>20</v>
      </c>
      <c r="E2383">
        <v>0.811734071193568</v>
      </c>
      <c r="F2383">
        <v>2</v>
      </c>
      <c r="G2383">
        <v>38.225516253999999</v>
      </c>
      <c r="H2383">
        <v>0.80119550335110501</v>
      </c>
      <c r="I2383">
        <v>2</v>
      </c>
      <c r="J2383">
        <v>0.86421674299999995</v>
      </c>
      <c r="P2383"/>
      <c r="V2383">
        <v>0.80206608981787797</v>
      </c>
      <c r="W2383">
        <v>2</v>
      </c>
      <c r="X2383">
        <v>76000.870643610004</v>
      </c>
      <c r="Y2383">
        <v>31804</v>
      </c>
      <c r="Z2383">
        <v>0.24322949149245601</v>
      </c>
      <c r="AA2383">
        <v>100</v>
      </c>
    </row>
    <row r="2384" spans="1:27" x14ac:dyDescent="0.2">
      <c r="A2384">
        <v>30</v>
      </c>
      <c r="B2384">
        <v>2</v>
      </c>
      <c r="C2384">
        <v>0.1</v>
      </c>
      <c r="D2384">
        <v>20</v>
      </c>
      <c r="E2384">
        <v>0.93635299196704602</v>
      </c>
      <c r="F2384">
        <v>2</v>
      </c>
      <c r="G2384">
        <v>37.757598408</v>
      </c>
      <c r="H2384">
        <v>0.931717351252633</v>
      </c>
      <c r="I2384">
        <v>2</v>
      </c>
      <c r="J2384">
        <v>1.231355003</v>
      </c>
      <c r="P2384"/>
      <c r="V2384">
        <v>0.943322833163598</v>
      </c>
      <c r="W2384">
        <v>2</v>
      </c>
      <c r="X2384">
        <v>75902.225326258005</v>
      </c>
      <c r="Y2384">
        <v>23744</v>
      </c>
      <c r="Z2384">
        <v>0.41465996007536798</v>
      </c>
      <c r="AA2384">
        <v>100</v>
      </c>
    </row>
    <row r="2385" spans="1:27" x14ac:dyDescent="0.2">
      <c r="A2385">
        <v>30</v>
      </c>
      <c r="B2385">
        <v>2</v>
      </c>
      <c r="C2385">
        <v>0.1</v>
      </c>
      <c r="D2385">
        <v>20</v>
      </c>
      <c r="E2385">
        <v>0.89513051385125098</v>
      </c>
      <c r="F2385">
        <v>2</v>
      </c>
      <c r="G2385">
        <v>34.892099547000001</v>
      </c>
      <c r="H2385">
        <v>0.83816438295569595</v>
      </c>
      <c r="I2385">
        <v>2</v>
      </c>
      <c r="J2385">
        <v>1.1329125149999999</v>
      </c>
      <c r="P2385"/>
      <c r="V2385">
        <v>0.84241268129811198</v>
      </c>
      <c r="W2385">
        <v>2</v>
      </c>
      <c r="X2385">
        <v>75850.555814924999</v>
      </c>
      <c r="Y2385">
        <v>61186</v>
      </c>
      <c r="Z2385">
        <v>0.18566293004673601</v>
      </c>
      <c r="AA2385">
        <v>100</v>
      </c>
    </row>
    <row r="2386" spans="1:27" x14ac:dyDescent="0.2">
      <c r="A2386">
        <v>30</v>
      </c>
      <c r="B2386">
        <v>2</v>
      </c>
      <c r="C2386">
        <v>0.3</v>
      </c>
      <c r="D2386">
        <v>20</v>
      </c>
      <c r="E2386">
        <v>0.13170709233862299</v>
      </c>
      <c r="F2386">
        <v>2</v>
      </c>
      <c r="G2386">
        <v>37.726648199000003</v>
      </c>
      <c r="H2386">
        <v>0.13240729721084399</v>
      </c>
      <c r="I2386">
        <v>2</v>
      </c>
      <c r="J2386">
        <v>0.35227703100000002</v>
      </c>
      <c r="P2386"/>
      <c r="V2386">
        <v>0.107709426977201</v>
      </c>
      <c r="W2386">
        <v>2</v>
      </c>
      <c r="X2386">
        <v>76486.163383915002</v>
      </c>
      <c r="Y2386">
        <v>34222</v>
      </c>
      <c r="Z2386">
        <v>4.2402489512205603</v>
      </c>
      <c r="AA2386">
        <v>100</v>
      </c>
    </row>
    <row r="2387" spans="1:27" x14ac:dyDescent="0.2">
      <c r="A2387">
        <v>30</v>
      </c>
      <c r="B2387">
        <v>2</v>
      </c>
      <c r="C2387">
        <v>0.4</v>
      </c>
      <c r="D2387">
        <v>20</v>
      </c>
      <c r="E2387">
        <v>0.223320139901762</v>
      </c>
      <c r="F2387">
        <v>2</v>
      </c>
      <c r="G2387">
        <v>29.3419773</v>
      </c>
      <c r="H2387">
        <v>0.13648053799212401</v>
      </c>
      <c r="I2387">
        <v>2</v>
      </c>
      <c r="J2387">
        <v>0.31797712500000003</v>
      </c>
      <c r="P2387"/>
      <c r="V2387">
        <v>0.11538974401797</v>
      </c>
      <c r="W2387">
        <v>2</v>
      </c>
      <c r="X2387">
        <v>75908.692568080005</v>
      </c>
      <c r="Y2387">
        <v>23404</v>
      </c>
      <c r="Z2387">
        <v>4.2981320538965502</v>
      </c>
      <c r="AA2387">
        <v>100</v>
      </c>
    </row>
    <row r="2388" spans="1:27" x14ac:dyDescent="0.2">
      <c r="A2388">
        <v>30</v>
      </c>
      <c r="B2388">
        <v>2</v>
      </c>
      <c r="C2388">
        <v>0.4</v>
      </c>
      <c r="D2388">
        <v>20</v>
      </c>
      <c r="E2388">
        <v>0.108891009040223</v>
      </c>
      <c r="F2388">
        <v>2</v>
      </c>
      <c r="G2388">
        <v>41.546514834</v>
      </c>
      <c r="H2388">
        <v>0.111989482428999</v>
      </c>
      <c r="I2388">
        <v>2</v>
      </c>
      <c r="J2388">
        <v>0.34846611199999999</v>
      </c>
      <c r="P2388"/>
      <c r="V2388">
        <v>8.4632433055171805E-2</v>
      </c>
      <c r="W2388">
        <v>2</v>
      </c>
      <c r="X2388">
        <v>75881.726588856007</v>
      </c>
      <c r="Y2388">
        <v>25670</v>
      </c>
      <c r="Z2388">
        <v>5.0406183913362996</v>
      </c>
      <c r="AA2388">
        <v>100</v>
      </c>
    </row>
    <row r="2389" spans="1:27" x14ac:dyDescent="0.2">
      <c r="A2389">
        <v>30</v>
      </c>
      <c r="B2389">
        <v>2</v>
      </c>
      <c r="C2389">
        <v>0.2</v>
      </c>
      <c r="D2389">
        <v>20</v>
      </c>
      <c r="E2389">
        <v>0.36881216062947503</v>
      </c>
      <c r="F2389">
        <v>2</v>
      </c>
      <c r="G2389">
        <v>28.713399927000001</v>
      </c>
      <c r="H2389">
        <v>0.26880181824629001</v>
      </c>
      <c r="I2389">
        <v>2</v>
      </c>
      <c r="J2389">
        <v>0.28225718100000002</v>
      </c>
      <c r="P2389"/>
      <c r="V2389">
        <v>0.25070615775556399</v>
      </c>
      <c r="W2389">
        <v>2</v>
      </c>
      <c r="X2389">
        <v>76111.015707612998</v>
      </c>
      <c r="Y2389">
        <v>75263</v>
      </c>
      <c r="Z2389">
        <v>2.3780977340334699</v>
      </c>
      <c r="AA2389">
        <v>100</v>
      </c>
    </row>
    <row r="2390" spans="1:27" x14ac:dyDescent="0.2">
      <c r="A2390">
        <v>30</v>
      </c>
      <c r="B2390">
        <v>2</v>
      </c>
      <c r="C2390">
        <v>0.1</v>
      </c>
      <c r="D2390">
        <v>20</v>
      </c>
      <c r="E2390">
        <v>1.0082616725462401</v>
      </c>
      <c r="F2390">
        <v>2</v>
      </c>
      <c r="G2390">
        <v>30.470095266000001</v>
      </c>
      <c r="H2390">
        <v>1.11968679048761</v>
      </c>
      <c r="I2390">
        <v>2</v>
      </c>
      <c r="J2390">
        <v>1.301017724</v>
      </c>
      <c r="P2390"/>
      <c r="V2390">
        <v>1.1312693235633899</v>
      </c>
      <c r="W2390">
        <v>2</v>
      </c>
      <c r="X2390">
        <v>75945.784475438006</v>
      </c>
      <c r="Y2390">
        <v>22199</v>
      </c>
      <c r="Z2390">
        <v>0.16268453779516401</v>
      </c>
      <c r="AA2390">
        <v>100</v>
      </c>
    </row>
    <row r="2391" spans="1:27" x14ac:dyDescent="0.2">
      <c r="A2391">
        <v>30</v>
      </c>
      <c r="B2391">
        <v>2</v>
      </c>
      <c r="C2391">
        <v>0.2</v>
      </c>
      <c r="D2391">
        <v>20</v>
      </c>
      <c r="E2391">
        <v>0.64218193721058503</v>
      </c>
      <c r="F2391">
        <v>2</v>
      </c>
      <c r="G2391">
        <v>30.400224141999999</v>
      </c>
      <c r="H2391">
        <v>0.52117572790564304</v>
      </c>
      <c r="I2391">
        <v>2</v>
      </c>
      <c r="J2391">
        <v>0.81038689799999997</v>
      </c>
      <c r="P2391"/>
      <c r="V2391">
        <v>0.52864726027142095</v>
      </c>
      <c r="W2391">
        <v>2</v>
      </c>
      <c r="X2391">
        <v>75952.170164206997</v>
      </c>
      <c r="Y2391">
        <v>15782</v>
      </c>
      <c r="Z2391">
        <v>1.7226073236688499</v>
      </c>
      <c r="AA2391">
        <v>100</v>
      </c>
    </row>
    <row r="2392" spans="1:27" x14ac:dyDescent="0.2">
      <c r="A2392">
        <v>30</v>
      </c>
      <c r="B2392">
        <v>2</v>
      </c>
      <c r="C2392">
        <v>0.1</v>
      </c>
      <c r="D2392">
        <v>20</v>
      </c>
      <c r="E2392">
        <v>0.85768504613451402</v>
      </c>
      <c r="F2392">
        <v>2</v>
      </c>
      <c r="G2392">
        <v>30.177105958999999</v>
      </c>
      <c r="H2392">
        <v>0.88516092856068396</v>
      </c>
      <c r="I2392">
        <v>2</v>
      </c>
      <c r="J2392">
        <v>1.3249480339999999</v>
      </c>
      <c r="P2392"/>
      <c r="V2392">
        <v>0.89150071421161003</v>
      </c>
      <c r="W2392">
        <v>2</v>
      </c>
      <c r="X2392">
        <v>76379.535649740006</v>
      </c>
      <c r="Y2392">
        <v>18082</v>
      </c>
      <c r="Z2392">
        <v>0.39081233453543901</v>
      </c>
      <c r="AA2392">
        <v>100</v>
      </c>
    </row>
    <row r="2393" spans="1:27" x14ac:dyDescent="0.2">
      <c r="A2393">
        <v>30</v>
      </c>
      <c r="B2393">
        <v>2</v>
      </c>
      <c r="C2393">
        <v>0.1</v>
      </c>
      <c r="D2393">
        <v>20</v>
      </c>
      <c r="E2393">
        <v>0.93213504697191696</v>
      </c>
      <c r="F2393">
        <v>2</v>
      </c>
      <c r="G2393">
        <v>29.468424433999999</v>
      </c>
      <c r="H2393">
        <v>0.80763556802379499</v>
      </c>
      <c r="I2393">
        <v>2</v>
      </c>
      <c r="J2393">
        <v>1.330658031</v>
      </c>
      <c r="P2393"/>
      <c r="V2393">
        <v>0.81402156264248204</v>
      </c>
      <c r="W2393">
        <v>2</v>
      </c>
      <c r="X2393">
        <v>76085.969391655002</v>
      </c>
      <c r="Y2393">
        <v>35968</v>
      </c>
      <c r="Z2393">
        <v>0.20195451872100101</v>
      </c>
      <c r="AA2393">
        <v>100</v>
      </c>
    </row>
    <row r="2394" spans="1:27" x14ac:dyDescent="0.2">
      <c r="A2394">
        <v>30</v>
      </c>
      <c r="B2394">
        <v>2</v>
      </c>
      <c r="C2394">
        <v>0.4</v>
      </c>
      <c r="D2394">
        <v>20</v>
      </c>
      <c r="E2394">
        <v>5.79544817168706E-2</v>
      </c>
      <c r="F2394">
        <v>2</v>
      </c>
      <c r="G2394">
        <v>30.112932496999999</v>
      </c>
      <c r="H2394">
        <v>7.9701669033428596E-2</v>
      </c>
      <c r="I2394">
        <v>2</v>
      </c>
      <c r="J2394">
        <v>0.250058328</v>
      </c>
      <c r="P2394"/>
      <c r="V2394">
        <v>6.4305964644263497E-2</v>
      </c>
      <c r="W2394">
        <v>2</v>
      </c>
      <c r="X2394">
        <v>76517.639688281997</v>
      </c>
      <c r="Y2394">
        <v>49229</v>
      </c>
      <c r="Z2394">
        <v>6.4018421830478403</v>
      </c>
      <c r="AA2394">
        <v>100</v>
      </c>
    </row>
    <row r="2395" spans="1:27" x14ac:dyDescent="0.2">
      <c r="A2395">
        <v>30</v>
      </c>
      <c r="B2395">
        <v>2</v>
      </c>
      <c r="C2395">
        <v>0.1</v>
      </c>
      <c r="D2395">
        <v>20</v>
      </c>
      <c r="E2395">
        <v>0.93624301811407395</v>
      </c>
      <c r="F2395">
        <v>2</v>
      </c>
      <c r="G2395">
        <v>29.669422440999998</v>
      </c>
      <c r="H2395">
        <v>0.88738014469034199</v>
      </c>
      <c r="I2395">
        <v>2</v>
      </c>
      <c r="J2395">
        <v>1.2396936519999999</v>
      </c>
      <c r="P2395"/>
      <c r="V2395">
        <v>0.89154970783450604</v>
      </c>
      <c r="W2395">
        <v>2</v>
      </c>
      <c r="X2395">
        <v>76107.040495081004</v>
      </c>
      <c r="Y2395">
        <v>22719</v>
      </c>
      <c r="Z2395">
        <v>0.29898095978609501</v>
      </c>
      <c r="AA2395">
        <v>100</v>
      </c>
    </row>
    <row r="2396" spans="1:27" x14ac:dyDescent="0.2">
      <c r="A2396">
        <v>30</v>
      </c>
      <c r="B2396">
        <v>2</v>
      </c>
      <c r="C2396">
        <v>0.3</v>
      </c>
      <c r="D2396">
        <v>20</v>
      </c>
      <c r="E2396">
        <v>0.162134830040124</v>
      </c>
      <c r="F2396">
        <v>2</v>
      </c>
      <c r="G2396">
        <v>46.278579647999997</v>
      </c>
      <c r="H2396">
        <v>0.13915104426024</v>
      </c>
      <c r="I2396">
        <v>2</v>
      </c>
      <c r="J2396">
        <v>0.41733372000000002</v>
      </c>
      <c r="P2396"/>
      <c r="V2396">
        <v>0.119407207111286</v>
      </c>
      <c r="W2396">
        <v>2</v>
      </c>
      <c r="X2396">
        <v>76610.541304964994</v>
      </c>
      <c r="Y2396">
        <v>24912</v>
      </c>
      <c r="Z2396">
        <v>4.4491951078671201</v>
      </c>
      <c r="AA2396">
        <v>100</v>
      </c>
    </row>
    <row r="2397" spans="1:27" x14ac:dyDescent="0.2">
      <c r="A2397">
        <v>30</v>
      </c>
      <c r="B2397">
        <v>2</v>
      </c>
      <c r="C2397">
        <v>0.3</v>
      </c>
      <c r="D2397">
        <v>20</v>
      </c>
      <c r="E2397">
        <v>0.16400676973585099</v>
      </c>
      <c r="F2397">
        <v>2</v>
      </c>
      <c r="G2397">
        <v>34.863573725999998</v>
      </c>
      <c r="H2397">
        <v>0.15986297298203</v>
      </c>
      <c r="I2397">
        <v>2</v>
      </c>
      <c r="J2397">
        <v>0.34824297900000001</v>
      </c>
      <c r="P2397"/>
      <c r="V2397">
        <v>0.12196232508567501</v>
      </c>
      <c r="W2397">
        <v>2</v>
      </c>
      <c r="X2397">
        <v>76449.934858947003</v>
      </c>
      <c r="Y2397">
        <v>29437</v>
      </c>
      <c r="Z2397">
        <v>3.0110226984234001</v>
      </c>
      <c r="AA2397">
        <v>100</v>
      </c>
    </row>
    <row r="2398" spans="1:27" x14ac:dyDescent="0.2">
      <c r="A2398">
        <v>30</v>
      </c>
      <c r="B2398">
        <v>2</v>
      </c>
      <c r="C2398">
        <v>0.1</v>
      </c>
      <c r="D2398">
        <v>20</v>
      </c>
      <c r="E2398">
        <v>0.94580097450014</v>
      </c>
      <c r="F2398">
        <v>2</v>
      </c>
      <c r="G2398">
        <v>32.934910608999999</v>
      </c>
      <c r="H2398">
        <v>0.97531371359942998</v>
      </c>
      <c r="I2398">
        <v>2</v>
      </c>
      <c r="J2398">
        <v>1.5896564419999999</v>
      </c>
      <c r="P2398"/>
      <c r="V2398">
        <v>0.98664852589125296</v>
      </c>
      <c r="W2398">
        <v>2</v>
      </c>
      <c r="X2398">
        <v>76012.319500871003</v>
      </c>
      <c r="Y2398">
        <v>33883</v>
      </c>
      <c r="Z2398">
        <v>0.241042943698836</v>
      </c>
      <c r="AA2398">
        <v>100</v>
      </c>
    </row>
    <row r="2399" spans="1:27" x14ac:dyDescent="0.2">
      <c r="A2399">
        <v>30</v>
      </c>
      <c r="B2399">
        <v>2</v>
      </c>
      <c r="C2399">
        <v>0.3</v>
      </c>
      <c r="D2399">
        <v>20</v>
      </c>
      <c r="E2399">
        <v>0.136205255667046</v>
      </c>
      <c r="F2399">
        <v>2</v>
      </c>
      <c r="G2399">
        <v>42.720139643000003</v>
      </c>
      <c r="H2399">
        <v>0.116649751215677</v>
      </c>
      <c r="I2399">
        <v>2</v>
      </c>
      <c r="J2399">
        <v>0.36454060399999999</v>
      </c>
      <c r="P2399"/>
      <c r="V2399">
        <v>8.6697923691441997E-2</v>
      </c>
      <c r="W2399">
        <v>2</v>
      </c>
      <c r="X2399">
        <v>76494.034914364995</v>
      </c>
      <c r="Y2399">
        <v>29197</v>
      </c>
      <c r="Z2399">
        <v>4.8822380408738004</v>
      </c>
      <c r="AA2399">
        <v>100</v>
      </c>
    </row>
    <row r="2400" spans="1:27" x14ac:dyDescent="0.2">
      <c r="A2400">
        <v>30</v>
      </c>
      <c r="B2400">
        <v>2</v>
      </c>
      <c r="C2400">
        <v>0.2</v>
      </c>
      <c r="D2400">
        <v>20</v>
      </c>
      <c r="E2400">
        <v>0.31052792281449698</v>
      </c>
      <c r="F2400">
        <v>2</v>
      </c>
      <c r="G2400">
        <v>33.410087240999999</v>
      </c>
      <c r="H2400">
        <v>0.21522931923069799</v>
      </c>
      <c r="I2400">
        <v>2</v>
      </c>
      <c r="J2400">
        <v>0.42796197200000002</v>
      </c>
      <c r="P2400"/>
      <c r="V2400">
        <v>0.18326533946798701</v>
      </c>
      <c r="W2400">
        <v>2</v>
      </c>
      <c r="X2400">
        <v>76619.853884704004</v>
      </c>
      <c r="Y2400">
        <v>4142</v>
      </c>
      <c r="Z2400">
        <v>3.9723484774669102</v>
      </c>
      <c r="AA2400">
        <v>100</v>
      </c>
    </row>
    <row r="2401" spans="1:27" x14ac:dyDescent="0.2">
      <c r="A2401">
        <v>30</v>
      </c>
      <c r="B2401">
        <v>2</v>
      </c>
      <c r="C2401">
        <v>0.3</v>
      </c>
      <c r="D2401">
        <v>20</v>
      </c>
      <c r="E2401">
        <v>0.21391278200932101</v>
      </c>
      <c r="F2401">
        <v>2</v>
      </c>
      <c r="G2401">
        <v>31.577833179999999</v>
      </c>
      <c r="H2401">
        <v>0.15370994100375701</v>
      </c>
      <c r="I2401">
        <v>2</v>
      </c>
      <c r="J2401">
        <v>0.27393315600000001</v>
      </c>
      <c r="P2401"/>
      <c r="V2401">
        <v>0.135137647185094</v>
      </c>
      <c r="W2401">
        <v>2</v>
      </c>
      <c r="X2401">
        <v>77081.432913380995</v>
      </c>
      <c r="Y2401">
        <v>2702</v>
      </c>
      <c r="Z2401">
        <v>4.8533138722065097</v>
      </c>
      <c r="AA2401">
        <v>100</v>
      </c>
    </row>
    <row r="2402" spans="1:27" x14ac:dyDescent="0.2">
      <c r="A2402">
        <v>30</v>
      </c>
      <c r="B2402">
        <v>2</v>
      </c>
      <c r="C2402">
        <v>0.1</v>
      </c>
      <c r="D2402">
        <v>20</v>
      </c>
      <c r="E2402">
        <v>1.01868757909087</v>
      </c>
      <c r="F2402">
        <v>2</v>
      </c>
      <c r="G2402">
        <v>47.181036261999999</v>
      </c>
      <c r="H2402">
        <v>0.95179908634022103</v>
      </c>
      <c r="I2402">
        <v>2</v>
      </c>
      <c r="J2402">
        <v>1.9486001310000001</v>
      </c>
      <c r="P2402"/>
      <c r="V2402">
        <v>0.95880093279564804</v>
      </c>
      <c r="W2402">
        <v>2</v>
      </c>
      <c r="X2402">
        <v>77118.249139161999</v>
      </c>
      <c r="Y2402">
        <v>38140</v>
      </c>
      <c r="Z2402">
        <v>0.215031143752617</v>
      </c>
      <c r="AA2402">
        <v>100</v>
      </c>
    </row>
    <row r="2403" spans="1:27" x14ac:dyDescent="0.2">
      <c r="A2403">
        <v>30</v>
      </c>
      <c r="B2403">
        <v>2</v>
      </c>
      <c r="C2403">
        <v>0.4</v>
      </c>
      <c r="D2403">
        <v>20</v>
      </c>
      <c r="E2403">
        <v>0.125060178013813</v>
      </c>
      <c r="F2403">
        <v>2</v>
      </c>
      <c r="G2403">
        <v>29.828561181000001</v>
      </c>
      <c r="H2403">
        <v>0.109876305542101</v>
      </c>
      <c r="I2403">
        <v>2</v>
      </c>
      <c r="J2403">
        <v>0.31115726799999999</v>
      </c>
      <c r="P2403"/>
      <c r="V2403">
        <v>9.0788819027645407E-2</v>
      </c>
      <c r="W2403">
        <v>2</v>
      </c>
      <c r="X2403">
        <v>77111.687067457999</v>
      </c>
      <c r="Y2403">
        <v>25980</v>
      </c>
      <c r="Z2403">
        <v>4.58076579282897</v>
      </c>
      <c r="AA2403">
        <v>100</v>
      </c>
    </row>
    <row r="2404" spans="1:27" x14ac:dyDescent="0.2">
      <c r="A2404">
        <v>30</v>
      </c>
      <c r="B2404">
        <v>2</v>
      </c>
      <c r="C2404">
        <v>0.2</v>
      </c>
      <c r="D2404">
        <v>20</v>
      </c>
      <c r="E2404">
        <v>0.34475529547602901</v>
      </c>
      <c r="F2404">
        <v>2</v>
      </c>
      <c r="G2404">
        <v>32.624280618999997</v>
      </c>
      <c r="H2404">
        <v>0.32027440481681702</v>
      </c>
      <c r="I2404">
        <v>2</v>
      </c>
      <c r="J2404">
        <v>0.48084213599999998</v>
      </c>
      <c r="P2404"/>
      <c r="V2404">
        <v>0.30860256003272801</v>
      </c>
      <c r="W2404">
        <v>2</v>
      </c>
      <c r="X2404">
        <v>76796.985206052996</v>
      </c>
      <c r="Y2404">
        <v>21448</v>
      </c>
      <c r="Z2404">
        <v>1.02789384841889</v>
      </c>
      <c r="AA2404">
        <v>100</v>
      </c>
    </row>
    <row r="2405" spans="1:27" x14ac:dyDescent="0.2">
      <c r="A2405">
        <v>30</v>
      </c>
      <c r="B2405">
        <v>2</v>
      </c>
      <c r="C2405">
        <v>0.3</v>
      </c>
      <c r="D2405">
        <v>20</v>
      </c>
      <c r="E2405">
        <v>0.337015326649651</v>
      </c>
      <c r="F2405">
        <v>2</v>
      </c>
      <c r="G2405">
        <v>32.584244640000001</v>
      </c>
      <c r="H2405">
        <v>0.235216787669347</v>
      </c>
      <c r="I2405">
        <v>2</v>
      </c>
      <c r="J2405">
        <v>0.56789052200000001</v>
      </c>
      <c r="P2405"/>
      <c r="V2405">
        <v>0.217983824950536</v>
      </c>
      <c r="W2405">
        <v>2</v>
      </c>
      <c r="X2405">
        <v>77287.546294999003</v>
      </c>
      <c r="Y2405">
        <v>25790</v>
      </c>
      <c r="Z2405">
        <v>4.8689103358083203</v>
      </c>
      <c r="AA2405">
        <v>100</v>
      </c>
    </row>
    <row r="2406" spans="1:27" x14ac:dyDescent="0.2">
      <c r="A2406">
        <v>30</v>
      </c>
      <c r="B2406">
        <v>2</v>
      </c>
      <c r="C2406">
        <v>0.2</v>
      </c>
      <c r="D2406">
        <v>20</v>
      </c>
      <c r="E2406">
        <v>0.42953652205211901</v>
      </c>
      <c r="F2406">
        <v>2</v>
      </c>
      <c r="G2406">
        <v>37.472784668999999</v>
      </c>
      <c r="H2406">
        <v>0.368967721003781</v>
      </c>
      <c r="I2406">
        <v>2</v>
      </c>
      <c r="J2406">
        <v>0.327737891</v>
      </c>
      <c r="P2406"/>
      <c r="V2406">
        <v>0.334902176842021</v>
      </c>
      <c r="W2406">
        <v>2</v>
      </c>
      <c r="X2406">
        <v>77730.353995464</v>
      </c>
      <c r="Y2406">
        <v>3632</v>
      </c>
      <c r="Z2406">
        <v>1.9442983563021601</v>
      </c>
      <c r="AA2406">
        <v>100</v>
      </c>
    </row>
    <row r="2407" spans="1:27" x14ac:dyDescent="0.2">
      <c r="A2407">
        <v>30</v>
      </c>
      <c r="B2407">
        <v>2</v>
      </c>
      <c r="C2407">
        <v>0.4</v>
      </c>
      <c r="D2407">
        <v>20</v>
      </c>
      <c r="E2407">
        <v>7.7953103870117904E-2</v>
      </c>
      <c r="F2407">
        <v>2</v>
      </c>
      <c r="G2407">
        <v>32.592538193999999</v>
      </c>
      <c r="H2407">
        <v>8.9800545751410901E-2</v>
      </c>
      <c r="I2407">
        <v>2</v>
      </c>
      <c r="J2407">
        <v>0.30405413799999997</v>
      </c>
      <c r="P2407"/>
      <c r="V2407">
        <v>6.0336219437890401E-2</v>
      </c>
      <c r="W2407">
        <v>2</v>
      </c>
      <c r="X2407">
        <v>76558.814375165006</v>
      </c>
      <c r="Y2407">
        <v>30576</v>
      </c>
      <c r="Z2407">
        <v>5.77983466650252</v>
      </c>
      <c r="AA2407">
        <v>100</v>
      </c>
    </row>
    <row r="2408" spans="1:27" x14ac:dyDescent="0.2">
      <c r="A2408">
        <v>30</v>
      </c>
      <c r="B2408">
        <v>2</v>
      </c>
      <c r="C2408">
        <v>0.3</v>
      </c>
      <c r="D2408">
        <v>20</v>
      </c>
      <c r="E2408">
        <v>0.113767194063408</v>
      </c>
      <c r="F2408">
        <v>2</v>
      </c>
      <c r="G2408">
        <v>41.575833912</v>
      </c>
      <c r="H2408">
        <v>0.11717290301702001</v>
      </c>
      <c r="I2408">
        <v>2</v>
      </c>
      <c r="J2408">
        <v>0.39448105300000003</v>
      </c>
      <c r="P2408"/>
      <c r="V2408">
        <v>9.6475528018384299E-2</v>
      </c>
      <c r="W2408">
        <v>2</v>
      </c>
      <c r="X2408">
        <v>77104.282478234003</v>
      </c>
      <c r="Y2408">
        <v>29493</v>
      </c>
      <c r="Z2408">
        <v>7.9593418665663096</v>
      </c>
      <c r="AA2408">
        <v>100</v>
      </c>
    </row>
    <row r="2409" spans="1:27" x14ac:dyDescent="0.2">
      <c r="A2409">
        <v>30</v>
      </c>
      <c r="B2409">
        <v>2</v>
      </c>
      <c r="C2409">
        <v>0.2</v>
      </c>
      <c r="D2409">
        <v>20</v>
      </c>
      <c r="E2409">
        <v>0.42164681545488297</v>
      </c>
      <c r="F2409">
        <v>2</v>
      </c>
      <c r="G2409">
        <v>31.338839939</v>
      </c>
      <c r="H2409">
        <v>0.32548553378019701</v>
      </c>
      <c r="I2409">
        <v>2</v>
      </c>
      <c r="J2409">
        <v>0.61825473200000003</v>
      </c>
      <c r="P2409"/>
      <c r="V2409">
        <v>0.30789625713834901</v>
      </c>
      <c r="W2409">
        <v>2</v>
      </c>
      <c r="X2409">
        <v>77632.882026035004</v>
      </c>
      <c r="Y2409">
        <v>3613</v>
      </c>
      <c r="Z2409">
        <v>3.7930583400078399</v>
      </c>
      <c r="AA2409">
        <v>100</v>
      </c>
    </row>
    <row r="2410" spans="1:27" x14ac:dyDescent="0.2">
      <c r="A2410">
        <v>30</v>
      </c>
      <c r="B2410">
        <v>2</v>
      </c>
      <c r="C2410">
        <v>0.1</v>
      </c>
      <c r="D2410">
        <v>20</v>
      </c>
      <c r="E2410">
        <v>1.09557347276826</v>
      </c>
      <c r="F2410">
        <v>2</v>
      </c>
      <c r="G2410">
        <v>36.059661384000002</v>
      </c>
      <c r="H2410">
        <v>1.06554196921288</v>
      </c>
      <c r="I2410">
        <v>2</v>
      </c>
      <c r="J2410">
        <v>1.148716777</v>
      </c>
      <c r="P2410"/>
      <c r="V2410">
        <v>1.0767057672728999</v>
      </c>
      <c r="W2410">
        <v>2</v>
      </c>
      <c r="X2410">
        <v>77708.491693311007</v>
      </c>
      <c r="Y2410">
        <v>37628</v>
      </c>
      <c r="Z2410">
        <v>0.354721815480744</v>
      </c>
      <c r="AA2410">
        <v>100</v>
      </c>
    </row>
    <row r="2411" spans="1:27" x14ac:dyDescent="0.2">
      <c r="A2411">
        <v>30</v>
      </c>
      <c r="B2411">
        <v>2</v>
      </c>
      <c r="C2411">
        <v>0.3</v>
      </c>
      <c r="D2411">
        <v>20</v>
      </c>
      <c r="E2411">
        <v>0.213417753517815</v>
      </c>
      <c r="F2411">
        <v>2</v>
      </c>
      <c r="G2411">
        <v>43.140501213</v>
      </c>
      <c r="H2411">
        <v>0.14847943159034599</v>
      </c>
      <c r="I2411">
        <v>2</v>
      </c>
      <c r="J2411">
        <v>0.46243002500000002</v>
      </c>
      <c r="P2411"/>
      <c r="V2411">
        <v>0.134747247987588</v>
      </c>
      <c r="W2411">
        <v>2</v>
      </c>
      <c r="X2411">
        <v>77946.350468015007</v>
      </c>
      <c r="Y2411">
        <v>2535</v>
      </c>
      <c r="Z2411">
        <v>3.3509004472664699</v>
      </c>
      <c r="AA2411">
        <v>100</v>
      </c>
    </row>
    <row r="2412" spans="1:27" x14ac:dyDescent="0.2">
      <c r="A2412">
        <v>30</v>
      </c>
      <c r="B2412">
        <v>2</v>
      </c>
      <c r="C2412">
        <v>0.4</v>
      </c>
      <c r="D2412">
        <v>20</v>
      </c>
      <c r="E2412">
        <v>8.3523375570548203E-2</v>
      </c>
      <c r="F2412">
        <v>2</v>
      </c>
      <c r="G2412">
        <v>39.123681863000002</v>
      </c>
      <c r="H2412">
        <v>9.8542918817696404E-2</v>
      </c>
      <c r="I2412">
        <v>2</v>
      </c>
      <c r="J2412">
        <v>0.28713711800000002</v>
      </c>
      <c r="P2412"/>
      <c r="V2412">
        <v>7.7191867967287303E-2</v>
      </c>
      <c r="W2412">
        <v>2</v>
      </c>
      <c r="X2412">
        <v>77965.160018958006</v>
      </c>
      <c r="Y2412">
        <v>2584</v>
      </c>
      <c r="Z2412">
        <v>2.7325944101704902</v>
      </c>
      <c r="AA2412">
        <v>100</v>
      </c>
    </row>
    <row r="2413" spans="1:27" x14ac:dyDescent="0.2">
      <c r="A2413">
        <v>30</v>
      </c>
      <c r="B2413">
        <v>2</v>
      </c>
      <c r="C2413">
        <v>0.4</v>
      </c>
      <c r="D2413">
        <v>20</v>
      </c>
      <c r="E2413">
        <v>0.15380369880311101</v>
      </c>
      <c r="F2413">
        <v>2</v>
      </c>
      <c r="G2413">
        <v>34.912997922999999</v>
      </c>
      <c r="H2413">
        <v>8.7591137617766907E-2</v>
      </c>
      <c r="I2413">
        <v>2</v>
      </c>
      <c r="J2413">
        <v>0.36119646500000002</v>
      </c>
      <c r="P2413"/>
      <c r="V2413">
        <v>6.6570930808419707E-2</v>
      </c>
      <c r="W2413">
        <v>2</v>
      </c>
      <c r="X2413">
        <v>77281.113064916004</v>
      </c>
      <c r="Y2413">
        <v>46197</v>
      </c>
      <c r="Z2413">
        <v>7.8827221029605399</v>
      </c>
      <c r="AA2413">
        <v>100</v>
      </c>
    </row>
    <row r="2414" spans="1:27" x14ac:dyDescent="0.2">
      <c r="A2414">
        <v>30</v>
      </c>
      <c r="B2414">
        <v>2</v>
      </c>
      <c r="C2414">
        <v>0.3</v>
      </c>
      <c r="D2414">
        <v>20</v>
      </c>
      <c r="E2414">
        <v>0.24013833839070001</v>
      </c>
      <c r="F2414">
        <v>2</v>
      </c>
      <c r="G2414">
        <v>33.489211015999999</v>
      </c>
      <c r="H2414">
        <v>0.168513601488505</v>
      </c>
      <c r="I2414">
        <v>2</v>
      </c>
      <c r="J2414">
        <v>0.38616030400000001</v>
      </c>
      <c r="P2414"/>
      <c r="V2414">
        <v>0.14674912489570999</v>
      </c>
      <c r="W2414">
        <v>2</v>
      </c>
      <c r="X2414">
        <v>76804.220311458994</v>
      </c>
      <c r="Y2414">
        <v>64049</v>
      </c>
      <c r="Z2414">
        <v>4.90408173760951</v>
      </c>
      <c r="AA2414">
        <v>100</v>
      </c>
    </row>
    <row r="2415" spans="1:27" x14ac:dyDescent="0.2">
      <c r="A2415">
        <v>30</v>
      </c>
      <c r="B2415">
        <v>2</v>
      </c>
      <c r="C2415">
        <v>0.2</v>
      </c>
      <c r="D2415">
        <v>20</v>
      </c>
      <c r="E2415">
        <v>0.47092691378891999</v>
      </c>
      <c r="F2415">
        <v>2</v>
      </c>
      <c r="G2415">
        <v>28.848461983</v>
      </c>
      <c r="H2415">
        <v>0.248181002415541</v>
      </c>
      <c r="I2415">
        <v>2</v>
      </c>
      <c r="J2415">
        <v>0.47790213999999998</v>
      </c>
      <c r="P2415"/>
      <c r="V2415">
        <v>0.23395111940257801</v>
      </c>
      <c r="W2415">
        <v>2</v>
      </c>
      <c r="X2415">
        <v>77956.616189192006</v>
      </c>
      <c r="Y2415">
        <v>2692</v>
      </c>
      <c r="Z2415">
        <v>2.6579178273859898</v>
      </c>
      <c r="AA2415">
        <v>100</v>
      </c>
    </row>
    <row r="2416" spans="1:27" x14ac:dyDescent="0.2">
      <c r="A2416">
        <v>30</v>
      </c>
      <c r="B2416">
        <v>2</v>
      </c>
      <c r="C2416">
        <v>0.1</v>
      </c>
      <c r="D2416">
        <v>20</v>
      </c>
      <c r="E2416">
        <v>0.70534484844751899</v>
      </c>
      <c r="F2416">
        <v>2</v>
      </c>
      <c r="G2416">
        <v>30.763601195</v>
      </c>
      <c r="H2416">
        <v>0.73369117611229295</v>
      </c>
      <c r="I2416">
        <v>2</v>
      </c>
      <c r="J2416">
        <v>1.2653145859999999</v>
      </c>
      <c r="P2416"/>
      <c r="V2416">
        <v>0.73198816376488696</v>
      </c>
      <c r="W2416">
        <v>2</v>
      </c>
      <c r="X2416">
        <v>77765.888391457993</v>
      </c>
      <c r="Y2416">
        <v>35775</v>
      </c>
      <c r="Z2416">
        <v>0.19929257050045401</v>
      </c>
      <c r="AA2416">
        <v>100</v>
      </c>
    </row>
    <row r="2417" spans="1:27" x14ac:dyDescent="0.2">
      <c r="A2417">
        <v>30</v>
      </c>
      <c r="B2417">
        <v>2</v>
      </c>
      <c r="C2417">
        <v>0.4</v>
      </c>
      <c r="D2417">
        <v>20</v>
      </c>
      <c r="E2417">
        <v>7.3029342602006206E-2</v>
      </c>
      <c r="F2417">
        <v>2</v>
      </c>
      <c r="G2417">
        <v>38.207745361000001</v>
      </c>
      <c r="H2417">
        <v>8.0789204821854102E-2</v>
      </c>
      <c r="I2417">
        <v>2</v>
      </c>
      <c r="J2417">
        <v>0.139068044</v>
      </c>
      <c r="P2417"/>
      <c r="V2417">
        <v>6.1614185777637998E-2</v>
      </c>
      <c r="W2417">
        <v>2</v>
      </c>
      <c r="X2417">
        <v>77824.681837822995</v>
      </c>
      <c r="Y2417">
        <v>2676</v>
      </c>
      <c r="Z2417">
        <v>3.4379679893999602</v>
      </c>
      <c r="AA2417">
        <v>100</v>
      </c>
    </row>
    <row r="2418" spans="1:27" x14ac:dyDescent="0.2">
      <c r="A2418">
        <v>30</v>
      </c>
      <c r="B2418">
        <v>2</v>
      </c>
      <c r="C2418">
        <v>0.1</v>
      </c>
      <c r="D2418">
        <v>20</v>
      </c>
      <c r="E2418">
        <v>0.720421453755826</v>
      </c>
      <c r="F2418">
        <v>2</v>
      </c>
      <c r="G2418">
        <v>37.885530031000002</v>
      </c>
      <c r="H2418">
        <v>0.68483579234436898</v>
      </c>
      <c r="I2418">
        <v>2</v>
      </c>
      <c r="J2418">
        <v>1.479629587</v>
      </c>
      <c r="P2418"/>
      <c r="V2418">
        <v>0.68609434845830997</v>
      </c>
      <c r="W2418">
        <v>2</v>
      </c>
      <c r="X2418">
        <v>78462.718874779006</v>
      </c>
      <c r="Y2418">
        <v>25792</v>
      </c>
      <c r="Z2418">
        <v>0.37110815789492302</v>
      </c>
      <c r="AA2418">
        <v>100</v>
      </c>
    </row>
    <row r="2419" spans="1:27" x14ac:dyDescent="0.2">
      <c r="A2419">
        <v>30</v>
      </c>
      <c r="B2419">
        <v>2</v>
      </c>
      <c r="C2419">
        <v>0.3</v>
      </c>
      <c r="D2419">
        <v>20</v>
      </c>
      <c r="E2419">
        <v>0.185241164738429</v>
      </c>
      <c r="F2419">
        <v>2</v>
      </c>
      <c r="G2419">
        <v>35.002790154000003</v>
      </c>
      <c r="H2419">
        <v>0.140850065141193</v>
      </c>
      <c r="I2419">
        <v>2</v>
      </c>
      <c r="J2419">
        <v>0.39911861399999998</v>
      </c>
      <c r="P2419"/>
      <c r="V2419">
        <v>0.117680885634784</v>
      </c>
      <c r="W2419">
        <v>2</v>
      </c>
      <c r="X2419">
        <v>78405.293926300001</v>
      </c>
      <c r="Y2419">
        <v>2461</v>
      </c>
      <c r="Z2419">
        <v>2.3369309691654201</v>
      </c>
      <c r="AA2419">
        <v>100</v>
      </c>
    </row>
    <row r="2420" spans="1:27" x14ac:dyDescent="0.2">
      <c r="A2420">
        <v>30</v>
      </c>
      <c r="B2420">
        <v>2</v>
      </c>
      <c r="C2420">
        <v>0.1</v>
      </c>
      <c r="D2420">
        <v>20</v>
      </c>
      <c r="E2420">
        <v>0.93709280466302003</v>
      </c>
      <c r="F2420">
        <v>2</v>
      </c>
      <c r="G2420">
        <v>37.635918250000003</v>
      </c>
      <c r="H2420">
        <v>1.02817651351337</v>
      </c>
      <c r="I2420">
        <v>2</v>
      </c>
      <c r="J2420">
        <v>1.5532113279999999</v>
      </c>
      <c r="P2420"/>
      <c r="V2420">
        <v>1.03860666091356</v>
      </c>
      <c r="W2420">
        <v>2</v>
      </c>
      <c r="X2420">
        <v>78695.454124950993</v>
      </c>
      <c r="Y2420">
        <v>42961</v>
      </c>
      <c r="Z2420">
        <v>0.32327187950314701</v>
      </c>
      <c r="AA2420">
        <v>100</v>
      </c>
    </row>
    <row r="2421" spans="1:27" x14ac:dyDescent="0.2">
      <c r="A2421">
        <v>30</v>
      </c>
      <c r="B2421">
        <v>2</v>
      </c>
      <c r="C2421">
        <v>0.2</v>
      </c>
      <c r="D2421">
        <v>20</v>
      </c>
      <c r="E2421">
        <v>0.331406649545056</v>
      </c>
      <c r="F2421">
        <v>2</v>
      </c>
      <c r="G2421">
        <v>30.674023951999999</v>
      </c>
      <c r="H2421">
        <v>0.30181859373340603</v>
      </c>
      <c r="I2421">
        <v>2</v>
      </c>
      <c r="J2421">
        <v>0.54454210999999997</v>
      </c>
      <c r="P2421"/>
      <c r="V2421">
        <v>0.282595051408433</v>
      </c>
      <c r="W2421">
        <v>2</v>
      </c>
      <c r="X2421">
        <v>78356.526947331004</v>
      </c>
      <c r="Y2421">
        <v>2719</v>
      </c>
      <c r="Z2421">
        <v>3.10226695705372</v>
      </c>
      <c r="AA2421">
        <v>100</v>
      </c>
    </row>
    <row r="2422" spans="1:27" x14ac:dyDescent="0.2">
      <c r="A2422">
        <v>30</v>
      </c>
      <c r="B2422">
        <v>2</v>
      </c>
      <c r="C2422">
        <v>0.2</v>
      </c>
      <c r="D2422">
        <v>20</v>
      </c>
      <c r="E2422">
        <v>0.45996289448453498</v>
      </c>
      <c r="F2422">
        <v>2</v>
      </c>
      <c r="G2422">
        <v>38.645073287000002</v>
      </c>
      <c r="H2422">
        <v>0.39049023433677599</v>
      </c>
      <c r="I2422">
        <v>2</v>
      </c>
      <c r="J2422">
        <v>0.94157791400000002</v>
      </c>
      <c r="P2422"/>
      <c r="V2422">
        <v>0.36190261715261202</v>
      </c>
      <c r="W2422">
        <v>2</v>
      </c>
      <c r="X2422">
        <v>78776.619956003997</v>
      </c>
      <c r="Y2422">
        <v>2436</v>
      </c>
      <c r="Z2422">
        <v>2.3897957239823802</v>
      </c>
      <c r="AA2422">
        <v>100</v>
      </c>
    </row>
    <row r="2423" spans="1:27" x14ac:dyDescent="0.2">
      <c r="A2423">
        <v>30</v>
      </c>
      <c r="B2423">
        <v>2</v>
      </c>
      <c r="C2423">
        <v>0.4</v>
      </c>
      <c r="D2423">
        <v>20</v>
      </c>
      <c r="E2423">
        <v>7.1931690246626198E-2</v>
      </c>
      <c r="F2423">
        <v>2</v>
      </c>
      <c r="G2423">
        <v>38.058351825999999</v>
      </c>
      <c r="H2423">
        <v>8.6797441103833195E-2</v>
      </c>
      <c r="I2423">
        <v>2</v>
      </c>
      <c r="J2423">
        <v>0.357071101</v>
      </c>
      <c r="P2423"/>
      <c r="V2423">
        <v>6.6827670802919403E-2</v>
      </c>
      <c r="W2423">
        <v>2</v>
      </c>
      <c r="X2423">
        <v>78855.180356989993</v>
      </c>
      <c r="Y2423">
        <v>2178</v>
      </c>
      <c r="Z2423">
        <v>6.1885490581189497</v>
      </c>
      <c r="AA2423">
        <v>100</v>
      </c>
    </row>
    <row r="2424" spans="1:27" x14ac:dyDescent="0.2">
      <c r="A2424">
        <v>30</v>
      </c>
      <c r="B2424">
        <v>2</v>
      </c>
      <c r="C2424">
        <v>0.1</v>
      </c>
      <c r="D2424">
        <v>20</v>
      </c>
      <c r="E2424">
        <v>0.83568869317788597</v>
      </c>
      <c r="F2424">
        <v>2</v>
      </c>
      <c r="G2424">
        <v>33.540524077999997</v>
      </c>
      <c r="H2424">
        <v>0.76380127257268804</v>
      </c>
      <c r="I2424">
        <v>2</v>
      </c>
      <c r="J2424">
        <v>1.3806204769999999</v>
      </c>
      <c r="P2424"/>
      <c r="V2424">
        <v>0.76483625414188305</v>
      </c>
      <c r="W2424">
        <v>2</v>
      </c>
      <c r="X2424">
        <v>78529.879512090003</v>
      </c>
      <c r="Y2424">
        <v>29885</v>
      </c>
      <c r="Z2424">
        <v>0.34477625491735903</v>
      </c>
      <c r="AA2424">
        <v>100</v>
      </c>
    </row>
    <row r="2425" spans="1:27" x14ac:dyDescent="0.2">
      <c r="A2425">
        <v>30</v>
      </c>
      <c r="B2425">
        <v>2</v>
      </c>
      <c r="C2425">
        <v>0.2</v>
      </c>
      <c r="D2425">
        <v>20</v>
      </c>
      <c r="E2425">
        <v>0.379946264882909</v>
      </c>
      <c r="F2425">
        <v>2</v>
      </c>
      <c r="G2425">
        <v>42.099208918999999</v>
      </c>
      <c r="H2425">
        <v>0.31084910363142099</v>
      </c>
      <c r="I2425">
        <v>2</v>
      </c>
      <c r="J2425">
        <v>0.79463319700000001</v>
      </c>
      <c r="P2425"/>
      <c r="V2425">
        <v>0.29368304606356999</v>
      </c>
      <c r="W2425">
        <v>2</v>
      </c>
      <c r="X2425">
        <v>78862.381165742001</v>
      </c>
      <c r="Y2425">
        <v>2467</v>
      </c>
      <c r="Z2425">
        <v>2.7279629411768802</v>
      </c>
      <c r="AA2425">
        <v>100</v>
      </c>
    </row>
    <row r="2426" spans="1:27" x14ac:dyDescent="0.2">
      <c r="A2426">
        <v>30</v>
      </c>
      <c r="B2426">
        <v>2</v>
      </c>
      <c r="C2426">
        <v>0.2</v>
      </c>
      <c r="D2426">
        <v>20</v>
      </c>
      <c r="E2426">
        <v>0.45739543117634002</v>
      </c>
      <c r="F2426">
        <v>2</v>
      </c>
      <c r="G2426">
        <v>31.560739242</v>
      </c>
      <c r="H2426">
        <v>0.40449313057609998</v>
      </c>
      <c r="I2426">
        <v>2</v>
      </c>
      <c r="J2426">
        <v>0.41097305299999998</v>
      </c>
      <c r="P2426"/>
      <c r="V2426">
        <v>0.37176038552936902</v>
      </c>
      <c r="W2426">
        <v>2</v>
      </c>
      <c r="X2426">
        <v>78839.079008057</v>
      </c>
      <c r="Y2426">
        <v>2394</v>
      </c>
      <c r="Z2426">
        <v>2.7391033392559598</v>
      </c>
      <c r="AA2426">
        <v>100</v>
      </c>
    </row>
    <row r="2427" spans="1:27" x14ac:dyDescent="0.2">
      <c r="A2427">
        <v>30</v>
      </c>
      <c r="B2427">
        <v>2</v>
      </c>
      <c r="C2427">
        <v>0.3</v>
      </c>
      <c r="D2427">
        <v>20</v>
      </c>
      <c r="E2427">
        <v>0.25855078407531101</v>
      </c>
      <c r="F2427">
        <v>2</v>
      </c>
      <c r="G2427">
        <v>34.546333214999997</v>
      </c>
      <c r="H2427">
        <v>0.18954075258755501</v>
      </c>
      <c r="I2427">
        <v>2</v>
      </c>
      <c r="J2427">
        <v>0.310445058</v>
      </c>
      <c r="P2427"/>
      <c r="V2427">
        <v>0.16052553673449199</v>
      </c>
      <c r="W2427">
        <v>2</v>
      </c>
      <c r="X2427">
        <v>78791.611820510007</v>
      </c>
      <c r="Y2427">
        <v>2472</v>
      </c>
      <c r="Z2427">
        <v>4.8441366469323803</v>
      </c>
      <c r="AA2427">
        <v>100</v>
      </c>
    </row>
    <row r="2428" spans="1:27" x14ac:dyDescent="0.2">
      <c r="A2428">
        <v>30</v>
      </c>
      <c r="B2428">
        <v>2</v>
      </c>
      <c r="C2428">
        <v>0.3</v>
      </c>
      <c r="D2428">
        <v>20</v>
      </c>
      <c r="E2428">
        <v>0.10287614963637499</v>
      </c>
      <c r="F2428">
        <v>2</v>
      </c>
      <c r="G2428">
        <v>37.446169071</v>
      </c>
      <c r="H2428">
        <v>0.11438467490464201</v>
      </c>
      <c r="I2428">
        <v>2</v>
      </c>
      <c r="J2428">
        <v>0.41342104800000001</v>
      </c>
      <c r="P2428"/>
      <c r="V2428">
        <v>8.8470633772568405E-2</v>
      </c>
      <c r="W2428">
        <v>2</v>
      </c>
      <c r="X2428">
        <v>78820.834841421994</v>
      </c>
      <c r="Y2428">
        <v>2832</v>
      </c>
      <c r="Z2428">
        <v>4.0681022322623903</v>
      </c>
      <c r="AA2428">
        <v>100</v>
      </c>
    </row>
    <row r="2429" spans="1:27" x14ac:dyDescent="0.2">
      <c r="A2429">
        <v>30</v>
      </c>
      <c r="B2429">
        <v>2</v>
      </c>
      <c r="C2429">
        <v>0.4</v>
      </c>
      <c r="D2429">
        <v>20</v>
      </c>
      <c r="E2429">
        <v>6.1767804670527199E-2</v>
      </c>
      <c r="F2429">
        <v>2</v>
      </c>
      <c r="G2429">
        <v>30.556125189999999</v>
      </c>
      <c r="H2429">
        <v>7.9181427108875296E-2</v>
      </c>
      <c r="I2429">
        <v>2</v>
      </c>
      <c r="J2429">
        <v>0.337178755</v>
      </c>
      <c r="P2429"/>
      <c r="V2429">
        <v>5.89300339369387E-2</v>
      </c>
      <c r="W2429">
        <v>2</v>
      </c>
      <c r="X2429">
        <v>78491.920455398998</v>
      </c>
      <c r="Y2429">
        <v>2759</v>
      </c>
      <c r="Z2429">
        <v>6.6239243315576397</v>
      </c>
      <c r="AA2429">
        <v>100</v>
      </c>
    </row>
    <row r="2430" spans="1:27" x14ac:dyDescent="0.2">
      <c r="A2430">
        <v>30</v>
      </c>
      <c r="B2430">
        <v>2</v>
      </c>
      <c r="C2430">
        <v>0.3</v>
      </c>
      <c r="D2430">
        <v>20</v>
      </c>
      <c r="E2430">
        <v>0.15258335264912001</v>
      </c>
      <c r="F2430">
        <v>2</v>
      </c>
      <c r="G2430">
        <v>38.484005465000003</v>
      </c>
      <c r="H2430">
        <v>0.14288773677008301</v>
      </c>
      <c r="I2430">
        <v>2</v>
      </c>
      <c r="J2430">
        <v>0.27738560499999998</v>
      </c>
      <c r="P2430"/>
      <c r="V2430">
        <v>0.115228695299464</v>
      </c>
      <c r="W2430">
        <v>2</v>
      </c>
      <c r="X2430">
        <v>78908.777681320993</v>
      </c>
      <c r="Y2430">
        <v>2586</v>
      </c>
      <c r="Z2430">
        <v>6.13019484062169</v>
      </c>
      <c r="AA2430">
        <v>100</v>
      </c>
    </row>
    <row r="2431" spans="1:27" x14ac:dyDescent="0.2">
      <c r="A2431">
        <v>30</v>
      </c>
      <c r="B2431">
        <v>2</v>
      </c>
      <c r="C2431">
        <v>0.4</v>
      </c>
      <c r="D2431">
        <v>20</v>
      </c>
      <c r="E2431">
        <v>0.12200993131457701</v>
      </c>
      <c r="F2431">
        <v>2</v>
      </c>
      <c r="G2431">
        <v>31.332779210999998</v>
      </c>
      <c r="H2431">
        <v>0.13609039143379201</v>
      </c>
      <c r="I2431">
        <v>2</v>
      </c>
      <c r="J2431">
        <v>0.312371591</v>
      </c>
      <c r="P2431"/>
      <c r="V2431">
        <v>0.108065236266691</v>
      </c>
      <c r="W2431">
        <v>2</v>
      </c>
      <c r="X2431">
        <v>79156.003866119005</v>
      </c>
      <c r="Y2431">
        <v>2515</v>
      </c>
      <c r="Z2431">
        <v>3.2170715388532498</v>
      </c>
      <c r="AA2431">
        <v>100</v>
      </c>
    </row>
    <row r="2432" spans="1:27" x14ac:dyDescent="0.2">
      <c r="A2432">
        <v>30</v>
      </c>
      <c r="B2432">
        <v>2</v>
      </c>
      <c r="C2432">
        <v>0.2</v>
      </c>
      <c r="D2432">
        <v>20</v>
      </c>
      <c r="E2432">
        <v>0.46270758661662997</v>
      </c>
      <c r="F2432">
        <v>2</v>
      </c>
      <c r="G2432">
        <v>30.777715581999999</v>
      </c>
      <c r="H2432">
        <v>0.25443831938338002</v>
      </c>
      <c r="I2432">
        <v>2</v>
      </c>
      <c r="J2432">
        <v>0.69276801700000001</v>
      </c>
      <c r="P2432"/>
      <c r="V2432">
        <v>0.239172058773166</v>
      </c>
      <c r="W2432">
        <v>2</v>
      </c>
      <c r="X2432">
        <v>79091.648429588997</v>
      </c>
      <c r="Y2432">
        <v>2492</v>
      </c>
      <c r="Z2432">
        <v>3.4140862960593901</v>
      </c>
      <c r="AA2432">
        <v>100</v>
      </c>
    </row>
    <row r="2433" spans="1:27" x14ac:dyDescent="0.2">
      <c r="A2433">
        <v>30</v>
      </c>
      <c r="B2433">
        <v>2</v>
      </c>
      <c r="C2433">
        <v>0.4</v>
      </c>
      <c r="D2433">
        <v>20</v>
      </c>
      <c r="E2433">
        <v>0.242966577819753</v>
      </c>
      <c r="F2433">
        <v>2</v>
      </c>
      <c r="G2433">
        <v>44.396786425999998</v>
      </c>
      <c r="H2433">
        <v>0.17174424920502401</v>
      </c>
      <c r="I2433">
        <v>2</v>
      </c>
      <c r="J2433">
        <v>0.43795778299999999</v>
      </c>
      <c r="P2433"/>
      <c r="V2433">
        <v>0.15427263130537699</v>
      </c>
      <c r="W2433">
        <v>2</v>
      </c>
      <c r="X2433">
        <v>78188.497491189002</v>
      </c>
      <c r="Y2433">
        <v>2498</v>
      </c>
      <c r="Z2433">
        <v>4.1466181766160304</v>
      </c>
      <c r="AA2433">
        <v>100</v>
      </c>
    </row>
    <row r="2434" spans="1:27" x14ac:dyDescent="0.2">
      <c r="A2434">
        <v>30</v>
      </c>
      <c r="B2434">
        <v>2</v>
      </c>
      <c r="C2434">
        <v>0.2</v>
      </c>
      <c r="D2434">
        <v>20</v>
      </c>
      <c r="E2434">
        <v>0.32436256604071001</v>
      </c>
      <c r="F2434">
        <v>2</v>
      </c>
      <c r="G2434">
        <v>39.170755882000002</v>
      </c>
      <c r="H2434">
        <v>0.22856113900994299</v>
      </c>
      <c r="I2434">
        <v>2</v>
      </c>
      <c r="J2434">
        <v>0.60121949600000002</v>
      </c>
      <c r="P2434"/>
      <c r="V2434">
        <v>0.200420065636807</v>
      </c>
      <c r="W2434">
        <v>2</v>
      </c>
      <c r="X2434">
        <v>79054.957973932003</v>
      </c>
      <c r="Y2434">
        <v>2421</v>
      </c>
      <c r="Z2434">
        <v>3.1936147490232498</v>
      </c>
      <c r="AA2434">
        <v>100</v>
      </c>
    </row>
    <row r="2435" spans="1:27" x14ac:dyDescent="0.2">
      <c r="A2435">
        <v>30</v>
      </c>
      <c r="B2435">
        <v>2</v>
      </c>
      <c r="C2435">
        <v>0.1</v>
      </c>
      <c r="D2435">
        <v>20</v>
      </c>
      <c r="E2435">
        <v>0.75572709455001996</v>
      </c>
      <c r="F2435">
        <v>2</v>
      </c>
      <c r="G2435">
        <v>40.132629227999999</v>
      </c>
      <c r="H2435">
        <v>0.73047451268418795</v>
      </c>
      <c r="I2435">
        <v>2</v>
      </c>
      <c r="J2435">
        <v>1.5584943849999999</v>
      </c>
      <c r="P2435"/>
      <c r="V2435">
        <v>0.72549567438993101</v>
      </c>
      <c r="W2435">
        <v>2</v>
      </c>
      <c r="X2435">
        <v>78987.447201281</v>
      </c>
      <c r="Y2435">
        <v>40341</v>
      </c>
      <c r="Z2435">
        <v>0.30101490534070702</v>
      </c>
      <c r="AA2435">
        <v>100</v>
      </c>
    </row>
    <row r="2436" spans="1:27" x14ac:dyDescent="0.2">
      <c r="A2436">
        <v>30</v>
      </c>
      <c r="B2436">
        <v>2</v>
      </c>
      <c r="C2436">
        <v>0.3</v>
      </c>
      <c r="D2436">
        <v>20</v>
      </c>
      <c r="E2436">
        <v>0.12409207738028299</v>
      </c>
      <c r="F2436">
        <v>2</v>
      </c>
      <c r="G2436">
        <v>39.890056735000002</v>
      </c>
      <c r="H2436">
        <v>0.11967658455992</v>
      </c>
      <c r="I2436">
        <v>2</v>
      </c>
      <c r="J2436">
        <v>0.35166597100000002</v>
      </c>
      <c r="P2436"/>
      <c r="V2436">
        <v>9.1952854842715995E-2</v>
      </c>
      <c r="W2436">
        <v>2</v>
      </c>
      <c r="X2436">
        <v>78511.743470250003</v>
      </c>
      <c r="Y2436">
        <v>2418</v>
      </c>
      <c r="Z2436">
        <v>6.4934881068602399</v>
      </c>
      <c r="AA2436">
        <v>100</v>
      </c>
    </row>
    <row r="2437" spans="1:27" x14ac:dyDescent="0.2">
      <c r="A2437">
        <v>30</v>
      </c>
      <c r="B2437">
        <v>2</v>
      </c>
      <c r="C2437">
        <v>0.1</v>
      </c>
      <c r="D2437">
        <v>20</v>
      </c>
      <c r="E2437">
        <v>0.92014639527598796</v>
      </c>
      <c r="F2437">
        <v>2</v>
      </c>
      <c r="G2437">
        <v>33.905056756</v>
      </c>
      <c r="H2437">
        <v>0.96631412097128699</v>
      </c>
      <c r="I2437">
        <v>2</v>
      </c>
      <c r="J2437">
        <v>1.099659352</v>
      </c>
      <c r="P2437"/>
      <c r="V2437">
        <v>0.97660927825726995</v>
      </c>
      <c r="W2437">
        <v>2</v>
      </c>
      <c r="X2437">
        <v>78405.730132059005</v>
      </c>
      <c r="Y2437">
        <v>43039</v>
      </c>
      <c r="Z2437">
        <v>0.40584025718965699</v>
      </c>
      <c r="AA2437">
        <v>100</v>
      </c>
    </row>
    <row r="2438" spans="1:27" x14ac:dyDescent="0.2">
      <c r="A2438">
        <v>30</v>
      </c>
      <c r="B2438">
        <v>2</v>
      </c>
      <c r="C2438">
        <v>0.4</v>
      </c>
      <c r="D2438">
        <v>20</v>
      </c>
      <c r="E2438">
        <v>0.10628301609422899</v>
      </c>
      <c r="F2438">
        <v>2</v>
      </c>
      <c r="G2438">
        <v>36.103476862999997</v>
      </c>
      <c r="H2438">
        <v>0.102080053131688</v>
      </c>
      <c r="I2438">
        <v>2</v>
      </c>
      <c r="J2438">
        <v>0.257066672</v>
      </c>
      <c r="P2438"/>
      <c r="V2438">
        <v>7.6160057247362897E-2</v>
      </c>
      <c r="W2438">
        <v>2</v>
      </c>
      <c r="X2438">
        <v>79435.780928401</v>
      </c>
      <c r="Y2438">
        <v>35235</v>
      </c>
      <c r="Z2438">
        <v>3.0116120293122699</v>
      </c>
      <c r="AA2438">
        <v>100</v>
      </c>
    </row>
    <row r="2439" spans="1:27" x14ac:dyDescent="0.2">
      <c r="A2439">
        <v>30</v>
      </c>
      <c r="B2439">
        <v>2</v>
      </c>
      <c r="C2439">
        <v>0.3</v>
      </c>
      <c r="D2439">
        <v>20</v>
      </c>
      <c r="E2439">
        <v>0.20271081599958299</v>
      </c>
      <c r="F2439">
        <v>2</v>
      </c>
      <c r="G2439">
        <v>34.597857505999997</v>
      </c>
      <c r="H2439">
        <v>0.205195766163765</v>
      </c>
      <c r="I2439">
        <v>2</v>
      </c>
      <c r="J2439">
        <v>0.25618791899999999</v>
      </c>
      <c r="P2439"/>
      <c r="V2439">
        <v>0.18121619805158001</v>
      </c>
      <c r="W2439">
        <v>2</v>
      </c>
      <c r="X2439">
        <v>79178.825045456993</v>
      </c>
      <c r="Y2439">
        <v>2265</v>
      </c>
      <c r="Z2439">
        <v>4.9321789768073296</v>
      </c>
      <c r="AA2439">
        <v>100</v>
      </c>
    </row>
    <row r="2440" spans="1:27" x14ac:dyDescent="0.2">
      <c r="A2440">
        <v>30</v>
      </c>
      <c r="B2440">
        <v>2</v>
      </c>
      <c r="C2440">
        <v>0.4</v>
      </c>
      <c r="D2440">
        <v>20</v>
      </c>
      <c r="E2440">
        <v>0.14901120099235099</v>
      </c>
      <c r="F2440">
        <v>2</v>
      </c>
      <c r="G2440">
        <v>30.928143707</v>
      </c>
      <c r="H2440">
        <v>0.12780829333926899</v>
      </c>
      <c r="I2440">
        <v>2</v>
      </c>
      <c r="J2440">
        <v>0.27873499600000001</v>
      </c>
      <c r="P2440"/>
      <c r="V2440">
        <v>0.105035253933557</v>
      </c>
      <c r="W2440">
        <v>2</v>
      </c>
      <c r="X2440">
        <v>79613.510213866</v>
      </c>
      <c r="Y2440">
        <v>2209</v>
      </c>
      <c r="Z2440">
        <v>5.8305706576666099</v>
      </c>
      <c r="AA2440">
        <v>100</v>
      </c>
    </row>
    <row r="2441" spans="1:27" x14ac:dyDescent="0.2">
      <c r="A2441">
        <v>30</v>
      </c>
      <c r="B2441">
        <v>2</v>
      </c>
      <c r="C2441">
        <v>0.2</v>
      </c>
      <c r="D2441">
        <v>20</v>
      </c>
      <c r="E2441">
        <v>0.44566303853691203</v>
      </c>
      <c r="F2441">
        <v>2</v>
      </c>
      <c r="G2441">
        <v>41.429237041999997</v>
      </c>
      <c r="H2441">
        <v>0.29966257104288502</v>
      </c>
      <c r="I2441">
        <v>2</v>
      </c>
      <c r="J2441">
        <v>0.667891067</v>
      </c>
      <c r="P2441"/>
      <c r="V2441">
        <v>0.28376126946206498</v>
      </c>
      <c r="W2441">
        <v>2</v>
      </c>
      <c r="X2441">
        <v>79217.162481453997</v>
      </c>
      <c r="Y2441">
        <v>2373</v>
      </c>
      <c r="Z2441">
        <v>3.14930168754108</v>
      </c>
      <c r="AA2441">
        <v>100</v>
      </c>
    </row>
    <row r="2442" spans="1:27" x14ac:dyDescent="0.2">
      <c r="A2442">
        <v>30</v>
      </c>
      <c r="B2442">
        <v>2</v>
      </c>
      <c r="C2442">
        <v>0.4</v>
      </c>
      <c r="D2442">
        <v>20</v>
      </c>
      <c r="E2442">
        <v>0.126917211465253</v>
      </c>
      <c r="F2442">
        <v>2</v>
      </c>
      <c r="G2442">
        <v>42.068798661999999</v>
      </c>
      <c r="H2442">
        <v>0.103124222674587</v>
      </c>
      <c r="I2442">
        <v>2</v>
      </c>
      <c r="J2442">
        <v>0.45077907299999997</v>
      </c>
      <c r="P2442"/>
      <c r="V2442">
        <v>7.6847471990513797E-2</v>
      </c>
      <c r="W2442">
        <v>2</v>
      </c>
      <c r="X2442">
        <v>79072.487925431007</v>
      </c>
      <c r="Y2442">
        <v>2417</v>
      </c>
      <c r="Z2442">
        <v>4.7567713348198497</v>
      </c>
      <c r="AA2442">
        <v>100</v>
      </c>
    </row>
    <row r="2443" spans="1:27" x14ac:dyDescent="0.2">
      <c r="A2443">
        <v>30</v>
      </c>
      <c r="B2443">
        <v>2</v>
      </c>
      <c r="C2443">
        <v>0.3</v>
      </c>
      <c r="D2443">
        <v>20</v>
      </c>
      <c r="E2443">
        <v>0.21358763760083499</v>
      </c>
      <c r="F2443">
        <v>2</v>
      </c>
      <c r="G2443">
        <v>35.413363324000002</v>
      </c>
      <c r="H2443">
        <v>0.17819262323525401</v>
      </c>
      <c r="I2443">
        <v>2</v>
      </c>
      <c r="J2443">
        <v>0.43664972099999999</v>
      </c>
      <c r="P2443"/>
      <c r="V2443">
        <v>0.15608361367770901</v>
      </c>
      <c r="W2443">
        <v>2</v>
      </c>
      <c r="X2443">
        <v>79102.599170985006</v>
      </c>
      <c r="Y2443">
        <v>3307</v>
      </c>
      <c r="Z2443">
        <v>4.0575686836491496</v>
      </c>
      <c r="AA2443">
        <v>100</v>
      </c>
    </row>
    <row r="2444" spans="1:27" x14ac:dyDescent="0.2">
      <c r="A2444">
        <v>30</v>
      </c>
      <c r="B2444">
        <v>2</v>
      </c>
      <c r="C2444">
        <v>0.2</v>
      </c>
      <c r="D2444">
        <v>20</v>
      </c>
      <c r="E2444">
        <v>0.28805896824409599</v>
      </c>
      <c r="F2444">
        <v>2</v>
      </c>
      <c r="G2444">
        <v>37.788953974000002</v>
      </c>
      <c r="H2444">
        <v>0.25693960359282503</v>
      </c>
      <c r="I2444">
        <v>2</v>
      </c>
      <c r="J2444">
        <v>0.60609800300000005</v>
      </c>
      <c r="P2444"/>
      <c r="V2444">
        <v>0.23622877166947401</v>
      </c>
      <c r="W2444">
        <v>2</v>
      </c>
      <c r="X2444">
        <v>79145.775256580993</v>
      </c>
      <c r="Y2444">
        <v>2391</v>
      </c>
      <c r="Z2444">
        <v>2.8214671094174202</v>
      </c>
      <c r="AA2444">
        <v>100</v>
      </c>
    </row>
    <row r="2445" spans="1:27" x14ac:dyDescent="0.2">
      <c r="A2445">
        <v>30</v>
      </c>
      <c r="B2445">
        <v>2</v>
      </c>
      <c r="C2445">
        <v>0.2</v>
      </c>
      <c r="D2445">
        <v>20</v>
      </c>
      <c r="E2445">
        <v>0.384400328946084</v>
      </c>
      <c r="F2445">
        <v>2</v>
      </c>
      <c r="G2445">
        <v>45.966396574999997</v>
      </c>
      <c r="H2445">
        <v>0.283037089527295</v>
      </c>
      <c r="I2445">
        <v>2</v>
      </c>
      <c r="J2445">
        <v>0.69036125500000001</v>
      </c>
      <c r="P2445"/>
      <c r="V2445">
        <v>0.26060589009608198</v>
      </c>
      <c r="W2445">
        <v>2</v>
      </c>
      <c r="X2445">
        <v>79093.125166926999</v>
      </c>
      <c r="Y2445">
        <v>2972</v>
      </c>
      <c r="Z2445">
        <v>2.86211660212029</v>
      </c>
      <c r="AA2445">
        <v>100</v>
      </c>
    </row>
    <row r="2446" spans="1:27" x14ac:dyDescent="0.2">
      <c r="A2446">
        <v>30</v>
      </c>
      <c r="B2446">
        <v>2</v>
      </c>
      <c r="C2446">
        <v>0.1</v>
      </c>
      <c r="D2446">
        <v>20</v>
      </c>
      <c r="E2446">
        <v>0.926521037774931</v>
      </c>
      <c r="F2446">
        <v>2</v>
      </c>
      <c r="G2446">
        <v>35.642145612999997</v>
      </c>
      <c r="H2446">
        <v>0.91466611401241804</v>
      </c>
      <c r="I2446">
        <v>2</v>
      </c>
      <c r="J2446">
        <v>1.434972237</v>
      </c>
      <c r="P2446"/>
      <c r="V2446">
        <v>0.91830356822759096</v>
      </c>
      <c r="W2446">
        <v>2</v>
      </c>
      <c r="X2446">
        <v>79644.343975265001</v>
      </c>
      <c r="Y2446">
        <v>38278</v>
      </c>
      <c r="Z2446">
        <v>0.38717115068836999</v>
      </c>
      <c r="AA2446">
        <v>100</v>
      </c>
    </row>
    <row r="2447" spans="1:27" x14ac:dyDescent="0.2">
      <c r="A2447">
        <v>30</v>
      </c>
      <c r="B2447">
        <v>2</v>
      </c>
      <c r="C2447">
        <v>0.2</v>
      </c>
      <c r="D2447">
        <v>20</v>
      </c>
      <c r="E2447">
        <v>0.27497001894041001</v>
      </c>
      <c r="F2447">
        <v>2</v>
      </c>
      <c r="G2447">
        <v>29.616705588999999</v>
      </c>
      <c r="H2447">
        <v>0.23327841026981699</v>
      </c>
      <c r="I2447">
        <v>2</v>
      </c>
      <c r="J2447">
        <v>0.28923909599999997</v>
      </c>
      <c r="P2447"/>
      <c r="V2447">
        <v>0.206716545680554</v>
      </c>
      <c r="W2447">
        <v>2</v>
      </c>
      <c r="X2447">
        <v>80062.191871313</v>
      </c>
      <c r="Y2447">
        <v>2407</v>
      </c>
      <c r="Z2447">
        <v>2.5955643766792398</v>
      </c>
      <c r="AA2447">
        <v>100</v>
      </c>
    </row>
    <row r="2448" spans="1:27" x14ac:dyDescent="0.2">
      <c r="A2448">
        <v>30</v>
      </c>
      <c r="B2448">
        <v>2</v>
      </c>
      <c r="C2448">
        <v>0.4</v>
      </c>
      <c r="D2448">
        <v>20</v>
      </c>
      <c r="E2448">
        <v>0.20419464857690101</v>
      </c>
      <c r="F2448">
        <v>2</v>
      </c>
      <c r="G2448">
        <v>39.013853566000002</v>
      </c>
      <c r="H2448">
        <v>0.16798500372077399</v>
      </c>
      <c r="I2448">
        <v>2</v>
      </c>
      <c r="J2448">
        <v>0.389103117</v>
      </c>
      <c r="P2448"/>
      <c r="V2448">
        <v>0.150490876371807</v>
      </c>
      <c r="W2448">
        <v>2</v>
      </c>
      <c r="X2448">
        <v>80519.301790797006</v>
      </c>
      <c r="Y2448">
        <v>2615</v>
      </c>
      <c r="Z2448">
        <v>12.2484780844733</v>
      </c>
      <c r="AA2448">
        <v>100</v>
      </c>
    </row>
    <row r="2449" spans="1:27" x14ac:dyDescent="0.2">
      <c r="A2449">
        <v>30</v>
      </c>
      <c r="B2449">
        <v>2</v>
      </c>
      <c r="C2449">
        <v>0.4</v>
      </c>
      <c r="D2449">
        <v>20</v>
      </c>
      <c r="E2449">
        <v>5.8340462389574202E-2</v>
      </c>
      <c r="F2449">
        <v>2</v>
      </c>
      <c r="G2449">
        <v>34.706885241999998</v>
      </c>
      <c r="H2449">
        <v>8.4464972315137499E-2</v>
      </c>
      <c r="I2449">
        <v>2</v>
      </c>
      <c r="J2449">
        <v>0.30260656499999999</v>
      </c>
      <c r="P2449"/>
      <c r="V2449">
        <v>6.4119307406309001E-2</v>
      </c>
      <c r="W2449">
        <v>2</v>
      </c>
      <c r="X2449">
        <v>80357.963577203001</v>
      </c>
      <c r="Y2449">
        <v>2184</v>
      </c>
      <c r="Z2449">
        <v>4.5293610428955802</v>
      </c>
      <c r="AA2449">
        <v>100</v>
      </c>
    </row>
    <row r="2450" spans="1:27" x14ac:dyDescent="0.2">
      <c r="A2450">
        <v>40</v>
      </c>
      <c r="B2450">
        <v>2</v>
      </c>
      <c r="C2450">
        <v>0.2</v>
      </c>
      <c r="D2450">
        <v>20</v>
      </c>
      <c r="E2450">
        <v>0.32324694105653701</v>
      </c>
      <c r="F2450">
        <v>2</v>
      </c>
      <c r="G2450">
        <v>28.957825122999999</v>
      </c>
      <c r="H2450">
        <v>0.220478569284279</v>
      </c>
      <c r="I2450">
        <v>2</v>
      </c>
      <c r="J2450">
        <v>0.80835101899999995</v>
      </c>
      <c r="P2450"/>
      <c r="V2450">
        <v>0.19722996115029501</v>
      </c>
      <c r="W2450">
        <v>2</v>
      </c>
      <c r="X2450">
        <v>75246.642229085002</v>
      </c>
      <c r="Y2450">
        <v>0</v>
      </c>
      <c r="Z2450" s="1">
        <v>1E+100</v>
      </c>
      <c r="AA2450">
        <v>100</v>
      </c>
    </row>
    <row r="2451" spans="1:27" x14ac:dyDescent="0.2">
      <c r="A2451">
        <v>40</v>
      </c>
      <c r="B2451">
        <v>2</v>
      </c>
      <c r="C2451">
        <v>0.1</v>
      </c>
      <c r="D2451">
        <v>20</v>
      </c>
      <c r="E2451">
        <v>0.75534697805282502</v>
      </c>
      <c r="F2451">
        <v>2</v>
      </c>
      <c r="G2451">
        <v>28.963527703</v>
      </c>
      <c r="H2451">
        <v>0.73095529478610599</v>
      </c>
      <c r="I2451">
        <v>2</v>
      </c>
      <c r="J2451">
        <v>1.80420253</v>
      </c>
      <c r="P2451"/>
      <c r="V2451">
        <v>0.72878969201028998</v>
      </c>
      <c r="W2451">
        <v>2</v>
      </c>
      <c r="X2451">
        <v>76240.454128714002</v>
      </c>
      <c r="Y2451">
        <v>10271</v>
      </c>
      <c r="Z2451">
        <v>1.80414648807032</v>
      </c>
      <c r="AA2451">
        <v>100</v>
      </c>
    </row>
    <row r="2452" spans="1:27" x14ac:dyDescent="0.2">
      <c r="A2452">
        <v>40</v>
      </c>
      <c r="B2452">
        <v>2</v>
      </c>
      <c r="C2452">
        <v>0.2</v>
      </c>
      <c r="D2452">
        <v>20</v>
      </c>
      <c r="E2452">
        <v>0.21962183260286</v>
      </c>
      <c r="F2452">
        <v>2</v>
      </c>
      <c r="G2452">
        <v>28.928162490999998</v>
      </c>
      <c r="H2452">
        <v>0.156455071158487</v>
      </c>
      <c r="I2452">
        <v>2</v>
      </c>
      <c r="J2452">
        <v>0.73419362099999996</v>
      </c>
      <c r="P2452"/>
      <c r="V2452">
        <v>0.13595313744734699</v>
      </c>
      <c r="W2452">
        <v>2</v>
      </c>
      <c r="X2452">
        <v>75275.918302324993</v>
      </c>
      <c r="Y2452">
        <v>0</v>
      </c>
      <c r="Z2452" s="1">
        <v>1E+100</v>
      </c>
      <c r="AA2452">
        <v>100</v>
      </c>
    </row>
    <row r="2453" spans="1:27" x14ac:dyDescent="0.2">
      <c r="A2453">
        <v>40</v>
      </c>
      <c r="B2453">
        <v>2</v>
      </c>
      <c r="C2453">
        <v>0.1</v>
      </c>
      <c r="D2453">
        <v>20</v>
      </c>
      <c r="E2453">
        <v>0.88293582729003794</v>
      </c>
      <c r="F2453">
        <v>2</v>
      </c>
      <c r="G2453">
        <v>22.741382460000001</v>
      </c>
      <c r="H2453">
        <v>0.85541672800770596</v>
      </c>
      <c r="I2453">
        <v>2</v>
      </c>
      <c r="J2453">
        <v>1.6462267429999999</v>
      </c>
      <c r="P2453"/>
      <c r="V2453">
        <v>0.86483694737926597</v>
      </c>
      <c r="W2453">
        <v>2</v>
      </c>
      <c r="X2453">
        <v>76042.451670983995</v>
      </c>
      <c r="Y2453">
        <v>8229</v>
      </c>
      <c r="Z2453">
        <v>1.1277250594375801</v>
      </c>
      <c r="AA2453">
        <v>100</v>
      </c>
    </row>
    <row r="2454" spans="1:27" x14ac:dyDescent="0.2">
      <c r="A2454">
        <v>40</v>
      </c>
      <c r="B2454">
        <v>2</v>
      </c>
      <c r="C2454">
        <v>0.4</v>
      </c>
      <c r="D2454">
        <v>20</v>
      </c>
      <c r="E2454">
        <v>7.2005067204461301E-2</v>
      </c>
      <c r="F2454">
        <v>2</v>
      </c>
      <c r="G2454">
        <v>29.163882074</v>
      </c>
      <c r="H2454">
        <v>8.8909742804580902E-2</v>
      </c>
      <c r="I2454">
        <v>2</v>
      </c>
      <c r="J2454">
        <v>0.51081421800000004</v>
      </c>
      <c r="P2454"/>
      <c r="V2454">
        <v>6.31858426852724E-2</v>
      </c>
      <c r="W2454">
        <v>2</v>
      </c>
      <c r="X2454">
        <v>77366.897238506994</v>
      </c>
      <c r="Y2454">
        <v>3077</v>
      </c>
      <c r="Z2454">
        <v>10.009330521343101</v>
      </c>
      <c r="AA2454">
        <v>100</v>
      </c>
    </row>
    <row r="2455" spans="1:27" x14ac:dyDescent="0.2">
      <c r="A2455">
        <v>40</v>
      </c>
      <c r="B2455">
        <v>2</v>
      </c>
      <c r="C2455">
        <v>0.4</v>
      </c>
      <c r="D2455">
        <v>20</v>
      </c>
      <c r="E2455">
        <v>6.0119290068615903E-2</v>
      </c>
      <c r="F2455">
        <v>2</v>
      </c>
      <c r="G2455">
        <v>24.167830038999998</v>
      </c>
      <c r="H2455">
        <v>7.8306758285553807E-2</v>
      </c>
      <c r="I2455">
        <v>2</v>
      </c>
      <c r="J2455">
        <v>0.50033587000000002</v>
      </c>
      <c r="P2455"/>
      <c r="V2455">
        <v>5.55651324297574E-2</v>
      </c>
      <c r="W2455">
        <v>2</v>
      </c>
      <c r="X2455">
        <v>75867.522573709997</v>
      </c>
      <c r="Y2455">
        <v>15609</v>
      </c>
      <c r="Z2455">
        <v>9.0206655931195403</v>
      </c>
      <c r="AA2455">
        <v>100</v>
      </c>
    </row>
    <row r="2456" spans="1:27" x14ac:dyDescent="0.2">
      <c r="A2456">
        <v>40</v>
      </c>
      <c r="B2456">
        <v>2</v>
      </c>
      <c r="C2456">
        <v>0.3</v>
      </c>
      <c r="D2456">
        <v>20</v>
      </c>
      <c r="E2456">
        <v>0.190008448000138</v>
      </c>
      <c r="F2456">
        <v>2</v>
      </c>
      <c r="G2456">
        <v>25.303945524</v>
      </c>
      <c r="H2456">
        <v>0.16247082227828399</v>
      </c>
      <c r="I2456">
        <v>2</v>
      </c>
      <c r="J2456">
        <v>0.30551841200000002</v>
      </c>
      <c r="P2456"/>
      <c r="V2456">
        <v>0.145009763502776</v>
      </c>
      <c r="W2456">
        <v>2</v>
      </c>
      <c r="X2456">
        <v>78248.630681883995</v>
      </c>
      <c r="Y2456">
        <v>2428</v>
      </c>
      <c r="Z2456">
        <v>10.770766082698101</v>
      </c>
      <c r="AA2456">
        <v>100</v>
      </c>
    </row>
    <row r="2457" spans="1:27" x14ac:dyDescent="0.2">
      <c r="A2457">
        <v>40</v>
      </c>
      <c r="B2457">
        <v>2</v>
      </c>
      <c r="C2457">
        <v>0.1</v>
      </c>
      <c r="D2457">
        <v>20</v>
      </c>
      <c r="E2457">
        <v>0.56860192586155101</v>
      </c>
      <c r="F2457">
        <v>2</v>
      </c>
      <c r="G2457">
        <v>28.780234938</v>
      </c>
      <c r="H2457">
        <v>0.52861607870986305</v>
      </c>
      <c r="I2457">
        <v>2</v>
      </c>
      <c r="J2457">
        <v>0.91191249699999999</v>
      </c>
      <c r="P2457"/>
      <c r="V2457">
        <v>0.52501351157535403</v>
      </c>
      <c r="W2457">
        <v>2</v>
      </c>
      <c r="X2457">
        <v>75700.293043173006</v>
      </c>
      <c r="Y2457">
        <v>8443</v>
      </c>
      <c r="Z2457">
        <v>1.1370097161052399</v>
      </c>
      <c r="AA2457">
        <v>100</v>
      </c>
    </row>
    <row r="2458" spans="1:27" x14ac:dyDescent="0.2">
      <c r="A2458">
        <v>40</v>
      </c>
      <c r="B2458">
        <v>2</v>
      </c>
      <c r="C2458">
        <v>0.3</v>
      </c>
      <c r="D2458">
        <v>20</v>
      </c>
      <c r="E2458">
        <v>0.112532560743322</v>
      </c>
      <c r="F2458">
        <v>2</v>
      </c>
      <c r="G2458">
        <v>26.180378052999998</v>
      </c>
      <c r="H2458">
        <v>0.113635814070952</v>
      </c>
      <c r="I2458">
        <v>2</v>
      </c>
      <c r="J2458">
        <v>0.406257272</v>
      </c>
      <c r="P2458"/>
      <c r="V2458">
        <v>8.5866925823021203E-2</v>
      </c>
      <c r="W2458">
        <v>2</v>
      </c>
      <c r="X2458">
        <v>78521.665297232001</v>
      </c>
      <c r="Y2458">
        <v>2452</v>
      </c>
      <c r="Z2458">
        <v>9.4796662365242792</v>
      </c>
      <c r="AA2458">
        <v>100</v>
      </c>
    </row>
    <row r="2459" spans="1:27" x14ac:dyDescent="0.2">
      <c r="A2459">
        <v>30</v>
      </c>
      <c r="B2459">
        <v>1</v>
      </c>
      <c r="C2459">
        <v>0.3</v>
      </c>
      <c r="D2459">
        <v>20</v>
      </c>
      <c r="E2459">
        <v>5.5993974560975698E-2</v>
      </c>
      <c r="F2459">
        <v>1</v>
      </c>
      <c r="G2459">
        <v>33.025499729000003</v>
      </c>
      <c r="H2459">
        <v>7.3155760048977003E-2</v>
      </c>
      <c r="I2459">
        <v>1</v>
      </c>
      <c r="J2459">
        <v>0.28655920200000001</v>
      </c>
      <c r="K2459">
        <v>0.1172754781154</v>
      </c>
      <c r="L2459">
        <v>1</v>
      </c>
      <c r="M2459">
        <v>30002.149371546999</v>
      </c>
      <c r="N2459">
        <v>631414</v>
      </c>
      <c r="O2459">
        <v>14.0711451162174</v>
      </c>
      <c r="P2459">
        <v>5.2026168279962898E-2</v>
      </c>
      <c r="Q2459">
        <v>1</v>
      </c>
      <c r="R2459">
        <v>11053.937712958001</v>
      </c>
      <c r="S2459">
        <v>6499</v>
      </c>
      <c r="T2459">
        <v>2.9377303196724798E-3</v>
      </c>
      <c r="U2459">
        <v>6503</v>
      </c>
      <c r="V2459">
        <v>5.1825423486393997E-2</v>
      </c>
      <c r="W2459">
        <v>1</v>
      </c>
      <c r="X2459">
        <v>105.33700017</v>
      </c>
      <c r="Y2459">
        <v>147</v>
      </c>
      <c r="Z2459">
        <v>1.5905027369278401E-3</v>
      </c>
      <c r="AA2459">
        <v>5</v>
      </c>
    </row>
    <row r="2460" spans="1:27" x14ac:dyDescent="0.2">
      <c r="A2460">
        <v>30</v>
      </c>
      <c r="B2460">
        <v>1</v>
      </c>
      <c r="C2460">
        <v>0.4</v>
      </c>
      <c r="D2460">
        <v>20</v>
      </c>
      <c r="E2460">
        <v>6.2277689631192797E-2</v>
      </c>
      <c r="F2460">
        <v>1</v>
      </c>
      <c r="G2460">
        <v>27.556451929000001</v>
      </c>
      <c r="H2460">
        <v>8.2640155076041902E-2</v>
      </c>
      <c r="I2460">
        <v>1</v>
      </c>
      <c r="J2460">
        <v>0.19556495700000001</v>
      </c>
      <c r="K2460">
        <v>0.18723656725474799</v>
      </c>
      <c r="L2460">
        <v>1</v>
      </c>
      <c r="M2460">
        <v>30003.934721742</v>
      </c>
      <c r="N2460">
        <v>542556</v>
      </c>
      <c r="O2460">
        <v>5.02403073433039</v>
      </c>
      <c r="P2460">
        <v>0.42054132657829801</v>
      </c>
      <c r="Q2460">
        <v>1</v>
      </c>
      <c r="R2460">
        <v>30044.554521308</v>
      </c>
      <c r="S2460">
        <v>8601</v>
      </c>
      <c r="T2460">
        <v>17.005912976116001</v>
      </c>
      <c r="U2460">
        <v>8542</v>
      </c>
      <c r="V2460">
        <v>5.9772107968152501E-2</v>
      </c>
      <c r="W2460">
        <v>1</v>
      </c>
      <c r="X2460">
        <v>29340.183208580998</v>
      </c>
      <c r="Y2460">
        <v>68249</v>
      </c>
      <c r="Z2460">
        <v>1.75316597039651E-2</v>
      </c>
      <c r="AA2460">
        <v>50</v>
      </c>
    </row>
    <row r="2461" spans="1:27" x14ac:dyDescent="0.2">
      <c r="A2461">
        <v>30</v>
      </c>
      <c r="B2461">
        <v>1</v>
      </c>
      <c r="C2461">
        <v>0.2</v>
      </c>
      <c r="D2461">
        <v>20</v>
      </c>
      <c r="E2461">
        <v>0.17175103884173701</v>
      </c>
      <c r="F2461">
        <v>1</v>
      </c>
      <c r="G2461">
        <v>25.636939469000001</v>
      </c>
      <c r="H2461">
        <v>0.156937271809271</v>
      </c>
      <c r="I2461">
        <v>1</v>
      </c>
      <c r="J2461">
        <v>0.194384418</v>
      </c>
      <c r="K2461">
        <v>0.35215495858005402</v>
      </c>
      <c r="L2461">
        <v>1</v>
      </c>
      <c r="M2461">
        <v>30003.004538581001</v>
      </c>
      <c r="N2461">
        <v>1003706</v>
      </c>
      <c r="O2461">
        <v>4.2760685335289796</v>
      </c>
      <c r="P2461">
        <v>0.89119159155010397</v>
      </c>
      <c r="Q2461">
        <v>1</v>
      </c>
      <c r="R2461">
        <v>30066.041056662001</v>
      </c>
      <c r="S2461">
        <v>12621</v>
      </c>
      <c r="T2461">
        <v>8.8367790715251804</v>
      </c>
      <c r="U2461">
        <v>12305</v>
      </c>
      <c r="V2461">
        <v>0.125699437155218</v>
      </c>
      <c r="W2461">
        <v>1</v>
      </c>
      <c r="X2461">
        <v>30787.770490527</v>
      </c>
      <c r="Y2461">
        <v>2197</v>
      </c>
      <c r="Z2461">
        <v>4.8347382426850702E-2</v>
      </c>
      <c r="AA2461">
        <v>50</v>
      </c>
    </row>
    <row r="2462" spans="1:27" x14ac:dyDescent="0.2">
      <c r="A2462">
        <v>40</v>
      </c>
      <c r="B2462">
        <v>2</v>
      </c>
      <c r="C2462">
        <v>0.2</v>
      </c>
      <c r="D2462">
        <v>20</v>
      </c>
      <c r="E2462">
        <v>0.18939357631043099</v>
      </c>
      <c r="F2462">
        <v>2</v>
      </c>
      <c r="G2462">
        <v>24.392184457999999</v>
      </c>
      <c r="H2462">
        <v>0.13917872322991301</v>
      </c>
      <c r="I2462">
        <v>2</v>
      </c>
      <c r="J2462">
        <v>0.46036450800000001</v>
      </c>
      <c r="P2462"/>
      <c r="V2462">
        <v>0.118457241209287</v>
      </c>
      <c r="W2462">
        <v>2</v>
      </c>
      <c r="X2462">
        <v>86820.988903193007</v>
      </c>
      <c r="Y2462">
        <v>2446</v>
      </c>
      <c r="Z2462">
        <v>7.6951891100015901</v>
      </c>
      <c r="AA2462">
        <v>100</v>
      </c>
    </row>
    <row r="2463" spans="1:27" x14ac:dyDescent="0.2">
      <c r="A2463">
        <v>40</v>
      </c>
      <c r="B2463">
        <v>2</v>
      </c>
      <c r="C2463">
        <v>0.3</v>
      </c>
      <c r="D2463">
        <v>20</v>
      </c>
      <c r="E2463">
        <v>7.6538401900814304E-2</v>
      </c>
      <c r="F2463">
        <v>2</v>
      </c>
      <c r="G2463">
        <v>41.787331074999997</v>
      </c>
      <c r="H2463">
        <v>9.4513143097254906E-2</v>
      </c>
      <c r="I2463">
        <v>2</v>
      </c>
      <c r="J2463">
        <v>0.52209218899999998</v>
      </c>
      <c r="P2463"/>
      <c r="V2463">
        <v>6.9446813262184603E-2</v>
      </c>
      <c r="W2463">
        <v>2</v>
      </c>
      <c r="X2463">
        <v>77268.193242085996</v>
      </c>
      <c r="Y2463">
        <v>3157</v>
      </c>
      <c r="Z2463">
        <v>7.1371635913383198</v>
      </c>
      <c r="AA2463">
        <v>100</v>
      </c>
    </row>
    <row r="2464" spans="1:27" x14ac:dyDescent="0.2">
      <c r="A2464">
        <v>40</v>
      </c>
      <c r="B2464">
        <v>2</v>
      </c>
      <c r="C2464">
        <v>0.3</v>
      </c>
      <c r="D2464">
        <v>20</v>
      </c>
      <c r="E2464">
        <v>0.12750294829888401</v>
      </c>
      <c r="F2464">
        <v>2</v>
      </c>
      <c r="G2464">
        <v>37.418415175</v>
      </c>
      <c r="H2464">
        <v>0.111278401134876</v>
      </c>
      <c r="I2464">
        <v>2</v>
      </c>
      <c r="J2464">
        <v>0.655833573</v>
      </c>
      <c r="P2464"/>
      <c r="V2464">
        <v>8.6061343942355706E-2</v>
      </c>
      <c r="W2464">
        <v>2</v>
      </c>
      <c r="X2464">
        <v>75282.121915985001</v>
      </c>
      <c r="Y2464">
        <v>0</v>
      </c>
      <c r="Z2464" s="1">
        <v>1E+100</v>
      </c>
      <c r="AA2464">
        <v>100</v>
      </c>
    </row>
    <row r="2465" spans="1:27" x14ac:dyDescent="0.2">
      <c r="A2465">
        <v>40</v>
      </c>
      <c r="B2465">
        <v>2</v>
      </c>
      <c r="C2465">
        <v>0.2</v>
      </c>
      <c r="D2465">
        <v>20</v>
      </c>
      <c r="E2465">
        <v>0.28335411256864701</v>
      </c>
      <c r="F2465">
        <v>2</v>
      </c>
      <c r="G2465">
        <v>48.122221887000002</v>
      </c>
      <c r="H2465">
        <v>0.20919053755661701</v>
      </c>
      <c r="I2465">
        <v>2</v>
      </c>
      <c r="J2465">
        <v>0.91561872700000002</v>
      </c>
      <c r="P2465"/>
      <c r="V2465">
        <v>0.18365986807413101</v>
      </c>
      <c r="W2465">
        <v>2</v>
      </c>
      <c r="X2465">
        <v>75311.564339076998</v>
      </c>
      <c r="Y2465">
        <v>0</v>
      </c>
      <c r="Z2465" s="1">
        <v>1E+100</v>
      </c>
      <c r="AA2465">
        <v>100</v>
      </c>
    </row>
    <row r="2466" spans="1:27" x14ac:dyDescent="0.2">
      <c r="A2466">
        <v>40</v>
      </c>
      <c r="B2466">
        <v>2</v>
      </c>
      <c r="C2466">
        <v>0.3</v>
      </c>
      <c r="D2466">
        <v>20</v>
      </c>
      <c r="E2466">
        <v>6.0942923552198401E-2</v>
      </c>
      <c r="F2466">
        <v>2</v>
      </c>
      <c r="G2466">
        <v>49.81661716</v>
      </c>
      <c r="H2466">
        <v>8.8096256531230696E-2</v>
      </c>
      <c r="I2466">
        <v>2</v>
      </c>
      <c r="J2466">
        <v>0.73568519300000002</v>
      </c>
      <c r="P2466"/>
      <c r="V2466">
        <v>6.9275314143083896E-2</v>
      </c>
      <c r="W2466">
        <v>2</v>
      </c>
      <c r="X2466">
        <v>75289.836436575002</v>
      </c>
      <c r="Y2466">
        <v>0</v>
      </c>
      <c r="Z2466" s="1">
        <v>1E+100</v>
      </c>
      <c r="AA2466">
        <v>100</v>
      </c>
    </row>
    <row r="2467" spans="1:27" x14ac:dyDescent="0.2">
      <c r="A2467">
        <v>40</v>
      </c>
      <c r="B2467">
        <v>2</v>
      </c>
      <c r="C2467">
        <v>0.2</v>
      </c>
      <c r="D2467">
        <v>20</v>
      </c>
      <c r="E2467">
        <v>0.19850852175528799</v>
      </c>
      <c r="F2467">
        <v>2</v>
      </c>
      <c r="G2467">
        <v>39.435631708999999</v>
      </c>
      <c r="H2467">
        <v>0.16793834764444801</v>
      </c>
      <c r="I2467">
        <v>2</v>
      </c>
      <c r="J2467">
        <v>0.61342096899999998</v>
      </c>
      <c r="P2467"/>
      <c r="V2467">
        <v>0.14816410021916199</v>
      </c>
      <c r="W2467">
        <v>2</v>
      </c>
      <c r="X2467">
        <v>75301.963704038993</v>
      </c>
      <c r="Y2467">
        <v>0</v>
      </c>
      <c r="Z2467" s="1">
        <v>1E+100</v>
      </c>
      <c r="AA2467">
        <v>100</v>
      </c>
    </row>
    <row r="2468" spans="1:27" x14ac:dyDescent="0.2">
      <c r="A2468">
        <v>40</v>
      </c>
      <c r="B2468">
        <v>2</v>
      </c>
      <c r="C2468">
        <v>0.4</v>
      </c>
      <c r="D2468">
        <v>20</v>
      </c>
      <c r="E2468">
        <v>5.7467094412966303E-2</v>
      </c>
      <c r="F2468">
        <v>2</v>
      </c>
      <c r="G2468">
        <v>46.319784118999998</v>
      </c>
      <c r="H2468">
        <v>7.0819003048545506E-2</v>
      </c>
      <c r="I2468">
        <v>2</v>
      </c>
      <c r="J2468">
        <v>0.56703859899999998</v>
      </c>
      <c r="P2468"/>
      <c r="V2468">
        <v>4.7374568922752297E-2</v>
      </c>
      <c r="W2468">
        <v>2</v>
      </c>
      <c r="X2468">
        <v>76052.617591268005</v>
      </c>
      <c r="Y2468">
        <v>31843</v>
      </c>
      <c r="Z2468">
        <v>6.5065536360018301</v>
      </c>
      <c r="AA2468">
        <v>100</v>
      </c>
    </row>
    <row r="2469" spans="1:27" x14ac:dyDescent="0.2">
      <c r="A2469">
        <v>40</v>
      </c>
      <c r="B2469">
        <v>2</v>
      </c>
      <c r="C2469">
        <v>0.4</v>
      </c>
      <c r="D2469">
        <v>20</v>
      </c>
      <c r="E2469">
        <v>6.5178692714073394E-2</v>
      </c>
      <c r="F2469">
        <v>2</v>
      </c>
      <c r="G2469">
        <v>36.305297005</v>
      </c>
      <c r="H2469">
        <v>7.7013886058024297E-2</v>
      </c>
      <c r="I2469">
        <v>2</v>
      </c>
      <c r="J2469">
        <v>0.54111492800000005</v>
      </c>
      <c r="P2469"/>
      <c r="V2469">
        <v>5.5574176409103802E-2</v>
      </c>
      <c r="W2469">
        <v>2</v>
      </c>
      <c r="X2469">
        <v>75820.946296727998</v>
      </c>
      <c r="Y2469">
        <v>4111</v>
      </c>
      <c r="Z2469">
        <v>11.529551457620901</v>
      </c>
      <c r="AA2469">
        <v>100</v>
      </c>
    </row>
    <row r="2470" spans="1:27" x14ac:dyDescent="0.2">
      <c r="A2470">
        <v>40</v>
      </c>
      <c r="B2470">
        <v>2</v>
      </c>
      <c r="C2470">
        <v>0.2</v>
      </c>
      <c r="D2470">
        <v>20</v>
      </c>
      <c r="E2470">
        <v>0.22376953308261999</v>
      </c>
      <c r="F2470">
        <v>2</v>
      </c>
      <c r="G2470">
        <v>36.425135666999999</v>
      </c>
      <c r="H2470">
        <v>0.174431816158829</v>
      </c>
      <c r="I2470">
        <v>2</v>
      </c>
      <c r="J2470">
        <v>0.75135563900000002</v>
      </c>
      <c r="P2470"/>
      <c r="V2470">
        <v>0.16005484560061201</v>
      </c>
      <c r="W2470">
        <v>2</v>
      </c>
      <c r="X2470">
        <v>76553.991692690004</v>
      </c>
      <c r="Y2470">
        <v>13611</v>
      </c>
      <c r="Z2470">
        <v>7.6788652690720403</v>
      </c>
      <c r="AA2470">
        <v>100</v>
      </c>
    </row>
    <row r="2471" spans="1:27" x14ac:dyDescent="0.2">
      <c r="A2471">
        <v>40</v>
      </c>
      <c r="B2471">
        <v>2</v>
      </c>
      <c r="C2471">
        <v>0.4</v>
      </c>
      <c r="D2471">
        <v>20</v>
      </c>
      <c r="E2471">
        <v>7.4623284869959797E-2</v>
      </c>
      <c r="F2471">
        <v>2</v>
      </c>
      <c r="G2471">
        <v>35.003234898999999</v>
      </c>
      <c r="H2471">
        <v>8.5780878467070804E-2</v>
      </c>
      <c r="I2471">
        <v>2</v>
      </c>
      <c r="J2471">
        <v>0.49375944599999999</v>
      </c>
      <c r="P2471"/>
      <c r="V2471">
        <v>6.2579419869826902E-2</v>
      </c>
      <c r="W2471">
        <v>2</v>
      </c>
      <c r="X2471">
        <v>77025.293598406002</v>
      </c>
      <c r="Y2471">
        <v>3085</v>
      </c>
      <c r="Z2471">
        <v>8.3859098423454199</v>
      </c>
      <c r="AA2471">
        <v>100</v>
      </c>
    </row>
    <row r="2472" spans="1:27" x14ac:dyDescent="0.2">
      <c r="A2472">
        <v>40</v>
      </c>
      <c r="B2472">
        <v>2</v>
      </c>
      <c r="C2472">
        <v>0.3</v>
      </c>
      <c r="D2472">
        <v>20</v>
      </c>
      <c r="E2472">
        <v>6.7778783704559101E-2</v>
      </c>
      <c r="F2472">
        <v>2</v>
      </c>
      <c r="G2472">
        <v>37.462847152000002</v>
      </c>
      <c r="H2472">
        <v>8.4129208402982797E-2</v>
      </c>
      <c r="I2472">
        <v>2</v>
      </c>
      <c r="J2472">
        <v>0.57324860700000002</v>
      </c>
      <c r="P2472"/>
      <c r="V2472">
        <v>5.9233597128884499E-2</v>
      </c>
      <c r="W2472">
        <v>2</v>
      </c>
      <c r="X2472">
        <v>75244.559077298996</v>
      </c>
      <c r="Y2472">
        <v>0</v>
      </c>
      <c r="Z2472" s="1">
        <v>1E+100</v>
      </c>
      <c r="AA2472">
        <v>100</v>
      </c>
    </row>
    <row r="2473" spans="1:27" x14ac:dyDescent="0.2">
      <c r="A2473">
        <v>40</v>
      </c>
      <c r="B2473">
        <v>2</v>
      </c>
      <c r="C2473">
        <v>0.1</v>
      </c>
      <c r="D2473">
        <v>20</v>
      </c>
      <c r="E2473">
        <v>0.709142002396844</v>
      </c>
      <c r="F2473">
        <v>2</v>
      </c>
      <c r="G2473">
        <v>38.455753540000003</v>
      </c>
      <c r="H2473">
        <v>0.72075279836192596</v>
      </c>
      <c r="I2473">
        <v>2</v>
      </c>
      <c r="J2473">
        <v>2.3487756000000002</v>
      </c>
      <c r="P2473"/>
      <c r="V2473">
        <v>0.72551414327866504</v>
      </c>
      <c r="W2473">
        <v>2</v>
      </c>
      <c r="X2473">
        <v>76299.802635921005</v>
      </c>
      <c r="Y2473">
        <v>7792</v>
      </c>
      <c r="Z2473">
        <v>0.88938172513715597</v>
      </c>
      <c r="AA2473">
        <v>100</v>
      </c>
    </row>
    <row r="2474" spans="1:27" x14ac:dyDescent="0.2">
      <c r="A2474">
        <v>40</v>
      </c>
      <c r="B2474">
        <v>2</v>
      </c>
      <c r="C2474">
        <v>0.4</v>
      </c>
      <c r="D2474">
        <v>20</v>
      </c>
      <c r="E2474">
        <v>6.7145554454536793E-2</v>
      </c>
      <c r="F2474">
        <v>2</v>
      </c>
      <c r="G2474">
        <v>34.165505211000003</v>
      </c>
      <c r="H2474">
        <v>7.5506996323632794E-2</v>
      </c>
      <c r="I2474">
        <v>2</v>
      </c>
      <c r="J2474">
        <v>0.50428385200000003</v>
      </c>
      <c r="P2474"/>
      <c r="V2474">
        <v>4.8818715347792002E-2</v>
      </c>
      <c r="W2474">
        <v>2</v>
      </c>
      <c r="X2474">
        <v>76211.129236173001</v>
      </c>
      <c r="Y2474">
        <v>7483</v>
      </c>
      <c r="Z2474">
        <v>7.4805702623943899</v>
      </c>
      <c r="AA2474">
        <v>100</v>
      </c>
    </row>
    <row r="2475" spans="1:27" x14ac:dyDescent="0.2">
      <c r="A2475">
        <v>40</v>
      </c>
      <c r="B2475">
        <v>2</v>
      </c>
      <c r="C2475">
        <v>0.4</v>
      </c>
      <c r="D2475">
        <v>20</v>
      </c>
      <c r="E2475">
        <v>5.2450813280834403E-2</v>
      </c>
      <c r="F2475">
        <v>2</v>
      </c>
      <c r="G2475">
        <v>34.317464682999997</v>
      </c>
      <c r="H2475">
        <v>6.6521705899651104E-2</v>
      </c>
      <c r="I2475">
        <v>2</v>
      </c>
      <c r="J2475">
        <v>0.42280569699999998</v>
      </c>
      <c r="P2475"/>
      <c r="V2475">
        <v>4.6339263656896501E-2</v>
      </c>
      <c r="W2475">
        <v>2</v>
      </c>
      <c r="X2475">
        <v>75161.070966868007</v>
      </c>
      <c r="Y2475">
        <v>0</v>
      </c>
      <c r="Z2475" s="1">
        <v>1E+100</v>
      </c>
      <c r="AA2475">
        <v>100</v>
      </c>
    </row>
    <row r="2476" spans="1:27" x14ac:dyDescent="0.2">
      <c r="A2476">
        <v>40</v>
      </c>
      <c r="B2476">
        <v>2</v>
      </c>
      <c r="C2476">
        <v>0.1</v>
      </c>
      <c r="D2476">
        <v>20</v>
      </c>
      <c r="E2476">
        <v>0.68756147218320995</v>
      </c>
      <c r="F2476">
        <v>2</v>
      </c>
      <c r="G2476">
        <v>39.135774910000002</v>
      </c>
      <c r="H2476">
        <v>0.483712650782406</v>
      </c>
      <c r="I2476">
        <v>2</v>
      </c>
      <c r="J2476">
        <v>2.4767184960000002</v>
      </c>
      <c r="P2476"/>
      <c r="V2476">
        <v>0.469073102890816</v>
      </c>
      <c r="W2476">
        <v>2</v>
      </c>
      <c r="X2476">
        <v>76960.004054354999</v>
      </c>
      <c r="Y2476">
        <v>6247</v>
      </c>
      <c r="Z2476">
        <v>1.09773661412837</v>
      </c>
      <c r="AA2476">
        <v>100</v>
      </c>
    </row>
    <row r="2477" spans="1:27" x14ac:dyDescent="0.2">
      <c r="A2477">
        <v>40</v>
      </c>
      <c r="B2477">
        <v>2</v>
      </c>
      <c r="C2477">
        <v>0.2</v>
      </c>
      <c r="D2477">
        <v>20</v>
      </c>
      <c r="E2477">
        <v>0.27060701523520703</v>
      </c>
      <c r="F2477">
        <v>2</v>
      </c>
      <c r="G2477">
        <v>31.127868853999999</v>
      </c>
      <c r="H2477">
        <v>0.19048755274968701</v>
      </c>
      <c r="I2477">
        <v>2</v>
      </c>
      <c r="J2477">
        <v>0.78879088799999997</v>
      </c>
      <c r="P2477"/>
      <c r="V2477">
        <v>0.17185933729405201</v>
      </c>
      <c r="W2477">
        <v>2</v>
      </c>
      <c r="X2477">
        <v>75267.205584299998</v>
      </c>
      <c r="Y2477">
        <v>0</v>
      </c>
      <c r="Z2477" s="1">
        <v>1E+100</v>
      </c>
      <c r="AA2477">
        <v>100</v>
      </c>
    </row>
    <row r="2478" spans="1:27" x14ac:dyDescent="0.2">
      <c r="A2478">
        <v>40</v>
      </c>
      <c r="B2478">
        <v>2</v>
      </c>
      <c r="C2478">
        <v>0.3</v>
      </c>
      <c r="D2478">
        <v>20</v>
      </c>
      <c r="E2478">
        <v>7.7062504823505504E-2</v>
      </c>
      <c r="F2478">
        <v>2</v>
      </c>
      <c r="G2478">
        <v>34.266653875000003</v>
      </c>
      <c r="H2478">
        <v>9.2503605380308704E-2</v>
      </c>
      <c r="I2478">
        <v>2</v>
      </c>
      <c r="J2478">
        <v>0.48614104600000002</v>
      </c>
      <c r="P2478"/>
      <c r="V2478">
        <v>6.7842851137596097E-2</v>
      </c>
      <c r="W2478">
        <v>2</v>
      </c>
      <c r="X2478">
        <v>75279.378354633998</v>
      </c>
      <c r="Y2478">
        <v>0</v>
      </c>
      <c r="Z2478" s="1">
        <v>1E+100</v>
      </c>
      <c r="AA2478">
        <v>100</v>
      </c>
    </row>
    <row r="2479" spans="1:27" x14ac:dyDescent="0.2">
      <c r="A2479">
        <v>40</v>
      </c>
      <c r="B2479">
        <v>2</v>
      </c>
      <c r="C2479">
        <v>0.3</v>
      </c>
      <c r="D2479">
        <v>20</v>
      </c>
      <c r="E2479">
        <v>5.90338094578641E-2</v>
      </c>
      <c r="F2479">
        <v>2</v>
      </c>
      <c r="G2479">
        <v>36.067126833000003</v>
      </c>
      <c r="H2479">
        <v>7.0836346604051706E-2</v>
      </c>
      <c r="I2479">
        <v>2</v>
      </c>
      <c r="J2479">
        <v>0.525077503</v>
      </c>
      <c r="P2479"/>
      <c r="V2479">
        <v>4.7415898861050999E-2</v>
      </c>
      <c r="W2479">
        <v>2</v>
      </c>
      <c r="X2479">
        <v>75157.344438934</v>
      </c>
      <c r="Y2479">
        <v>0</v>
      </c>
      <c r="Z2479" s="1">
        <v>1E+100</v>
      </c>
      <c r="AA2479">
        <v>100</v>
      </c>
    </row>
    <row r="2480" spans="1:27" x14ac:dyDescent="0.2">
      <c r="A2480">
        <v>40</v>
      </c>
      <c r="B2480">
        <v>2</v>
      </c>
      <c r="C2480">
        <v>0.4</v>
      </c>
      <c r="D2480">
        <v>20</v>
      </c>
      <c r="E2480">
        <v>5.46297451760469E-2</v>
      </c>
      <c r="F2480">
        <v>2</v>
      </c>
      <c r="G2480">
        <v>42.632532775999998</v>
      </c>
      <c r="H2480">
        <v>7.6809348844221206E-2</v>
      </c>
      <c r="I2480">
        <v>2</v>
      </c>
      <c r="J2480">
        <v>0.69482229500000003</v>
      </c>
      <c r="P2480"/>
      <c r="V2480">
        <v>5.85158243948447E-2</v>
      </c>
      <c r="W2480">
        <v>2</v>
      </c>
      <c r="X2480">
        <v>76011.173987118003</v>
      </c>
      <c r="Y2480">
        <v>16106</v>
      </c>
      <c r="Z2480">
        <v>12.0221743944774</v>
      </c>
      <c r="AA2480">
        <v>100</v>
      </c>
    </row>
    <row r="2481" spans="1:27" x14ac:dyDescent="0.2">
      <c r="A2481">
        <v>40</v>
      </c>
      <c r="B2481">
        <v>2</v>
      </c>
      <c r="C2481">
        <v>0.2</v>
      </c>
      <c r="D2481">
        <v>20</v>
      </c>
      <c r="E2481">
        <v>0.23916937004212499</v>
      </c>
      <c r="F2481">
        <v>2</v>
      </c>
      <c r="G2481">
        <v>34.458751378000002</v>
      </c>
      <c r="H2481">
        <v>0.15038533393162901</v>
      </c>
      <c r="I2481">
        <v>2</v>
      </c>
      <c r="J2481">
        <v>0.58479759799999997</v>
      </c>
      <c r="P2481"/>
      <c r="V2481">
        <v>0.13135039686657099</v>
      </c>
      <c r="W2481">
        <v>2</v>
      </c>
      <c r="X2481">
        <v>75290.005539600999</v>
      </c>
      <c r="Y2481">
        <v>0</v>
      </c>
      <c r="Z2481" s="1">
        <v>1E+100</v>
      </c>
      <c r="AA2481">
        <v>100</v>
      </c>
    </row>
    <row r="2482" spans="1:27" x14ac:dyDescent="0.2">
      <c r="A2482">
        <v>40</v>
      </c>
      <c r="B2482">
        <v>2</v>
      </c>
      <c r="C2482">
        <v>0.3</v>
      </c>
      <c r="D2482">
        <v>20</v>
      </c>
      <c r="E2482">
        <v>0.205325437888318</v>
      </c>
      <c r="F2482">
        <v>2</v>
      </c>
      <c r="G2482">
        <v>31.184987150000001</v>
      </c>
      <c r="H2482">
        <v>0.142042782992339</v>
      </c>
      <c r="I2482">
        <v>2</v>
      </c>
      <c r="J2482">
        <v>0.45189195300000001</v>
      </c>
      <c r="P2482"/>
      <c r="V2482">
        <v>0.123943465609333</v>
      </c>
      <c r="W2482">
        <v>2</v>
      </c>
      <c r="X2482">
        <v>75278.099857207999</v>
      </c>
      <c r="Y2482">
        <v>0</v>
      </c>
      <c r="Z2482" s="1">
        <v>1E+100</v>
      </c>
      <c r="AA2482">
        <v>100</v>
      </c>
    </row>
    <row r="2483" spans="1:27" x14ac:dyDescent="0.2">
      <c r="A2483">
        <v>40</v>
      </c>
      <c r="B2483">
        <v>2</v>
      </c>
      <c r="C2483">
        <v>0.2</v>
      </c>
      <c r="D2483">
        <v>20</v>
      </c>
      <c r="E2483">
        <v>0.30012263614687501</v>
      </c>
      <c r="F2483">
        <v>2</v>
      </c>
      <c r="G2483">
        <v>38.383952028000003</v>
      </c>
      <c r="H2483">
        <v>0.224573446971675</v>
      </c>
      <c r="I2483">
        <v>2</v>
      </c>
      <c r="J2483">
        <v>0.96719320600000003</v>
      </c>
      <c r="P2483"/>
      <c r="V2483">
        <v>0.19072317385899801</v>
      </c>
      <c r="W2483">
        <v>2</v>
      </c>
      <c r="X2483">
        <v>76804.097487984007</v>
      </c>
      <c r="Y2483">
        <v>4133</v>
      </c>
      <c r="Z2483">
        <v>7.6500545510625297</v>
      </c>
      <c r="AA2483">
        <v>100</v>
      </c>
    </row>
    <row r="2484" spans="1:27" x14ac:dyDescent="0.2">
      <c r="A2484">
        <v>40</v>
      </c>
      <c r="B2484">
        <v>2</v>
      </c>
      <c r="C2484">
        <v>0.1</v>
      </c>
      <c r="D2484">
        <v>20</v>
      </c>
      <c r="E2484">
        <v>0.67739596615729103</v>
      </c>
      <c r="F2484">
        <v>2</v>
      </c>
      <c r="G2484">
        <v>42.017457004000001</v>
      </c>
      <c r="H2484">
        <v>0.60654248965072199</v>
      </c>
      <c r="I2484">
        <v>2</v>
      </c>
      <c r="J2484">
        <v>2.5104888889999999</v>
      </c>
      <c r="P2484"/>
      <c r="V2484">
        <v>0.60351915938171896</v>
      </c>
      <c r="W2484">
        <v>2</v>
      </c>
      <c r="X2484">
        <v>76391.937052971</v>
      </c>
      <c r="Y2484">
        <v>6920</v>
      </c>
      <c r="Z2484">
        <v>0.94817484308920097</v>
      </c>
      <c r="AA2484">
        <v>100</v>
      </c>
    </row>
    <row r="2485" spans="1:27" x14ac:dyDescent="0.2">
      <c r="A2485">
        <v>40</v>
      </c>
      <c r="B2485">
        <v>2</v>
      </c>
      <c r="C2485">
        <v>0.1</v>
      </c>
      <c r="D2485">
        <v>20</v>
      </c>
      <c r="E2485">
        <v>0.60625207693558303</v>
      </c>
      <c r="F2485">
        <v>2</v>
      </c>
      <c r="G2485">
        <v>37.073842024000001</v>
      </c>
      <c r="H2485">
        <v>0.48651108817261401</v>
      </c>
      <c r="I2485">
        <v>2</v>
      </c>
      <c r="J2485">
        <v>1.4019598310000001</v>
      </c>
      <c r="P2485"/>
      <c r="V2485">
        <v>0.47866637608642998</v>
      </c>
      <c r="W2485">
        <v>2</v>
      </c>
      <c r="X2485">
        <v>76025.949394209994</v>
      </c>
      <c r="Y2485">
        <v>12718</v>
      </c>
      <c r="Z2485">
        <v>1.32302817545496</v>
      </c>
      <c r="AA2485">
        <v>100</v>
      </c>
    </row>
    <row r="2486" spans="1:27" x14ac:dyDescent="0.2">
      <c r="A2486">
        <v>40</v>
      </c>
      <c r="B2486">
        <v>2</v>
      </c>
      <c r="C2486">
        <v>0.4</v>
      </c>
      <c r="D2486">
        <v>20</v>
      </c>
      <c r="E2486">
        <v>6.4841017311843996E-2</v>
      </c>
      <c r="F2486">
        <v>2</v>
      </c>
      <c r="G2486">
        <v>41.547775819000002</v>
      </c>
      <c r="H2486">
        <v>8.5848885347761694E-2</v>
      </c>
      <c r="I2486">
        <v>2</v>
      </c>
      <c r="J2486">
        <v>0.61165476299999999</v>
      </c>
      <c r="P2486"/>
      <c r="V2486">
        <v>6.16132810948734E-2</v>
      </c>
      <c r="W2486">
        <v>2</v>
      </c>
      <c r="X2486">
        <v>76014.948956011998</v>
      </c>
      <c r="Y2486">
        <v>10099</v>
      </c>
      <c r="Z2486">
        <v>8.9778243871114594</v>
      </c>
      <c r="AA2486">
        <v>100</v>
      </c>
    </row>
    <row r="2487" spans="1:27" x14ac:dyDescent="0.2">
      <c r="A2487">
        <v>40</v>
      </c>
      <c r="B2487">
        <v>2</v>
      </c>
      <c r="C2487">
        <v>0.1</v>
      </c>
      <c r="D2487">
        <v>20</v>
      </c>
      <c r="E2487">
        <v>0.61301273904745102</v>
      </c>
      <c r="F2487">
        <v>2</v>
      </c>
      <c r="G2487">
        <v>33.055122683999997</v>
      </c>
      <c r="H2487">
        <v>0.491798395436151</v>
      </c>
      <c r="I2487">
        <v>2</v>
      </c>
      <c r="J2487">
        <v>1.5438432799999999</v>
      </c>
      <c r="P2487"/>
      <c r="V2487">
        <v>0.48664501538569299</v>
      </c>
      <c r="W2487">
        <v>2</v>
      </c>
      <c r="X2487">
        <v>76917.717073844993</v>
      </c>
      <c r="Y2487">
        <v>7919</v>
      </c>
      <c r="Z2487">
        <v>0.91345556086468704</v>
      </c>
      <c r="AA2487">
        <v>100</v>
      </c>
    </row>
    <row r="2488" spans="1:27" x14ac:dyDescent="0.2">
      <c r="A2488">
        <v>40</v>
      </c>
      <c r="B2488">
        <v>2</v>
      </c>
      <c r="C2488">
        <v>0.1</v>
      </c>
      <c r="D2488">
        <v>20</v>
      </c>
      <c r="E2488">
        <v>0.79440060428884196</v>
      </c>
      <c r="F2488">
        <v>2</v>
      </c>
      <c r="G2488">
        <v>42.128005354000003</v>
      </c>
      <c r="H2488">
        <v>0.851368368900419</v>
      </c>
      <c r="I2488">
        <v>2</v>
      </c>
      <c r="J2488">
        <v>2.3581615280000001</v>
      </c>
      <c r="P2488"/>
      <c r="V2488">
        <v>0.85636968155147797</v>
      </c>
      <c r="W2488">
        <v>2</v>
      </c>
      <c r="X2488">
        <v>76393.268279561002</v>
      </c>
      <c r="Y2488">
        <v>8220</v>
      </c>
      <c r="Z2488">
        <v>1.3705166608105801</v>
      </c>
      <c r="AA2488">
        <v>100</v>
      </c>
    </row>
    <row r="2489" spans="1:27" x14ac:dyDescent="0.2">
      <c r="A2489">
        <v>40</v>
      </c>
      <c r="B2489">
        <v>2</v>
      </c>
      <c r="C2489">
        <v>0.4</v>
      </c>
      <c r="D2489">
        <v>20</v>
      </c>
      <c r="E2489">
        <v>7.3862017304829899E-2</v>
      </c>
      <c r="F2489">
        <v>2</v>
      </c>
      <c r="G2489">
        <v>44.204018275999999</v>
      </c>
      <c r="H2489">
        <v>7.9981064476608701E-2</v>
      </c>
      <c r="I2489">
        <v>2</v>
      </c>
      <c r="J2489">
        <v>0.53770290899999995</v>
      </c>
      <c r="P2489"/>
      <c r="V2489">
        <v>5.7618159433335703E-2</v>
      </c>
      <c r="W2489">
        <v>2</v>
      </c>
      <c r="X2489">
        <v>76153.830533688</v>
      </c>
      <c r="Y2489">
        <v>4361</v>
      </c>
      <c r="Z2489">
        <v>10.6053781975424</v>
      </c>
      <c r="AA2489">
        <v>100</v>
      </c>
    </row>
    <row r="2490" spans="1:27" x14ac:dyDescent="0.2">
      <c r="A2490">
        <v>40</v>
      </c>
      <c r="B2490">
        <v>2</v>
      </c>
      <c r="C2490">
        <v>0.1</v>
      </c>
      <c r="D2490">
        <v>20</v>
      </c>
      <c r="E2490">
        <v>0.69382356670243694</v>
      </c>
      <c r="F2490">
        <v>2</v>
      </c>
      <c r="G2490">
        <v>37.282708272000001</v>
      </c>
      <c r="H2490">
        <v>0.565262732072357</v>
      </c>
      <c r="I2490">
        <v>2</v>
      </c>
      <c r="J2490">
        <v>1.7941286809999999</v>
      </c>
      <c r="P2490"/>
      <c r="V2490">
        <v>0.55809609069204702</v>
      </c>
      <c r="W2490">
        <v>2</v>
      </c>
      <c r="X2490">
        <v>76698.274261262006</v>
      </c>
      <c r="Y2490">
        <v>15704</v>
      </c>
      <c r="Z2490">
        <v>1.50909834310004</v>
      </c>
      <c r="AA2490">
        <v>100</v>
      </c>
    </row>
    <row r="2491" spans="1:27" x14ac:dyDescent="0.2">
      <c r="A2491">
        <v>40</v>
      </c>
      <c r="B2491">
        <v>2</v>
      </c>
      <c r="C2491">
        <v>0.1</v>
      </c>
      <c r="D2491">
        <v>20</v>
      </c>
      <c r="E2491">
        <v>0.83096253524497299</v>
      </c>
      <c r="F2491">
        <v>2</v>
      </c>
      <c r="G2491">
        <v>41.666807609000003</v>
      </c>
      <c r="H2491">
        <v>0.90052579703253199</v>
      </c>
      <c r="I2491">
        <v>2</v>
      </c>
      <c r="J2491">
        <v>2.4316845030000001</v>
      </c>
      <c r="P2491"/>
      <c r="V2491">
        <v>0.90792420494111203</v>
      </c>
      <c r="W2491">
        <v>2</v>
      </c>
      <c r="X2491">
        <v>76080.913191005995</v>
      </c>
      <c r="Y2491">
        <v>14985</v>
      </c>
      <c r="Z2491">
        <v>1.2707549404585701</v>
      </c>
      <c r="AA2491">
        <v>100</v>
      </c>
    </row>
    <row r="2492" spans="1:27" x14ac:dyDescent="0.2">
      <c r="A2492">
        <v>40</v>
      </c>
      <c r="B2492">
        <v>2</v>
      </c>
      <c r="C2492">
        <v>0.3</v>
      </c>
      <c r="D2492">
        <v>20</v>
      </c>
      <c r="E2492">
        <v>0.100358867399445</v>
      </c>
      <c r="F2492">
        <v>2</v>
      </c>
      <c r="G2492">
        <v>46.887524501000001</v>
      </c>
      <c r="H2492">
        <v>0.113683349029034</v>
      </c>
      <c r="I2492">
        <v>2</v>
      </c>
      <c r="J2492">
        <v>0.67009578800000003</v>
      </c>
      <c r="P2492"/>
      <c r="V2492">
        <v>9.1465467640183595E-2</v>
      </c>
      <c r="W2492">
        <v>2</v>
      </c>
      <c r="X2492">
        <v>77905.220973464995</v>
      </c>
      <c r="Y2492">
        <v>2784</v>
      </c>
      <c r="Z2492">
        <v>14.8494777555102</v>
      </c>
      <c r="AA2492">
        <v>100</v>
      </c>
    </row>
    <row r="2493" spans="1:27" x14ac:dyDescent="0.2">
      <c r="A2493">
        <v>40</v>
      </c>
      <c r="B2493">
        <v>2</v>
      </c>
      <c r="C2493">
        <v>0.1</v>
      </c>
      <c r="D2493">
        <v>20</v>
      </c>
      <c r="E2493">
        <v>0.73786274436935795</v>
      </c>
      <c r="F2493">
        <v>2</v>
      </c>
      <c r="G2493">
        <v>32.943647757999997</v>
      </c>
      <c r="H2493">
        <v>0.58635295383097596</v>
      </c>
      <c r="I2493">
        <v>2</v>
      </c>
      <c r="J2493">
        <v>1.6880104840000001</v>
      </c>
      <c r="P2493"/>
      <c r="V2493">
        <v>0.58239872539986404</v>
      </c>
      <c r="W2493">
        <v>2</v>
      </c>
      <c r="X2493">
        <v>76350.253220639002</v>
      </c>
      <c r="Y2493">
        <v>8397</v>
      </c>
      <c r="Z2493">
        <v>1.48274219221457</v>
      </c>
      <c r="AA2493">
        <v>100</v>
      </c>
    </row>
    <row r="2494" spans="1:27" x14ac:dyDescent="0.2">
      <c r="A2494">
        <v>40</v>
      </c>
      <c r="B2494">
        <v>2</v>
      </c>
      <c r="C2494">
        <v>0.1</v>
      </c>
      <c r="D2494">
        <v>20</v>
      </c>
      <c r="E2494">
        <v>0.82263731440932097</v>
      </c>
      <c r="F2494">
        <v>2</v>
      </c>
      <c r="G2494">
        <v>40.186597114000001</v>
      </c>
      <c r="H2494">
        <v>0.77529800888994704</v>
      </c>
      <c r="I2494">
        <v>2</v>
      </c>
      <c r="J2494">
        <v>2.6087670470000002</v>
      </c>
      <c r="P2494"/>
      <c r="V2494">
        <v>0.77561358607373199</v>
      </c>
      <c r="W2494">
        <v>2</v>
      </c>
      <c r="X2494">
        <v>76215.377860610999</v>
      </c>
      <c r="Y2494">
        <v>8275</v>
      </c>
      <c r="Z2494">
        <v>1.54383470759421</v>
      </c>
      <c r="AA2494">
        <v>100</v>
      </c>
    </row>
    <row r="2495" spans="1:27" x14ac:dyDescent="0.2">
      <c r="A2495">
        <v>40</v>
      </c>
      <c r="B2495">
        <v>2</v>
      </c>
      <c r="C2495">
        <v>0.1</v>
      </c>
      <c r="D2495">
        <v>20</v>
      </c>
      <c r="E2495">
        <v>0.655241974706122</v>
      </c>
      <c r="F2495">
        <v>2</v>
      </c>
      <c r="G2495">
        <v>45.667798968</v>
      </c>
      <c r="H2495">
        <v>0.61121357523136899</v>
      </c>
      <c r="I2495">
        <v>2</v>
      </c>
      <c r="J2495">
        <v>2.1794131989999999</v>
      </c>
      <c r="P2495"/>
      <c r="V2495">
        <v>0.60972006950282298</v>
      </c>
      <c r="W2495">
        <v>2</v>
      </c>
      <c r="X2495">
        <v>77336.018571957</v>
      </c>
      <c r="Y2495">
        <v>17791</v>
      </c>
      <c r="Z2495">
        <v>1.3231304093424101</v>
      </c>
      <c r="AA2495">
        <v>100</v>
      </c>
    </row>
    <row r="2496" spans="1:27" x14ac:dyDescent="0.2">
      <c r="A2496">
        <v>40</v>
      </c>
      <c r="B2496">
        <v>2</v>
      </c>
      <c r="C2496">
        <v>0.4</v>
      </c>
      <c r="D2496">
        <v>20</v>
      </c>
      <c r="E2496">
        <v>6.2617844502907097E-2</v>
      </c>
      <c r="F2496">
        <v>2</v>
      </c>
      <c r="G2496">
        <v>38.669583592999999</v>
      </c>
      <c r="H2496">
        <v>7.4517102169533694E-2</v>
      </c>
      <c r="I2496">
        <v>2</v>
      </c>
      <c r="J2496">
        <v>0.66108314700000004</v>
      </c>
      <c r="P2496"/>
      <c r="V2496">
        <v>4.8886768767206601E-2</v>
      </c>
      <c r="W2496">
        <v>2</v>
      </c>
      <c r="X2496">
        <v>76900.115805791997</v>
      </c>
      <c r="Y2496">
        <v>13416</v>
      </c>
      <c r="Z2496">
        <v>12.121730327424</v>
      </c>
      <c r="AA2496">
        <v>100</v>
      </c>
    </row>
    <row r="2497" spans="1:27" x14ac:dyDescent="0.2">
      <c r="A2497">
        <v>40</v>
      </c>
      <c r="B2497">
        <v>2</v>
      </c>
      <c r="C2497">
        <v>0.4</v>
      </c>
      <c r="D2497">
        <v>20</v>
      </c>
      <c r="E2497">
        <v>6.14522485038103E-2</v>
      </c>
      <c r="F2497">
        <v>2</v>
      </c>
      <c r="G2497">
        <v>40.477020644</v>
      </c>
      <c r="H2497">
        <v>8.1951665711583799E-2</v>
      </c>
      <c r="I2497">
        <v>2</v>
      </c>
      <c r="J2497">
        <v>0.66172420300000001</v>
      </c>
      <c r="P2497"/>
      <c r="V2497">
        <v>5.8592409304975501E-2</v>
      </c>
      <c r="W2497">
        <v>2</v>
      </c>
      <c r="X2497">
        <v>77351.733433546993</v>
      </c>
      <c r="Y2497">
        <v>37304</v>
      </c>
      <c r="Z2497">
        <v>8.1955471625533391</v>
      </c>
      <c r="AA2497">
        <v>100</v>
      </c>
    </row>
    <row r="2498" spans="1:27" x14ac:dyDescent="0.2">
      <c r="A2498">
        <v>40</v>
      </c>
      <c r="B2498">
        <v>2</v>
      </c>
      <c r="C2498">
        <v>0.1</v>
      </c>
      <c r="D2498">
        <v>20</v>
      </c>
      <c r="E2498">
        <v>0.79611531332324204</v>
      </c>
      <c r="F2498">
        <v>2</v>
      </c>
      <c r="G2498">
        <v>31.924820708999999</v>
      </c>
      <c r="H2498">
        <v>0.78630012967922303</v>
      </c>
      <c r="I2498">
        <v>2</v>
      </c>
      <c r="J2498">
        <v>1.90328443</v>
      </c>
      <c r="P2498"/>
      <c r="V2498">
        <v>0.78819545787725998</v>
      </c>
      <c r="W2498">
        <v>2</v>
      </c>
      <c r="X2498">
        <v>76218.005778912993</v>
      </c>
      <c r="Y2498">
        <v>8210</v>
      </c>
      <c r="Z2498">
        <v>1.39518742869768</v>
      </c>
      <c r="AA2498">
        <v>100</v>
      </c>
    </row>
    <row r="2499" spans="1:27" x14ac:dyDescent="0.2">
      <c r="A2499">
        <v>40</v>
      </c>
      <c r="B2499">
        <v>2</v>
      </c>
      <c r="C2499">
        <v>0.1</v>
      </c>
      <c r="D2499">
        <v>20</v>
      </c>
      <c r="E2499">
        <v>0.55811526310567205</v>
      </c>
      <c r="F2499">
        <v>2</v>
      </c>
      <c r="G2499">
        <v>34.772332362999997</v>
      </c>
      <c r="H2499">
        <v>0.48123273847660503</v>
      </c>
      <c r="I2499">
        <v>2</v>
      </c>
      <c r="J2499">
        <v>1.0141471049999999</v>
      </c>
      <c r="P2499"/>
      <c r="V2499">
        <v>0.47726842096802002</v>
      </c>
      <c r="W2499">
        <v>2</v>
      </c>
      <c r="X2499">
        <v>76472.219271479</v>
      </c>
      <c r="Y2499">
        <v>6398</v>
      </c>
      <c r="Z2499">
        <v>1.17088066185897</v>
      </c>
      <c r="AA2499">
        <v>100</v>
      </c>
    </row>
    <row r="2500" spans="1:27" x14ac:dyDescent="0.2">
      <c r="A2500">
        <v>40</v>
      </c>
      <c r="B2500">
        <v>2</v>
      </c>
      <c r="C2500">
        <v>0.2</v>
      </c>
      <c r="D2500">
        <v>20</v>
      </c>
      <c r="E2500">
        <v>0.19802641837656501</v>
      </c>
      <c r="F2500">
        <v>2</v>
      </c>
      <c r="G2500">
        <v>43.601200147999997</v>
      </c>
      <c r="H2500">
        <v>0.15575374194012501</v>
      </c>
      <c r="I2500">
        <v>2</v>
      </c>
      <c r="J2500">
        <v>0.75395824700000003</v>
      </c>
      <c r="P2500"/>
      <c r="V2500">
        <v>0.138860139889534</v>
      </c>
      <c r="W2500">
        <v>2</v>
      </c>
      <c r="X2500">
        <v>77110.133613847996</v>
      </c>
      <c r="Y2500">
        <v>3605</v>
      </c>
      <c r="Z2500">
        <v>7.5484211211150001</v>
      </c>
      <c r="AA2500">
        <v>100</v>
      </c>
    </row>
    <row r="2501" spans="1:27" x14ac:dyDescent="0.2">
      <c r="A2501">
        <v>40</v>
      </c>
      <c r="B2501">
        <v>2</v>
      </c>
      <c r="C2501">
        <v>0.1</v>
      </c>
      <c r="D2501">
        <v>20</v>
      </c>
      <c r="E2501">
        <v>0.72743576316129299</v>
      </c>
      <c r="F2501">
        <v>2</v>
      </c>
      <c r="G2501">
        <v>37.908847510000001</v>
      </c>
      <c r="H2501">
        <v>0.69314553618068897</v>
      </c>
      <c r="I2501">
        <v>2</v>
      </c>
      <c r="J2501">
        <v>2.055615607</v>
      </c>
      <c r="P2501"/>
      <c r="V2501">
        <v>0.69605701064908698</v>
      </c>
      <c r="W2501">
        <v>2</v>
      </c>
      <c r="X2501">
        <v>76282.343250699996</v>
      </c>
      <c r="Y2501">
        <v>8146</v>
      </c>
      <c r="Z2501">
        <v>0.74965645645897805</v>
      </c>
      <c r="AA2501">
        <v>100</v>
      </c>
    </row>
    <row r="2502" spans="1:27" x14ac:dyDescent="0.2">
      <c r="A2502">
        <v>40</v>
      </c>
      <c r="B2502">
        <v>2</v>
      </c>
      <c r="C2502">
        <v>0.2</v>
      </c>
      <c r="D2502">
        <v>20</v>
      </c>
      <c r="E2502">
        <v>0.162011682529107</v>
      </c>
      <c r="F2502">
        <v>2</v>
      </c>
      <c r="G2502">
        <v>33.874748371000003</v>
      </c>
      <c r="H2502">
        <v>0.16779279267981601</v>
      </c>
      <c r="I2502">
        <v>2</v>
      </c>
      <c r="J2502">
        <v>0.74647566099999996</v>
      </c>
      <c r="P2502"/>
      <c r="V2502">
        <v>0.146114350041676</v>
      </c>
      <c r="W2502">
        <v>2</v>
      </c>
      <c r="X2502">
        <v>76733.788170193002</v>
      </c>
      <c r="Y2502">
        <v>3504</v>
      </c>
      <c r="Z2502">
        <v>7.7488999975303097</v>
      </c>
      <c r="AA2502">
        <v>100</v>
      </c>
    </row>
    <row r="2503" spans="1:27" x14ac:dyDescent="0.2">
      <c r="A2503">
        <v>40</v>
      </c>
      <c r="B2503">
        <v>2</v>
      </c>
      <c r="C2503">
        <v>0.3</v>
      </c>
      <c r="D2503">
        <v>20</v>
      </c>
      <c r="E2503">
        <v>0.14998998083101001</v>
      </c>
      <c r="F2503">
        <v>2</v>
      </c>
      <c r="G2503">
        <v>37.695977018999997</v>
      </c>
      <c r="H2503">
        <v>0.116433824909613</v>
      </c>
      <c r="I2503">
        <v>2</v>
      </c>
      <c r="J2503">
        <v>0.67676820199999999</v>
      </c>
      <c r="P2503"/>
      <c r="V2503">
        <v>9.5874842696536594E-2</v>
      </c>
      <c r="W2503">
        <v>2</v>
      </c>
      <c r="X2503">
        <v>77526.628066341</v>
      </c>
      <c r="Y2503">
        <v>2382</v>
      </c>
      <c r="Z2503">
        <v>8.3055014424189704</v>
      </c>
      <c r="AA2503">
        <v>100</v>
      </c>
    </row>
    <row r="2504" spans="1:27" x14ac:dyDescent="0.2">
      <c r="A2504">
        <v>40</v>
      </c>
      <c r="B2504">
        <v>2</v>
      </c>
      <c r="C2504">
        <v>0.3</v>
      </c>
      <c r="D2504">
        <v>20</v>
      </c>
      <c r="E2504">
        <v>0.170076567443399</v>
      </c>
      <c r="F2504">
        <v>2</v>
      </c>
      <c r="G2504">
        <v>39.254375205999999</v>
      </c>
      <c r="H2504">
        <v>0.13135812805024999</v>
      </c>
      <c r="I2504">
        <v>2</v>
      </c>
      <c r="J2504">
        <v>0.45216883499999999</v>
      </c>
      <c r="P2504"/>
      <c r="V2504">
        <v>0.11251087733375401</v>
      </c>
      <c r="W2504">
        <v>2</v>
      </c>
      <c r="X2504">
        <v>78183.049571398005</v>
      </c>
      <c r="Y2504">
        <v>2346</v>
      </c>
      <c r="Z2504">
        <v>5.5528054404858196</v>
      </c>
      <c r="AA2504">
        <v>100</v>
      </c>
    </row>
    <row r="2505" spans="1:27" x14ac:dyDescent="0.2">
      <c r="A2505">
        <v>40</v>
      </c>
      <c r="B2505">
        <v>2</v>
      </c>
      <c r="C2505">
        <v>0.4</v>
      </c>
      <c r="D2505">
        <v>20</v>
      </c>
      <c r="E2505">
        <v>9.4781103301191799E-2</v>
      </c>
      <c r="F2505">
        <v>2</v>
      </c>
      <c r="G2505">
        <v>33.929747593999998</v>
      </c>
      <c r="H2505">
        <v>9.3718022707161203E-2</v>
      </c>
      <c r="I2505">
        <v>2</v>
      </c>
      <c r="J2505">
        <v>0.54204782500000004</v>
      </c>
      <c r="P2505"/>
      <c r="V2505">
        <v>7.0341363396804704E-2</v>
      </c>
      <c r="W2505">
        <v>2</v>
      </c>
      <c r="X2505">
        <v>76693.857796766999</v>
      </c>
      <c r="Y2505">
        <v>4091</v>
      </c>
      <c r="Z2505">
        <v>8.66860667072614</v>
      </c>
      <c r="AA2505">
        <v>100</v>
      </c>
    </row>
    <row r="2506" spans="1:27" x14ac:dyDescent="0.2">
      <c r="A2506">
        <v>40</v>
      </c>
      <c r="B2506">
        <v>2</v>
      </c>
      <c r="C2506">
        <v>0.1</v>
      </c>
      <c r="D2506">
        <v>20</v>
      </c>
      <c r="E2506">
        <v>0.59015387610165704</v>
      </c>
      <c r="F2506">
        <v>2</v>
      </c>
      <c r="G2506">
        <v>42.596046753000003</v>
      </c>
      <c r="H2506">
        <v>0.54681093248539203</v>
      </c>
      <c r="I2506">
        <v>2</v>
      </c>
      <c r="J2506">
        <v>1.917787532</v>
      </c>
      <c r="P2506"/>
      <c r="V2506">
        <v>0.54465769227900795</v>
      </c>
      <c r="W2506">
        <v>2</v>
      </c>
      <c r="X2506">
        <v>76448.543667912003</v>
      </c>
      <c r="Y2506">
        <v>7849</v>
      </c>
      <c r="Z2506">
        <v>0.64278759861655799</v>
      </c>
      <c r="AA2506">
        <v>100</v>
      </c>
    </row>
    <row r="2507" spans="1:27" x14ac:dyDescent="0.2">
      <c r="A2507">
        <v>40</v>
      </c>
      <c r="B2507">
        <v>2</v>
      </c>
      <c r="C2507">
        <v>0.3</v>
      </c>
      <c r="D2507">
        <v>20</v>
      </c>
      <c r="E2507">
        <v>8.7591309744080303E-2</v>
      </c>
      <c r="F2507">
        <v>2</v>
      </c>
      <c r="G2507">
        <v>35.097145417999997</v>
      </c>
      <c r="H2507">
        <v>9.3932132956540598E-2</v>
      </c>
      <c r="I2507">
        <v>2</v>
      </c>
      <c r="J2507">
        <v>0.238500138</v>
      </c>
      <c r="P2507"/>
      <c r="V2507">
        <v>6.7660203816765796E-2</v>
      </c>
      <c r="W2507">
        <v>2</v>
      </c>
      <c r="X2507">
        <v>76555.732731837998</v>
      </c>
      <c r="Y2507">
        <v>9914</v>
      </c>
      <c r="Z2507">
        <v>7.4511205250128096</v>
      </c>
      <c r="AA2507">
        <v>100</v>
      </c>
    </row>
    <row r="2508" spans="1:27" x14ac:dyDescent="0.2">
      <c r="A2508">
        <v>40</v>
      </c>
      <c r="B2508">
        <v>2</v>
      </c>
      <c r="C2508">
        <v>0.2</v>
      </c>
      <c r="D2508">
        <v>20</v>
      </c>
      <c r="E2508">
        <v>0.249136935537173</v>
      </c>
      <c r="F2508">
        <v>2</v>
      </c>
      <c r="G2508">
        <v>33.730765605000002</v>
      </c>
      <c r="H2508">
        <v>0.17806866251304901</v>
      </c>
      <c r="I2508">
        <v>2</v>
      </c>
      <c r="J2508">
        <v>0.80308674800000002</v>
      </c>
      <c r="P2508"/>
      <c r="V2508">
        <v>0.152934831732914</v>
      </c>
      <c r="W2508">
        <v>2</v>
      </c>
      <c r="X2508">
        <v>77270.420182970003</v>
      </c>
      <c r="Y2508">
        <v>4200</v>
      </c>
      <c r="Z2508">
        <v>7.9262097168557304</v>
      </c>
      <c r="AA2508">
        <v>100</v>
      </c>
    </row>
    <row r="2509" spans="1:27" x14ac:dyDescent="0.2">
      <c r="A2509">
        <v>40</v>
      </c>
      <c r="B2509">
        <v>2</v>
      </c>
      <c r="C2509">
        <v>0.4</v>
      </c>
      <c r="D2509">
        <v>20</v>
      </c>
      <c r="E2509">
        <v>5.7561682924632998E-2</v>
      </c>
      <c r="F2509">
        <v>2</v>
      </c>
      <c r="G2509">
        <v>33.414927005000003</v>
      </c>
      <c r="H2509">
        <v>7.7575263614375195E-2</v>
      </c>
      <c r="I2509">
        <v>2</v>
      </c>
      <c r="J2509">
        <v>0.64790979299999996</v>
      </c>
      <c r="P2509"/>
      <c r="V2509">
        <v>5.60771178805664E-2</v>
      </c>
      <c r="W2509">
        <v>2</v>
      </c>
      <c r="X2509">
        <v>76760.266880796</v>
      </c>
      <c r="Y2509">
        <v>6675</v>
      </c>
      <c r="Z2509">
        <v>6.6022243917250298</v>
      </c>
      <c r="AA2509">
        <v>100</v>
      </c>
    </row>
    <row r="2510" spans="1:27" x14ac:dyDescent="0.2">
      <c r="A2510">
        <v>40</v>
      </c>
      <c r="B2510">
        <v>2</v>
      </c>
      <c r="C2510">
        <v>0.2</v>
      </c>
      <c r="D2510">
        <v>20</v>
      </c>
      <c r="E2510">
        <v>0.247189191655803</v>
      </c>
      <c r="F2510">
        <v>2</v>
      </c>
      <c r="G2510">
        <v>31.733094692000002</v>
      </c>
      <c r="H2510">
        <v>0.18918360530846301</v>
      </c>
      <c r="I2510">
        <v>2</v>
      </c>
      <c r="J2510">
        <v>0.49087695799999997</v>
      </c>
      <c r="P2510"/>
      <c r="V2510">
        <v>0.17283007616304699</v>
      </c>
      <c r="W2510">
        <v>2</v>
      </c>
      <c r="X2510">
        <v>76444.604919998994</v>
      </c>
      <c r="Y2510">
        <v>3118</v>
      </c>
      <c r="Z2510">
        <v>6.6117102932785201</v>
      </c>
      <c r="AA2510">
        <v>100</v>
      </c>
    </row>
    <row r="2511" spans="1:27" x14ac:dyDescent="0.2">
      <c r="A2511">
        <v>40</v>
      </c>
      <c r="B2511">
        <v>2</v>
      </c>
      <c r="C2511">
        <v>0.4</v>
      </c>
      <c r="D2511">
        <v>20</v>
      </c>
      <c r="E2511">
        <v>6.1637606553148698E-2</v>
      </c>
      <c r="F2511">
        <v>2</v>
      </c>
      <c r="G2511">
        <v>33.471585756000003</v>
      </c>
      <c r="H2511">
        <v>7.5596864691151303E-2</v>
      </c>
      <c r="I2511">
        <v>2</v>
      </c>
      <c r="J2511">
        <v>0.37292756300000002</v>
      </c>
      <c r="P2511"/>
      <c r="V2511">
        <v>5.0765553909233603E-2</v>
      </c>
      <c r="W2511">
        <v>2</v>
      </c>
      <c r="X2511">
        <v>76584.372076953994</v>
      </c>
      <c r="Y2511">
        <v>8276</v>
      </c>
      <c r="Z2511">
        <v>10.552048517844</v>
      </c>
      <c r="AA2511">
        <v>100</v>
      </c>
    </row>
    <row r="2512" spans="1:27" x14ac:dyDescent="0.2">
      <c r="A2512">
        <v>40</v>
      </c>
      <c r="B2512">
        <v>2</v>
      </c>
      <c r="C2512">
        <v>0.4</v>
      </c>
      <c r="D2512">
        <v>20</v>
      </c>
      <c r="E2512">
        <v>7.2468663469098596E-2</v>
      </c>
      <c r="F2512">
        <v>2</v>
      </c>
      <c r="G2512">
        <v>32.248053257000002</v>
      </c>
      <c r="H2512">
        <v>8.3873772594506499E-2</v>
      </c>
      <c r="I2512">
        <v>2</v>
      </c>
      <c r="J2512">
        <v>0.426635769</v>
      </c>
      <c r="P2512"/>
      <c r="V2512">
        <v>5.4969010242615399E-2</v>
      </c>
      <c r="W2512">
        <v>2</v>
      </c>
      <c r="X2512">
        <v>77049.535947395998</v>
      </c>
      <c r="Y2512">
        <v>14177</v>
      </c>
      <c r="Z2512">
        <v>8.54590797446326</v>
      </c>
      <c r="AA2512">
        <v>100</v>
      </c>
    </row>
    <row r="2513" spans="1:27" x14ac:dyDescent="0.2">
      <c r="A2513">
        <v>40</v>
      </c>
      <c r="B2513">
        <v>2</v>
      </c>
      <c r="C2513">
        <v>0.3</v>
      </c>
      <c r="D2513">
        <v>20</v>
      </c>
      <c r="E2513">
        <v>0.12884363621842901</v>
      </c>
      <c r="F2513">
        <v>2</v>
      </c>
      <c r="G2513">
        <v>47.590513334000001</v>
      </c>
      <c r="H2513">
        <v>0.12218233105946701</v>
      </c>
      <c r="I2513">
        <v>2</v>
      </c>
      <c r="J2513">
        <v>0.85227856499999999</v>
      </c>
      <c r="P2513"/>
      <c r="V2513">
        <v>9.1071501457226506E-2</v>
      </c>
      <c r="W2513">
        <v>2</v>
      </c>
      <c r="X2513">
        <v>78195.976245868005</v>
      </c>
      <c r="Y2513">
        <v>2906</v>
      </c>
      <c r="Z2513">
        <v>7.4205567676399298</v>
      </c>
      <c r="AA2513">
        <v>100</v>
      </c>
    </row>
    <row r="2514" spans="1:27" x14ac:dyDescent="0.2">
      <c r="A2514">
        <v>40</v>
      </c>
      <c r="B2514">
        <v>2</v>
      </c>
      <c r="C2514">
        <v>0.3</v>
      </c>
      <c r="D2514">
        <v>20</v>
      </c>
      <c r="E2514">
        <v>0.10502875626750301</v>
      </c>
      <c r="F2514">
        <v>2</v>
      </c>
      <c r="G2514">
        <v>39.245737390000002</v>
      </c>
      <c r="H2514">
        <v>0.12126074322409</v>
      </c>
      <c r="I2514">
        <v>2</v>
      </c>
      <c r="J2514">
        <v>0.60983505199999999</v>
      </c>
      <c r="P2514"/>
      <c r="V2514">
        <v>9.3225946292785203E-2</v>
      </c>
      <c r="W2514">
        <v>2</v>
      </c>
      <c r="X2514">
        <v>77884.491032610997</v>
      </c>
      <c r="Y2514">
        <v>4425</v>
      </c>
      <c r="Z2514">
        <v>8.8247872740212099</v>
      </c>
      <c r="AA2514">
        <v>100</v>
      </c>
    </row>
    <row r="2515" spans="1:27" x14ac:dyDescent="0.2">
      <c r="A2515">
        <v>40</v>
      </c>
      <c r="B2515">
        <v>2</v>
      </c>
      <c r="C2515">
        <v>0.3</v>
      </c>
      <c r="D2515">
        <v>20</v>
      </c>
      <c r="E2515">
        <v>6.6357057512418799E-2</v>
      </c>
      <c r="F2515">
        <v>2</v>
      </c>
      <c r="G2515">
        <v>40.103486332999999</v>
      </c>
      <c r="H2515">
        <v>9.2801875263820693E-2</v>
      </c>
      <c r="I2515">
        <v>2</v>
      </c>
      <c r="J2515">
        <v>0.62473984999999999</v>
      </c>
      <c r="P2515"/>
      <c r="V2515">
        <v>7.0893430987025996E-2</v>
      </c>
      <c r="W2515">
        <v>2</v>
      </c>
      <c r="X2515">
        <v>77381.365108536993</v>
      </c>
      <c r="Y2515">
        <v>2973</v>
      </c>
      <c r="Z2515">
        <v>11.043353853985501</v>
      </c>
      <c r="AA2515">
        <v>100</v>
      </c>
    </row>
    <row r="2516" spans="1:27" x14ac:dyDescent="0.2">
      <c r="A2516">
        <v>40</v>
      </c>
      <c r="B2516">
        <v>2</v>
      </c>
      <c r="C2516">
        <v>0.2</v>
      </c>
      <c r="D2516">
        <v>20</v>
      </c>
      <c r="E2516">
        <v>0.24843181947791301</v>
      </c>
      <c r="F2516">
        <v>2</v>
      </c>
      <c r="G2516">
        <v>46.169574632</v>
      </c>
      <c r="H2516">
        <v>0.22465043054314501</v>
      </c>
      <c r="I2516">
        <v>2</v>
      </c>
      <c r="J2516">
        <v>0.94646734700000001</v>
      </c>
      <c r="P2516"/>
      <c r="V2516">
        <v>0.205199178712102</v>
      </c>
      <c r="W2516">
        <v>2</v>
      </c>
      <c r="X2516">
        <v>77349.845268895006</v>
      </c>
      <c r="Y2516">
        <v>4422</v>
      </c>
      <c r="Z2516">
        <v>4.3552772352086304</v>
      </c>
      <c r="AA2516">
        <v>100</v>
      </c>
    </row>
    <row r="2517" spans="1:27" x14ac:dyDescent="0.2">
      <c r="A2517">
        <v>40</v>
      </c>
      <c r="B2517">
        <v>2</v>
      </c>
      <c r="C2517">
        <v>0.2</v>
      </c>
      <c r="D2517">
        <v>20</v>
      </c>
      <c r="E2517">
        <v>0.26002363409391799</v>
      </c>
      <c r="F2517">
        <v>2</v>
      </c>
      <c r="G2517">
        <v>46.061616837999999</v>
      </c>
      <c r="H2517">
        <v>0.210989868903528</v>
      </c>
      <c r="I2517">
        <v>2</v>
      </c>
      <c r="J2517">
        <v>1.118047945</v>
      </c>
      <c r="P2517"/>
      <c r="V2517">
        <v>0.193702952189204</v>
      </c>
      <c r="W2517">
        <v>2</v>
      </c>
      <c r="X2517">
        <v>78807.311881125002</v>
      </c>
      <c r="Y2517">
        <v>3590</v>
      </c>
      <c r="Z2517">
        <v>5.5122443115160404</v>
      </c>
      <c r="AA2517">
        <v>100</v>
      </c>
    </row>
    <row r="2518" spans="1:27" x14ac:dyDescent="0.2">
      <c r="A2518">
        <v>40</v>
      </c>
      <c r="B2518">
        <v>2</v>
      </c>
      <c r="C2518">
        <v>0.2</v>
      </c>
      <c r="D2518">
        <v>20</v>
      </c>
      <c r="E2518">
        <v>0.28480064979512099</v>
      </c>
      <c r="F2518">
        <v>2</v>
      </c>
      <c r="G2518">
        <v>36.549572451000003</v>
      </c>
      <c r="H2518">
        <v>0.23155303514777001</v>
      </c>
      <c r="I2518">
        <v>2</v>
      </c>
      <c r="J2518">
        <v>0.96802662299999997</v>
      </c>
      <c r="P2518"/>
      <c r="V2518">
        <v>0.21085054907060699</v>
      </c>
      <c r="W2518">
        <v>2</v>
      </c>
      <c r="X2518">
        <v>78604.543430352001</v>
      </c>
      <c r="Y2518">
        <v>3872</v>
      </c>
      <c r="Z2518">
        <v>5.2070955238578502</v>
      </c>
      <c r="AA2518">
        <v>100</v>
      </c>
    </row>
    <row r="2519" spans="1:27" x14ac:dyDescent="0.2">
      <c r="A2519">
        <v>40</v>
      </c>
      <c r="B2519">
        <v>2</v>
      </c>
      <c r="C2519">
        <v>0.3</v>
      </c>
      <c r="D2519">
        <v>20</v>
      </c>
      <c r="E2519">
        <v>8.8025412875225403E-2</v>
      </c>
      <c r="F2519">
        <v>2</v>
      </c>
      <c r="G2519">
        <v>31.690209266</v>
      </c>
      <c r="H2519">
        <v>9.9821421415910105E-2</v>
      </c>
      <c r="I2519">
        <v>2</v>
      </c>
      <c r="J2519">
        <v>0.42105926500000002</v>
      </c>
      <c r="P2519"/>
      <c r="V2519">
        <v>8.0708481586018802E-2</v>
      </c>
      <c r="W2519">
        <v>2</v>
      </c>
      <c r="X2519">
        <v>77201.376944318006</v>
      </c>
      <c r="Y2519">
        <v>3465</v>
      </c>
      <c r="Z2519">
        <v>6.1480572035034102</v>
      </c>
      <c r="AA2519">
        <v>100</v>
      </c>
    </row>
    <row r="2520" spans="1:27" x14ac:dyDescent="0.2">
      <c r="A2520">
        <v>40</v>
      </c>
      <c r="B2520">
        <v>2</v>
      </c>
      <c r="C2520">
        <v>0.2</v>
      </c>
      <c r="D2520">
        <v>20</v>
      </c>
      <c r="E2520">
        <v>0.21331405117341601</v>
      </c>
      <c r="F2520">
        <v>2</v>
      </c>
      <c r="G2520">
        <v>28.548272096000002</v>
      </c>
      <c r="H2520">
        <v>0.15111931504475901</v>
      </c>
      <c r="I2520">
        <v>2</v>
      </c>
      <c r="J2520">
        <v>0.87364726000000004</v>
      </c>
      <c r="P2520"/>
      <c r="V2520">
        <v>0.13334766345754101</v>
      </c>
      <c r="W2520">
        <v>2</v>
      </c>
      <c r="X2520">
        <v>77859.858982114994</v>
      </c>
      <c r="Y2520">
        <v>4186</v>
      </c>
      <c r="Z2520">
        <v>6.8220913323232697</v>
      </c>
      <c r="AA2520">
        <v>100</v>
      </c>
    </row>
    <row r="2521" spans="1:27" x14ac:dyDescent="0.2">
      <c r="A2521">
        <v>40</v>
      </c>
      <c r="B2521">
        <v>2</v>
      </c>
      <c r="C2521">
        <v>0.2</v>
      </c>
      <c r="D2521">
        <v>20</v>
      </c>
      <c r="E2521">
        <v>0.24430969057607399</v>
      </c>
      <c r="F2521">
        <v>2</v>
      </c>
      <c r="G2521">
        <v>47.239266549</v>
      </c>
      <c r="H2521">
        <v>0.20458532792179199</v>
      </c>
      <c r="I2521">
        <v>2</v>
      </c>
      <c r="J2521">
        <v>0.79531184799999999</v>
      </c>
      <c r="P2521"/>
      <c r="V2521">
        <v>0.176295933420511</v>
      </c>
      <c r="W2521">
        <v>2</v>
      </c>
      <c r="X2521">
        <v>78564.936337444</v>
      </c>
      <c r="Y2521">
        <v>3928</v>
      </c>
      <c r="Z2521">
        <v>3.37247312028942</v>
      </c>
      <c r="AA2521">
        <v>100</v>
      </c>
    </row>
    <row r="2522" spans="1:27" x14ac:dyDescent="0.2">
      <c r="A2522">
        <v>40</v>
      </c>
      <c r="B2522">
        <v>2</v>
      </c>
      <c r="C2522">
        <v>0.3</v>
      </c>
      <c r="D2522">
        <v>20</v>
      </c>
      <c r="E2522">
        <v>7.5891249705188499E-2</v>
      </c>
      <c r="F2522">
        <v>2</v>
      </c>
      <c r="G2522">
        <v>38.299767435</v>
      </c>
      <c r="H2522">
        <v>8.7846059319669101E-2</v>
      </c>
      <c r="I2522">
        <v>2</v>
      </c>
      <c r="J2522">
        <v>0.55593737200000004</v>
      </c>
      <c r="P2522"/>
      <c r="V2522">
        <v>5.7202312410090397E-2</v>
      </c>
      <c r="W2522">
        <v>2</v>
      </c>
      <c r="X2522">
        <v>78541.148935500998</v>
      </c>
      <c r="Y2522">
        <v>41429</v>
      </c>
      <c r="Z2522">
        <v>8.8638146018473396</v>
      </c>
      <c r="AA2522">
        <v>100</v>
      </c>
    </row>
    <row r="2523" spans="1:27" x14ac:dyDescent="0.2">
      <c r="A2523">
        <v>40</v>
      </c>
      <c r="B2523">
        <v>3</v>
      </c>
      <c r="C2523">
        <v>0.2</v>
      </c>
      <c r="D2523">
        <v>20</v>
      </c>
      <c r="E2523">
        <v>0.36086596583001301</v>
      </c>
      <c r="F2523">
        <v>3</v>
      </c>
      <c r="G2523">
        <v>29.100810244000002</v>
      </c>
      <c r="H2523">
        <v>0.26705270107750201</v>
      </c>
      <c r="I2523">
        <v>3</v>
      </c>
      <c r="J2523">
        <v>1.7718596069999999</v>
      </c>
      <c r="P2523"/>
      <c r="V2523">
        <v>0.25209004590600498</v>
      </c>
      <c r="W2523">
        <v>3</v>
      </c>
      <c r="X2523">
        <v>75255.974098827995</v>
      </c>
      <c r="Y2523">
        <v>0</v>
      </c>
      <c r="Z2523" s="1">
        <v>1E+100</v>
      </c>
      <c r="AA2523">
        <v>100</v>
      </c>
    </row>
    <row r="2524" spans="1:27" x14ac:dyDescent="0.2">
      <c r="A2524">
        <v>40</v>
      </c>
      <c r="B2524">
        <v>3</v>
      </c>
      <c r="C2524">
        <v>0.4</v>
      </c>
      <c r="D2524">
        <v>20</v>
      </c>
      <c r="E2524">
        <v>9.2386949959126496E-2</v>
      </c>
      <c r="F2524">
        <v>3</v>
      </c>
      <c r="G2524">
        <v>30.248531206999999</v>
      </c>
      <c r="H2524">
        <v>9.6652038166462895E-2</v>
      </c>
      <c r="I2524">
        <v>3</v>
      </c>
      <c r="J2524">
        <v>0.80604846600000002</v>
      </c>
      <c r="P2524"/>
      <c r="V2524">
        <v>7.5557856449782301E-2</v>
      </c>
      <c r="W2524">
        <v>3</v>
      </c>
      <c r="X2524">
        <v>75257.277933416</v>
      </c>
      <c r="Y2524">
        <v>0</v>
      </c>
      <c r="Z2524" s="1">
        <v>1E+100</v>
      </c>
      <c r="AA2524">
        <v>100</v>
      </c>
    </row>
    <row r="2525" spans="1:27" x14ac:dyDescent="0.2">
      <c r="A2525">
        <v>40</v>
      </c>
      <c r="B2525">
        <v>3</v>
      </c>
      <c r="C2525">
        <v>0.1</v>
      </c>
      <c r="D2525">
        <v>20</v>
      </c>
      <c r="E2525">
        <v>0.90970888263790195</v>
      </c>
      <c r="F2525">
        <v>3</v>
      </c>
      <c r="G2525">
        <v>29.936986810000001</v>
      </c>
      <c r="H2525">
        <v>0.89312139079397701</v>
      </c>
      <c r="I2525">
        <v>3</v>
      </c>
      <c r="J2525">
        <v>2.3949895859999999</v>
      </c>
      <c r="P2525"/>
      <c r="V2525">
        <v>0.89931606321711599</v>
      </c>
      <c r="W2525">
        <v>3</v>
      </c>
      <c r="X2525">
        <v>75466.116924825998</v>
      </c>
      <c r="Y2525">
        <v>1609</v>
      </c>
      <c r="Z2525">
        <v>2.4163638393256401</v>
      </c>
      <c r="AA2525">
        <v>100</v>
      </c>
    </row>
    <row r="2526" spans="1:27" x14ac:dyDescent="0.2">
      <c r="A2526">
        <v>40</v>
      </c>
      <c r="B2526">
        <v>3</v>
      </c>
      <c r="C2526">
        <v>0.1</v>
      </c>
      <c r="D2526">
        <v>20</v>
      </c>
      <c r="E2526">
        <v>0.97437090006673499</v>
      </c>
      <c r="F2526">
        <v>3</v>
      </c>
      <c r="G2526">
        <v>29.10288899</v>
      </c>
      <c r="H2526">
        <v>0.99848551537277597</v>
      </c>
      <c r="I2526">
        <v>3</v>
      </c>
      <c r="J2526">
        <v>2.4908753109999999</v>
      </c>
      <c r="P2526"/>
      <c r="V2526">
        <v>1.0059020551679501</v>
      </c>
      <c r="W2526">
        <v>3</v>
      </c>
      <c r="X2526">
        <v>75537.870612483006</v>
      </c>
      <c r="Y2526">
        <v>2510</v>
      </c>
      <c r="Z2526">
        <v>1.2669271607956001</v>
      </c>
      <c r="AA2526">
        <v>100</v>
      </c>
    </row>
    <row r="2527" spans="1:27" x14ac:dyDescent="0.2">
      <c r="A2527">
        <v>40</v>
      </c>
      <c r="B2527">
        <v>3</v>
      </c>
      <c r="C2527">
        <v>0.2</v>
      </c>
      <c r="D2527">
        <v>20</v>
      </c>
      <c r="E2527">
        <v>0.51422701113800295</v>
      </c>
      <c r="F2527">
        <v>3</v>
      </c>
      <c r="G2527">
        <v>24.373605255000001</v>
      </c>
      <c r="H2527">
        <v>0.29413874980873</v>
      </c>
      <c r="I2527">
        <v>3</v>
      </c>
      <c r="J2527">
        <v>1.4691937960000001</v>
      </c>
      <c r="P2527"/>
      <c r="V2527">
        <v>0.27087299674549198</v>
      </c>
      <c r="W2527">
        <v>3</v>
      </c>
      <c r="X2527">
        <v>75236.306858459997</v>
      </c>
      <c r="Y2527">
        <v>0</v>
      </c>
      <c r="Z2527" s="1">
        <v>1E+100</v>
      </c>
      <c r="AA2527">
        <v>100</v>
      </c>
    </row>
    <row r="2528" spans="1:27" x14ac:dyDescent="0.2">
      <c r="A2528">
        <v>40</v>
      </c>
      <c r="B2528">
        <v>3</v>
      </c>
      <c r="C2528">
        <v>0.2</v>
      </c>
      <c r="D2528">
        <v>20</v>
      </c>
      <c r="E2528">
        <v>0.434509142481459</v>
      </c>
      <c r="F2528">
        <v>3</v>
      </c>
      <c r="G2528">
        <v>33.217704224000002</v>
      </c>
      <c r="H2528">
        <v>0.33068442122997899</v>
      </c>
      <c r="I2528">
        <v>3</v>
      </c>
      <c r="J2528">
        <v>2.1850406069999999</v>
      </c>
      <c r="P2528"/>
      <c r="V2528">
        <v>0.316278860014232</v>
      </c>
      <c r="W2528">
        <v>3</v>
      </c>
      <c r="X2528">
        <v>75266.827080949995</v>
      </c>
      <c r="Y2528">
        <v>0</v>
      </c>
      <c r="Z2528" s="1">
        <v>1E+100</v>
      </c>
      <c r="AA2528">
        <v>100</v>
      </c>
    </row>
    <row r="2529" spans="1:27" x14ac:dyDescent="0.2">
      <c r="A2529">
        <v>40</v>
      </c>
      <c r="B2529">
        <v>3</v>
      </c>
      <c r="C2529">
        <v>0.3</v>
      </c>
      <c r="D2529">
        <v>20</v>
      </c>
      <c r="E2529">
        <v>0.20568152254629099</v>
      </c>
      <c r="F2529">
        <v>3</v>
      </c>
      <c r="G2529">
        <v>36.651559814999999</v>
      </c>
      <c r="H2529">
        <v>0.153901904152702</v>
      </c>
      <c r="I2529">
        <v>3</v>
      </c>
      <c r="J2529">
        <v>0.90977810199999998</v>
      </c>
      <c r="P2529"/>
      <c r="V2529">
        <v>0.13404345826462399</v>
      </c>
      <c r="W2529">
        <v>3</v>
      </c>
      <c r="X2529">
        <v>75270.231450449995</v>
      </c>
      <c r="Y2529">
        <v>0</v>
      </c>
      <c r="Z2529" s="1">
        <v>1E+100</v>
      </c>
      <c r="AA2529">
        <v>100</v>
      </c>
    </row>
    <row r="2530" spans="1:27" x14ac:dyDescent="0.2">
      <c r="A2530">
        <v>40</v>
      </c>
      <c r="B2530">
        <v>3</v>
      </c>
      <c r="C2530">
        <v>0.4</v>
      </c>
      <c r="D2530">
        <v>20</v>
      </c>
      <c r="E2530">
        <v>9.1843004602206596E-2</v>
      </c>
      <c r="F2530">
        <v>3</v>
      </c>
      <c r="G2530">
        <v>33.965039124</v>
      </c>
      <c r="H2530">
        <v>0.10371934530778</v>
      </c>
      <c r="I2530">
        <v>3</v>
      </c>
      <c r="J2530">
        <v>0.71128308399999995</v>
      </c>
      <c r="P2530"/>
      <c r="V2530">
        <v>7.6966918973713397E-2</v>
      </c>
      <c r="W2530">
        <v>3</v>
      </c>
      <c r="X2530">
        <v>75294.633384788001</v>
      </c>
      <c r="Y2530">
        <v>0</v>
      </c>
      <c r="Z2530" s="1">
        <v>1E+100</v>
      </c>
      <c r="AA2530">
        <v>100</v>
      </c>
    </row>
    <row r="2531" spans="1:27" x14ac:dyDescent="0.2">
      <c r="A2531">
        <v>40</v>
      </c>
      <c r="B2531">
        <v>3</v>
      </c>
      <c r="C2531">
        <v>0.1</v>
      </c>
      <c r="D2531">
        <v>20</v>
      </c>
      <c r="E2531">
        <v>0.88566772805305705</v>
      </c>
      <c r="F2531">
        <v>3</v>
      </c>
      <c r="G2531">
        <v>35.570401592000003</v>
      </c>
      <c r="H2531">
        <v>0.80866599540695205</v>
      </c>
      <c r="I2531">
        <v>3</v>
      </c>
      <c r="J2531">
        <v>3.5963784219999999</v>
      </c>
      <c r="P2531"/>
      <c r="V2531">
        <v>0.81022149422016598</v>
      </c>
      <c r="W2531">
        <v>3</v>
      </c>
      <c r="X2531">
        <v>76461.203376514997</v>
      </c>
      <c r="Y2531">
        <v>5017</v>
      </c>
      <c r="Z2531">
        <v>1.39834019798763</v>
      </c>
      <c r="AA2531">
        <v>100</v>
      </c>
    </row>
    <row r="2532" spans="1:27" x14ac:dyDescent="0.2">
      <c r="A2532">
        <v>40</v>
      </c>
      <c r="B2532">
        <v>3</v>
      </c>
      <c r="C2532">
        <v>0.3</v>
      </c>
      <c r="D2532">
        <v>20</v>
      </c>
      <c r="E2532">
        <v>0.171449768968685</v>
      </c>
      <c r="F2532">
        <v>3</v>
      </c>
      <c r="G2532">
        <v>42.652412994999999</v>
      </c>
      <c r="H2532">
        <v>0.11600598654177401</v>
      </c>
      <c r="I2532">
        <v>3</v>
      </c>
      <c r="J2532">
        <v>1.1473189399999999</v>
      </c>
      <c r="P2532"/>
      <c r="V2532">
        <v>9.3750519470921695E-2</v>
      </c>
      <c r="W2532">
        <v>3</v>
      </c>
      <c r="X2532">
        <v>75310.179558390999</v>
      </c>
      <c r="Y2532">
        <v>0</v>
      </c>
      <c r="Z2532" s="1">
        <v>1E+100</v>
      </c>
      <c r="AA2532">
        <v>100</v>
      </c>
    </row>
    <row r="2533" spans="1:27" x14ac:dyDescent="0.2">
      <c r="A2533">
        <v>40</v>
      </c>
      <c r="B2533">
        <v>3</v>
      </c>
      <c r="C2533">
        <v>0.3</v>
      </c>
      <c r="D2533">
        <v>20</v>
      </c>
      <c r="E2533">
        <v>0.205879933975047</v>
      </c>
      <c r="F2533">
        <v>3</v>
      </c>
      <c r="G2533">
        <v>28.586704501</v>
      </c>
      <c r="H2533">
        <v>0.17080643223531999</v>
      </c>
      <c r="I2533">
        <v>3</v>
      </c>
      <c r="J2533">
        <v>0.71577325300000005</v>
      </c>
      <c r="P2533"/>
      <c r="V2533">
        <v>0.147265875478062</v>
      </c>
      <c r="W2533">
        <v>3</v>
      </c>
      <c r="X2533">
        <v>75212.239758395997</v>
      </c>
      <c r="Y2533">
        <v>0</v>
      </c>
      <c r="Z2533" s="1">
        <v>1E+100</v>
      </c>
      <c r="AA2533">
        <v>100</v>
      </c>
    </row>
    <row r="2534" spans="1:27" x14ac:dyDescent="0.2">
      <c r="A2534">
        <v>40</v>
      </c>
      <c r="B2534">
        <v>3</v>
      </c>
      <c r="C2534">
        <v>0.2</v>
      </c>
      <c r="D2534">
        <v>20</v>
      </c>
      <c r="E2534">
        <v>0.46876683879568498</v>
      </c>
      <c r="F2534">
        <v>3</v>
      </c>
      <c r="G2534">
        <v>29.297852699</v>
      </c>
      <c r="H2534">
        <v>0.24446531584527301</v>
      </c>
      <c r="I2534">
        <v>3</v>
      </c>
      <c r="J2534">
        <v>1.833102198</v>
      </c>
      <c r="P2534"/>
      <c r="V2534">
        <v>0.22474385009671899</v>
      </c>
      <c r="W2534">
        <v>3</v>
      </c>
      <c r="X2534">
        <v>75227.709005900993</v>
      </c>
      <c r="Y2534">
        <v>0</v>
      </c>
      <c r="Z2534" s="1">
        <v>1E+100</v>
      </c>
      <c r="AA2534">
        <v>100</v>
      </c>
    </row>
    <row r="2535" spans="1:27" x14ac:dyDescent="0.2">
      <c r="A2535">
        <v>40</v>
      </c>
      <c r="B2535">
        <v>3</v>
      </c>
      <c r="C2535">
        <v>0.1</v>
      </c>
      <c r="D2535">
        <v>20</v>
      </c>
      <c r="E2535">
        <v>0.86848025138426799</v>
      </c>
      <c r="F2535">
        <v>3</v>
      </c>
      <c r="G2535">
        <v>31.039036919000001</v>
      </c>
      <c r="H2535">
        <v>0.94157461674324405</v>
      </c>
      <c r="I2535">
        <v>3</v>
      </c>
      <c r="J2535">
        <v>2.4952570349999998</v>
      </c>
      <c r="P2535"/>
      <c r="V2535">
        <v>0.94500837580593999</v>
      </c>
      <c r="W2535">
        <v>3</v>
      </c>
      <c r="X2535">
        <v>75230.551192347993</v>
      </c>
      <c r="Y2535">
        <v>0</v>
      </c>
      <c r="Z2535" s="1">
        <v>1E+100</v>
      </c>
      <c r="AA2535">
        <v>100</v>
      </c>
    </row>
    <row r="2536" spans="1:27" x14ac:dyDescent="0.2">
      <c r="A2536">
        <v>40</v>
      </c>
      <c r="B2536">
        <v>3</v>
      </c>
      <c r="C2536">
        <v>0.2</v>
      </c>
      <c r="D2536">
        <v>20</v>
      </c>
      <c r="E2536">
        <v>0.40323600973281398</v>
      </c>
      <c r="F2536">
        <v>3</v>
      </c>
      <c r="G2536">
        <v>29.531631671</v>
      </c>
      <c r="H2536">
        <v>0.31004913746861301</v>
      </c>
      <c r="I2536">
        <v>3</v>
      </c>
      <c r="J2536">
        <v>0.94959855699999995</v>
      </c>
      <c r="P2536"/>
      <c r="V2536">
        <v>0.29760801752652</v>
      </c>
      <c r="W2536">
        <v>3</v>
      </c>
      <c r="X2536">
        <v>75234.190064281996</v>
      </c>
      <c r="Y2536">
        <v>0</v>
      </c>
      <c r="Z2536" s="1">
        <v>1E+100</v>
      </c>
      <c r="AA2536">
        <v>100</v>
      </c>
    </row>
    <row r="2537" spans="1:27" x14ac:dyDescent="0.2">
      <c r="A2537">
        <v>40</v>
      </c>
      <c r="B2537">
        <v>3</v>
      </c>
      <c r="C2537">
        <v>0.3</v>
      </c>
      <c r="D2537">
        <v>20</v>
      </c>
      <c r="E2537">
        <v>0.15554181001569101</v>
      </c>
      <c r="F2537">
        <v>3</v>
      </c>
      <c r="G2537">
        <v>29.815300894</v>
      </c>
      <c r="H2537">
        <v>0.115968127262811</v>
      </c>
      <c r="I2537">
        <v>3</v>
      </c>
      <c r="J2537">
        <v>0.53119344300000004</v>
      </c>
      <c r="P2537"/>
      <c r="V2537">
        <v>9.41907841255719E-2</v>
      </c>
      <c r="W2537">
        <v>3</v>
      </c>
      <c r="X2537">
        <v>75238.046656652004</v>
      </c>
      <c r="Y2537">
        <v>0</v>
      </c>
      <c r="Z2537" s="1">
        <v>1E+100</v>
      </c>
      <c r="AA2537">
        <v>100</v>
      </c>
    </row>
    <row r="2538" spans="1:27" x14ac:dyDescent="0.2">
      <c r="A2538">
        <v>40</v>
      </c>
      <c r="B2538">
        <v>3</v>
      </c>
      <c r="C2538">
        <v>0.2</v>
      </c>
      <c r="D2538">
        <v>20</v>
      </c>
      <c r="E2538">
        <v>0.31336672055200998</v>
      </c>
      <c r="F2538">
        <v>3</v>
      </c>
      <c r="G2538">
        <v>29.201031264000001</v>
      </c>
      <c r="H2538">
        <v>0.21625409026108799</v>
      </c>
      <c r="I2538">
        <v>3</v>
      </c>
      <c r="J2538">
        <v>1.0541733310000001</v>
      </c>
      <c r="P2538"/>
      <c r="V2538">
        <v>0.197658255975525</v>
      </c>
      <c r="W2538">
        <v>3</v>
      </c>
      <c r="X2538">
        <v>75241.768444934001</v>
      </c>
      <c r="Y2538">
        <v>0</v>
      </c>
      <c r="Z2538" s="1">
        <v>1E+100</v>
      </c>
      <c r="AA2538">
        <v>100</v>
      </c>
    </row>
    <row r="2539" spans="1:27" x14ac:dyDescent="0.2">
      <c r="A2539">
        <v>40</v>
      </c>
      <c r="B2539">
        <v>3</v>
      </c>
      <c r="C2539">
        <v>0.3</v>
      </c>
      <c r="D2539">
        <v>20</v>
      </c>
      <c r="E2539">
        <v>0.23568278884049201</v>
      </c>
      <c r="F2539">
        <v>3</v>
      </c>
      <c r="G2539">
        <v>29.149938730999999</v>
      </c>
      <c r="H2539">
        <v>0.186733264967896</v>
      </c>
      <c r="I2539">
        <v>3</v>
      </c>
      <c r="J2539">
        <v>0.95325422400000004</v>
      </c>
      <c r="P2539"/>
      <c r="V2539">
        <v>0.159236093882027</v>
      </c>
      <c r="W2539">
        <v>3</v>
      </c>
      <c r="X2539">
        <v>75243.423366823001</v>
      </c>
      <c r="Y2539">
        <v>0</v>
      </c>
      <c r="Z2539" s="1">
        <v>1E+100</v>
      </c>
      <c r="AA2539">
        <v>100</v>
      </c>
    </row>
    <row r="2540" spans="1:27" x14ac:dyDescent="0.2">
      <c r="A2540">
        <v>40</v>
      </c>
      <c r="B2540">
        <v>3</v>
      </c>
      <c r="C2540">
        <v>0.4</v>
      </c>
      <c r="D2540">
        <v>20</v>
      </c>
      <c r="E2540">
        <v>7.7669587861672801E-2</v>
      </c>
      <c r="F2540">
        <v>3</v>
      </c>
      <c r="G2540">
        <v>30.480347795</v>
      </c>
      <c r="H2540">
        <v>8.9999165329396794E-2</v>
      </c>
      <c r="I2540">
        <v>3</v>
      </c>
      <c r="J2540">
        <v>0.80376276700000004</v>
      </c>
      <c r="P2540"/>
      <c r="V2540">
        <v>6.6436015077718402E-2</v>
      </c>
      <c r="W2540">
        <v>3</v>
      </c>
      <c r="X2540">
        <v>75240.946488119997</v>
      </c>
      <c r="Y2540">
        <v>0</v>
      </c>
      <c r="Z2540" s="1">
        <v>1E+100</v>
      </c>
      <c r="AA2540">
        <v>100</v>
      </c>
    </row>
    <row r="2541" spans="1:27" x14ac:dyDescent="0.2">
      <c r="A2541">
        <v>40</v>
      </c>
      <c r="B2541">
        <v>3</v>
      </c>
      <c r="C2541">
        <v>0.4</v>
      </c>
      <c r="D2541">
        <v>20</v>
      </c>
      <c r="E2541">
        <v>8.1148405409535398E-2</v>
      </c>
      <c r="F2541">
        <v>3</v>
      </c>
      <c r="G2541">
        <v>30.409911382000001</v>
      </c>
      <c r="H2541">
        <v>8.6800529680105404E-2</v>
      </c>
      <c r="I2541">
        <v>3</v>
      </c>
      <c r="J2541">
        <v>0.53118044600000003</v>
      </c>
      <c r="P2541"/>
      <c r="V2541">
        <v>6.3700166149024295E-2</v>
      </c>
      <c r="W2541">
        <v>3</v>
      </c>
      <c r="X2541">
        <v>75250.190108176001</v>
      </c>
      <c r="Y2541">
        <v>0</v>
      </c>
      <c r="Z2541" s="1">
        <v>1E+100</v>
      </c>
      <c r="AA2541">
        <v>100</v>
      </c>
    </row>
    <row r="2542" spans="1:27" x14ac:dyDescent="0.2">
      <c r="A2542">
        <v>40</v>
      </c>
      <c r="B2542">
        <v>3</v>
      </c>
      <c r="C2542">
        <v>0.4</v>
      </c>
      <c r="D2542">
        <v>20</v>
      </c>
      <c r="E2542">
        <v>8.2111363816437397E-2</v>
      </c>
      <c r="F2542">
        <v>3</v>
      </c>
      <c r="G2542">
        <v>31.100477681000001</v>
      </c>
      <c r="H2542">
        <v>9.2590496259362706E-2</v>
      </c>
      <c r="I2542">
        <v>3</v>
      </c>
      <c r="J2542">
        <v>0.75324578600000003</v>
      </c>
      <c r="P2542"/>
      <c r="V2542">
        <v>6.5765989356493901E-2</v>
      </c>
      <c r="W2542">
        <v>3</v>
      </c>
      <c r="X2542">
        <v>75250.302266358005</v>
      </c>
      <c r="Y2542">
        <v>0</v>
      </c>
      <c r="Z2542" s="1">
        <v>1E+100</v>
      </c>
      <c r="AA2542">
        <v>100</v>
      </c>
    </row>
    <row r="2543" spans="1:27" x14ac:dyDescent="0.2">
      <c r="A2543">
        <v>40</v>
      </c>
      <c r="B2543">
        <v>3</v>
      </c>
      <c r="C2543">
        <v>0.3</v>
      </c>
      <c r="D2543">
        <v>20</v>
      </c>
      <c r="E2543">
        <v>0.25378308061743698</v>
      </c>
      <c r="F2543">
        <v>3</v>
      </c>
      <c r="G2543">
        <v>31.013417853</v>
      </c>
      <c r="H2543">
        <v>0.17106002062807699</v>
      </c>
      <c r="I2543">
        <v>3</v>
      </c>
      <c r="J2543">
        <v>1.341964709</v>
      </c>
      <c r="P2543"/>
      <c r="V2543">
        <v>0.14904547337655499</v>
      </c>
      <c r="W2543">
        <v>3</v>
      </c>
      <c r="X2543">
        <v>75251.21082131</v>
      </c>
      <c r="Y2543">
        <v>0</v>
      </c>
      <c r="Z2543" s="1">
        <v>1E+100</v>
      </c>
      <c r="AA2543">
        <v>100</v>
      </c>
    </row>
    <row r="2544" spans="1:27" x14ac:dyDescent="0.2">
      <c r="A2544">
        <v>40</v>
      </c>
      <c r="B2544">
        <v>3</v>
      </c>
      <c r="C2544">
        <v>0.3</v>
      </c>
      <c r="D2544">
        <v>20</v>
      </c>
      <c r="E2544">
        <v>0.15907128035704299</v>
      </c>
      <c r="F2544">
        <v>3</v>
      </c>
      <c r="G2544">
        <v>30.275112499999999</v>
      </c>
      <c r="H2544">
        <v>0.14595216997020299</v>
      </c>
      <c r="I2544">
        <v>3</v>
      </c>
      <c r="J2544">
        <v>0.91499949999999997</v>
      </c>
      <c r="P2544"/>
      <c r="V2544">
        <v>0.12769197955373299</v>
      </c>
      <c r="W2544">
        <v>3</v>
      </c>
      <c r="X2544">
        <v>75254.561019979999</v>
      </c>
      <c r="Y2544">
        <v>0</v>
      </c>
      <c r="Z2544" s="1">
        <v>1E+100</v>
      </c>
      <c r="AA2544">
        <v>100</v>
      </c>
    </row>
    <row r="2545" spans="1:27" x14ac:dyDescent="0.2">
      <c r="A2545">
        <v>40</v>
      </c>
      <c r="B2545">
        <v>3</v>
      </c>
      <c r="C2545">
        <v>0.2</v>
      </c>
      <c r="D2545">
        <v>20</v>
      </c>
      <c r="E2545">
        <v>0.46795626514885302</v>
      </c>
      <c r="F2545">
        <v>3</v>
      </c>
      <c r="G2545">
        <v>30.610083778</v>
      </c>
      <c r="H2545">
        <v>0.29870115819280202</v>
      </c>
      <c r="I2545">
        <v>3</v>
      </c>
      <c r="J2545">
        <v>1.5293979470000001</v>
      </c>
      <c r="P2545"/>
      <c r="V2545">
        <v>0.28675305000110501</v>
      </c>
      <c r="W2545">
        <v>3</v>
      </c>
      <c r="X2545">
        <v>75254.295363733996</v>
      </c>
      <c r="Y2545">
        <v>0</v>
      </c>
      <c r="Z2545" s="1">
        <v>1E+100</v>
      </c>
      <c r="AA2545">
        <v>100</v>
      </c>
    </row>
    <row r="2546" spans="1:27" x14ac:dyDescent="0.2">
      <c r="A2546">
        <v>40</v>
      </c>
      <c r="B2546">
        <v>3</v>
      </c>
      <c r="C2546">
        <v>0.4</v>
      </c>
      <c r="D2546">
        <v>20</v>
      </c>
      <c r="E2546">
        <v>7.8238264823248402E-2</v>
      </c>
      <c r="F2546">
        <v>3</v>
      </c>
      <c r="G2546">
        <v>30.1901145</v>
      </c>
      <c r="H2546">
        <v>9.1907710323065994E-2</v>
      </c>
      <c r="I2546">
        <v>3</v>
      </c>
      <c r="J2546">
        <v>0.89814311099999999</v>
      </c>
      <c r="P2546"/>
      <c r="V2546">
        <v>7.2382615776182796E-2</v>
      </c>
      <c r="W2546">
        <v>3</v>
      </c>
      <c r="X2546">
        <v>75258.220758997995</v>
      </c>
      <c r="Y2546">
        <v>0</v>
      </c>
      <c r="Z2546" s="1">
        <v>1E+100</v>
      </c>
      <c r="AA2546">
        <v>100</v>
      </c>
    </row>
    <row r="2547" spans="1:27" x14ac:dyDescent="0.2">
      <c r="A2547">
        <v>40</v>
      </c>
      <c r="B2547">
        <v>3</v>
      </c>
      <c r="C2547">
        <v>0.3</v>
      </c>
      <c r="D2547">
        <v>20</v>
      </c>
      <c r="E2547">
        <v>0.184328675272113</v>
      </c>
      <c r="F2547">
        <v>3</v>
      </c>
      <c r="G2547">
        <v>29.948433893000001</v>
      </c>
      <c r="H2547">
        <v>0.15794734203750899</v>
      </c>
      <c r="I2547">
        <v>3</v>
      </c>
      <c r="J2547">
        <v>0.56392012400000002</v>
      </c>
      <c r="P2547"/>
      <c r="V2547">
        <v>0.133116223548052</v>
      </c>
      <c r="W2547">
        <v>3</v>
      </c>
      <c r="X2547">
        <v>75258.253467906005</v>
      </c>
      <c r="Y2547">
        <v>0</v>
      </c>
      <c r="Z2547" s="1">
        <v>1E+100</v>
      </c>
      <c r="AA2547">
        <v>100</v>
      </c>
    </row>
    <row r="2548" spans="1:27" x14ac:dyDescent="0.2">
      <c r="A2548">
        <v>40</v>
      </c>
      <c r="B2548">
        <v>3</v>
      </c>
      <c r="C2548">
        <v>0.2</v>
      </c>
      <c r="D2548">
        <v>20</v>
      </c>
      <c r="E2548">
        <v>0.40439854026498501</v>
      </c>
      <c r="F2548">
        <v>3</v>
      </c>
      <c r="G2548">
        <v>29.685642384000001</v>
      </c>
      <c r="H2548">
        <v>0.31284851074292502</v>
      </c>
      <c r="I2548">
        <v>3</v>
      </c>
      <c r="J2548">
        <v>1.36172571</v>
      </c>
      <c r="P2548"/>
      <c r="V2548">
        <v>0.29723362938845199</v>
      </c>
      <c r="W2548">
        <v>3</v>
      </c>
      <c r="X2548">
        <v>75264.194494288007</v>
      </c>
      <c r="Y2548">
        <v>0</v>
      </c>
      <c r="Z2548" s="1">
        <v>1E+100</v>
      </c>
      <c r="AA2548">
        <v>100</v>
      </c>
    </row>
    <row r="2549" spans="1:27" x14ac:dyDescent="0.2">
      <c r="A2549">
        <v>40</v>
      </c>
      <c r="B2549">
        <v>3</v>
      </c>
      <c r="C2549">
        <v>0.2</v>
      </c>
      <c r="D2549">
        <v>20</v>
      </c>
      <c r="E2549">
        <v>0.34933335689482897</v>
      </c>
      <c r="F2549">
        <v>3</v>
      </c>
      <c r="G2549">
        <v>33.178595557999998</v>
      </c>
      <c r="H2549">
        <v>0.228719776254659</v>
      </c>
      <c r="I2549">
        <v>3</v>
      </c>
      <c r="J2549">
        <v>1.7020418740000001</v>
      </c>
      <c r="P2549"/>
      <c r="V2549">
        <v>0.206706589549182</v>
      </c>
      <c r="W2549">
        <v>3</v>
      </c>
      <c r="X2549">
        <v>75258.850967346996</v>
      </c>
      <c r="Y2549">
        <v>0</v>
      </c>
      <c r="Z2549" s="1">
        <v>1E+100</v>
      </c>
      <c r="AA2549">
        <v>100</v>
      </c>
    </row>
    <row r="2550" spans="1:27" x14ac:dyDescent="0.2">
      <c r="A2550">
        <v>40</v>
      </c>
      <c r="B2550">
        <v>3</v>
      </c>
      <c r="C2550">
        <v>0.2</v>
      </c>
      <c r="D2550">
        <v>20</v>
      </c>
      <c r="E2550">
        <v>0.389014762386792</v>
      </c>
      <c r="F2550">
        <v>3</v>
      </c>
      <c r="G2550">
        <v>35.244657224999997</v>
      </c>
      <c r="H2550">
        <v>0.29181368727336299</v>
      </c>
      <c r="I2550">
        <v>3</v>
      </c>
      <c r="J2550">
        <v>1.362981129</v>
      </c>
      <c r="P2550"/>
      <c r="V2550">
        <v>0.27762642556316303</v>
      </c>
      <c r="W2550">
        <v>3</v>
      </c>
      <c r="X2550">
        <v>75286.820831862002</v>
      </c>
      <c r="Y2550">
        <v>0</v>
      </c>
      <c r="Z2550" s="1">
        <v>1E+100</v>
      </c>
      <c r="AA2550">
        <v>100</v>
      </c>
    </row>
    <row r="2551" spans="1:27" x14ac:dyDescent="0.2">
      <c r="A2551">
        <v>40</v>
      </c>
      <c r="B2551">
        <v>3</v>
      </c>
      <c r="C2551">
        <v>0.4</v>
      </c>
      <c r="D2551">
        <v>20</v>
      </c>
      <c r="E2551">
        <v>7.9296439561125601E-2</v>
      </c>
      <c r="F2551">
        <v>3</v>
      </c>
      <c r="G2551">
        <v>36.986130391000003</v>
      </c>
      <c r="H2551">
        <v>7.8368506196190402E-2</v>
      </c>
      <c r="I2551">
        <v>3</v>
      </c>
      <c r="J2551">
        <v>0.58345366799999998</v>
      </c>
      <c r="P2551"/>
      <c r="V2551">
        <v>5.5993262740518003E-2</v>
      </c>
      <c r="W2551">
        <v>3</v>
      </c>
      <c r="X2551">
        <v>75292.256549009995</v>
      </c>
      <c r="Y2551">
        <v>0</v>
      </c>
      <c r="Z2551" s="1">
        <v>1E+100</v>
      </c>
      <c r="AA2551">
        <v>100</v>
      </c>
    </row>
    <row r="2552" spans="1:27" x14ac:dyDescent="0.2">
      <c r="A2552">
        <v>40</v>
      </c>
      <c r="B2552">
        <v>3</v>
      </c>
      <c r="C2552">
        <v>0.2</v>
      </c>
      <c r="D2552">
        <v>20</v>
      </c>
      <c r="E2552">
        <v>0.39918313998336402</v>
      </c>
      <c r="F2552">
        <v>3</v>
      </c>
      <c r="G2552">
        <v>24.753014132000001</v>
      </c>
      <c r="H2552">
        <v>0.32078213080307599</v>
      </c>
      <c r="I2552">
        <v>3</v>
      </c>
      <c r="J2552">
        <v>1.079437338</v>
      </c>
      <c r="P2552"/>
      <c r="V2552">
        <v>0.30021273975149299</v>
      </c>
      <c r="W2552">
        <v>3</v>
      </c>
      <c r="X2552">
        <v>75194.659619751998</v>
      </c>
      <c r="Y2552">
        <v>0</v>
      </c>
      <c r="Z2552" s="1">
        <v>1E+100</v>
      </c>
      <c r="AA2552">
        <v>100</v>
      </c>
    </row>
    <row r="2553" spans="1:27" x14ac:dyDescent="0.2">
      <c r="A2553">
        <v>40</v>
      </c>
      <c r="B2553">
        <v>3</v>
      </c>
      <c r="C2553">
        <v>0.2</v>
      </c>
      <c r="D2553">
        <v>20</v>
      </c>
      <c r="E2553">
        <v>0.39974886947370902</v>
      </c>
      <c r="F2553">
        <v>3</v>
      </c>
      <c r="G2553">
        <v>23.514299199</v>
      </c>
      <c r="H2553">
        <v>0.31051080622292798</v>
      </c>
      <c r="I2553">
        <v>3</v>
      </c>
      <c r="J2553">
        <v>0.80122436600000002</v>
      </c>
      <c r="P2553"/>
      <c r="V2553">
        <v>0.29688333832168601</v>
      </c>
      <c r="W2553">
        <v>3</v>
      </c>
      <c r="X2553">
        <v>75201.904828391998</v>
      </c>
      <c r="Y2553">
        <v>0</v>
      </c>
      <c r="Z2553" s="1">
        <v>1E+100</v>
      </c>
      <c r="AA2553">
        <v>100</v>
      </c>
    </row>
    <row r="2554" spans="1:27" x14ac:dyDescent="0.2">
      <c r="A2554">
        <v>40</v>
      </c>
      <c r="B2554">
        <v>3</v>
      </c>
      <c r="C2554">
        <v>0.3</v>
      </c>
      <c r="D2554">
        <v>20</v>
      </c>
      <c r="E2554">
        <v>0.163397303531989</v>
      </c>
      <c r="F2554">
        <v>3</v>
      </c>
      <c r="G2554">
        <v>22.640020028999999</v>
      </c>
      <c r="H2554">
        <v>0.129244673248716</v>
      </c>
      <c r="I2554">
        <v>3</v>
      </c>
      <c r="J2554">
        <v>0.81475353800000005</v>
      </c>
      <c r="P2554"/>
      <c r="V2554">
        <v>0.107486612272395</v>
      </c>
      <c r="W2554">
        <v>3</v>
      </c>
      <c r="X2554">
        <v>75204.211738415994</v>
      </c>
      <c r="Y2554">
        <v>0</v>
      </c>
      <c r="Z2554" s="1">
        <v>1E+100</v>
      </c>
      <c r="AA2554">
        <v>100</v>
      </c>
    </row>
    <row r="2555" spans="1:27" x14ac:dyDescent="0.2">
      <c r="A2555">
        <v>40</v>
      </c>
      <c r="B2555">
        <v>3</v>
      </c>
      <c r="C2555">
        <v>0.4</v>
      </c>
      <c r="D2555">
        <v>20</v>
      </c>
      <c r="E2555">
        <v>0.127374862851658</v>
      </c>
      <c r="F2555">
        <v>3</v>
      </c>
      <c r="G2555">
        <v>23.780813265999999</v>
      </c>
      <c r="H2555">
        <v>8.7047043675154895E-2</v>
      </c>
      <c r="I2555">
        <v>3</v>
      </c>
      <c r="J2555">
        <v>0.629389537</v>
      </c>
      <c r="P2555"/>
      <c r="V2555">
        <v>6.3867660203515697E-2</v>
      </c>
      <c r="W2555">
        <v>3</v>
      </c>
      <c r="X2555">
        <v>75207.394865156995</v>
      </c>
      <c r="Y2555">
        <v>0</v>
      </c>
      <c r="Z2555" s="1">
        <v>1E+100</v>
      </c>
      <c r="AA2555">
        <v>100</v>
      </c>
    </row>
    <row r="2556" spans="1:27" x14ac:dyDescent="0.2">
      <c r="A2556">
        <v>40</v>
      </c>
      <c r="B2556">
        <v>3</v>
      </c>
      <c r="C2556">
        <v>0.3</v>
      </c>
      <c r="D2556">
        <v>20</v>
      </c>
      <c r="E2556">
        <v>0.155659459648361</v>
      </c>
      <c r="F2556">
        <v>3</v>
      </c>
      <c r="G2556">
        <v>23.888595556999999</v>
      </c>
      <c r="H2556">
        <v>0.119931270022299</v>
      </c>
      <c r="I2556">
        <v>3</v>
      </c>
      <c r="J2556">
        <v>0.72692181300000003</v>
      </c>
      <c r="P2556"/>
      <c r="V2556">
        <v>9.9501449518513002E-2</v>
      </c>
      <c r="W2556">
        <v>3</v>
      </c>
      <c r="X2556">
        <v>75211.989887688003</v>
      </c>
      <c r="Y2556">
        <v>0</v>
      </c>
      <c r="Z2556" s="1">
        <v>1E+100</v>
      </c>
      <c r="AA2556">
        <v>100</v>
      </c>
    </row>
    <row r="2557" spans="1:27" x14ac:dyDescent="0.2">
      <c r="A2557">
        <v>40</v>
      </c>
      <c r="B2557">
        <v>3</v>
      </c>
      <c r="C2557">
        <v>0.2</v>
      </c>
      <c r="D2557">
        <v>20</v>
      </c>
      <c r="E2557">
        <v>0.43811333872633201</v>
      </c>
      <c r="F2557">
        <v>3</v>
      </c>
      <c r="G2557">
        <v>30.948289200000001</v>
      </c>
      <c r="H2557">
        <v>0.26642240981072002</v>
      </c>
      <c r="I2557">
        <v>3</v>
      </c>
      <c r="J2557">
        <v>1.971428862</v>
      </c>
      <c r="P2557"/>
      <c r="V2557">
        <v>0.24349042020830999</v>
      </c>
      <c r="W2557">
        <v>3</v>
      </c>
      <c r="X2557">
        <v>75232.558447179006</v>
      </c>
      <c r="Y2557">
        <v>0</v>
      </c>
      <c r="Z2557" s="1">
        <v>1E+100</v>
      </c>
      <c r="AA2557">
        <v>100</v>
      </c>
    </row>
    <row r="2558" spans="1:27" x14ac:dyDescent="0.2">
      <c r="A2558">
        <v>40</v>
      </c>
      <c r="B2558">
        <v>3</v>
      </c>
      <c r="C2558">
        <v>0.2</v>
      </c>
      <c r="D2558">
        <v>20</v>
      </c>
      <c r="E2558">
        <v>0.34876481428761702</v>
      </c>
      <c r="F2558">
        <v>3</v>
      </c>
      <c r="G2558">
        <v>29.525018465999999</v>
      </c>
      <c r="H2558">
        <v>0.240847949461995</v>
      </c>
      <c r="I2558">
        <v>3</v>
      </c>
      <c r="J2558">
        <v>1.5066414109999999</v>
      </c>
      <c r="P2558"/>
      <c r="V2558">
        <v>0.21934407267874001</v>
      </c>
      <c r="W2558">
        <v>3</v>
      </c>
      <c r="X2558">
        <v>75235.754513951993</v>
      </c>
      <c r="Y2558">
        <v>0</v>
      </c>
      <c r="Z2558" s="1">
        <v>1E+100</v>
      </c>
      <c r="AA2558">
        <v>100</v>
      </c>
    </row>
    <row r="2559" spans="1:27" x14ac:dyDescent="0.2">
      <c r="A2559">
        <v>40</v>
      </c>
      <c r="B2559">
        <v>3</v>
      </c>
      <c r="C2559">
        <v>0.2</v>
      </c>
      <c r="D2559">
        <v>20</v>
      </c>
      <c r="E2559">
        <v>0.39787139634069302</v>
      </c>
      <c r="F2559">
        <v>3</v>
      </c>
      <c r="G2559">
        <v>30.429297476999999</v>
      </c>
      <c r="H2559">
        <v>0.27528042544210901</v>
      </c>
      <c r="I2559">
        <v>3</v>
      </c>
      <c r="J2559">
        <v>2.1304660370000001</v>
      </c>
      <c r="P2559"/>
      <c r="V2559">
        <v>0.26227521098941498</v>
      </c>
      <c r="W2559">
        <v>3</v>
      </c>
      <c r="X2559">
        <v>75239.720621478002</v>
      </c>
      <c r="Y2559">
        <v>0</v>
      </c>
      <c r="Z2559" s="1">
        <v>1E+100</v>
      </c>
      <c r="AA2559">
        <v>100</v>
      </c>
    </row>
    <row r="2560" spans="1:27" x14ac:dyDescent="0.2">
      <c r="A2560">
        <v>40</v>
      </c>
      <c r="B2560">
        <v>3</v>
      </c>
      <c r="C2560">
        <v>0.4</v>
      </c>
      <c r="D2560">
        <v>20</v>
      </c>
      <c r="E2560">
        <v>8.3627928334151697E-2</v>
      </c>
      <c r="F2560">
        <v>3</v>
      </c>
      <c r="G2560">
        <v>28.643119952999999</v>
      </c>
      <c r="H2560">
        <v>0.101729090127668</v>
      </c>
      <c r="I2560">
        <v>3</v>
      </c>
      <c r="J2560">
        <v>0.69805539299999997</v>
      </c>
      <c r="P2560"/>
      <c r="V2560">
        <v>7.6562406018285498E-2</v>
      </c>
      <c r="W2560">
        <v>3</v>
      </c>
      <c r="X2560">
        <v>75247.535963236995</v>
      </c>
      <c r="Y2560">
        <v>0</v>
      </c>
      <c r="Z2560" s="1">
        <v>1E+100</v>
      </c>
      <c r="AA2560">
        <v>100</v>
      </c>
    </row>
    <row r="2561" spans="1:27" x14ac:dyDescent="0.2">
      <c r="A2561">
        <v>40</v>
      </c>
      <c r="B2561">
        <v>3</v>
      </c>
      <c r="C2561">
        <v>0.4</v>
      </c>
      <c r="D2561">
        <v>20</v>
      </c>
      <c r="E2561">
        <v>8.2099238661903801E-2</v>
      </c>
      <c r="F2561">
        <v>3</v>
      </c>
      <c r="G2561">
        <v>30.729108908000001</v>
      </c>
      <c r="H2561">
        <v>0.102405381772568</v>
      </c>
      <c r="I2561">
        <v>3</v>
      </c>
      <c r="J2561">
        <v>0.98117699300000005</v>
      </c>
      <c r="P2561"/>
      <c r="V2561">
        <v>7.6492492232312304E-2</v>
      </c>
      <c r="W2561">
        <v>3</v>
      </c>
      <c r="X2561">
        <v>75242.811449266999</v>
      </c>
      <c r="Y2561">
        <v>0</v>
      </c>
      <c r="Z2561" s="1">
        <v>1E+100</v>
      </c>
      <c r="AA2561">
        <v>100</v>
      </c>
    </row>
    <row r="2562" spans="1:27" x14ac:dyDescent="0.2">
      <c r="A2562">
        <v>40</v>
      </c>
      <c r="B2562">
        <v>3</v>
      </c>
      <c r="C2562">
        <v>0.1</v>
      </c>
      <c r="D2562">
        <v>20</v>
      </c>
      <c r="E2562">
        <v>0.93103412899715698</v>
      </c>
      <c r="F2562">
        <v>3</v>
      </c>
      <c r="G2562">
        <v>29.808903132000001</v>
      </c>
      <c r="H2562">
        <v>0.94897535459292204</v>
      </c>
      <c r="I2562">
        <v>3</v>
      </c>
      <c r="J2562">
        <v>2.9191591080000001</v>
      </c>
      <c r="P2562"/>
      <c r="V2562">
        <v>0.95411058616750799</v>
      </c>
      <c r="W2562">
        <v>3</v>
      </c>
      <c r="X2562">
        <v>75248.166643835997</v>
      </c>
      <c r="Y2562">
        <v>0</v>
      </c>
      <c r="Z2562" s="1">
        <v>1E+100</v>
      </c>
      <c r="AA2562">
        <v>100</v>
      </c>
    </row>
    <row r="2563" spans="1:27" x14ac:dyDescent="0.2">
      <c r="A2563">
        <v>40</v>
      </c>
      <c r="B2563">
        <v>3</v>
      </c>
      <c r="C2563">
        <v>0.3</v>
      </c>
      <c r="D2563">
        <v>20</v>
      </c>
      <c r="E2563">
        <v>0.26051702311522001</v>
      </c>
      <c r="F2563">
        <v>3</v>
      </c>
      <c r="G2563">
        <v>29.580106623999999</v>
      </c>
      <c r="H2563">
        <v>0.16269040326600701</v>
      </c>
      <c r="I2563">
        <v>3</v>
      </c>
      <c r="J2563">
        <v>0.97099221899999999</v>
      </c>
      <c r="P2563"/>
      <c r="V2563">
        <v>0.14573972300351501</v>
      </c>
      <c r="W2563">
        <v>3</v>
      </c>
      <c r="X2563">
        <v>75250.972502894001</v>
      </c>
      <c r="Y2563">
        <v>0</v>
      </c>
      <c r="Z2563" s="1">
        <v>1E+100</v>
      </c>
      <c r="AA2563">
        <v>100</v>
      </c>
    </row>
    <row r="2564" spans="1:27" x14ac:dyDescent="0.2">
      <c r="A2564">
        <v>40</v>
      </c>
      <c r="B2564">
        <v>3</v>
      </c>
      <c r="C2564">
        <v>0.3</v>
      </c>
      <c r="D2564">
        <v>20</v>
      </c>
      <c r="E2564">
        <v>0.14826998634799299</v>
      </c>
      <c r="F2564">
        <v>3</v>
      </c>
      <c r="G2564">
        <v>30.498348526000001</v>
      </c>
      <c r="H2564">
        <v>0.11846106309461001</v>
      </c>
      <c r="I2564">
        <v>3</v>
      </c>
      <c r="J2564">
        <v>0.76246382599999996</v>
      </c>
      <c r="P2564"/>
      <c r="V2564">
        <v>9.9270301350366505E-2</v>
      </c>
      <c r="W2564">
        <v>3</v>
      </c>
      <c r="X2564">
        <v>75253.559717434997</v>
      </c>
      <c r="Y2564">
        <v>0</v>
      </c>
      <c r="Z2564" s="1">
        <v>1E+100</v>
      </c>
      <c r="AA2564">
        <v>100</v>
      </c>
    </row>
    <row r="2565" spans="1:27" x14ac:dyDescent="0.2">
      <c r="A2565">
        <v>40</v>
      </c>
      <c r="B2565">
        <v>3</v>
      </c>
      <c r="C2565">
        <v>0.2</v>
      </c>
      <c r="D2565">
        <v>20</v>
      </c>
      <c r="E2565">
        <v>0.37354615623294601</v>
      </c>
      <c r="F2565">
        <v>3</v>
      </c>
      <c r="G2565">
        <v>30.81685624</v>
      </c>
      <c r="H2565">
        <v>0.28401105815230998</v>
      </c>
      <c r="I2565">
        <v>3</v>
      </c>
      <c r="J2565">
        <v>2.3432679809999999</v>
      </c>
      <c r="P2565"/>
      <c r="V2565">
        <v>0.27097004208769698</v>
      </c>
      <c r="W2565">
        <v>3</v>
      </c>
      <c r="X2565">
        <v>75258.197274639999</v>
      </c>
      <c r="Y2565">
        <v>0</v>
      </c>
      <c r="Z2565" s="1">
        <v>1E+100</v>
      </c>
      <c r="AA2565">
        <v>100</v>
      </c>
    </row>
    <row r="2566" spans="1:27" x14ac:dyDescent="0.2">
      <c r="A2566">
        <v>40</v>
      </c>
      <c r="B2566">
        <v>3</v>
      </c>
      <c r="C2566">
        <v>0.4</v>
      </c>
      <c r="D2566">
        <v>20</v>
      </c>
      <c r="E2566">
        <v>9.3701707573371207E-2</v>
      </c>
      <c r="F2566">
        <v>3</v>
      </c>
      <c r="G2566">
        <v>30.660736713999999</v>
      </c>
      <c r="H2566">
        <v>9.2475424861917399E-2</v>
      </c>
      <c r="I2566">
        <v>3</v>
      </c>
      <c r="J2566">
        <v>0.62016705299999997</v>
      </c>
      <c r="P2566"/>
      <c r="V2566">
        <v>7.2461314846388306E-2</v>
      </c>
      <c r="W2566">
        <v>3</v>
      </c>
      <c r="X2566">
        <v>75260.072224250995</v>
      </c>
      <c r="Y2566">
        <v>0</v>
      </c>
      <c r="Z2566" s="1">
        <v>1E+100</v>
      </c>
      <c r="AA2566">
        <v>100</v>
      </c>
    </row>
    <row r="2567" spans="1:27" x14ac:dyDescent="0.2">
      <c r="A2567">
        <v>40</v>
      </c>
      <c r="B2567">
        <v>3</v>
      </c>
      <c r="C2567">
        <v>0.3</v>
      </c>
      <c r="D2567">
        <v>20</v>
      </c>
      <c r="E2567">
        <v>0.17819479472413499</v>
      </c>
      <c r="F2567">
        <v>3</v>
      </c>
      <c r="G2567">
        <v>32.270847201000002</v>
      </c>
      <c r="H2567">
        <v>0.125983926234113</v>
      </c>
      <c r="I2567">
        <v>3</v>
      </c>
      <c r="J2567">
        <v>1.080973105</v>
      </c>
      <c r="P2567"/>
      <c r="V2567">
        <v>0.10895878060681</v>
      </c>
      <c r="W2567">
        <v>3</v>
      </c>
      <c r="X2567">
        <v>75260.626148846</v>
      </c>
      <c r="Y2567">
        <v>0</v>
      </c>
      <c r="Z2567" s="1">
        <v>1E+100</v>
      </c>
      <c r="AA2567">
        <v>100</v>
      </c>
    </row>
    <row r="2568" spans="1:27" x14ac:dyDescent="0.2">
      <c r="A2568">
        <v>40</v>
      </c>
      <c r="B2568">
        <v>3</v>
      </c>
      <c r="C2568">
        <v>0.1</v>
      </c>
      <c r="D2568">
        <v>20</v>
      </c>
      <c r="E2568">
        <v>1.0347261481902601</v>
      </c>
      <c r="F2568">
        <v>3</v>
      </c>
      <c r="G2568">
        <v>31.133650794000001</v>
      </c>
      <c r="H2568">
        <v>1.02531021437745</v>
      </c>
      <c r="I2568">
        <v>3</v>
      </c>
      <c r="J2568">
        <v>2.9050710130000001</v>
      </c>
      <c r="P2568"/>
      <c r="V2568">
        <v>1.0329613476798301</v>
      </c>
      <c r="W2568">
        <v>3</v>
      </c>
      <c r="X2568">
        <v>75260.268564440994</v>
      </c>
      <c r="Y2568">
        <v>0</v>
      </c>
      <c r="Z2568" s="1">
        <v>1E+100</v>
      </c>
      <c r="AA2568">
        <v>100</v>
      </c>
    </row>
    <row r="2569" spans="1:27" x14ac:dyDescent="0.2">
      <c r="A2569">
        <v>40</v>
      </c>
      <c r="B2569">
        <v>3</v>
      </c>
      <c r="C2569">
        <v>0.3</v>
      </c>
      <c r="D2569">
        <v>20</v>
      </c>
      <c r="E2569">
        <v>0.18092459459940799</v>
      </c>
      <c r="F2569">
        <v>3</v>
      </c>
      <c r="G2569">
        <v>30.508643323000001</v>
      </c>
      <c r="H2569">
        <v>0.158732301039468</v>
      </c>
      <c r="I2569">
        <v>3</v>
      </c>
      <c r="J2569">
        <v>0.66504992799999996</v>
      </c>
      <c r="P2569"/>
      <c r="V2569">
        <v>0.12766206559833801</v>
      </c>
      <c r="W2569">
        <v>3</v>
      </c>
      <c r="X2569">
        <v>75267.086036175999</v>
      </c>
      <c r="Y2569">
        <v>0</v>
      </c>
      <c r="Z2569" s="1">
        <v>1E+100</v>
      </c>
      <c r="AA2569">
        <v>100</v>
      </c>
    </row>
    <row r="2570" spans="1:27" x14ac:dyDescent="0.2">
      <c r="A2570">
        <v>40</v>
      </c>
      <c r="B2570">
        <v>3</v>
      </c>
      <c r="C2570">
        <v>0.3</v>
      </c>
      <c r="D2570">
        <v>20</v>
      </c>
      <c r="E2570">
        <v>0.17753560544665301</v>
      </c>
      <c r="F2570">
        <v>3</v>
      </c>
      <c r="G2570">
        <v>32.699387934999997</v>
      </c>
      <c r="H2570">
        <v>0.13607021893299501</v>
      </c>
      <c r="I2570">
        <v>3</v>
      </c>
      <c r="J2570">
        <v>1.016487994</v>
      </c>
      <c r="P2570"/>
      <c r="V2570">
        <v>0.11154617658003201</v>
      </c>
      <c r="W2570">
        <v>3</v>
      </c>
      <c r="X2570">
        <v>75263.784554188998</v>
      </c>
      <c r="Y2570">
        <v>0</v>
      </c>
      <c r="Z2570" s="1">
        <v>1E+100</v>
      </c>
      <c r="AA2570">
        <v>100</v>
      </c>
    </row>
    <row r="2571" spans="1:27" x14ac:dyDescent="0.2">
      <c r="A2571">
        <v>40</v>
      </c>
      <c r="B2571">
        <v>3</v>
      </c>
      <c r="C2571">
        <v>0.2</v>
      </c>
      <c r="D2571">
        <v>20</v>
      </c>
      <c r="E2571">
        <v>0.43048383333410001</v>
      </c>
      <c r="F2571">
        <v>3</v>
      </c>
      <c r="G2571">
        <v>32.076170060000003</v>
      </c>
      <c r="H2571">
        <v>0.28774486497784502</v>
      </c>
      <c r="I2571">
        <v>3</v>
      </c>
      <c r="J2571">
        <v>2.5836107849999999</v>
      </c>
      <c r="P2571"/>
      <c r="V2571">
        <v>0.26773381951123498</v>
      </c>
      <c r="W2571">
        <v>3</v>
      </c>
      <c r="X2571">
        <v>75260.062086901002</v>
      </c>
      <c r="Y2571">
        <v>0</v>
      </c>
      <c r="Z2571" s="1">
        <v>1E+100</v>
      </c>
      <c r="AA2571">
        <v>100</v>
      </c>
    </row>
    <row r="2572" spans="1:27" x14ac:dyDescent="0.2">
      <c r="A2572">
        <v>40</v>
      </c>
      <c r="B2572">
        <v>3</v>
      </c>
      <c r="C2572">
        <v>0.4</v>
      </c>
      <c r="D2572">
        <v>20</v>
      </c>
      <c r="E2572">
        <v>0.105132350839165</v>
      </c>
      <c r="F2572">
        <v>3</v>
      </c>
      <c r="G2572">
        <v>34.521076727000001</v>
      </c>
      <c r="H2572">
        <v>0.103236945194359</v>
      </c>
      <c r="I2572">
        <v>3</v>
      </c>
      <c r="J2572">
        <v>0.93945767499999999</v>
      </c>
      <c r="P2572"/>
      <c r="V2572">
        <v>7.8804994686779706E-2</v>
      </c>
      <c r="W2572">
        <v>3</v>
      </c>
      <c r="X2572">
        <v>75264.866100949002</v>
      </c>
      <c r="Y2572">
        <v>0</v>
      </c>
      <c r="Z2572" s="1">
        <v>1E+100</v>
      </c>
      <c r="AA2572">
        <v>100</v>
      </c>
    </row>
    <row r="2573" spans="1:27" x14ac:dyDescent="0.2">
      <c r="A2573">
        <v>40</v>
      </c>
      <c r="B2573">
        <v>3</v>
      </c>
      <c r="C2573">
        <v>0.3</v>
      </c>
      <c r="D2573">
        <v>20</v>
      </c>
      <c r="E2573">
        <v>0.16180321402881401</v>
      </c>
      <c r="F2573">
        <v>3</v>
      </c>
      <c r="G2573">
        <v>33.305964394</v>
      </c>
      <c r="H2573">
        <v>0.12871489986801801</v>
      </c>
      <c r="I2573">
        <v>3</v>
      </c>
      <c r="J2573">
        <v>0.79687027399999999</v>
      </c>
      <c r="P2573"/>
      <c r="V2573">
        <v>0.102915583165213</v>
      </c>
      <c r="W2573">
        <v>3</v>
      </c>
      <c r="X2573">
        <v>75266.157938275006</v>
      </c>
      <c r="Y2573">
        <v>0</v>
      </c>
      <c r="Z2573" s="1">
        <v>1E+100</v>
      </c>
      <c r="AA2573">
        <v>100</v>
      </c>
    </row>
    <row r="2574" spans="1:27" x14ac:dyDescent="0.2">
      <c r="A2574">
        <v>40</v>
      </c>
      <c r="B2574">
        <v>3</v>
      </c>
      <c r="C2574">
        <v>0.2</v>
      </c>
      <c r="D2574">
        <v>20</v>
      </c>
      <c r="E2574">
        <v>0.47970540325111399</v>
      </c>
      <c r="F2574">
        <v>3</v>
      </c>
      <c r="G2574">
        <v>34.474294282999999</v>
      </c>
      <c r="H2574">
        <v>0.40545237345766699</v>
      </c>
      <c r="I2574">
        <v>3</v>
      </c>
      <c r="J2574">
        <v>2.2632727699999999</v>
      </c>
      <c r="P2574"/>
      <c r="V2574">
        <v>0.39738780239356603</v>
      </c>
      <c r="W2574">
        <v>3</v>
      </c>
      <c r="X2574">
        <v>75267.683593032998</v>
      </c>
      <c r="Y2574">
        <v>0</v>
      </c>
      <c r="Z2574" s="1">
        <v>1E+100</v>
      </c>
      <c r="AA2574">
        <v>100</v>
      </c>
    </row>
    <row r="2575" spans="1:27" x14ac:dyDescent="0.2">
      <c r="A2575">
        <v>40</v>
      </c>
      <c r="B2575">
        <v>3</v>
      </c>
      <c r="C2575">
        <v>0.1</v>
      </c>
      <c r="D2575">
        <v>20</v>
      </c>
      <c r="E2575">
        <v>1.0046111527138899</v>
      </c>
      <c r="F2575">
        <v>3</v>
      </c>
      <c r="G2575">
        <v>33.875998248000002</v>
      </c>
      <c r="H2575">
        <v>0.992517329150582</v>
      </c>
      <c r="I2575">
        <v>3</v>
      </c>
      <c r="J2575">
        <v>3.0546857890000001</v>
      </c>
      <c r="P2575"/>
      <c r="V2575">
        <v>0.99756549317570598</v>
      </c>
      <c r="W2575">
        <v>3</v>
      </c>
      <c r="X2575">
        <v>75274.407391973</v>
      </c>
      <c r="Y2575">
        <v>0</v>
      </c>
      <c r="Z2575" s="1">
        <v>1E+100</v>
      </c>
      <c r="AA2575">
        <v>100</v>
      </c>
    </row>
    <row r="2576" spans="1:27" x14ac:dyDescent="0.2">
      <c r="A2576">
        <v>40</v>
      </c>
      <c r="B2576">
        <v>3</v>
      </c>
      <c r="C2576">
        <v>0.3</v>
      </c>
      <c r="D2576">
        <v>20</v>
      </c>
      <c r="E2576">
        <v>0.16707391871064001</v>
      </c>
      <c r="F2576">
        <v>3</v>
      </c>
      <c r="G2576">
        <v>34.579003102000001</v>
      </c>
      <c r="H2576">
        <v>0.147187680907228</v>
      </c>
      <c r="I2576">
        <v>3</v>
      </c>
      <c r="J2576">
        <v>0.95009750299999995</v>
      </c>
      <c r="P2576"/>
      <c r="V2576">
        <v>0.123103369695342</v>
      </c>
      <c r="W2576">
        <v>3</v>
      </c>
      <c r="X2576">
        <v>75280.365835007993</v>
      </c>
      <c r="Y2576">
        <v>0</v>
      </c>
      <c r="Z2576" s="1">
        <v>1E+100</v>
      </c>
      <c r="AA2576">
        <v>100</v>
      </c>
    </row>
    <row r="2577" spans="1:27" x14ac:dyDescent="0.2">
      <c r="A2577">
        <v>40</v>
      </c>
      <c r="B2577">
        <v>3</v>
      </c>
      <c r="C2577">
        <v>0.2</v>
      </c>
      <c r="D2577">
        <v>20</v>
      </c>
      <c r="E2577">
        <v>0.46109877484650402</v>
      </c>
      <c r="F2577">
        <v>3</v>
      </c>
      <c r="G2577">
        <v>22.374131732999999</v>
      </c>
      <c r="H2577">
        <v>0.31357363362622698</v>
      </c>
      <c r="I2577">
        <v>3</v>
      </c>
      <c r="J2577">
        <v>1.171284486</v>
      </c>
      <c r="P2577"/>
      <c r="V2577">
        <v>0.29605571819579501</v>
      </c>
      <c r="W2577">
        <v>3</v>
      </c>
      <c r="X2577">
        <v>75179.583870035</v>
      </c>
      <c r="Y2577">
        <v>0</v>
      </c>
      <c r="Z2577" s="1">
        <v>1E+100</v>
      </c>
      <c r="AA2577">
        <v>100</v>
      </c>
    </row>
    <row r="2578" spans="1:27" x14ac:dyDescent="0.2">
      <c r="A2578">
        <v>40</v>
      </c>
      <c r="B2578">
        <v>3</v>
      </c>
      <c r="C2578">
        <v>0.3</v>
      </c>
      <c r="D2578">
        <v>20</v>
      </c>
      <c r="E2578">
        <v>0.214844433426887</v>
      </c>
      <c r="F2578">
        <v>3</v>
      </c>
      <c r="G2578">
        <v>23.360781887000002</v>
      </c>
      <c r="H2578">
        <v>0.17349758919095901</v>
      </c>
      <c r="I2578">
        <v>3</v>
      </c>
      <c r="J2578">
        <v>0.81699301800000002</v>
      </c>
      <c r="P2578"/>
      <c r="V2578">
        <v>0.14678080213460401</v>
      </c>
      <c r="W2578">
        <v>3</v>
      </c>
      <c r="X2578">
        <v>75197.303034230004</v>
      </c>
      <c r="Y2578">
        <v>0</v>
      </c>
      <c r="Z2578" s="1">
        <v>1E+100</v>
      </c>
      <c r="AA2578">
        <v>100</v>
      </c>
    </row>
    <row r="2579" spans="1:27" x14ac:dyDescent="0.2">
      <c r="A2579">
        <v>40</v>
      </c>
      <c r="B2579">
        <v>3</v>
      </c>
      <c r="C2579">
        <v>0.2</v>
      </c>
      <c r="D2579">
        <v>20</v>
      </c>
      <c r="E2579">
        <v>0.38920448424654402</v>
      </c>
      <c r="F2579">
        <v>3</v>
      </c>
      <c r="G2579">
        <v>33.472391377999998</v>
      </c>
      <c r="H2579">
        <v>0.26247046936653801</v>
      </c>
      <c r="I2579">
        <v>3</v>
      </c>
      <c r="J2579">
        <v>1.560370523</v>
      </c>
      <c r="P2579"/>
      <c r="V2579">
        <v>0.24516400343783801</v>
      </c>
      <c r="W2579">
        <v>3</v>
      </c>
      <c r="X2579">
        <v>75251.166421660993</v>
      </c>
      <c r="Y2579">
        <v>0</v>
      </c>
      <c r="Z2579" s="1">
        <v>1E+100</v>
      </c>
      <c r="AA2579">
        <v>100</v>
      </c>
    </row>
    <row r="2580" spans="1:27" x14ac:dyDescent="0.2">
      <c r="A2580">
        <v>40</v>
      </c>
      <c r="B2580">
        <v>3</v>
      </c>
      <c r="C2580">
        <v>0.3</v>
      </c>
      <c r="D2580">
        <v>20</v>
      </c>
      <c r="E2580">
        <v>0.22545455154605501</v>
      </c>
      <c r="F2580">
        <v>3</v>
      </c>
      <c r="G2580">
        <v>34.629006824999998</v>
      </c>
      <c r="H2580">
        <v>0.18545379412706001</v>
      </c>
      <c r="I2580">
        <v>3</v>
      </c>
      <c r="J2580">
        <v>0.93714652399999998</v>
      </c>
      <c r="P2580"/>
      <c r="V2580">
        <v>0.15765016410397301</v>
      </c>
      <c r="W2580">
        <v>3</v>
      </c>
      <c r="X2580">
        <v>75270.158873720007</v>
      </c>
      <c r="Y2580">
        <v>0</v>
      </c>
      <c r="Z2580" s="1">
        <v>1E+100</v>
      </c>
      <c r="AA2580">
        <v>100</v>
      </c>
    </row>
    <row r="2581" spans="1:27" x14ac:dyDescent="0.2">
      <c r="A2581">
        <v>40</v>
      </c>
      <c r="B2581">
        <v>3</v>
      </c>
      <c r="C2581">
        <v>0.4</v>
      </c>
      <c r="D2581">
        <v>20</v>
      </c>
      <c r="E2581">
        <v>0.146373675085642</v>
      </c>
      <c r="F2581">
        <v>3</v>
      </c>
      <c r="G2581">
        <v>32.898704709999997</v>
      </c>
      <c r="H2581">
        <v>0.15445951141226399</v>
      </c>
      <c r="I2581">
        <v>3</v>
      </c>
      <c r="J2581">
        <v>0.65176795799999998</v>
      </c>
      <c r="P2581"/>
      <c r="V2581">
        <v>0.121571094221712</v>
      </c>
      <c r="W2581">
        <v>3</v>
      </c>
      <c r="X2581">
        <v>75280.962307415</v>
      </c>
      <c r="Y2581">
        <v>0</v>
      </c>
      <c r="Z2581" s="1">
        <v>1E+100</v>
      </c>
      <c r="AA2581">
        <v>100</v>
      </c>
    </row>
    <row r="2582" spans="1:27" x14ac:dyDescent="0.2">
      <c r="A2582">
        <v>40</v>
      </c>
      <c r="B2582">
        <v>3</v>
      </c>
      <c r="C2582">
        <v>0.1</v>
      </c>
      <c r="D2582">
        <v>20</v>
      </c>
      <c r="E2582">
        <v>0.92559007782051494</v>
      </c>
      <c r="F2582">
        <v>3</v>
      </c>
      <c r="G2582">
        <v>33.084479766000001</v>
      </c>
      <c r="H2582">
        <v>0.94286411496866596</v>
      </c>
      <c r="I2582">
        <v>3</v>
      </c>
      <c r="J2582">
        <v>3.185830508</v>
      </c>
      <c r="P2582"/>
      <c r="V2582">
        <v>0.94815560509940799</v>
      </c>
      <c r="W2582">
        <v>3</v>
      </c>
      <c r="X2582">
        <v>75592.016824338003</v>
      </c>
      <c r="Y2582">
        <v>3459</v>
      </c>
      <c r="Z2582">
        <v>1.40799772650098</v>
      </c>
      <c r="AA2582">
        <v>100</v>
      </c>
    </row>
    <row r="2583" spans="1:27" x14ac:dyDescent="0.2">
      <c r="A2583">
        <v>40</v>
      </c>
      <c r="B2583">
        <v>3</v>
      </c>
      <c r="C2583">
        <v>0.4</v>
      </c>
      <c r="D2583">
        <v>20</v>
      </c>
      <c r="E2583">
        <v>7.2458558676324794E-2</v>
      </c>
      <c r="F2583">
        <v>3</v>
      </c>
      <c r="G2583">
        <v>30.959207435</v>
      </c>
      <c r="H2583">
        <v>9.4415983504391093E-2</v>
      </c>
      <c r="I2583">
        <v>3</v>
      </c>
      <c r="J2583">
        <v>0.67315281000000005</v>
      </c>
      <c r="P2583"/>
      <c r="V2583">
        <v>6.8778226685484306E-2</v>
      </c>
      <c r="W2583">
        <v>3</v>
      </c>
      <c r="X2583">
        <v>75239.813211285</v>
      </c>
      <c r="Y2583">
        <v>0</v>
      </c>
      <c r="Z2583" s="1">
        <v>1E+100</v>
      </c>
      <c r="AA2583">
        <v>100</v>
      </c>
    </row>
    <row r="2584" spans="1:27" x14ac:dyDescent="0.2">
      <c r="A2584">
        <v>40</v>
      </c>
      <c r="B2584">
        <v>3</v>
      </c>
      <c r="C2584">
        <v>0.1</v>
      </c>
      <c r="D2584">
        <v>20</v>
      </c>
      <c r="E2584">
        <v>0.98222381961092198</v>
      </c>
      <c r="F2584">
        <v>3</v>
      </c>
      <c r="G2584">
        <v>23.760093685000001</v>
      </c>
      <c r="H2584">
        <v>0.97580428873612401</v>
      </c>
      <c r="I2584">
        <v>3</v>
      </c>
      <c r="J2584">
        <v>2.2118913469999999</v>
      </c>
      <c r="P2584"/>
      <c r="V2584">
        <v>0.98208288219579398</v>
      </c>
      <c r="W2584">
        <v>3</v>
      </c>
      <c r="X2584">
        <v>75526.243763765</v>
      </c>
      <c r="Y2584">
        <v>10425</v>
      </c>
      <c r="Z2584">
        <v>1.4677223819598999</v>
      </c>
      <c r="AA2584">
        <v>100</v>
      </c>
    </row>
    <row r="2585" spans="1:27" x14ac:dyDescent="0.2">
      <c r="A2585">
        <v>40</v>
      </c>
      <c r="B2585">
        <v>3</v>
      </c>
      <c r="C2585">
        <v>0.2</v>
      </c>
      <c r="D2585">
        <v>20</v>
      </c>
      <c r="E2585">
        <v>0.43141029086760402</v>
      </c>
      <c r="F2585">
        <v>3</v>
      </c>
      <c r="G2585">
        <v>30.456317129999999</v>
      </c>
      <c r="H2585">
        <v>0.32336986769508302</v>
      </c>
      <c r="I2585">
        <v>3</v>
      </c>
      <c r="J2585">
        <v>1.551975898</v>
      </c>
      <c r="P2585"/>
      <c r="V2585">
        <v>0.30841620034401901</v>
      </c>
      <c r="W2585">
        <v>3</v>
      </c>
      <c r="X2585">
        <v>75263.259185443996</v>
      </c>
      <c r="Y2585">
        <v>0</v>
      </c>
      <c r="Z2585" s="1">
        <v>1E+100</v>
      </c>
      <c r="AA2585">
        <v>100</v>
      </c>
    </row>
    <row r="2586" spans="1:27" x14ac:dyDescent="0.2">
      <c r="A2586">
        <v>40</v>
      </c>
      <c r="B2586">
        <v>3</v>
      </c>
      <c r="C2586">
        <v>0.3</v>
      </c>
      <c r="D2586">
        <v>20</v>
      </c>
      <c r="E2586">
        <v>0.190559119153313</v>
      </c>
      <c r="F2586">
        <v>3</v>
      </c>
      <c r="G2586">
        <v>33.006616999000002</v>
      </c>
      <c r="H2586">
        <v>0.156735935394894</v>
      </c>
      <c r="I2586">
        <v>3</v>
      </c>
      <c r="J2586">
        <v>1.090884304</v>
      </c>
      <c r="P2586"/>
      <c r="V2586">
        <v>0.13602438363071501</v>
      </c>
      <c r="W2586">
        <v>3</v>
      </c>
      <c r="X2586">
        <v>75286.395739169995</v>
      </c>
      <c r="Y2586">
        <v>0</v>
      </c>
      <c r="Z2586" s="1">
        <v>1E+100</v>
      </c>
      <c r="AA2586">
        <v>100</v>
      </c>
    </row>
    <row r="2587" spans="1:27" x14ac:dyDescent="0.2">
      <c r="A2587">
        <v>40</v>
      </c>
      <c r="B2587">
        <v>3</v>
      </c>
      <c r="C2587">
        <v>0.1</v>
      </c>
      <c r="D2587">
        <v>20</v>
      </c>
      <c r="E2587">
        <v>0.95760839229387695</v>
      </c>
      <c r="F2587">
        <v>3</v>
      </c>
      <c r="G2587">
        <v>30.267210873</v>
      </c>
      <c r="H2587">
        <v>0.97217369288689504</v>
      </c>
      <c r="I2587">
        <v>3</v>
      </c>
      <c r="J2587">
        <v>2.8580818259999998</v>
      </c>
      <c r="P2587"/>
      <c r="V2587">
        <v>0.97977627063593098</v>
      </c>
      <c r="W2587">
        <v>3</v>
      </c>
      <c r="X2587">
        <v>75607.340349167003</v>
      </c>
      <c r="Y2587">
        <v>4748</v>
      </c>
      <c r="Z2587">
        <v>2.5509513486431299</v>
      </c>
      <c r="AA2587">
        <v>100</v>
      </c>
    </row>
    <row r="2588" spans="1:27" x14ac:dyDescent="0.2">
      <c r="A2588">
        <v>40</v>
      </c>
      <c r="B2588">
        <v>3</v>
      </c>
      <c r="C2588">
        <v>0.1</v>
      </c>
      <c r="D2588">
        <v>20</v>
      </c>
      <c r="E2588">
        <v>0.94481760265324399</v>
      </c>
      <c r="F2588">
        <v>3</v>
      </c>
      <c r="G2588">
        <v>30.565540368000001</v>
      </c>
      <c r="H2588">
        <v>0.95039145028915095</v>
      </c>
      <c r="I2588">
        <v>3</v>
      </c>
      <c r="J2588">
        <v>3.2315057340000002</v>
      </c>
      <c r="P2588"/>
      <c r="V2588">
        <v>0.95642693165024695</v>
      </c>
      <c r="W2588">
        <v>3</v>
      </c>
      <c r="X2588">
        <v>75771.851325811993</v>
      </c>
      <c r="Y2588">
        <v>12730</v>
      </c>
      <c r="Z2588">
        <v>2.1626265855696101</v>
      </c>
      <c r="AA2588">
        <v>100</v>
      </c>
    </row>
    <row r="2589" spans="1:27" x14ac:dyDescent="0.2">
      <c r="A2589">
        <v>40</v>
      </c>
      <c r="B2589">
        <v>3</v>
      </c>
      <c r="C2589">
        <v>0.4</v>
      </c>
      <c r="D2589">
        <v>20</v>
      </c>
      <c r="E2589">
        <v>5.9881042399260703E-2</v>
      </c>
      <c r="F2589">
        <v>3</v>
      </c>
      <c r="G2589">
        <v>32.886275816000001</v>
      </c>
      <c r="H2589">
        <v>6.9688908768791302E-2</v>
      </c>
      <c r="I2589">
        <v>3</v>
      </c>
      <c r="J2589">
        <v>0.65023713500000002</v>
      </c>
      <c r="P2589"/>
      <c r="V2589">
        <v>5.00740274914903E-2</v>
      </c>
      <c r="W2589">
        <v>3</v>
      </c>
      <c r="X2589">
        <v>75276.001442676003</v>
      </c>
      <c r="Y2589">
        <v>0</v>
      </c>
      <c r="Z2589" s="1">
        <v>1E+100</v>
      </c>
      <c r="AA2589">
        <v>100</v>
      </c>
    </row>
    <row r="2590" spans="1:27" x14ac:dyDescent="0.2">
      <c r="A2590">
        <v>40</v>
      </c>
      <c r="B2590">
        <v>3</v>
      </c>
      <c r="C2590">
        <v>0.1</v>
      </c>
      <c r="D2590">
        <v>20</v>
      </c>
      <c r="E2590">
        <v>1.06415341403416</v>
      </c>
      <c r="F2590">
        <v>3</v>
      </c>
      <c r="G2590">
        <v>35.649170501999997</v>
      </c>
      <c r="H2590">
        <v>0.98623621396528705</v>
      </c>
      <c r="I2590">
        <v>3</v>
      </c>
      <c r="J2590">
        <v>3.2980857860000001</v>
      </c>
      <c r="P2590"/>
      <c r="V2590">
        <v>0.99193060536968203</v>
      </c>
      <c r="W2590">
        <v>3</v>
      </c>
      <c r="X2590">
        <v>75709.897266850006</v>
      </c>
      <c r="Y2590">
        <v>3647</v>
      </c>
      <c r="Z2590">
        <v>2.40921201535093</v>
      </c>
      <c r="AA2590">
        <v>100</v>
      </c>
    </row>
    <row r="2591" spans="1:27" x14ac:dyDescent="0.2">
      <c r="A2591">
        <v>40</v>
      </c>
      <c r="B2591">
        <v>3</v>
      </c>
      <c r="C2591">
        <v>0.1</v>
      </c>
      <c r="D2591">
        <v>20</v>
      </c>
      <c r="E2591">
        <v>0.88432273739854195</v>
      </c>
      <c r="F2591">
        <v>3</v>
      </c>
      <c r="G2591">
        <v>30.213545183000001</v>
      </c>
      <c r="H2591">
        <v>0.946375124253241</v>
      </c>
      <c r="I2591">
        <v>3</v>
      </c>
      <c r="J2591">
        <v>2.4476808920000002</v>
      </c>
      <c r="P2591"/>
      <c r="V2591">
        <v>0.95262499081614505</v>
      </c>
      <c r="W2591">
        <v>3</v>
      </c>
      <c r="X2591">
        <v>76109.647951492007</v>
      </c>
      <c r="Y2591">
        <v>3683</v>
      </c>
      <c r="Z2591">
        <v>2.4485101157006199</v>
      </c>
      <c r="AA2591">
        <v>100</v>
      </c>
    </row>
    <row r="2592" spans="1:27" x14ac:dyDescent="0.2">
      <c r="A2592" s="4">
        <v>30</v>
      </c>
      <c r="B2592" s="4">
        <v>3</v>
      </c>
      <c r="C2592" s="4">
        <v>0.1</v>
      </c>
      <c r="D2592" s="4">
        <v>100</v>
      </c>
      <c r="E2592" s="4">
        <v>1.0396148599999999</v>
      </c>
      <c r="F2592" s="4">
        <v>3</v>
      </c>
      <c r="G2592" s="4">
        <v>33.426834100000001</v>
      </c>
      <c r="H2592" s="4">
        <v>0.94224642000000003</v>
      </c>
      <c r="I2592" s="4">
        <v>3</v>
      </c>
      <c r="J2592" s="4">
        <v>1.78376293</v>
      </c>
      <c r="K2592" s="4"/>
      <c r="L2592" s="4"/>
      <c r="M2592" s="4"/>
      <c r="N2592" s="4"/>
      <c r="O2592" s="4"/>
      <c r="P2592" s="4"/>
      <c r="Q2592" s="4"/>
      <c r="R2592" s="4"/>
      <c r="S2592" s="4"/>
      <c r="T2592" s="4"/>
      <c r="U2592" s="4"/>
      <c r="V2592" s="4">
        <v>0.94319777000000005</v>
      </c>
      <c r="W2592" s="4">
        <v>3</v>
      </c>
      <c r="X2592" s="4">
        <v>75681.703999999998</v>
      </c>
      <c r="Y2592" s="4">
        <v>17979</v>
      </c>
      <c r="Z2592" s="4">
        <v>8.407046E-2</v>
      </c>
      <c r="AA2592" s="4">
        <v>100</v>
      </c>
    </row>
    <row r="2593" spans="1:27" x14ac:dyDescent="0.2">
      <c r="A2593" s="4">
        <v>30</v>
      </c>
      <c r="B2593" s="4">
        <v>3</v>
      </c>
      <c r="C2593" s="4">
        <v>0.2</v>
      </c>
      <c r="D2593" s="4">
        <v>100</v>
      </c>
      <c r="E2593" s="4">
        <v>0.72311015999999995</v>
      </c>
      <c r="F2593" s="4">
        <v>3</v>
      </c>
      <c r="G2593" s="4">
        <v>29.543948400000001</v>
      </c>
      <c r="H2593" s="4">
        <v>0.57953135</v>
      </c>
      <c r="I2593" s="4">
        <v>3</v>
      </c>
      <c r="J2593" s="4">
        <v>1.6464753400000001</v>
      </c>
      <c r="K2593" s="4"/>
      <c r="L2593" s="4"/>
      <c r="M2593" s="4"/>
      <c r="N2593" s="4"/>
      <c r="O2593" s="4"/>
      <c r="P2593" s="4"/>
      <c r="Q2593" s="4"/>
      <c r="R2593" s="4"/>
      <c r="S2593" s="4"/>
      <c r="T2593" s="4"/>
      <c r="U2593" s="4"/>
      <c r="V2593" s="4">
        <v>0.59348084000000001</v>
      </c>
      <c r="W2593" s="4">
        <v>3</v>
      </c>
      <c r="X2593" s="4">
        <v>75825.409899999999</v>
      </c>
      <c r="Y2593" s="4">
        <v>16748</v>
      </c>
      <c r="Z2593" s="4">
        <v>1.1731558600000001</v>
      </c>
      <c r="AA2593" s="4">
        <v>100</v>
      </c>
    </row>
    <row r="2594" spans="1:27" x14ac:dyDescent="0.2">
      <c r="A2594" s="4">
        <v>30</v>
      </c>
      <c r="B2594" s="4">
        <v>3</v>
      </c>
      <c r="C2594" s="4">
        <v>0.4</v>
      </c>
      <c r="D2594" s="4">
        <v>100</v>
      </c>
      <c r="E2594" s="4">
        <v>0.16875461999999999</v>
      </c>
      <c r="F2594" s="4">
        <v>3</v>
      </c>
      <c r="G2594" s="4">
        <v>30.9093503</v>
      </c>
      <c r="H2594" s="4">
        <v>4.9497670000000001E-2</v>
      </c>
      <c r="I2594" s="4">
        <v>3</v>
      </c>
      <c r="J2594" s="4">
        <v>0.63462887000000001</v>
      </c>
      <c r="K2594" s="4"/>
      <c r="L2594" s="4"/>
      <c r="M2594" s="4"/>
      <c r="N2594" s="4"/>
      <c r="O2594" s="4"/>
      <c r="P2594" s="4"/>
      <c r="Q2594" s="4"/>
      <c r="R2594" s="4"/>
      <c r="S2594" s="4"/>
      <c r="T2594" s="4"/>
      <c r="U2594" s="4"/>
      <c r="V2594" s="4">
        <v>4.166715E-2</v>
      </c>
      <c r="W2594" s="4">
        <v>3</v>
      </c>
      <c r="X2594" s="4">
        <v>75704.906000000003</v>
      </c>
      <c r="Y2594" s="4">
        <v>11900</v>
      </c>
      <c r="Z2594" s="4">
        <v>7.6616935000000002</v>
      </c>
      <c r="AA2594" s="4">
        <v>100</v>
      </c>
    </row>
    <row r="2595" spans="1:27" x14ac:dyDescent="0.2">
      <c r="A2595" s="4">
        <v>30</v>
      </c>
      <c r="B2595" s="4">
        <v>3</v>
      </c>
      <c r="C2595" s="4">
        <v>0.1</v>
      </c>
      <c r="D2595" s="4">
        <v>100</v>
      </c>
      <c r="E2595" s="4">
        <v>1.09269266</v>
      </c>
      <c r="F2595" s="4">
        <v>3</v>
      </c>
      <c r="G2595" s="4">
        <v>29.1554693</v>
      </c>
      <c r="H2595" s="4">
        <v>1.06327532</v>
      </c>
      <c r="I2595" s="4">
        <v>3</v>
      </c>
      <c r="J2595" s="4">
        <v>1.5859623599999999</v>
      </c>
      <c r="K2595" s="4"/>
      <c r="L2595" s="4"/>
      <c r="M2595" s="4"/>
      <c r="N2595" s="4"/>
      <c r="O2595" s="4"/>
      <c r="P2595" s="4"/>
      <c r="Q2595" s="4"/>
      <c r="R2595" s="4"/>
      <c r="S2595" s="4"/>
      <c r="T2595" s="4"/>
      <c r="U2595" s="4"/>
      <c r="V2595" s="4">
        <v>1.06415036</v>
      </c>
      <c r="W2595" s="4">
        <v>3</v>
      </c>
      <c r="X2595" s="4">
        <v>75863.765700000004</v>
      </c>
      <c r="Y2595" s="4">
        <v>29880</v>
      </c>
      <c r="Z2595" s="4">
        <v>0.15596952</v>
      </c>
      <c r="AA2595" s="4">
        <v>100</v>
      </c>
    </row>
    <row r="2596" spans="1:27" x14ac:dyDescent="0.2">
      <c r="A2596" s="4">
        <v>30</v>
      </c>
      <c r="B2596" s="4">
        <v>3</v>
      </c>
      <c r="C2596" s="4">
        <v>0.4</v>
      </c>
      <c r="D2596" s="4">
        <v>100</v>
      </c>
      <c r="E2596" s="4">
        <v>0.14016519</v>
      </c>
      <c r="F2596" s="4">
        <v>3</v>
      </c>
      <c r="G2596" s="4">
        <v>29.599408</v>
      </c>
      <c r="H2596" s="4">
        <v>4.0670339999999999E-2</v>
      </c>
      <c r="I2596" s="4">
        <v>3</v>
      </c>
      <c r="J2596" s="4">
        <v>0.62813940000000001</v>
      </c>
      <c r="K2596" s="4"/>
      <c r="L2596" s="4"/>
      <c r="M2596" s="4"/>
      <c r="N2596" s="4"/>
      <c r="O2596" s="4"/>
      <c r="P2596" s="4"/>
      <c r="Q2596" s="4"/>
      <c r="R2596" s="4"/>
      <c r="S2596" s="4"/>
      <c r="T2596" s="4"/>
      <c r="U2596" s="4"/>
      <c r="V2596" s="4">
        <v>3.4062299999999997E-2</v>
      </c>
      <c r="W2596" s="4">
        <v>3</v>
      </c>
      <c r="X2596" s="4">
        <v>75690.336599999995</v>
      </c>
      <c r="Y2596" s="4">
        <v>11206</v>
      </c>
      <c r="Z2596" s="4">
        <v>6.1105672999999996</v>
      </c>
      <c r="AA2596" s="4">
        <v>100</v>
      </c>
    </row>
    <row r="2597" spans="1:27" x14ac:dyDescent="0.2">
      <c r="A2597" s="4">
        <v>30</v>
      </c>
      <c r="B2597" s="4">
        <v>3</v>
      </c>
      <c r="C2597" s="4">
        <v>0.4</v>
      </c>
      <c r="D2597" s="4">
        <v>100</v>
      </c>
      <c r="E2597" s="4">
        <v>9.526693E-2</v>
      </c>
      <c r="F2597" s="4">
        <v>3</v>
      </c>
      <c r="G2597" s="4">
        <v>28.185126499999999</v>
      </c>
      <c r="H2597" s="4">
        <v>2.8050789999999999E-2</v>
      </c>
      <c r="I2597" s="4">
        <v>3</v>
      </c>
      <c r="J2597" s="4">
        <v>0.40583102999999998</v>
      </c>
      <c r="K2597" s="4"/>
      <c r="L2597" s="4"/>
      <c r="M2597" s="4"/>
      <c r="N2597" s="4"/>
      <c r="O2597" s="4"/>
      <c r="P2597" s="4"/>
      <c r="Q2597" s="4"/>
      <c r="R2597" s="4"/>
      <c r="S2597" s="4"/>
      <c r="T2597" s="4"/>
      <c r="U2597" s="4"/>
      <c r="V2597" s="4">
        <v>2.211633E-2</v>
      </c>
      <c r="W2597" s="4">
        <v>3</v>
      </c>
      <c r="X2597" s="4">
        <v>75515.238299999997</v>
      </c>
      <c r="Y2597" s="4">
        <v>44916</v>
      </c>
      <c r="Z2597" s="4">
        <v>5.4089543000000004</v>
      </c>
      <c r="AA2597" s="4">
        <v>100</v>
      </c>
    </row>
    <row r="2598" spans="1:27" x14ac:dyDescent="0.2">
      <c r="A2598" s="4">
        <v>30</v>
      </c>
      <c r="B2598" s="4">
        <v>3</v>
      </c>
      <c r="C2598" s="4">
        <v>0.1</v>
      </c>
      <c r="D2598" s="4">
        <v>100</v>
      </c>
      <c r="E2598" s="4">
        <v>0.99201028000000002</v>
      </c>
      <c r="F2598" s="4">
        <v>3</v>
      </c>
      <c r="G2598" s="4">
        <v>28.324164100000001</v>
      </c>
      <c r="H2598" s="4">
        <v>0.96088649000000004</v>
      </c>
      <c r="I2598" s="4">
        <v>3</v>
      </c>
      <c r="J2598" s="4">
        <v>1.47052709</v>
      </c>
      <c r="K2598" s="4"/>
      <c r="L2598" s="4"/>
      <c r="M2598" s="4"/>
      <c r="N2598" s="4"/>
      <c r="O2598" s="4"/>
      <c r="P2598" s="4"/>
      <c r="Q2598" s="4"/>
      <c r="R2598" s="4"/>
      <c r="S2598" s="4"/>
      <c r="T2598" s="4"/>
      <c r="U2598" s="4"/>
      <c r="V2598" s="4">
        <v>0.96195346000000004</v>
      </c>
      <c r="W2598" s="4">
        <v>3</v>
      </c>
      <c r="X2598" s="4">
        <v>76004.753899999996</v>
      </c>
      <c r="Y2598" s="4">
        <v>19114</v>
      </c>
      <c r="Z2598" s="4">
        <v>6.3854549999999996E-2</v>
      </c>
      <c r="AA2598" s="4">
        <v>100</v>
      </c>
    </row>
    <row r="2599" spans="1:27" x14ac:dyDescent="0.2">
      <c r="A2599" s="4">
        <v>30</v>
      </c>
      <c r="B2599" s="4">
        <v>3</v>
      </c>
      <c r="C2599" s="4">
        <v>0.4</v>
      </c>
      <c r="D2599" s="4">
        <v>100</v>
      </c>
      <c r="E2599" s="4">
        <v>0.13635966999999999</v>
      </c>
      <c r="F2599" s="4">
        <v>3</v>
      </c>
      <c r="G2599" s="4">
        <v>28.690937999999999</v>
      </c>
      <c r="H2599" s="4">
        <v>4.9191550000000001E-2</v>
      </c>
      <c r="I2599" s="4">
        <v>3</v>
      </c>
      <c r="J2599" s="4">
        <v>0.55562765000000003</v>
      </c>
      <c r="K2599" s="4"/>
      <c r="L2599" s="4"/>
      <c r="M2599" s="4"/>
      <c r="N2599" s="4"/>
      <c r="O2599" s="4"/>
      <c r="P2599" s="4"/>
      <c r="Q2599" s="4"/>
      <c r="R2599" s="4"/>
      <c r="S2599" s="4"/>
      <c r="T2599" s="4"/>
      <c r="U2599" s="4"/>
      <c r="V2599" s="4">
        <v>4.0166569999999999E-2</v>
      </c>
      <c r="W2599" s="4">
        <v>3</v>
      </c>
      <c r="X2599" s="4">
        <v>75602.175199999998</v>
      </c>
      <c r="Y2599" s="4">
        <v>12061</v>
      </c>
      <c r="Z2599" s="4">
        <v>3.6496853699999998</v>
      </c>
      <c r="AA2599" s="4">
        <v>100</v>
      </c>
    </row>
    <row r="2600" spans="1:27" x14ac:dyDescent="0.2">
      <c r="A2600" s="4">
        <v>30</v>
      </c>
      <c r="B2600" s="4">
        <v>3</v>
      </c>
      <c r="C2600" s="4">
        <v>0.3</v>
      </c>
      <c r="D2600" s="4">
        <v>100</v>
      </c>
      <c r="E2600" s="4">
        <v>0.29016238999999999</v>
      </c>
      <c r="F2600" s="4">
        <v>3</v>
      </c>
      <c r="G2600" s="4">
        <v>29.866960599999999</v>
      </c>
      <c r="H2600" s="4">
        <v>0.22514227000000001</v>
      </c>
      <c r="I2600" s="4">
        <v>3</v>
      </c>
      <c r="J2600" s="4">
        <v>0.79137776999999998</v>
      </c>
      <c r="K2600" s="4"/>
      <c r="L2600" s="4"/>
      <c r="M2600" s="4"/>
      <c r="N2600" s="4"/>
      <c r="O2600" s="4"/>
      <c r="P2600" s="4"/>
      <c r="Q2600" s="4"/>
      <c r="R2600" s="4"/>
      <c r="S2600" s="4"/>
      <c r="T2600" s="4"/>
      <c r="U2600" s="4"/>
      <c r="V2600" s="4">
        <v>0.22348254000000001</v>
      </c>
      <c r="W2600" s="4">
        <v>3</v>
      </c>
      <c r="X2600" s="4">
        <v>76387.8802</v>
      </c>
      <c r="Y2600" s="4">
        <v>33431</v>
      </c>
      <c r="Z2600" s="4">
        <v>2.9877091199999999</v>
      </c>
      <c r="AA2600" s="4">
        <v>100</v>
      </c>
    </row>
    <row r="2601" spans="1:27" x14ac:dyDescent="0.2">
      <c r="A2601" s="4">
        <v>30</v>
      </c>
      <c r="B2601" s="4">
        <v>3</v>
      </c>
      <c r="C2601" s="4">
        <v>0.3</v>
      </c>
      <c r="D2601" s="4">
        <v>100</v>
      </c>
      <c r="E2601" s="4">
        <v>0.35793145999999998</v>
      </c>
      <c r="F2601" s="4">
        <v>3</v>
      </c>
      <c r="G2601" s="4">
        <v>29.920361700000001</v>
      </c>
      <c r="H2601" s="4">
        <v>8.2357520000000004E-2</v>
      </c>
      <c r="I2601" s="4">
        <v>3</v>
      </c>
      <c r="J2601" s="4">
        <v>1.23934856</v>
      </c>
      <c r="K2601" s="4"/>
      <c r="L2601" s="4"/>
      <c r="M2601" s="4"/>
      <c r="N2601" s="4"/>
      <c r="O2601" s="4"/>
      <c r="P2601" s="4"/>
      <c r="Q2601" s="4"/>
      <c r="R2601" s="4"/>
      <c r="S2601" s="4"/>
      <c r="T2601" s="4"/>
      <c r="U2601" s="4"/>
      <c r="V2601" s="4">
        <v>7.7512010000000006E-2</v>
      </c>
      <c r="W2601" s="4">
        <v>3</v>
      </c>
      <c r="X2601" s="4">
        <v>76000.693899999998</v>
      </c>
      <c r="Y2601" s="4">
        <v>50676</v>
      </c>
      <c r="Z2601" s="4">
        <v>4.0710555199999998</v>
      </c>
      <c r="AA2601" s="4">
        <v>100</v>
      </c>
    </row>
    <row r="2602" spans="1:27" x14ac:dyDescent="0.2">
      <c r="A2602" s="4">
        <v>30</v>
      </c>
      <c r="B2602" s="4">
        <v>3</v>
      </c>
      <c r="C2602" s="4">
        <v>0.4</v>
      </c>
      <c r="D2602" s="4">
        <v>100</v>
      </c>
      <c r="E2602" s="4">
        <v>0.20112258</v>
      </c>
      <c r="F2602" s="4">
        <v>3</v>
      </c>
      <c r="G2602" s="4">
        <v>29.967511300000002</v>
      </c>
      <c r="H2602" s="4">
        <v>4.4347699999999997E-2</v>
      </c>
      <c r="I2602" s="4">
        <v>3</v>
      </c>
      <c r="J2602" s="4">
        <v>0.92321555</v>
      </c>
      <c r="K2602" s="4"/>
      <c r="L2602" s="4"/>
      <c r="M2602" s="4"/>
      <c r="N2602" s="4"/>
      <c r="O2602" s="4"/>
      <c r="P2602" s="4"/>
      <c r="Q2602" s="4"/>
      <c r="R2602" s="4"/>
      <c r="S2602" s="4"/>
      <c r="T2602" s="4"/>
      <c r="U2602" s="4"/>
      <c r="V2602" s="4">
        <v>3.922001E-2</v>
      </c>
      <c r="W2602" s="4">
        <v>3</v>
      </c>
      <c r="X2602" s="4">
        <v>75705.948199999999</v>
      </c>
      <c r="Y2602" s="4">
        <v>28607</v>
      </c>
      <c r="Z2602" s="4">
        <v>4.4863695100000003</v>
      </c>
      <c r="AA2602" s="4">
        <v>100</v>
      </c>
    </row>
    <row r="2603" spans="1:27" x14ac:dyDescent="0.2">
      <c r="A2603" s="4">
        <v>30</v>
      </c>
      <c r="B2603" s="4">
        <v>3</v>
      </c>
      <c r="C2603" s="4">
        <v>0.2</v>
      </c>
      <c r="D2603" s="4">
        <v>100</v>
      </c>
      <c r="E2603" s="4">
        <v>0.61762507</v>
      </c>
      <c r="F2603" s="4">
        <v>3</v>
      </c>
      <c r="G2603" s="4">
        <v>29.059885399999999</v>
      </c>
      <c r="H2603" s="4">
        <v>0.46042996000000003</v>
      </c>
      <c r="I2603" s="4">
        <v>3</v>
      </c>
      <c r="J2603" s="4">
        <v>1.68005757</v>
      </c>
      <c r="K2603" s="4"/>
      <c r="L2603" s="4"/>
      <c r="M2603" s="4"/>
      <c r="N2603" s="4"/>
      <c r="O2603" s="4"/>
      <c r="P2603" s="4"/>
      <c r="Q2603" s="4"/>
      <c r="R2603" s="4"/>
      <c r="S2603" s="4"/>
      <c r="T2603" s="4"/>
      <c r="U2603" s="4"/>
      <c r="V2603" s="4">
        <v>0.46023839999999999</v>
      </c>
      <c r="W2603" s="4">
        <v>3</v>
      </c>
      <c r="X2603" s="4">
        <v>75601.014599999995</v>
      </c>
      <c r="Y2603" s="4">
        <v>14165</v>
      </c>
      <c r="Z2603" s="4">
        <v>1.7087087999999999</v>
      </c>
      <c r="AA2603" s="4">
        <v>100</v>
      </c>
    </row>
    <row r="2604" spans="1:27" x14ac:dyDescent="0.2">
      <c r="A2604" s="4">
        <v>30</v>
      </c>
      <c r="B2604" s="4">
        <v>3</v>
      </c>
      <c r="C2604" s="4">
        <v>0.3</v>
      </c>
      <c r="D2604" s="4">
        <v>100</v>
      </c>
      <c r="E2604" s="4">
        <v>0.48967361999999998</v>
      </c>
      <c r="F2604" s="4">
        <v>3</v>
      </c>
      <c r="G2604" s="4">
        <v>28.426234300000001</v>
      </c>
      <c r="H2604" s="4">
        <v>0.14017210999999999</v>
      </c>
      <c r="I2604" s="4">
        <v>3</v>
      </c>
      <c r="J2604" s="4">
        <v>1.41812088</v>
      </c>
      <c r="K2604" s="4"/>
      <c r="L2604" s="4"/>
      <c r="M2604" s="4"/>
      <c r="N2604" s="4"/>
      <c r="O2604" s="4"/>
      <c r="P2604" s="4"/>
      <c r="Q2604" s="4"/>
      <c r="R2604" s="4"/>
      <c r="S2604" s="4"/>
      <c r="T2604" s="4"/>
      <c r="U2604" s="4"/>
      <c r="V2604" s="4">
        <v>0.12879500999999999</v>
      </c>
      <c r="W2604" s="4">
        <v>3</v>
      </c>
      <c r="X2604" s="4">
        <v>77125.301500000001</v>
      </c>
      <c r="Y2604" s="4">
        <v>4858</v>
      </c>
      <c r="Z2604" s="4">
        <v>3.74399163</v>
      </c>
      <c r="AA2604" s="4">
        <v>100</v>
      </c>
    </row>
    <row r="2605" spans="1:27" x14ac:dyDescent="0.2">
      <c r="A2605" s="4">
        <v>30</v>
      </c>
      <c r="B2605" s="4">
        <v>3</v>
      </c>
      <c r="C2605" s="4">
        <v>0.1</v>
      </c>
      <c r="D2605" s="4">
        <v>100</v>
      </c>
      <c r="E2605" s="4">
        <v>1.2559628599999999</v>
      </c>
      <c r="F2605" s="4">
        <v>3</v>
      </c>
      <c r="G2605" s="4">
        <v>28.398871799999998</v>
      </c>
      <c r="H2605" s="4">
        <v>1.01789146</v>
      </c>
      <c r="I2605" s="4">
        <v>3</v>
      </c>
      <c r="J2605" s="4">
        <v>1.4929955100000001</v>
      </c>
      <c r="K2605" s="4"/>
      <c r="L2605" s="4"/>
      <c r="M2605" s="4"/>
      <c r="N2605" s="4"/>
      <c r="O2605" s="4"/>
      <c r="P2605" s="4"/>
      <c r="Q2605" s="4"/>
      <c r="R2605" s="4"/>
      <c r="S2605" s="4"/>
      <c r="T2605" s="4"/>
      <c r="U2605" s="4"/>
      <c r="V2605" s="4">
        <v>1.0182362</v>
      </c>
      <c r="W2605" s="4">
        <v>3</v>
      </c>
      <c r="X2605" s="4">
        <v>75582.389200000005</v>
      </c>
      <c r="Y2605" s="4">
        <v>35770</v>
      </c>
      <c r="Z2605" s="4">
        <v>5.1845910000000002E-2</v>
      </c>
      <c r="AA2605" s="4">
        <v>100</v>
      </c>
    </row>
    <row r="2606" spans="1:27" x14ac:dyDescent="0.2">
      <c r="A2606" s="4">
        <v>30</v>
      </c>
      <c r="B2606" s="4">
        <v>3</v>
      </c>
      <c r="C2606" s="4">
        <v>0.4</v>
      </c>
      <c r="D2606" s="4">
        <v>100</v>
      </c>
      <c r="E2606" s="4">
        <v>0.13000426000000001</v>
      </c>
      <c r="F2606" s="4">
        <v>3</v>
      </c>
      <c r="G2606" s="4">
        <v>28.297692300000001</v>
      </c>
      <c r="H2606" s="4">
        <v>3.6629460000000003E-2</v>
      </c>
      <c r="I2606" s="4">
        <v>3</v>
      </c>
      <c r="J2606" s="4">
        <v>0.70222598999999997</v>
      </c>
      <c r="K2606" s="4"/>
      <c r="L2606" s="4"/>
      <c r="M2606" s="4"/>
      <c r="N2606" s="4"/>
      <c r="O2606" s="4"/>
      <c r="P2606" s="4"/>
      <c r="Q2606" s="4"/>
      <c r="R2606" s="4"/>
      <c r="S2606" s="4"/>
      <c r="T2606" s="4"/>
      <c r="U2606" s="4"/>
      <c r="V2606" s="4">
        <v>3.137011E-2</v>
      </c>
      <c r="W2606" s="4">
        <v>3</v>
      </c>
      <c r="X2606" s="4">
        <v>75704.687699999995</v>
      </c>
      <c r="Y2606" s="4">
        <v>37449</v>
      </c>
      <c r="Z2606" s="4">
        <v>5.1080770099999997</v>
      </c>
      <c r="AA2606" s="4">
        <v>100</v>
      </c>
    </row>
    <row r="2607" spans="1:27" x14ac:dyDescent="0.2">
      <c r="A2607" s="4">
        <v>30</v>
      </c>
      <c r="B2607" s="4">
        <v>3</v>
      </c>
      <c r="C2607" s="4">
        <v>0.1</v>
      </c>
      <c r="D2607" s="4">
        <v>100</v>
      </c>
      <c r="E2607" s="4">
        <v>1.0381247899999999</v>
      </c>
      <c r="F2607" s="4">
        <v>3</v>
      </c>
      <c r="G2607" s="4">
        <v>30.5669377</v>
      </c>
      <c r="H2607" s="4">
        <v>0.94162129000000006</v>
      </c>
      <c r="I2607" s="4">
        <v>3</v>
      </c>
      <c r="J2607" s="4">
        <v>1.68705342</v>
      </c>
      <c r="K2607" s="4"/>
      <c r="L2607" s="4"/>
      <c r="M2607" s="4"/>
      <c r="N2607" s="4"/>
      <c r="O2607" s="4"/>
      <c r="P2607" s="4"/>
      <c r="Q2607" s="4"/>
      <c r="R2607" s="4"/>
      <c r="S2607" s="4"/>
      <c r="T2607" s="4"/>
      <c r="U2607" s="4"/>
      <c r="V2607" s="4">
        <v>0.94226173000000002</v>
      </c>
      <c r="W2607" s="4">
        <v>3</v>
      </c>
      <c r="X2607" s="4">
        <v>77134.212599999999</v>
      </c>
      <c r="Y2607" s="4">
        <v>23955</v>
      </c>
      <c r="Z2607" s="4">
        <v>0.10434124</v>
      </c>
      <c r="AA2607" s="4">
        <v>100</v>
      </c>
    </row>
    <row r="2608" spans="1:27" x14ac:dyDescent="0.2">
      <c r="A2608" s="4">
        <v>30</v>
      </c>
      <c r="B2608" s="4">
        <v>3</v>
      </c>
      <c r="C2608" s="4">
        <v>0.3</v>
      </c>
      <c r="D2608" s="4">
        <v>100</v>
      </c>
      <c r="E2608" s="4">
        <v>0.28937499999999999</v>
      </c>
      <c r="F2608" s="4">
        <v>3</v>
      </c>
      <c r="G2608" s="4">
        <v>30.580686499999999</v>
      </c>
      <c r="H2608" s="4">
        <v>0.10786716</v>
      </c>
      <c r="I2608" s="4">
        <v>3</v>
      </c>
      <c r="J2608" s="4">
        <v>1.0454171800000001</v>
      </c>
      <c r="K2608" s="4"/>
      <c r="L2608" s="4"/>
      <c r="M2608" s="4"/>
      <c r="N2608" s="4"/>
      <c r="O2608" s="4"/>
      <c r="P2608" s="4"/>
      <c r="Q2608" s="4"/>
      <c r="R2608" s="4"/>
      <c r="S2608" s="4"/>
      <c r="T2608" s="4"/>
      <c r="U2608" s="4"/>
      <c r="V2608" s="4">
        <v>0.10340668</v>
      </c>
      <c r="W2608" s="4">
        <v>3</v>
      </c>
      <c r="X2608" s="4">
        <v>76377.955100000006</v>
      </c>
      <c r="Y2608" s="4">
        <v>2499</v>
      </c>
      <c r="Z2608" s="4">
        <v>3.5845831000000001</v>
      </c>
      <c r="AA2608" s="4">
        <v>100</v>
      </c>
    </row>
    <row r="2609" spans="1:27" x14ac:dyDescent="0.2">
      <c r="A2609" s="4">
        <v>30</v>
      </c>
      <c r="B2609" s="4">
        <v>3</v>
      </c>
      <c r="C2609" s="4">
        <v>0.2</v>
      </c>
      <c r="D2609" s="4">
        <v>100</v>
      </c>
      <c r="E2609" s="4">
        <v>0.59127352</v>
      </c>
      <c r="F2609" s="4">
        <v>3</v>
      </c>
      <c r="G2609" s="4">
        <v>27.9967802</v>
      </c>
      <c r="H2609" s="4">
        <v>0.49889763999999998</v>
      </c>
      <c r="I2609" s="4">
        <v>3</v>
      </c>
      <c r="J2609" s="4">
        <v>1.65796028</v>
      </c>
      <c r="K2609" s="4"/>
      <c r="L2609" s="4"/>
      <c r="M2609" s="4"/>
      <c r="N2609" s="4"/>
      <c r="O2609" s="4"/>
      <c r="P2609" s="4"/>
      <c r="Q2609" s="4"/>
      <c r="R2609" s="4"/>
      <c r="S2609" s="4"/>
      <c r="T2609" s="4"/>
      <c r="U2609" s="4"/>
      <c r="V2609" s="4">
        <v>0.50129469999999998</v>
      </c>
      <c r="W2609" s="4">
        <v>3</v>
      </c>
      <c r="X2609" s="4">
        <v>77194.2402</v>
      </c>
      <c r="Y2609" s="4">
        <v>72062</v>
      </c>
      <c r="Z2609" s="4">
        <v>1.5940730599999999</v>
      </c>
      <c r="AA2609" s="4">
        <v>100</v>
      </c>
    </row>
    <row r="2610" spans="1:27" x14ac:dyDescent="0.2">
      <c r="A2610" s="4">
        <v>30</v>
      </c>
      <c r="B2610" s="4">
        <v>3</v>
      </c>
      <c r="C2610" s="4">
        <v>0.1</v>
      </c>
      <c r="D2610" s="4">
        <v>100</v>
      </c>
      <c r="E2610" s="4">
        <v>0.98366430000000005</v>
      </c>
      <c r="F2610" s="4">
        <v>3</v>
      </c>
      <c r="G2610" s="4">
        <v>29.376199400000001</v>
      </c>
      <c r="H2610" s="4">
        <v>0.89320622999999999</v>
      </c>
      <c r="I2610" s="4">
        <v>3</v>
      </c>
      <c r="J2610" s="4">
        <v>1.5865717500000001</v>
      </c>
      <c r="K2610" s="4"/>
      <c r="L2610" s="4"/>
      <c r="M2610" s="4"/>
      <c r="N2610" s="4"/>
      <c r="O2610" s="4"/>
      <c r="P2610" s="4"/>
      <c r="Q2610" s="4"/>
      <c r="R2610" s="4"/>
      <c r="S2610" s="4"/>
      <c r="T2610" s="4"/>
      <c r="U2610" s="4"/>
      <c r="V2610" s="4">
        <v>0.89363495000000004</v>
      </c>
      <c r="W2610" s="4">
        <v>3</v>
      </c>
      <c r="X2610" s="4">
        <v>76300.117800000007</v>
      </c>
      <c r="Y2610" s="4">
        <v>29192</v>
      </c>
      <c r="Z2610" s="4">
        <v>7.8641589999999997E-2</v>
      </c>
      <c r="AA2610" s="4">
        <v>100</v>
      </c>
    </row>
    <row r="2611" spans="1:27" x14ac:dyDescent="0.2">
      <c r="A2611" s="4">
        <v>30</v>
      </c>
      <c r="B2611" s="4">
        <v>3</v>
      </c>
      <c r="C2611" s="4">
        <v>0.2</v>
      </c>
      <c r="D2611" s="4">
        <v>100</v>
      </c>
      <c r="E2611" s="4">
        <v>0.69167281999999997</v>
      </c>
      <c r="F2611" s="4">
        <v>3</v>
      </c>
      <c r="G2611" s="4">
        <v>30.2424547</v>
      </c>
      <c r="H2611" s="4">
        <v>0.81040727000000001</v>
      </c>
      <c r="I2611" s="4">
        <v>3</v>
      </c>
      <c r="J2611" s="4">
        <v>1.7058844500000001</v>
      </c>
      <c r="K2611" s="4"/>
      <c r="L2611" s="4"/>
      <c r="M2611" s="4"/>
      <c r="N2611" s="4"/>
      <c r="O2611" s="4"/>
      <c r="P2611" s="4"/>
      <c r="Q2611" s="4"/>
      <c r="R2611" s="4"/>
      <c r="S2611" s="4"/>
      <c r="T2611" s="4"/>
      <c r="U2611" s="4"/>
      <c r="V2611" s="4">
        <v>0.81273739</v>
      </c>
      <c r="W2611" s="4">
        <v>3</v>
      </c>
      <c r="X2611" s="4">
        <v>76452.337400000004</v>
      </c>
      <c r="Y2611" s="4">
        <v>17488</v>
      </c>
      <c r="Z2611" s="4">
        <v>1.0099197099999999</v>
      </c>
      <c r="AA2611" s="4">
        <v>100</v>
      </c>
    </row>
    <row r="2612" spans="1:27" x14ac:dyDescent="0.2">
      <c r="A2612" s="4">
        <v>30</v>
      </c>
      <c r="B2612" s="4">
        <v>3</v>
      </c>
      <c r="C2612" s="4">
        <v>0.1</v>
      </c>
      <c r="D2612" s="4">
        <v>100</v>
      </c>
      <c r="E2612" s="4">
        <v>1.02173267</v>
      </c>
      <c r="F2612" s="4">
        <v>3</v>
      </c>
      <c r="G2612" s="4">
        <v>29.357167400000002</v>
      </c>
      <c r="H2612" s="4">
        <v>0.96755378000000003</v>
      </c>
      <c r="I2612" s="4">
        <v>3</v>
      </c>
      <c r="J2612" s="4">
        <v>1.51698954</v>
      </c>
      <c r="K2612" s="4"/>
      <c r="L2612" s="4"/>
      <c r="M2612" s="4"/>
      <c r="N2612" s="4"/>
      <c r="O2612" s="4"/>
      <c r="P2612" s="4"/>
      <c r="Q2612" s="4"/>
      <c r="R2612" s="4"/>
      <c r="S2612" s="4"/>
      <c r="T2612" s="4"/>
      <c r="U2612" s="4"/>
      <c r="V2612" s="4">
        <v>0.96783607000000005</v>
      </c>
      <c r="W2612" s="4">
        <v>3</v>
      </c>
      <c r="X2612" s="4">
        <v>77226.809800000003</v>
      </c>
      <c r="Y2612" s="4">
        <v>28998</v>
      </c>
      <c r="Z2612" s="4">
        <v>0.11204453</v>
      </c>
      <c r="AA2612" s="4">
        <v>100</v>
      </c>
    </row>
    <row r="2613" spans="1:27" x14ac:dyDescent="0.2">
      <c r="A2613" s="4">
        <v>30</v>
      </c>
      <c r="B2613" s="4">
        <v>3</v>
      </c>
      <c r="C2613" s="4">
        <v>0.3</v>
      </c>
      <c r="D2613" s="4">
        <v>100</v>
      </c>
      <c r="E2613" s="4">
        <v>0.29540714000000001</v>
      </c>
      <c r="F2613" s="4">
        <v>3</v>
      </c>
      <c r="G2613" s="4">
        <v>30.079049399999999</v>
      </c>
      <c r="H2613" s="4">
        <v>0.10636497</v>
      </c>
      <c r="I2613" s="4">
        <v>3</v>
      </c>
      <c r="J2613" s="4">
        <v>0.90748125999999996</v>
      </c>
      <c r="K2613" s="4"/>
      <c r="L2613" s="4"/>
      <c r="M2613" s="4"/>
      <c r="N2613" s="4"/>
      <c r="O2613" s="4"/>
      <c r="P2613" s="4"/>
      <c r="Q2613" s="4"/>
      <c r="R2613" s="4"/>
      <c r="S2613" s="4"/>
      <c r="T2613" s="4"/>
      <c r="U2613" s="4"/>
      <c r="V2613" s="4">
        <v>0.10019999</v>
      </c>
      <c r="W2613" s="4">
        <v>3</v>
      </c>
      <c r="X2613" s="4">
        <v>76838.145799999998</v>
      </c>
      <c r="Y2613" s="4">
        <v>43785</v>
      </c>
      <c r="Z2613" s="4">
        <v>2.43689818</v>
      </c>
      <c r="AA2613" s="4">
        <v>100</v>
      </c>
    </row>
    <row r="2614" spans="1:27" x14ac:dyDescent="0.2">
      <c r="A2614" s="4">
        <v>30</v>
      </c>
      <c r="B2614" s="4">
        <v>3</v>
      </c>
      <c r="C2614" s="4">
        <v>0.4</v>
      </c>
      <c r="D2614" s="4">
        <v>100</v>
      </c>
      <c r="E2614" s="4">
        <v>0.18481678000000001</v>
      </c>
      <c r="F2614" s="4">
        <v>3</v>
      </c>
      <c r="G2614" s="4">
        <v>29.165687599999998</v>
      </c>
      <c r="H2614" s="4">
        <v>0.13242656999999999</v>
      </c>
      <c r="I2614" s="4">
        <v>3</v>
      </c>
      <c r="J2614" s="4">
        <v>0.58057797</v>
      </c>
      <c r="K2614" s="4"/>
      <c r="L2614" s="4"/>
      <c r="M2614" s="4"/>
      <c r="N2614" s="4"/>
      <c r="O2614" s="4"/>
      <c r="P2614" s="4"/>
      <c r="Q2614" s="4"/>
      <c r="R2614" s="4"/>
      <c r="S2614" s="4"/>
      <c r="T2614" s="4"/>
      <c r="U2614" s="4"/>
      <c r="V2614" s="4">
        <v>0.11174667000000001</v>
      </c>
      <c r="W2614" s="4">
        <v>3</v>
      </c>
      <c r="X2614" s="4">
        <v>78290.084799999997</v>
      </c>
      <c r="Y2614" s="4">
        <v>5051</v>
      </c>
      <c r="Z2614" s="4">
        <v>6.8289352000000001</v>
      </c>
      <c r="AA2614" s="4">
        <v>100</v>
      </c>
    </row>
    <row r="2615" spans="1:27" x14ac:dyDescent="0.2">
      <c r="A2615" s="4">
        <v>30</v>
      </c>
      <c r="B2615" s="4">
        <v>3</v>
      </c>
      <c r="C2615" s="4">
        <v>0.1</v>
      </c>
      <c r="D2615" s="4">
        <v>100</v>
      </c>
      <c r="E2615" s="4">
        <v>1.0102807899999999</v>
      </c>
      <c r="F2615" s="4">
        <v>3</v>
      </c>
      <c r="G2615" s="4">
        <v>28.587548200000001</v>
      </c>
      <c r="H2615" s="4">
        <v>0.98738758000000004</v>
      </c>
      <c r="I2615" s="4">
        <v>3</v>
      </c>
      <c r="J2615" s="4">
        <v>1.50129501</v>
      </c>
      <c r="K2615" s="4"/>
      <c r="L2615" s="4"/>
      <c r="M2615" s="4"/>
      <c r="N2615" s="4"/>
      <c r="O2615" s="4"/>
      <c r="P2615" s="4"/>
      <c r="Q2615" s="4"/>
      <c r="R2615" s="4"/>
      <c r="S2615" s="4"/>
      <c r="T2615" s="4"/>
      <c r="U2615" s="4"/>
      <c r="V2615" s="4">
        <v>0.98838482999999999</v>
      </c>
      <c r="W2615" s="4">
        <v>3</v>
      </c>
      <c r="X2615" s="4">
        <v>77978.148499999996</v>
      </c>
      <c r="Y2615" s="4">
        <v>30859</v>
      </c>
      <c r="Z2615" s="4">
        <v>5.9713599999999999E-2</v>
      </c>
      <c r="AA2615" s="4">
        <v>100</v>
      </c>
    </row>
    <row r="2616" spans="1:27" x14ac:dyDescent="0.2">
      <c r="A2616" s="4">
        <v>30</v>
      </c>
      <c r="B2616" s="4">
        <v>3</v>
      </c>
      <c r="C2616" s="4">
        <v>0.2</v>
      </c>
      <c r="D2616" s="4">
        <v>100</v>
      </c>
      <c r="E2616" s="4">
        <v>0.53129994000000003</v>
      </c>
      <c r="F2616" s="4">
        <v>3</v>
      </c>
      <c r="G2616" s="4">
        <v>28.625018799999999</v>
      </c>
      <c r="H2616" s="4">
        <v>0.22229429000000001</v>
      </c>
      <c r="I2616" s="4">
        <v>3</v>
      </c>
      <c r="J2616" s="4">
        <v>1.5476914399999999</v>
      </c>
      <c r="K2616" s="4"/>
      <c r="L2616" s="4"/>
      <c r="M2616" s="4"/>
      <c r="N2616" s="4"/>
      <c r="O2616" s="4"/>
      <c r="P2616" s="4"/>
      <c r="Q2616" s="4"/>
      <c r="R2616" s="4"/>
      <c r="S2616" s="4"/>
      <c r="T2616" s="4"/>
      <c r="U2616" s="4"/>
      <c r="V2616" s="4">
        <v>0.21341046</v>
      </c>
      <c r="W2616" s="4">
        <v>3</v>
      </c>
      <c r="X2616" s="4">
        <v>78325.659299999999</v>
      </c>
      <c r="Y2616" s="4">
        <v>5008</v>
      </c>
      <c r="Z2616" s="4">
        <v>2.1987568799999999</v>
      </c>
      <c r="AA2616" s="4">
        <v>100</v>
      </c>
    </row>
    <row r="2617" spans="1:27" x14ac:dyDescent="0.2">
      <c r="A2617" s="4">
        <v>30</v>
      </c>
      <c r="B2617" s="4">
        <v>3</v>
      </c>
      <c r="C2617" s="4">
        <v>0.2</v>
      </c>
      <c r="D2617" s="4">
        <v>100</v>
      </c>
      <c r="E2617" s="4">
        <v>0.66892459000000004</v>
      </c>
      <c r="F2617" s="4">
        <v>3</v>
      </c>
      <c r="G2617" s="4">
        <v>28.606772899999999</v>
      </c>
      <c r="H2617" s="4">
        <v>0.52077927000000002</v>
      </c>
      <c r="I2617" s="4">
        <v>3</v>
      </c>
      <c r="J2617" s="4">
        <v>1.5430217799999999</v>
      </c>
      <c r="K2617" s="4"/>
      <c r="L2617" s="4"/>
      <c r="M2617" s="4"/>
      <c r="N2617" s="4"/>
      <c r="O2617" s="4"/>
      <c r="P2617" s="4"/>
      <c r="Q2617" s="4"/>
      <c r="R2617" s="4"/>
      <c r="S2617" s="4"/>
      <c r="T2617" s="4"/>
      <c r="U2617" s="4"/>
      <c r="V2617" s="4">
        <v>0.52427427000000004</v>
      </c>
      <c r="W2617" s="4">
        <v>3</v>
      </c>
      <c r="X2617" s="4">
        <v>78973.635699999999</v>
      </c>
      <c r="Y2617" s="4">
        <v>4805</v>
      </c>
      <c r="Z2617" s="4">
        <v>1.6160497899999999</v>
      </c>
      <c r="AA2617" s="4">
        <v>100</v>
      </c>
    </row>
    <row r="2618" spans="1:27" x14ac:dyDescent="0.2">
      <c r="A2618" s="4">
        <v>30</v>
      </c>
      <c r="B2618" s="4">
        <v>3</v>
      </c>
      <c r="C2618" s="4">
        <v>0.3</v>
      </c>
      <c r="D2618" s="4">
        <v>100</v>
      </c>
      <c r="E2618" s="4">
        <v>0.27481543000000003</v>
      </c>
      <c r="F2618" s="4">
        <v>3</v>
      </c>
      <c r="G2618" s="4">
        <v>32.417747800000001</v>
      </c>
      <c r="H2618" s="4">
        <v>0.12395005000000001</v>
      </c>
      <c r="I2618" s="4">
        <v>3</v>
      </c>
      <c r="J2618" s="4">
        <v>1.0064922199999999</v>
      </c>
      <c r="K2618" s="4"/>
      <c r="L2618" s="4"/>
      <c r="M2618" s="4"/>
      <c r="N2618" s="4"/>
      <c r="O2618" s="4"/>
      <c r="P2618" s="4"/>
      <c r="Q2618" s="4"/>
      <c r="R2618" s="4"/>
      <c r="S2618" s="4"/>
      <c r="T2618" s="4"/>
      <c r="U2618" s="4"/>
      <c r="V2618" s="4">
        <v>0.11382939</v>
      </c>
      <c r="W2618" s="4">
        <v>3</v>
      </c>
      <c r="X2618" s="4">
        <v>79225.089500000002</v>
      </c>
      <c r="Y2618" s="4">
        <v>4927</v>
      </c>
      <c r="Z2618" s="4">
        <v>3.6105722199999999</v>
      </c>
      <c r="AA2618" s="4">
        <v>100</v>
      </c>
    </row>
    <row r="2619" spans="1:27" x14ac:dyDescent="0.2">
      <c r="A2619" s="4">
        <v>30</v>
      </c>
      <c r="B2619" s="4">
        <v>3</v>
      </c>
      <c r="C2619" s="4">
        <v>0.2</v>
      </c>
      <c r="D2619" s="4">
        <v>100</v>
      </c>
      <c r="E2619" s="4">
        <v>0.50183562000000004</v>
      </c>
      <c r="F2619" s="4">
        <v>3</v>
      </c>
      <c r="G2619" s="4">
        <v>33.252220199999996</v>
      </c>
      <c r="H2619" s="4">
        <v>0.30000881000000001</v>
      </c>
      <c r="I2619" s="4">
        <v>3</v>
      </c>
      <c r="J2619" s="4">
        <v>2.02662034</v>
      </c>
      <c r="K2619" s="4"/>
      <c r="L2619" s="4"/>
      <c r="M2619" s="4"/>
      <c r="N2619" s="4"/>
      <c r="O2619" s="4"/>
      <c r="P2619" s="4"/>
      <c r="Q2619" s="4"/>
      <c r="R2619" s="4"/>
      <c r="S2619" s="4"/>
      <c r="T2619" s="4"/>
      <c r="U2619" s="4"/>
      <c r="V2619" s="4">
        <v>0.29520210000000002</v>
      </c>
      <c r="W2619" s="4">
        <v>3</v>
      </c>
      <c r="X2619" s="4">
        <v>80064.452499999999</v>
      </c>
      <c r="Y2619" s="4">
        <v>2608</v>
      </c>
      <c r="Z2619" s="4">
        <v>2.1047698800000001</v>
      </c>
      <c r="AA2619" s="4">
        <v>100</v>
      </c>
    </row>
    <row r="2620" spans="1:27" x14ac:dyDescent="0.2">
      <c r="A2620" s="4">
        <v>30</v>
      </c>
      <c r="B2620" s="4">
        <v>3</v>
      </c>
      <c r="C2620" s="4">
        <v>0.3</v>
      </c>
      <c r="D2620" s="4">
        <v>100</v>
      </c>
      <c r="E2620" s="4">
        <v>0.26932710999999998</v>
      </c>
      <c r="F2620" s="4">
        <v>3</v>
      </c>
      <c r="G2620" s="4">
        <v>34.081616099999998</v>
      </c>
      <c r="H2620" s="4">
        <v>0.13851409000000001</v>
      </c>
      <c r="I2620" s="4">
        <v>3</v>
      </c>
      <c r="J2620" s="4">
        <v>0.94834010999999996</v>
      </c>
      <c r="K2620" s="4"/>
      <c r="L2620" s="4"/>
      <c r="M2620" s="4"/>
      <c r="N2620" s="4"/>
      <c r="O2620" s="4"/>
      <c r="P2620" s="4"/>
      <c r="Q2620" s="4"/>
      <c r="R2620" s="4"/>
      <c r="S2620" s="4"/>
      <c r="T2620" s="4"/>
      <c r="U2620" s="4"/>
      <c r="V2620" s="4">
        <v>0.124149</v>
      </c>
      <c r="W2620" s="4">
        <v>3</v>
      </c>
      <c r="X2620" s="4">
        <v>80907.613299999997</v>
      </c>
      <c r="Y2620" s="4">
        <v>2676</v>
      </c>
      <c r="Z2620" s="4">
        <v>3.3436584300000001</v>
      </c>
      <c r="AA2620" s="4">
        <v>100</v>
      </c>
    </row>
    <row r="2621" spans="1:27" x14ac:dyDescent="0.2">
      <c r="A2621" s="4">
        <v>30</v>
      </c>
      <c r="B2621" s="4">
        <v>3</v>
      </c>
      <c r="C2621" s="4">
        <v>0.2</v>
      </c>
      <c r="D2621" s="4">
        <v>100</v>
      </c>
      <c r="E2621" s="4">
        <v>0.80333827000000002</v>
      </c>
      <c r="F2621" s="4">
        <v>3</v>
      </c>
      <c r="G2621" s="4">
        <v>24.579287399999998</v>
      </c>
      <c r="H2621" s="4">
        <v>0.75155057999999997</v>
      </c>
      <c r="I2621" s="4">
        <v>3</v>
      </c>
      <c r="J2621" s="4">
        <v>1.3387139400000001</v>
      </c>
      <c r="K2621" s="4"/>
      <c r="L2621" s="4"/>
      <c r="M2621" s="4"/>
      <c r="N2621" s="4"/>
      <c r="O2621" s="4"/>
      <c r="P2621" s="4"/>
      <c r="Q2621" s="4"/>
      <c r="R2621" s="4"/>
      <c r="S2621" s="4"/>
      <c r="T2621" s="4"/>
      <c r="U2621" s="4"/>
      <c r="V2621" s="4">
        <v>0.75796894000000004</v>
      </c>
      <c r="W2621" s="4">
        <v>3</v>
      </c>
      <c r="X2621" s="4">
        <v>80322.407800000001</v>
      </c>
      <c r="Y2621" s="4">
        <v>2520</v>
      </c>
      <c r="Z2621" s="4">
        <v>0.92363709999999999</v>
      </c>
      <c r="AA2621" s="4">
        <v>100</v>
      </c>
    </row>
    <row r="2622" spans="1:27" x14ac:dyDescent="0.2">
      <c r="A2622" s="4">
        <v>30</v>
      </c>
      <c r="B2622" s="4">
        <v>3</v>
      </c>
      <c r="C2622" s="4">
        <v>0.3</v>
      </c>
      <c r="D2622" s="4">
        <v>100</v>
      </c>
      <c r="E2622" s="4">
        <v>0.31661471000000002</v>
      </c>
      <c r="F2622" s="4">
        <v>3</v>
      </c>
      <c r="G2622" s="4">
        <v>31.4446026</v>
      </c>
      <c r="H2622" s="4">
        <v>8.677725E-2</v>
      </c>
      <c r="I2622" s="4">
        <v>3</v>
      </c>
      <c r="J2622" s="4">
        <v>0.91348425</v>
      </c>
      <c r="K2622" s="4"/>
      <c r="L2622" s="4"/>
      <c r="M2622" s="4"/>
      <c r="N2622" s="4"/>
      <c r="O2622" s="4"/>
      <c r="P2622" s="4"/>
      <c r="Q2622" s="4"/>
      <c r="R2622" s="4"/>
      <c r="S2622" s="4"/>
      <c r="T2622" s="4"/>
      <c r="U2622" s="4"/>
      <c r="V2622" s="4">
        <v>7.5918609999999997E-2</v>
      </c>
      <c r="W2622" s="4">
        <v>3</v>
      </c>
      <c r="X2622" s="4">
        <v>75383.909199999995</v>
      </c>
      <c r="Y2622" s="4">
        <v>65298</v>
      </c>
      <c r="Z2622" s="4">
        <v>2.98444829</v>
      </c>
      <c r="AA2622" s="4">
        <v>100</v>
      </c>
    </row>
    <row r="2623" spans="1:27" x14ac:dyDescent="0.2">
      <c r="A2623" s="4">
        <v>30</v>
      </c>
      <c r="B2623" s="4">
        <v>3</v>
      </c>
      <c r="C2623" s="4">
        <v>0.2</v>
      </c>
      <c r="D2623" s="4">
        <v>100</v>
      </c>
      <c r="E2623" s="4">
        <v>0.62142268000000001</v>
      </c>
      <c r="F2623" s="4">
        <v>3</v>
      </c>
      <c r="G2623" s="4">
        <v>33.668243799999999</v>
      </c>
      <c r="H2623" s="4">
        <v>0.27478722999999999</v>
      </c>
      <c r="I2623" s="4">
        <v>3</v>
      </c>
      <c r="J2623" s="4">
        <v>1.81058132</v>
      </c>
      <c r="K2623" s="4"/>
      <c r="L2623" s="4"/>
      <c r="M2623" s="4"/>
      <c r="N2623" s="4"/>
      <c r="O2623" s="4"/>
      <c r="P2623" s="4"/>
      <c r="Q2623" s="4"/>
      <c r="R2623" s="4"/>
      <c r="S2623" s="4"/>
      <c r="T2623" s="4"/>
      <c r="U2623" s="4"/>
      <c r="V2623" s="4">
        <v>0.27317008999999998</v>
      </c>
      <c r="W2623" s="4">
        <v>3</v>
      </c>
      <c r="X2623" s="4">
        <v>75472.768700000001</v>
      </c>
      <c r="Y2623" s="4">
        <v>51937</v>
      </c>
      <c r="Z2623" s="4">
        <v>1.15698324</v>
      </c>
      <c r="AA2623" s="4">
        <v>100</v>
      </c>
    </row>
    <row r="2624" spans="1:27" x14ac:dyDescent="0.2">
      <c r="A2624" s="4">
        <v>30</v>
      </c>
      <c r="B2624" s="4">
        <v>3</v>
      </c>
      <c r="C2624" s="4">
        <v>0.3</v>
      </c>
      <c r="D2624" s="4">
        <v>100</v>
      </c>
      <c r="E2624" s="4">
        <v>0.37027648000000002</v>
      </c>
      <c r="F2624" s="4">
        <v>3</v>
      </c>
      <c r="G2624" s="4">
        <v>37.4850353</v>
      </c>
      <c r="H2624" s="4">
        <v>0.11157366000000001</v>
      </c>
      <c r="I2624" s="4">
        <v>3</v>
      </c>
      <c r="J2624" s="4">
        <v>2.1041356499999999</v>
      </c>
      <c r="K2624" s="4"/>
      <c r="L2624" s="4"/>
      <c r="M2624" s="4"/>
      <c r="N2624" s="4"/>
      <c r="O2624" s="4"/>
      <c r="P2624" s="4"/>
      <c r="Q2624" s="4"/>
      <c r="R2624" s="4"/>
      <c r="S2624" s="4"/>
      <c r="T2624" s="4"/>
      <c r="U2624" s="4"/>
      <c r="V2624" s="4">
        <v>0.10510758000000001</v>
      </c>
      <c r="W2624" s="4">
        <v>3</v>
      </c>
      <c r="X2624" s="4">
        <v>75618.796400000007</v>
      </c>
      <c r="Y2624" s="4">
        <v>37709</v>
      </c>
      <c r="Z2624" s="4">
        <v>2.8146558700000002</v>
      </c>
      <c r="AA2624" s="4">
        <v>100</v>
      </c>
    </row>
    <row r="2625" spans="1:27" x14ac:dyDescent="0.2">
      <c r="A2625" s="4">
        <v>30</v>
      </c>
      <c r="B2625" s="4">
        <v>3</v>
      </c>
      <c r="C2625" s="4">
        <v>0.1</v>
      </c>
      <c r="D2625" s="4">
        <v>100</v>
      </c>
      <c r="E2625" s="4">
        <v>1.01507905</v>
      </c>
      <c r="F2625" s="4">
        <v>3</v>
      </c>
      <c r="G2625" s="4">
        <v>30.791745299999999</v>
      </c>
      <c r="H2625" s="4">
        <v>0.91732725000000004</v>
      </c>
      <c r="I2625" s="4">
        <v>3</v>
      </c>
      <c r="J2625" s="4">
        <v>1.69479852</v>
      </c>
      <c r="K2625" s="4"/>
      <c r="L2625" s="4"/>
      <c r="M2625" s="4"/>
      <c r="N2625" s="4"/>
      <c r="O2625" s="4"/>
      <c r="P2625" s="4"/>
      <c r="Q2625" s="4"/>
      <c r="R2625" s="4"/>
      <c r="S2625" s="4"/>
      <c r="T2625" s="4"/>
      <c r="U2625" s="4"/>
      <c r="V2625" s="4">
        <v>0.91763919999999999</v>
      </c>
      <c r="W2625" s="4">
        <v>3</v>
      </c>
      <c r="X2625" s="4">
        <v>75890.847999999998</v>
      </c>
      <c r="Y2625" s="4">
        <v>15544</v>
      </c>
      <c r="Z2625" s="4">
        <v>0.19890654999999999</v>
      </c>
      <c r="AA2625" s="4">
        <v>100</v>
      </c>
    </row>
    <row r="2626" spans="1:27" x14ac:dyDescent="0.2">
      <c r="A2626" s="4">
        <v>30</v>
      </c>
      <c r="B2626" s="4">
        <v>3</v>
      </c>
      <c r="C2626" s="4">
        <v>0.2</v>
      </c>
      <c r="D2626" s="4">
        <v>100</v>
      </c>
      <c r="E2626" s="4">
        <v>0.38100553999999998</v>
      </c>
      <c r="F2626" s="4">
        <v>3</v>
      </c>
      <c r="G2626" s="4">
        <v>29.533876599999999</v>
      </c>
      <c r="H2626" s="4">
        <v>0.28098049000000003</v>
      </c>
      <c r="I2626" s="4">
        <v>3</v>
      </c>
      <c r="J2626" s="4">
        <v>1.37667234</v>
      </c>
      <c r="K2626" s="4"/>
      <c r="L2626" s="4"/>
      <c r="M2626" s="4"/>
      <c r="N2626" s="4"/>
      <c r="O2626" s="4"/>
      <c r="P2626" s="4"/>
      <c r="Q2626" s="4"/>
      <c r="R2626" s="4"/>
      <c r="S2626" s="4"/>
      <c r="T2626" s="4"/>
      <c r="U2626" s="4"/>
      <c r="V2626" s="4">
        <v>0.28048800000000002</v>
      </c>
      <c r="W2626" s="4">
        <v>3</v>
      </c>
      <c r="X2626" s="4">
        <v>76142.035199999998</v>
      </c>
      <c r="Y2626" s="4">
        <v>13649</v>
      </c>
      <c r="Z2626" s="4">
        <v>1.4060492899999999</v>
      </c>
      <c r="AA2626" s="4">
        <v>100</v>
      </c>
    </row>
    <row r="2627" spans="1:27" x14ac:dyDescent="0.2">
      <c r="A2627" s="4">
        <v>30</v>
      </c>
      <c r="B2627" s="4">
        <v>3</v>
      </c>
      <c r="C2627" s="4">
        <v>0.1</v>
      </c>
      <c r="D2627" s="4">
        <v>100</v>
      </c>
      <c r="E2627" s="4">
        <v>0.99830233000000002</v>
      </c>
      <c r="F2627" s="4">
        <v>3</v>
      </c>
      <c r="G2627" s="4">
        <v>32.109907700000001</v>
      </c>
      <c r="H2627" s="4">
        <v>0.98455925</v>
      </c>
      <c r="I2627" s="4">
        <v>3</v>
      </c>
      <c r="J2627" s="4">
        <v>1.6528905599999999</v>
      </c>
      <c r="K2627" s="4"/>
      <c r="L2627" s="4"/>
      <c r="M2627" s="4"/>
      <c r="N2627" s="4"/>
      <c r="O2627" s="4"/>
      <c r="P2627" s="4"/>
      <c r="Q2627" s="4"/>
      <c r="R2627" s="4"/>
      <c r="S2627" s="4"/>
      <c r="T2627" s="4"/>
      <c r="U2627" s="4"/>
      <c r="V2627" s="4">
        <v>0.98508560000000001</v>
      </c>
      <c r="W2627" s="4">
        <v>3</v>
      </c>
      <c r="X2627" s="4">
        <v>76188.494200000001</v>
      </c>
      <c r="Y2627" s="4">
        <v>10111</v>
      </c>
      <c r="Z2627" s="4">
        <v>8.9122649999999998E-2</v>
      </c>
      <c r="AA2627" s="4">
        <v>100</v>
      </c>
    </row>
    <row r="2628" spans="1:27" x14ac:dyDescent="0.2">
      <c r="A2628" s="4">
        <v>30</v>
      </c>
      <c r="B2628" s="4">
        <v>3</v>
      </c>
      <c r="C2628" s="4">
        <v>0.4</v>
      </c>
      <c r="D2628" s="4">
        <v>100</v>
      </c>
      <c r="E2628" s="4">
        <v>0.19336886</v>
      </c>
      <c r="F2628" s="4">
        <v>3</v>
      </c>
      <c r="G2628" s="4">
        <v>32.2597478</v>
      </c>
      <c r="H2628" s="4">
        <v>7.0053770000000001E-2</v>
      </c>
      <c r="I2628" s="4">
        <v>3</v>
      </c>
      <c r="J2628" s="4">
        <v>1.0164584400000001</v>
      </c>
      <c r="K2628" s="4"/>
      <c r="L2628" s="4"/>
      <c r="M2628" s="4"/>
      <c r="N2628" s="4"/>
      <c r="O2628" s="4"/>
      <c r="P2628" s="4"/>
      <c r="Q2628" s="4"/>
      <c r="R2628" s="4"/>
      <c r="S2628" s="4"/>
      <c r="T2628" s="4"/>
      <c r="U2628" s="4"/>
      <c r="V2628" s="4">
        <v>6.3576519999999997E-2</v>
      </c>
      <c r="W2628" s="4">
        <v>3</v>
      </c>
      <c r="X2628" s="4">
        <v>76566.631200000003</v>
      </c>
      <c r="Y2628" s="4">
        <v>2490</v>
      </c>
      <c r="Z2628" s="4">
        <v>4.8154160199999998</v>
      </c>
      <c r="AA2628" s="4">
        <v>100</v>
      </c>
    </row>
    <row r="2629" spans="1:27" x14ac:dyDescent="0.2">
      <c r="A2629" s="4">
        <v>30</v>
      </c>
      <c r="B2629" s="4">
        <v>3</v>
      </c>
      <c r="C2629" s="4">
        <v>0.4</v>
      </c>
      <c r="D2629" s="4">
        <v>100</v>
      </c>
      <c r="E2629" s="4">
        <v>0.19308698999999999</v>
      </c>
      <c r="F2629" s="4">
        <v>3</v>
      </c>
      <c r="G2629" s="4">
        <v>36.499903199999999</v>
      </c>
      <c r="H2629" s="4">
        <v>5.2927450000000001E-2</v>
      </c>
      <c r="I2629" s="4">
        <v>3</v>
      </c>
      <c r="J2629" s="4">
        <v>1.1791748</v>
      </c>
      <c r="K2629" s="4"/>
      <c r="L2629" s="4"/>
      <c r="M2629" s="4"/>
      <c r="N2629" s="4"/>
      <c r="O2629" s="4"/>
      <c r="P2629" s="4"/>
      <c r="Q2629" s="4"/>
      <c r="R2629" s="4"/>
      <c r="S2629" s="4"/>
      <c r="T2629" s="4"/>
      <c r="U2629" s="4"/>
      <c r="V2629" s="4">
        <v>4.3066159999999999E-2</v>
      </c>
      <c r="W2629" s="4">
        <v>3</v>
      </c>
      <c r="X2629" s="4">
        <v>76057.234299999996</v>
      </c>
      <c r="Y2629" s="4">
        <v>21800</v>
      </c>
      <c r="Z2629" s="4">
        <v>7.0209133399999999</v>
      </c>
      <c r="AA2629" s="4">
        <v>100</v>
      </c>
    </row>
    <row r="2630" spans="1:27" x14ac:dyDescent="0.2">
      <c r="A2630" s="4">
        <v>30</v>
      </c>
      <c r="B2630" s="4">
        <v>3</v>
      </c>
      <c r="C2630" s="4">
        <v>0.4</v>
      </c>
      <c r="D2630" s="4">
        <v>100</v>
      </c>
      <c r="E2630" s="4">
        <v>0.26820164000000002</v>
      </c>
      <c r="F2630" s="4">
        <v>3</v>
      </c>
      <c r="G2630" s="4">
        <v>34.868699499999998</v>
      </c>
      <c r="H2630" s="4">
        <v>7.5091149999999995E-2</v>
      </c>
      <c r="I2630" s="4">
        <v>3</v>
      </c>
      <c r="J2630" s="4">
        <v>0.93167836000000004</v>
      </c>
      <c r="K2630" s="4"/>
      <c r="L2630" s="4"/>
      <c r="M2630" s="4"/>
      <c r="N2630" s="4"/>
      <c r="O2630" s="4"/>
      <c r="P2630" s="4"/>
      <c r="Q2630" s="4"/>
      <c r="R2630" s="4"/>
      <c r="S2630" s="4"/>
      <c r="T2630" s="4"/>
      <c r="U2630" s="4"/>
      <c r="V2630" s="4">
        <v>6.7263920000000005E-2</v>
      </c>
      <c r="W2630" s="4">
        <v>3</v>
      </c>
      <c r="X2630" s="4">
        <v>78601.633900000001</v>
      </c>
      <c r="Y2630" s="4">
        <v>2411</v>
      </c>
      <c r="Z2630" s="4">
        <v>6.1479005600000001</v>
      </c>
      <c r="AA2630" s="4">
        <v>100</v>
      </c>
    </row>
    <row r="2631" spans="1:27" x14ac:dyDescent="0.2">
      <c r="A2631" s="4">
        <v>30</v>
      </c>
      <c r="B2631" s="4">
        <v>3</v>
      </c>
      <c r="C2631" s="4">
        <v>0.3</v>
      </c>
      <c r="D2631" s="4">
        <v>100</v>
      </c>
      <c r="E2631" s="4">
        <v>0.28218093</v>
      </c>
      <c r="F2631" s="4">
        <v>3</v>
      </c>
      <c r="G2631" s="4">
        <v>32.592922999999999</v>
      </c>
      <c r="H2631" s="4">
        <v>6.8606269999999997E-2</v>
      </c>
      <c r="I2631" s="4">
        <v>3</v>
      </c>
      <c r="J2631" s="4">
        <v>0.87241221000000002</v>
      </c>
      <c r="K2631" s="4"/>
      <c r="L2631" s="4"/>
      <c r="M2631" s="4"/>
      <c r="N2631" s="4"/>
      <c r="O2631" s="4"/>
      <c r="P2631" s="4"/>
      <c r="Q2631" s="4"/>
      <c r="R2631" s="4"/>
      <c r="S2631" s="4"/>
      <c r="T2631" s="4"/>
      <c r="U2631" s="4"/>
      <c r="V2631" s="4">
        <v>6.0114519999999998E-2</v>
      </c>
      <c r="W2631" s="4">
        <v>3</v>
      </c>
      <c r="X2631" s="4">
        <v>77836.376999999993</v>
      </c>
      <c r="Y2631" s="4">
        <v>4751</v>
      </c>
      <c r="Z2631" s="4">
        <v>3.7565999300000001</v>
      </c>
      <c r="AA2631" s="4">
        <v>100</v>
      </c>
    </row>
    <row r="2632" spans="1:27" x14ac:dyDescent="0.2">
      <c r="A2632">
        <v>30</v>
      </c>
      <c r="B2632">
        <v>3</v>
      </c>
      <c r="C2632">
        <v>0.1</v>
      </c>
      <c r="D2632" s="4">
        <v>100</v>
      </c>
      <c r="E2632">
        <v>1.03961485710848</v>
      </c>
      <c r="F2632">
        <v>3</v>
      </c>
      <c r="G2632">
        <v>33.426834143999997</v>
      </c>
      <c r="H2632">
        <v>0.94224641884977201</v>
      </c>
      <c r="I2632">
        <v>3</v>
      </c>
      <c r="J2632">
        <v>1.7837629290000001</v>
      </c>
      <c r="P2632"/>
      <c r="V2632">
        <v>0.94319776740288797</v>
      </c>
      <c r="W2632">
        <v>3</v>
      </c>
      <c r="X2632">
        <v>75681.704044956001</v>
      </c>
      <c r="Y2632">
        <v>17979</v>
      </c>
      <c r="Z2632">
        <v>8.4070461380178999E-2</v>
      </c>
      <c r="AA2632">
        <v>100</v>
      </c>
    </row>
    <row r="2633" spans="1:27" x14ac:dyDescent="0.2">
      <c r="A2633">
        <v>30</v>
      </c>
      <c r="B2633">
        <v>3</v>
      </c>
      <c r="C2633">
        <v>0.2</v>
      </c>
      <c r="D2633" s="4">
        <v>100</v>
      </c>
      <c r="E2633">
        <v>0.72311016367079595</v>
      </c>
      <c r="F2633">
        <v>3</v>
      </c>
      <c r="G2633">
        <v>29.543948446999998</v>
      </c>
      <c r="H2633">
        <v>0.57953135371349895</v>
      </c>
      <c r="I2633">
        <v>3</v>
      </c>
      <c r="J2633">
        <v>1.646475336</v>
      </c>
      <c r="P2633"/>
      <c r="V2633">
        <v>0.59348084066265105</v>
      </c>
      <c r="W2633">
        <v>3</v>
      </c>
      <c r="X2633">
        <v>75825.409907149005</v>
      </c>
      <c r="Y2633">
        <v>16748</v>
      </c>
      <c r="Z2633">
        <v>1.17315586344903</v>
      </c>
      <c r="AA2633">
        <v>100</v>
      </c>
    </row>
    <row r="2634" spans="1:27" x14ac:dyDescent="0.2">
      <c r="A2634">
        <v>30</v>
      </c>
      <c r="B2634">
        <v>3</v>
      </c>
      <c r="C2634">
        <v>0.4</v>
      </c>
      <c r="D2634" s="4">
        <v>100</v>
      </c>
      <c r="E2634">
        <v>0.16875462105643799</v>
      </c>
      <c r="F2634">
        <v>3</v>
      </c>
      <c r="G2634">
        <v>30.909350343</v>
      </c>
      <c r="H2634">
        <v>4.9497666876854397E-2</v>
      </c>
      <c r="I2634">
        <v>3</v>
      </c>
      <c r="J2634">
        <v>0.63462887300000004</v>
      </c>
      <c r="P2634"/>
      <c r="V2634">
        <v>4.1667151422213597E-2</v>
      </c>
      <c r="W2634">
        <v>3</v>
      </c>
      <c r="X2634">
        <v>75704.906010514998</v>
      </c>
      <c r="Y2634">
        <v>11900</v>
      </c>
      <c r="Z2634">
        <v>7.6616935019519499</v>
      </c>
      <c r="AA2634">
        <v>100</v>
      </c>
    </row>
    <row r="2635" spans="1:27" x14ac:dyDescent="0.2">
      <c r="A2635">
        <v>30</v>
      </c>
      <c r="B2635">
        <v>3</v>
      </c>
      <c r="C2635">
        <v>0.1</v>
      </c>
      <c r="D2635" s="4">
        <v>100</v>
      </c>
      <c r="E2635">
        <v>1.09269265550224</v>
      </c>
      <c r="F2635">
        <v>3</v>
      </c>
      <c r="G2635">
        <v>29.155469334999999</v>
      </c>
      <c r="H2635">
        <v>1.06327531823845</v>
      </c>
      <c r="I2635">
        <v>3</v>
      </c>
      <c r="J2635">
        <v>1.585962356</v>
      </c>
      <c r="P2635"/>
      <c r="V2635">
        <v>1.0641503645152699</v>
      </c>
      <c r="W2635">
        <v>3</v>
      </c>
      <c r="X2635">
        <v>75863.765658777003</v>
      </c>
      <c r="Y2635">
        <v>29880</v>
      </c>
      <c r="Z2635">
        <v>0.15596952127479</v>
      </c>
      <c r="AA2635">
        <v>100</v>
      </c>
    </row>
    <row r="2636" spans="1:27" x14ac:dyDescent="0.2">
      <c r="A2636">
        <v>30</v>
      </c>
      <c r="B2636">
        <v>3</v>
      </c>
      <c r="C2636">
        <v>0.4</v>
      </c>
      <c r="D2636" s="4">
        <v>100</v>
      </c>
      <c r="E2636">
        <v>0.140165190271341</v>
      </c>
      <c r="F2636">
        <v>3</v>
      </c>
      <c r="G2636">
        <v>29.599407973999998</v>
      </c>
      <c r="H2636">
        <v>4.0670340615036098E-2</v>
      </c>
      <c r="I2636">
        <v>3</v>
      </c>
      <c r="J2636">
        <v>0.62813940400000001</v>
      </c>
      <c r="P2636"/>
      <c r="V2636">
        <v>3.4062302456218302E-2</v>
      </c>
      <c r="W2636">
        <v>3</v>
      </c>
      <c r="X2636">
        <v>75690.336561730001</v>
      </c>
      <c r="Y2636">
        <v>11206</v>
      </c>
      <c r="Z2636">
        <v>6.1105673017500504</v>
      </c>
      <c r="AA2636">
        <v>100</v>
      </c>
    </row>
    <row r="2637" spans="1:27" x14ac:dyDescent="0.2">
      <c r="A2637">
        <v>30</v>
      </c>
      <c r="B2637">
        <v>3</v>
      </c>
      <c r="C2637">
        <v>0.4</v>
      </c>
      <c r="D2637" s="4">
        <v>100</v>
      </c>
      <c r="E2637">
        <v>9.5266929533365602E-2</v>
      </c>
      <c r="F2637">
        <v>3</v>
      </c>
      <c r="G2637">
        <v>28.185126459999999</v>
      </c>
      <c r="H2637">
        <v>2.80507940092042E-2</v>
      </c>
      <c r="I2637">
        <v>3</v>
      </c>
      <c r="J2637">
        <v>0.40583103399999998</v>
      </c>
      <c r="P2637"/>
      <c r="V2637">
        <v>2.2116330864154401E-2</v>
      </c>
      <c r="W2637">
        <v>3</v>
      </c>
      <c r="X2637">
        <v>75515.238329565997</v>
      </c>
      <c r="Y2637">
        <v>44916</v>
      </c>
      <c r="Z2637">
        <v>5.40895430036006</v>
      </c>
      <c r="AA2637">
        <v>100</v>
      </c>
    </row>
    <row r="2638" spans="1:27" x14ac:dyDescent="0.2">
      <c r="A2638">
        <v>30</v>
      </c>
      <c r="B2638">
        <v>3</v>
      </c>
      <c r="C2638">
        <v>0.1</v>
      </c>
      <c r="D2638" s="4">
        <v>100</v>
      </c>
      <c r="E2638">
        <v>0.99201027924147001</v>
      </c>
      <c r="F2638">
        <v>3</v>
      </c>
      <c r="G2638">
        <v>28.324164128</v>
      </c>
      <c r="H2638">
        <v>0.960886489129683</v>
      </c>
      <c r="I2638">
        <v>3</v>
      </c>
      <c r="J2638">
        <v>1.4705270850000001</v>
      </c>
      <c r="P2638"/>
      <c r="V2638">
        <v>0.96195346167512197</v>
      </c>
      <c r="W2638">
        <v>3</v>
      </c>
      <c r="X2638">
        <v>76004.753932142004</v>
      </c>
      <c r="Y2638">
        <v>19114</v>
      </c>
      <c r="Z2638">
        <v>6.3854546009247906E-2</v>
      </c>
      <c r="AA2638">
        <v>100</v>
      </c>
    </row>
    <row r="2639" spans="1:27" x14ac:dyDescent="0.2">
      <c r="A2639">
        <v>30</v>
      </c>
      <c r="B2639">
        <v>3</v>
      </c>
      <c r="C2639">
        <v>0.4</v>
      </c>
      <c r="D2639" s="4">
        <v>100</v>
      </c>
      <c r="E2639">
        <v>0.13635966546459199</v>
      </c>
      <c r="F2639">
        <v>3</v>
      </c>
      <c r="G2639">
        <v>28.690938038999999</v>
      </c>
      <c r="H2639">
        <v>4.9191550333345102E-2</v>
      </c>
      <c r="I2639">
        <v>3</v>
      </c>
      <c r="J2639">
        <v>0.55562765199999997</v>
      </c>
      <c r="P2639"/>
      <c r="V2639">
        <v>4.0166569645496197E-2</v>
      </c>
      <c r="W2639">
        <v>3</v>
      </c>
      <c r="X2639">
        <v>75602.175183624</v>
      </c>
      <c r="Y2639">
        <v>12061</v>
      </c>
      <c r="Z2639">
        <v>3.64968537473578</v>
      </c>
      <c r="AA2639">
        <v>100</v>
      </c>
    </row>
    <row r="2640" spans="1:27" x14ac:dyDescent="0.2">
      <c r="A2640">
        <v>30</v>
      </c>
      <c r="B2640">
        <v>3</v>
      </c>
      <c r="C2640">
        <v>0.3</v>
      </c>
      <c r="D2640" s="4">
        <v>100</v>
      </c>
      <c r="E2640">
        <v>0.29016238582315701</v>
      </c>
      <c r="F2640">
        <v>3</v>
      </c>
      <c r="G2640">
        <v>29.866960567</v>
      </c>
      <c r="H2640">
        <v>0.22514226748861299</v>
      </c>
      <c r="I2640">
        <v>3</v>
      </c>
      <c r="J2640">
        <v>0.79137776999999998</v>
      </c>
      <c r="P2640"/>
      <c r="V2640">
        <v>0.223482537013072</v>
      </c>
      <c r="W2640">
        <v>3</v>
      </c>
      <c r="X2640">
        <v>76387.880211002004</v>
      </c>
      <c r="Y2640">
        <v>33431</v>
      </c>
      <c r="Z2640">
        <v>2.98770912306099</v>
      </c>
      <c r="AA2640">
        <v>100</v>
      </c>
    </row>
    <row r="2641" spans="1:27" x14ac:dyDescent="0.2">
      <c r="A2641">
        <v>30</v>
      </c>
      <c r="B2641">
        <v>3</v>
      </c>
      <c r="C2641">
        <v>0.3</v>
      </c>
      <c r="D2641" s="4">
        <v>100</v>
      </c>
      <c r="E2641">
        <v>0.35793145591307202</v>
      </c>
      <c r="F2641">
        <v>3</v>
      </c>
      <c r="G2641">
        <v>29.920361652</v>
      </c>
      <c r="H2641">
        <v>8.2357515914236096E-2</v>
      </c>
      <c r="I2641">
        <v>3</v>
      </c>
      <c r="J2641">
        <v>1.2393485630000001</v>
      </c>
      <c r="P2641"/>
      <c r="V2641">
        <v>7.7512014841270405E-2</v>
      </c>
      <c r="W2641">
        <v>3</v>
      </c>
      <c r="X2641">
        <v>76000.693935467003</v>
      </c>
      <c r="Y2641">
        <v>50676</v>
      </c>
      <c r="Z2641">
        <v>4.0710555162750097</v>
      </c>
      <c r="AA2641">
        <v>100</v>
      </c>
    </row>
    <row r="2642" spans="1:27" x14ac:dyDescent="0.2">
      <c r="A2642">
        <v>30</v>
      </c>
      <c r="B2642">
        <v>3</v>
      </c>
      <c r="C2642">
        <v>0.4</v>
      </c>
      <c r="D2642" s="4">
        <v>100</v>
      </c>
      <c r="E2642">
        <v>0.20112257894882299</v>
      </c>
      <c r="F2642">
        <v>3</v>
      </c>
      <c r="G2642">
        <v>29.967511332000001</v>
      </c>
      <c r="H2642">
        <v>4.4347696563787002E-2</v>
      </c>
      <c r="I2642">
        <v>3</v>
      </c>
      <c r="J2642">
        <v>0.92321554500000003</v>
      </c>
      <c r="P2642"/>
      <c r="V2642">
        <v>3.9220012821069301E-2</v>
      </c>
      <c r="W2642">
        <v>3</v>
      </c>
      <c r="X2642">
        <v>75705.948209037</v>
      </c>
      <c r="Y2642">
        <v>28607</v>
      </c>
      <c r="Z2642">
        <v>4.48636951312983</v>
      </c>
      <c r="AA2642">
        <v>100</v>
      </c>
    </row>
    <row r="2643" spans="1:27" x14ac:dyDescent="0.2">
      <c r="A2643">
        <v>30</v>
      </c>
      <c r="B2643">
        <v>3</v>
      </c>
      <c r="C2643">
        <v>0.2</v>
      </c>
      <c r="D2643" s="4">
        <v>100</v>
      </c>
      <c r="E2643">
        <v>0.61762507288023005</v>
      </c>
      <c r="F2643">
        <v>3</v>
      </c>
      <c r="G2643">
        <v>29.059885439999999</v>
      </c>
      <c r="H2643">
        <v>0.46042996233060002</v>
      </c>
      <c r="I2643">
        <v>3</v>
      </c>
      <c r="J2643">
        <v>1.680057565</v>
      </c>
      <c r="P2643"/>
      <c r="V2643">
        <v>0.46023839858550297</v>
      </c>
      <c r="W2643">
        <v>3</v>
      </c>
      <c r="X2643">
        <v>75601.014569695995</v>
      </c>
      <c r="Y2643">
        <v>14165</v>
      </c>
      <c r="Z2643">
        <v>1.7087087978528099</v>
      </c>
      <c r="AA2643">
        <v>100</v>
      </c>
    </row>
    <row r="2644" spans="1:27" x14ac:dyDescent="0.2">
      <c r="A2644">
        <v>30</v>
      </c>
      <c r="B2644">
        <v>3</v>
      </c>
      <c r="C2644">
        <v>0.3</v>
      </c>
      <c r="D2644" s="4">
        <v>100</v>
      </c>
      <c r="E2644">
        <v>0.48967362180225499</v>
      </c>
      <c r="F2644">
        <v>3</v>
      </c>
      <c r="G2644">
        <v>28.426234251</v>
      </c>
      <c r="H2644">
        <v>0.14017211057707299</v>
      </c>
      <c r="I2644">
        <v>3</v>
      </c>
      <c r="J2644">
        <v>1.41812088</v>
      </c>
      <c r="P2644"/>
      <c r="V2644">
        <v>0.12879501460373699</v>
      </c>
      <c r="W2644">
        <v>3</v>
      </c>
      <c r="X2644">
        <v>77125.301548891002</v>
      </c>
      <c r="Y2644">
        <v>4858</v>
      </c>
      <c r="Z2644">
        <v>3.74399162861436</v>
      </c>
      <c r="AA2644">
        <v>100</v>
      </c>
    </row>
    <row r="2645" spans="1:27" x14ac:dyDescent="0.2">
      <c r="A2645">
        <v>30</v>
      </c>
      <c r="B2645">
        <v>3</v>
      </c>
      <c r="C2645">
        <v>0.1</v>
      </c>
      <c r="D2645" s="4">
        <v>100</v>
      </c>
      <c r="E2645">
        <v>1.2559628576011399</v>
      </c>
      <c r="F2645">
        <v>3</v>
      </c>
      <c r="G2645">
        <v>28.398871766999999</v>
      </c>
      <c r="H2645">
        <v>1.0178914618510799</v>
      </c>
      <c r="I2645">
        <v>3</v>
      </c>
      <c r="J2645">
        <v>1.4929955100000001</v>
      </c>
      <c r="P2645"/>
      <c r="V2645">
        <v>1.0182362008775001</v>
      </c>
      <c r="W2645">
        <v>3</v>
      </c>
      <c r="X2645">
        <v>75582.389156883</v>
      </c>
      <c r="Y2645">
        <v>35770</v>
      </c>
      <c r="Z2645">
        <v>5.1845913784999802E-2</v>
      </c>
      <c r="AA2645">
        <v>100</v>
      </c>
    </row>
    <row r="2646" spans="1:27" x14ac:dyDescent="0.2">
      <c r="A2646">
        <v>30</v>
      </c>
      <c r="B2646">
        <v>3</v>
      </c>
      <c r="C2646">
        <v>0.4</v>
      </c>
      <c r="D2646" s="4">
        <v>100</v>
      </c>
      <c r="E2646">
        <v>0.13000426238274199</v>
      </c>
      <c r="F2646">
        <v>3</v>
      </c>
      <c r="G2646">
        <v>28.297692323</v>
      </c>
      <c r="H2646">
        <v>3.6629459203206302E-2</v>
      </c>
      <c r="I2646">
        <v>3</v>
      </c>
      <c r="J2646">
        <v>0.70222598700000005</v>
      </c>
      <c r="P2646"/>
      <c r="V2646">
        <v>3.1370112880157799E-2</v>
      </c>
      <c r="W2646">
        <v>3</v>
      </c>
      <c r="X2646">
        <v>75704.687671838998</v>
      </c>
      <c r="Y2646">
        <v>37449</v>
      </c>
      <c r="Z2646">
        <v>5.1080770078932396</v>
      </c>
      <c r="AA2646">
        <v>100</v>
      </c>
    </row>
    <row r="2647" spans="1:27" x14ac:dyDescent="0.2">
      <c r="A2647">
        <v>30</v>
      </c>
      <c r="B2647">
        <v>3</v>
      </c>
      <c r="C2647">
        <v>0.1</v>
      </c>
      <c r="D2647" s="4">
        <v>100</v>
      </c>
      <c r="E2647">
        <v>1.0381247888587799</v>
      </c>
      <c r="F2647">
        <v>3</v>
      </c>
      <c r="G2647">
        <v>30.566937719999999</v>
      </c>
      <c r="H2647">
        <v>0.94162128939259304</v>
      </c>
      <c r="I2647">
        <v>3</v>
      </c>
      <c r="J2647">
        <v>1.6870534210000001</v>
      </c>
      <c r="P2647"/>
      <c r="V2647">
        <v>0.94226173438373795</v>
      </c>
      <c r="W2647">
        <v>3</v>
      </c>
      <c r="X2647">
        <v>77134.212565031994</v>
      </c>
      <c r="Y2647">
        <v>23955</v>
      </c>
      <c r="Z2647">
        <v>0.104341236743922</v>
      </c>
      <c r="AA2647">
        <v>100</v>
      </c>
    </row>
    <row r="2648" spans="1:27" x14ac:dyDescent="0.2">
      <c r="A2648">
        <v>30</v>
      </c>
      <c r="B2648">
        <v>3</v>
      </c>
      <c r="C2648">
        <v>0.3</v>
      </c>
      <c r="D2648" s="4">
        <v>100</v>
      </c>
      <c r="E2648">
        <v>0.28937500008335398</v>
      </c>
      <c r="F2648">
        <v>3</v>
      </c>
      <c r="G2648">
        <v>30.580686500999999</v>
      </c>
      <c r="H2648">
        <v>0.107867157060602</v>
      </c>
      <c r="I2648">
        <v>3</v>
      </c>
      <c r="J2648">
        <v>1.0454171809999999</v>
      </c>
      <c r="P2648"/>
      <c r="V2648">
        <v>0.103406679675693</v>
      </c>
      <c r="W2648">
        <v>3</v>
      </c>
      <c r="X2648">
        <v>76377.955100167004</v>
      </c>
      <c r="Y2648">
        <v>2499</v>
      </c>
      <c r="Z2648">
        <v>3.5845830979526201</v>
      </c>
      <c r="AA2648">
        <v>100</v>
      </c>
    </row>
    <row r="2649" spans="1:27" x14ac:dyDescent="0.2">
      <c r="A2649">
        <v>30</v>
      </c>
      <c r="B2649">
        <v>3</v>
      </c>
      <c r="C2649">
        <v>0.2</v>
      </c>
      <c r="D2649" s="4">
        <v>100</v>
      </c>
      <c r="E2649">
        <v>0.59127352169606195</v>
      </c>
      <c r="F2649">
        <v>3</v>
      </c>
      <c r="G2649">
        <v>27.996780209000001</v>
      </c>
      <c r="H2649">
        <v>0.49889764439836498</v>
      </c>
      <c r="I2649">
        <v>3</v>
      </c>
      <c r="J2649">
        <v>1.657960281</v>
      </c>
      <c r="P2649"/>
      <c r="V2649">
        <v>0.50129469983266906</v>
      </c>
      <c r="W2649">
        <v>3</v>
      </c>
      <c r="X2649">
        <v>77194.240245463996</v>
      </c>
      <c r="Y2649">
        <v>72062</v>
      </c>
      <c r="Z2649">
        <v>1.59407305918117</v>
      </c>
      <c r="AA2649">
        <v>100</v>
      </c>
    </row>
    <row r="2650" spans="1:27" x14ac:dyDescent="0.2">
      <c r="A2650">
        <v>30</v>
      </c>
      <c r="B2650">
        <v>3</v>
      </c>
      <c r="C2650">
        <v>0.1</v>
      </c>
      <c r="D2650" s="4">
        <v>100</v>
      </c>
      <c r="E2650">
        <v>0.98366429861109705</v>
      </c>
      <c r="F2650">
        <v>3</v>
      </c>
      <c r="G2650">
        <v>29.376199357000001</v>
      </c>
      <c r="H2650">
        <v>0.89320623233305996</v>
      </c>
      <c r="I2650">
        <v>3</v>
      </c>
      <c r="J2650">
        <v>1.5865717450000001</v>
      </c>
      <c r="P2650"/>
      <c r="V2650">
        <v>0.89363495396471404</v>
      </c>
      <c r="W2650">
        <v>3</v>
      </c>
      <c r="X2650">
        <v>76300.117819196996</v>
      </c>
      <c r="Y2650">
        <v>29192</v>
      </c>
      <c r="Z2650">
        <v>7.8641591170515598E-2</v>
      </c>
      <c r="AA2650">
        <v>100</v>
      </c>
    </row>
    <row r="2651" spans="1:27" x14ac:dyDescent="0.2">
      <c r="A2651">
        <v>30</v>
      </c>
      <c r="B2651">
        <v>3</v>
      </c>
      <c r="C2651">
        <v>0.2</v>
      </c>
      <c r="D2651" s="4">
        <v>100</v>
      </c>
      <c r="E2651">
        <v>0.69167281714883599</v>
      </c>
      <c r="F2651">
        <v>3</v>
      </c>
      <c r="G2651">
        <v>30.242454651999999</v>
      </c>
      <c r="H2651">
        <v>0.81040726752542402</v>
      </c>
      <c r="I2651">
        <v>3</v>
      </c>
      <c r="J2651">
        <v>1.7058844520000001</v>
      </c>
      <c r="P2651"/>
      <c r="V2651">
        <v>0.81273739304334403</v>
      </c>
      <c r="W2651">
        <v>3</v>
      </c>
      <c r="X2651">
        <v>76452.337413144007</v>
      </c>
      <c r="Y2651">
        <v>17488</v>
      </c>
      <c r="Z2651">
        <v>1.0099197115559899</v>
      </c>
      <c r="AA2651">
        <v>100</v>
      </c>
    </row>
    <row r="2652" spans="1:27" x14ac:dyDescent="0.2">
      <c r="A2652">
        <v>30</v>
      </c>
      <c r="B2652">
        <v>3</v>
      </c>
      <c r="C2652">
        <v>0.1</v>
      </c>
      <c r="D2652" s="4">
        <v>100</v>
      </c>
      <c r="E2652">
        <v>1.0217326688920401</v>
      </c>
      <c r="F2652">
        <v>3</v>
      </c>
      <c r="G2652">
        <v>29.357167409999999</v>
      </c>
      <c r="H2652">
        <v>0.96755378142841597</v>
      </c>
      <c r="I2652">
        <v>3</v>
      </c>
      <c r="J2652">
        <v>1.5169895410000001</v>
      </c>
      <c r="P2652"/>
      <c r="V2652">
        <v>0.967836066700136</v>
      </c>
      <c r="W2652">
        <v>3</v>
      </c>
      <c r="X2652">
        <v>77226.809787042002</v>
      </c>
      <c r="Y2652">
        <v>28998</v>
      </c>
      <c r="Z2652">
        <v>0.112044529504272</v>
      </c>
      <c r="AA2652">
        <v>100</v>
      </c>
    </row>
    <row r="2653" spans="1:27" x14ac:dyDescent="0.2">
      <c r="A2653">
        <v>30</v>
      </c>
      <c r="B2653">
        <v>3</v>
      </c>
      <c r="C2653">
        <v>0.3</v>
      </c>
      <c r="D2653" s="4">
        <v>100</v>
      </c>
      <c r="E2653">
        <v>0.29540714138693303</v>
      </c>
      <c r="F2653">
        <v>3</v>
      </c>
      <c r="G2653">
        <v>30.079049392000002</v>
      </c>
      <c r="H2653">
        <v>0.106364971403642</v>
      </c>
      <c r="I2653">
        <v>3</v>
      </c>
      <c r="J2653">
        <v>0.90748125700000004</v>
      </c>
      <c r="P2653"/>
      <c r="V2653">
        <v>0.100199986059739</v>
      </c>
      <c r="W2653">
        <v>3</v>
      </c>
      <c r="X2653">
        <v>76838.145778093996</v>
      </c>
      <c r="Y2653">
        <v>43785</v>
      </c>
      <c r="Z2653">
        <v>2.4368981832877799</v>
      </c>
      <c r="AA2653">
        <v>100</v>
      </c>
    </row>
    <row r="2654" spans="1:27" x14ac:dyDescent="0.2">
      <c r="A2654">
        <v>30</v>
      </c>
      <c r="B2654">
        <v>3</v>
      </c>
      <c r="C2654">
        <v>0.4</v>
      </c>
      <c r="D2654" s="4">
        <v>100</v>
      </c>
      <c r="E2654">
        <v>0.18481677969677701</v>
      </c>
      <c r="F2654">
        <v>3</v>
      </c>
      <c r="G2654">
        <v>29.165687600999998</v>
      </c>
      <c r="H2654">
        <v>0.13242656681843201</v>
      </c>
      <c r="I2654">
        <v>3</v>
      </c>
      <c r="J2654">
        <v>0.58057796800000006</v>
      </c>
      <c r="P2654"/>
      <c r="V2654">
        <v>0.111746674843375</v>
      </c>
      <c r="W2654">
        <v>3</v>
      </c>
      <c r="X2654">
        <v>78290.084773166993</v>
      </c>
      <c r="Y2654">
        <v>5051</v>
      </c>
      <c r="Z2654">
        <v>6.8289351962594003</v>
      </c>
      <c r="AA2654">
        <v>100</v>
      </c>
    </row>
    <row r="2655" spans="1:27" x14ac:dyDescent="0.2">
      <c r="A2655">
        <v>30</v>
      </c>
      <c r="B2655">
        <v>3</v>
      </c>
      <c r="C2655">
        <v>0.1</v>
      </c>
      <c r="D2655" s="4">
        <v>100</v>
      </c>
      <c r="E2655">
        <v>1.0102807871641899</v>
      </c>
      <c r="F2655">
        <v>3</v>
      </c>
      <c r="G2655">
        <v>28.587548169000002</v>
      </c>
      <c r="H2655">
        <v>0.98738757847395997</v>
      </c>
      <c r="I2655">
        <v>3</v>
      </c>
      <c r="J2655">
        <v>1.501295013</v>
      </c>
      <c r="P2655"/>
      <c r="V2655">
        <v>0.98838482972368402</v>
      </c>
      <c r="W2655">
        <v>3</v>
      </c>
      <c r="X2655">
        <v>77978.148459984994</v>
      </c>
      <c r="Y2655">
        <v>30859</v>
      </c>
      <c r="Z2655">
        <v>5.9713603844629898E-2</v>
      </c>
      <c r="AA2655">
        <v>100</v>
      </c>
    </row>
    <row r="2656" spans="1:27" x14ac:dyDescent="0.2">
      <c r="A2656">
        <v>30</v>
      </c>
      <c r="B2656">
        <v>3</v>
      </c>
      <c r="C2656">
        <v>0.2</v>
      </c>
      <c r="D2656" s="4">
        <v>100</v>
      </c>
      <c r="E2656">
        <v>0.53129993703240097</v>
      </c>
      <c r="F2656">
        <v>3</v>
      </c>
      <c r="G2656">
        <v>28.625018768</v>
      </c>
      <c r="H2656">
        <v>0.22229429130626999</v>
      </c>
      <c r="I2656">
        <v>3</v>
      </c>
      <c r="J2656">
        <v>1.5476914349999999</v>
      </c>
      <c r="P2656"/>
      <c r="V2656">
        <v>0.21341046311291301</v>
      </c>
      <c r="W2656">
        <v>3</v>
      </c>
      <c r="X2656">
        <v>78325.659274240999</v>
      </c>
      <c r="Y2656">
        <v>5008</v>
      </c>
      <c r="Z2656">
        <v>2.1987568838503599</v>
      </c>
      <c r="AA2656">
        <v>100</v>
      </c>
    </row>
    <row r="2657" spans="1:27" x14ac:dyDescent="0.2">
      <c r="A2657">
        <v>30</v>
      </c>
      <c r="B2657">
        <v>3</v>
      </c>
      <c r="C2657">
        <v>0.2</v>
      </c>
      <c r="D2657" s="4">
        <v>100</v>
      </c>
      <c r="E2657">
        <v>0.66892458963974399</v>
      </c>
      <c r="F2657">
        <v>3</v>
      </c>
      <c r="G2657">
        <v>28.606772887000002</v>
      </c>
      <c r="H2657">
        <v>0.52077926576311495</v>
      </c>
      <c r="I2657">
        <v>3</v>
      </c>
      <c r="J2657">
        <v>1.5430217749999999</v>
      </c>
      <c r="P2657"/>
      <c r="V2657">
        <v>0.52427427416608696</v>
      </c>
      <c r="W2657">
        <v>3</v>
      </c>
      <c r="X2657">
        <v>78973.635671619006</v>
      </c>
      <c r="Y2657">
        <v>4805</v>
      </c>
      <c r="Z2657">
        <v>1.6160497877590301</v>
      </c>
      <c r="AA2657">
        <v>100</v>
      </c>
    </row>
    <row r="2658" spans="1:27" x14ac:dyDescent="0.2">
      <c r="A2658">
        <v>30</v>
      </c>
      <c r="B2658">
        <v>3</v>
      </c>
      <c r="C2658">
        <v>0.3</v>
      </c>
      <c r="D2658" s="4">
        <v>100</v>
      </c>
      <c r="E2658">
        <v>0.27481542509010898</v>
      </c>
      <c r="F2658">
        <v>3</v>
      </c>
      <c r="G2658">
        <v>32.417747794</v>
      </c>
      <c r="H2658">
        <v>0.12395004760546099</v>
      </c>
      <c r="I2658">
        <v>3</v>
      </c>
      <c r="J2658">
        <v>1.006492218</v>
      </c>
      <c r="P2658"/>
      <c r="V2658">
        <v>0.113829389467896</v>
      </c>
      <c r="W2658">
        <v>3</v>
      </c>
      <c r="X2658">
        <v>79225.089543841998</v>
      </c>
      <c r="Y2658">
        <v>4927</v>
      </c>
      <c r="Z2658">
        <v>3.61057221875671</v>
      </c>
      <c r="AA2658">
        <v>100</v>
      </c>
    </row>
    <row r="2659" spans="1:27" x14ac:dyDescent="0.2">
      <c r="A2659">
        <v>30</v>
      </c>
      <c r="B2659">
        <v>3</v>
      </c>
      <c r="C2659">
        <v>0.2</v>
      </c>
      <c r="D2659" s="4">
        <v>100</v>
      </c>
      <c r="E2659">
        <v>0.50183562249195102</v>
      </c>
      <c r="F2659">
        <v>3</v>
      </c>
      <c r="G2659">
        <v>33.252220233999999</v>
      </c>
      <c r="H2659">
        <v>0.30000881412964497</v>
      </c>
      <c r="I2659">
        <v>3</v>
      </c>
      <c r="J2659">
        <v>2.0266203410000001</v>
      </c>
      <c r="P2659"/>
      <c r="V2659">
        <v>0.29520209787226298</v>
      </c>
      <c r="W2659">
        <v>3</v>
      </c>
      <c r="X2659">
        <v>80064.452481806002</v>
      </c>
      <c r="Y2659">
        <v>2608</v>
      </c>
      <c r="Z2659">
        <v>2.1047698765090801</v>
      </c>
      <c r="AA2659">
        <v>100</v>
      </c>
    </row>
    <row r="2660" spans="1:27" x14ac:dyDescent="0.2">
      <c r="A2660">
        <v>30</v>
      </c>
      <c r="B2660">
        <v>3</v>
      </c>
      <c r="C2660">
        <v>0.3</v>
      </c>
      <c r="D2660" s="4">
        <v>100</v>
      </c>
      <c r="E2660">
        <v>0.26932711443358298</v>
      </c>
      <c r="F2660">
        <v>3</v>
      </c>
      <c r="G2660">
        <v>34.081616138000001</v>
      </c>
      <c r="H2660">
        <v>0.13851408913826899</v>
      </c>
      <c r="I2660">
        <v>3</v>
      </c>
      <c r="J2660">
        <v>0.94834011399999996</v>
      </c>
      <c r="P2660"/>
      <c r="V2660">
        <v>0.12414899591756</v>
      </c>
      <c r="W2660">
        <v>3</v>
      </c>
      <c r="X2660">
        <v>80907.613279277997</v>
      </c>
      <c r="Y2660">
        <v>2676</v>
      </c>
      <c r="Z2660">
        <v>3.3436584322989802</v>
      </c>
      <c r="AA2660">
        <v>100</v>
      </c>
    </row>
    <row r="2661" spans="1:27" x14ac:dyDescent="0.2">
      <c r="A2661">
        <v>30</v>
      </c>
      <c r="B2661">
        <v>3</v>
      </c>
      <c r="C2661">
        <v>0.2</v>
      </c>
      <c r="D2661" s="4">
        <v>100</v>
      </c>
      <c r="E2661">
        <v>0.80333827388192902</v>
      </c>
      <c r="F2661">
        <v>3</v>
      </c>
      <c r="G2661">
        <v>24.579287355000002</v>
      </c>
      <c r="H2661">
        <v>0.75155058249364104</v>
      </c>
      <c r="I2661">
        <v>3</v>
      </c>
      <c r="J2661">
        <v>1.3387139400000001</v>
      </c>
      <c r="P2661"/>
      <c r="V2661">
        <v>0.75796893895508</v>
      </c>
      <c r="W2661">
        <v>3</v>
      </c>
      <c r="X2661">
        <v>80322.407839852007</v>
      </c>
      <c r="Y2661">
        <v>2520</v>
      </c>
      <c r="Z2661">
        <v>0.923637098990853</v>
      </c>
      <c r="AA2661">
        <v>100</v>
      </c>
    </row>
    <row r="2662" spans="1:27" x14ac:dyDescent="0.2">
      <c r="A2662">
        <v>30</v>
      </c>
      <c r="B2662">
        <v>3</v>
      </c>
      <c r="C2662">
        <v>0.3</v>
      </c>
      <c r="D2662" s="4">
        <v>100</v>
      </c>
      <c r="E2662">
        <v>0.31661470978091999</v>
      </c>
      <c r="F2662">
        <v>3</v>
      </c>
      <c r="G2662">
        <v>31.444602638999999</v>
      </c>
      <c r="H2662">
        <v>8.6777250135289405E-2</v>
      </c>
      <c r="I2662">
        <v>3</v>
      </c>
      <c r="J2662">
        <v>0.91348424800000005</v>
      </c>
      <c r="P2662"/>
      <c r="V2662">
        <v>7.5918611648434997E-2</v>
      </c>
      <c r="W2662">
        <v>3</v>
      </c>
      <c r="X2662">
        <v>75383.909169254999</v>
      </c>
      <c r="Y2662">
        <v>65298</v>
      </c>
      <c r="Z2662">
        <v>2.9844482944990798</v>
      </c>
      <c r="AA2662">
        <v>100</v>
      </c>
    </row>
    <row r="2663" spans="1:27" x14ac:dyDescent="0.2">
      <c r="A2663">
        <v>30</v>
      </c>
      <c r="B2663">
        <v>3</v>
      </c>
      <c r="C2663">
        <v>0.2</v>
      </c>
      <c r="D2663" s="4">
        <v>100</v>
      </c>
      <c r="E2663">
        <v>0.62142268174772797</v>
      </c>
      <c r="F2663">
        <v>3</v>
      </c>
      <c r="G2663">
        <v>33.668243795999999</v>
      </c>
      <c r="H2663">
        <v>0.27478722956287499</v>
      </c>
      <c r="I2663">
        <v>3</v>
      </c>
      <c r="J2663">
        <v>1.8105813159999999</v>
      </c>
      <c r="P2663"/>
      <c r="V2663">
        <v>0.27317008933372999</v>
      </c>
      <c r="W2663">
        <v>3</v>
      </c>
      <c r="X2663">
        <v>75472.768660846006</v>
      </c>
      <c r="Y2663">
        <v>51937</v>
      </c>
      <c r="Z2663">
        <v>1.15698323765836</v>
      </c>
      <c r="AA2663">
        <v>100</v>
      </c>
    </row>
    <row r="2664" spans="1:27" x14ac:dyDescent="0.2">
      <c r="A2664">
        <v>30</v>
      </c>
      <c r="B2664">
        <v>3</v>
      </c>
      <c r="C2664">
        <v>0.3</v>
      </c>
      <c r="D2664" s="4">
        <v>100</v>
      </c>
      <c r="E2664">
        <v>0.370276475344883</v>
      </c>
      <c r="F2664">
        <v>3</v>
      </c>
      <c r="G2664">
        <v>37.485035310999997</v>
      </c>
      <c r="H2664">
        <v>0.111573664636777</v>
      </c>
      <c r="I2664">
        <v>3</v>
      </c>
      <c r="J2664">
        <v>2.1041356520000001</v>
      </c>
      <c r="P2664"/>
      <c r="V2664">
        <v>0.105107584200576</v>
      </c>
      <c r="W2664">
        <v>3</v>
      </c>
      <c r="X2664">
        <v>75618.796416154</v>
      </c>
      <c r="Y2664">
        <v>37709</v>
      </c>
      <c r="Z2664">
        <v>2.8146558692388899</v>
      </c>
      <c r="AA2664">
        <v>100</v>
      </c>
    </row>
    <row r="2665" spans="1:27" x14ac:dyDescent="0.2">
      <c r="A2665">
        <v>30</v>
      </c>
      <c r="B2665">
        <v>3</v>
      </c>
      <c r="C2665">
        <v>0.1</v>
      </c>
      <c r="D2665" s="4">
        <v>100</v>
      </c>
      <c r="E2665">
        <v>1.01507904927356</v>
      </c>
      <c r="F2665">
        <v>3</v>
      </c>
      <c r="G2665">
        <v>30.791745326000001</v>
      </c>
      <c r="H2665">
        <v>0.91732724862526904</v>
      </c>
      <c r="I2665">
        <v>3</v>
      </c>
      <c r="J2665">
        <v>1.69479852</v>
      </c>
      <c r="P2665"/>
      <c r="V2665">
        <v>0.91763919938527805</v>
      </c>
      <c r="W2665">
        <v>3</v>
      </c>
      <c r="X2665">
        <v>75890.847957460006</v>
      </c>
      <c r="Y2665">
        <v>15544</v>
      </c>
      <c r="Z2665">
        <v>0.19890654792351101</v>
      </c>
      <c r="AA2665">
        <v>100</v>
      </c>
    </row>
    <row r="2666" spans="1:27" x14ac:dyDescent="0.2">
      <c r="A2666">
        <v>30</v>
      </c>
      <c r="B2666">
        <v>3</v>
      </c>
      <c r="C2666">
        <v>0.2</v>
      </c>
      <c r="D2666" s="4">
        <v>100</v>
      </c>
      <c r="E2666">
        <v>0.38100554469036102</v>
      </c>
      <c r="F2666">
        <v>3</v>
      </c>
      <c r="G2666">
        <v>29.53387661</v>
      </c>
      <c r="H2666">
        <v>0.28098048749504101</v>
      </c>
      <c r="I2666">
        <v>3</v>
      </c>
      <c r="J2666">
        <v>1.3766723409999999</v>
      </c>
      <c r="P2666"/>
      <c r="V2666">
        <v>0.28048799920640599</v>
      </c>
      <c r="W2666">
        <v>3</v>
      </c>
      <c r="X2666">
        <v>76142.035218952005</v>
      </c>
      <c r="Y2666">
        <v>13649</v>
      </c>
      <c r="Z2666">
        <v>1.40604929006597</v>
      </c>
      <c r="AA2666">
        <v>100</v>
      </c>
    </row>
    <row r="2667" spans="1:27" x14ac:dyDescent="0.2">
      <c r="A2667">
        <v>30</v>
      </c>
      <c r="B2667">
        <v>3</v>
      </c>
      <c r="C2667">
        <v>0.1</v>
      </c>
      <c r="D2667" s="4">
        <v>100</v>
      </c>
      <c r="E2667">
        <v>0.99830232620185999</v>
      </c>
      <c r="F2667">
        <v>3</v>
      </c>
      <c r="G2667">
        <v>32.109907688</v>
      </c>
      <c r="H2667">
        <v>0.98455925054966498</v>
      </c>
      <c r="I2667">
        <v>3</v>
      </c>
      <c r="J2667">
        <v>1.6528905629999999</v>
      </c>
      <c r="P2667"/>
      <c r="V2667">
        <v>0.98508559748161195</v>
      </c>
      <c r="W2667">
        <v>3</v>
      </c>
      <c r="X2667">
        <v>76188.494231745004</v>
      </c>
      <c r="Y2667">
        <v>10111</v>
      </c>
      <c r="Z2667">
        <v>8.9122647201937397E-2</v>
      </c>
      <c r="AA2667">
        <v>100</v>
      </c>
    </row>
    <row r="2668" spans="1:27" x14ac:dyDescent="0.2">
      <c r="A2668">
        <v>30</v>
      </c>
      <c r="B2668">
        <v>3</v>
      </c>
      <c r="C2668">
        <v>0.4</v>
      </c>
      <c r="D2668" s="4">
        <v>100</v>
      </c>
      <c r="E2668">
        <v>0.19336886053883501</v>
      </c>
      <c r="F2668">
        <v>3</v>
      </c>
      <c r="G2668">
        <v>32.259747761</v>
      </c>
      <c r="H2668">
        <v>7.0053769537830296E-2</v>
      </c>
      <c r="I2668">
        <v>3</v>
      </c>
      <c r="J2668">
        <v>1.0164584400000001</v>
      </c>
      <c r="P2668"/>
      <c r="V2668">
        <v>6.3576521918112999E-2</v>
      </c>
      <c r="W2668">
        <v>3</v>
      </c>
      <c r="X2668">
        <v>76566.631221702002</v>
      </c>
      <c r="Y2668">
        <v>2490</v>
      </c>
      <c r="Z2668">
        <v>4.8154160246376696</v>
      </c>
      <c r="AA2668">
        <v>100</v>
      </c>
    </row>
    <row r="2669" spans="1:27" x14ac:dyDescent="0.2">
      <c r="A2669">
        <v>30</v>
      </c>
      <c r="B2669">
        <v>3</v>
      </c>
      <c r="C2669">
        <v>0.4</v>
      </c>
      <c r="D2669" s="4">
        <v>100</v>
      </c>
      <c r="E2669">
        <v>0.19308698518674899</v>
      </c>
      <c r="F2669">
        <v>3</v>
      </c>
      <c r="G2669">
        <v>36.499903232999998</v>
      </c>
      <c r="H2669">
        <v>5.2927448009553603E-2</v>
      </c>
      <c r="I2669">
        <v>3</v>
      </c>
      <c r="J2669">
        <v>1.1791747969999999</v>
      </c>
      <c r="P2669"/>
      <c r="V2669">
        <v>4.3066156040497398E-2</v>
      </c>
      <c r="W2669">
        <v>3</v>
      </c>
      <c r="X2669">
        <v>76057.234298980999</v>
      </c>
      <c r="Y2669">
        <v>21800</v>
      </c>
      <c r="Z2669">
        <v>7.0209133375901702</v>
      </c>
      <c r="AA2669">
        <v>100</v>
      </c>
    </row>
    <row r="2670" spans="1:27" x14ac:dyDescent="0.2">
      <c r="A2670">
        <v>30</v>
      </c>
      <c r="B2670">
        <v>3</v>
      </c>
      <c r="C2670">
        <v>0.4</v>
      </c>
      <c r="D2670" s="4">
        <v>100</v>
      </c>
      <c r="E2670">
        <v>0.268201644975534</v>
      </c>
      <c r="F2670">
        <v>3</v>
      </c>
      <c r="G2670">
        <v>34.868699456000002</v>
      </c>
      <c r="H2670">
        <v>7.5091147861098897E-2</v>
      </c>
      <c r="I2670">
        <v>3</v>
      </c>
      <c r="J2670">
        <v>0.93167836100000001</v>
      </c>
      <c r="P2670"/>
      <c r="V2670">
        <v>6.7263922487442507E-2</v>
      </c>
      <c r="W2670">
        <v>3</v>
      </c>
      <c r="X2670">
        <v>78601.633912423</v>
      </c>
      <c r="Y2670">
        <v>2411</v>
      </c>
      <c r="Z2670">
        <v>6.1479005587352704</v>
      </c>
      <c r="AA2670">
        <v>100</v>
      </c>
    </row>
    <row r="2671" spans="1:27" x14ac:dyDescent="0.2">
      <c r="A2671">
        <v>30</v>
      </c>
      <c r="B2671">
        <v>3</v>
      </c>
      <c r="C2671">
        <v>0.3</v>
      </c>
      <c r="D2671" s="4">
        <v>100</v>
      </c>
      <c r="E2671">
        <v>0.28218093433816099</v>
      </c>
      <c r="F2671">
        <v>3</v>
      </c>
      <c r="G2671">
        <v>32.592922981999997</v>
      </c>
      <c r="H2671">
        <v>6.86062651249435E-2</v>
      </c>
      <c r="I2671">
        <v>3</v>
      </c>
      <c r="J2671">
        <v>0.87241221000000002</v>
      </c>
      <c r="P2671"/>
      <c r="V2671">
        <v>6.0114524722855799E-2</v>
      </c>
      <c r="W2671">
        <v>3</v>
      </c>
      <c r="X2671">
        <v>77836.377042020002</v>
      </c>
      <c r="Y2671">
        <v>4751</v>
      </c>
      <c r="Z2671">
        <v>3.7565999310718299</v>
      </c>
      <c r="AA2671">
        <v>100</v>
      </c>
    </row>
    <row r="2672" spans="1:27" x14ac:dyDescent="0.2">
      <c r="A2672">
        <v>30</v>
      </c>
      <c r="B2672">
        <v>2</v>
      </c>
      <c r="C2672">
        <v>0.3</v>
      </c>
      <c r="D2672">
        <v>100</v>
      </c>
      <c r="E2672">
        <v>0.122152821141281</v>
      </c>
      <c r="F2672">
        <v>2</v>
      </c>
      <c r="G2672">
        <v>33.391752152000002</v>
      </c>
      <c r="H2672">
        <v>3.6073152467769598E-2</v>
      </c>
      <c r="I2672">
        <v>2</v>
      </c>
      <c r="J2672">
        <v>0.42465763299999998</v>
      </c>
      <c r="P2672"/>
      <c r="V2672">
        <v>3.1452317849379997E-2</v>
      </c>
      <c r="W2672">
        <v>2</v>
      </c>
      <c r="X2672">
        <v>75840.997686928007</v>
      </c>
      <c r="Y2672">
        <v>57847</v>
      </c>
      <c r="Z2672">
        <v>1.2460740093134299</v>
      </c>
      <c r="AA2672">
        <v>100</v>
      </c>
    </row>
    <row r="2673" spans="1:27" x14ac:dyDescent="0.2">
      <c r="A2673">
        <v>30</v>
      </c>
      <c r="B2673">
        <v>2</v>
      </c>
      <c r="C2673">
        <v>0.4</v>
      </c>
      <c r="D2673">
        <v>100</v>
      </c>
      <c r="E2673">
        <v>2.5032653323312601E-2</v>
      </c>
      <c r="F2673">
        <v>2</v>
      </c>
      <c r="G2673">
        <v>37.931259021999999</v>
      </c>
      <c r="H2673">
        <v>2.31170031599361E-2</v>
      </c>
      <c r="I2673">
        <v>2</v>
      </c>
      <c r="J2673">
        <v>0.24443263100000001</v>
      </c>
      <c r="P2673"/>
      <c r="V2673">
        <v>1.7056617934700799E-2</v>
      </c>
      <c r="W2673">
        <v>2</v>
      </c>
      <c r="X2673">
        <v>75860.567063786002</v>
      </c>
      <c r="Y2673">
        <v>59508</v>
      </c>
      <c r="Z2673">
        <v>1.1937388738016499</v>
      </c>
      <c r="AA2673">
        <v>100</v>
      </c>
    </row>
    <row r="2674" spans="1:27" x14ac:dyDescent="0.2">
      <c r="A2674">
        <v>30</v>
      </c>
      <c r="B2674">
        <v>2</v>
      </c>
      <c r="C2674">
        <v>0.1</v>
      </c>
      <c r="D2674">
        <v>100</v>
      </c>
      <c r="E2674">
        <v>0.95592136464844502</v>
      </c>
      <c r="F2674">
        <v>2</v>
      </c>
      <c r="G2674">
        <v>31.118354722999999</v>
      </c>
      <c r="H2674">
        <v>0.763909316752727</v>
      </c>
      <c r="I2674">
        <v>2</v>
      </c>
      <c r="J2674">
        <v>1.3620313390000001</v>
      </c>
      <c r="P2674"/>
      <c r="V2674">
        <v>0.76288864723720695</v>
      </c>
      <c r="W2674">
        <v>2</v>
      </c>
      <c r="X2674">
        <v>76063.974839090995</v>
      </c>
      <c r="Y2674">
        <v>51208</v>
      </c>
      <c r="Z2674">
        <v>0.12574435989844701</v>
      </c>
      <c r="AA2674">
        <v>100</v>
      </c>
    </row>
    <row r="2675" spans="1:27" x14ac:dyDescent="0.2">
      <c r="A2675">
        <v>30</v>
      </c>
      <c r="B2675">
        <v>2</v>
      </c>
      <c r="C2675">
        <v>0.2</v>
      </c>
      <c r="D2675">
        <v>100</v>
      </c>
      <c r="E2675">
        <v>0.34173728983715901</v>
      </c>
      <c r="F2675">
        <v>2</v>
      </c>
      <c r="G2675">
        <v>34.116150928000003</v>
      </c>
      <c r="H2675">
        <v>0.119094669388425</v>
      </c>
      <c r="I2675">
        <v>2</v>
      </c>
      <c r="J2675">
        <v>1.110139802</v>
      </c>
      <c r="P2675"/>
      <c r="V2675">
        <v>0.11014587751997899</v>
      </c>
      <c r="W2675">
        <v>2</v>
      </c>
      <c r="X2675">
        <v>76474.439411897998</v>
      </c>
      <c r="Y2675">
        <v>25286</v>
      </c>
      <c r="Z2675">
        <v>0.992322614357941</v>
      </c>
      <c r="AA2675">
        <v>100</v>
      </c>
    </row>
    <row r="2676" spans="1:27" x14ac:dyDescent="0.2">
      <c r="A2676">
        <v>30</v>
      </c>
      <c r="B2676">
        <v>2</v>
      </c>
      <c r="C2676">
        <v>0.3</v>
      </c>
      <c r="D2676">
        <v>100</v>
      </c>
      <c r="E2676">
        <v>0.106799994805012</v>
      </c>
      <c r="F2676">
        <v>2</v>
      </c>
      <c r="G2676">
        <v>35.900280492</v>
      </c>
      <c r="H2676">
        <v>3.7044487060706698E-2</v>
      </c>
      <c r="I2676">
        <v>2</v>
      </c>
      <c r="J2676">
        <v>0.56362705400000002</v>
      </c>
      <c r="P2676"/>
      <c r="V2676">
        <v>2.93658548136119E-2</v>
      </c>
      <c r="W2676">
        <v>2</v>
      </c>
      <c r="X2676">
        <v>75903.481836783001</v>
      </c>
      <c r="Y2676">
        <v>18712</v>
      </c>
      <c r="Z2676">
        <v>1.18997475765718</v>
      </c>
      <c r="AA2676">
        <v>100</v>
      </c>
    </row>
    <row r="2677" spans="1:27" x14ac:dyDescent="0.2">
      <c r="A2677">
        <v>30</v>
      </c>
      <c r="B2677">
        <v>2</v>
      </c>
      <c r="C2677">
        <v>0.3</v>
      </c>
      <c r="D2677">
        <v>100</v>
      </c>
      <c r="E2677">
        <v>0.114453243548525</v>
      </c>
      <c r="F2677">
        <v>2</v>
      </c>
      <c r="G2677">
        <v>33.100439578</v>
      </c>
      <c r="H2677">
        <v>5.6477460852308203E-2</v>
      </c>
      <c r="I2677">
        <v>2</v>
      </c>
      <c r="J2677">
        <v>0.48275237100000001</v>
      </c>
      <c r="P2677"/>
      <c r="V2677">
        <v>4.7258245916940902E-2</v>
      </c>
      <c r="W2677">
        <v>2</v>
      </c>
      <c r="X2677">
        <v>75523.304243481994</v>
      </c>
      <c r="Y2677">
        <v>19109</v>
      </c>
      <c r="Z2677">
        <v>1.54142271310229</v>
      </c>
      <c r="AA2677">
        <v>100</v>
      </c>
    </row>
    <row r="2678" spans="1:27" x14ac:dyDescent="0.2">
      <c r="A2678">
        <v>30</v>
      </c>
      <c r="B2678">
        <v>2</v>
      </c>
      <c r="C2678">
        <v>0.1</v>
      </c>
      <c r="D2678">
        <v>100</v>
      </c>
      <c r="E2678">
        <v>0.914006646157842</v>
      </c>
      <c r="F2678">
        <v>2</v>
      </c>
      <c r="G2678">
        <v>36.880279741000003</v>
      </c>
      <c r="H2678">
        <v>0.85926230221555799</v>
      </c>
      <c r="I2678">
        <v>2</v>
      </c>
      <c r="J2678">
        <v>1.7400986300000001</v>
      </c>
      <c r="P2678"/>
      <c r="V2678">
        <v>0.85990074596750399</v>
      </c>
      <c r="W2678">
        <v>2</v>
      </c>
      <c r="X2678">
        <v>75903.973270930001</v>
      </c>
      <c r="Y2678">
        <v>18863</v>
      </c>
      <c r="Z2678">
        <v>5.6806822695251599E-2</v>
      </c>
      <c r="AA2678">
        <v>100</v>
      </c>
    </row>
    <row r="2679" spans="1:27" x14ac:dyDescent="0.2">
      <c r="A2679">
        <v>30</v>
      </c>
      <c r="B2679">
        <v>2</v>
      </c>
      <c r="C2679">
        <v>0.1</v>
      </c>
      <c r="D2679">
        <v>100</v>
      </c>
      <c r="E2679">
        <v>1.0281160760097301</v>
      </c>
      <c r="F2679">
        <v>2</v>
      </c>
      <c r="G2679">
        <v>38.53554432</v>
      </c>
      <c r="H2679">
        <v>1.05404429437902</v>
      </c>
      <c r="I2679">
        <v>2</v>
      </c>
      <c r="J2679">
        <v>1.614402552</v>
      </c>
      <c r="P2679"/>
      <c r="V2679">
        <v>1.05644832368385</v>
      </c>
      <c r="W2679">
        <v>2</v>
      </c>
      <c r="X2679">
        <v>77298.657478299006</v>
      </c>
      <c r="Y2679">
        <v>40216</v>
      </c>
      <c r="Z2679">
        <v>0.10367768342627701</v>
      </c>
      <c r="AA2679">
        <v>100</v>
      </c>
    </row>
    <row r="2680" spans="1:27" x14ac:dyDescent="0.2">
      <c r="A2680">
        <v>30</v>
      </c>
      <c r="B2680">
        <v>2</v>
      </c>
      <c r="C2680">
        <v>0.1</v>
      </c>
      <c r="D2680">
        <v>100</v>
      </c>
      <c r="E2680">
        <v>0.88486687853400403</v>
      </c>
      <c r="F2680">
        <v>2</v>
      </c>
      <c r="G2680">
        <v>33.618561139000001</v>
      </c>
      <c r="H2680">
        <v>0.79999281374268005</v>
      </c>
      <c r="I2680">
        <v>2</v>
      </c>
      <c r="J2680">
        <v>1.4159291119999999</v>
      </c>
      <c r="P2680"/>
      <c r="V2680">
        <v>0.80075325692283505</v>
      </c>
      <c r="W2680">
        <v>2</v>
      </c>
      <c r="X2680">
        <v>77252.783353045001</v>
      </c>
      <c r="Y2680">
        <v>42124</v>
      </c>
      <c r="Z2680">
        <v>9.0981154080168394E-2</v>
      </c>
      <c r="AA2680">
        <v>100</v>
      </c>
    </row>
    <row r="2681" spans="1:27" x14ac:dyDescent="0.2">
      <c r="A2681">
        <v>30</v>
      </c>
      <c r="B2681">
        <v>2</v>
      </c>
      <c r="C2681">
        <v>0.4</v>
      </c>
      <c r="D2681">
        <v>100</v>
      </c>
      <c r="E2681">
        <v>9.4421698221635805E-2</v>
      </c>
      <c r="F2681">
        <v>2</v>
      </c>
      <c r="G2681">
        <v>41.924239389999997</v>
      </c>
      <c r="H2681">
        <v>2.59799623497955E-2</v>
      </c>
      <c r="I2681">
        <v>2</v>
      </c>
      <c r="J2681">
        <v>0.54726107199999996</v>
      </c>
      <c r="P2681"/>
      <c r="V2681">
        <v>2.00584836224246E-2</v>
      </c>
      <c r="W2681">
        <v>2</v>
      </c>
      <c r="X2681">
        <v>76508.088514357005</v>
      </c>
      <c r="Y2681">
        <v>35208</v>
      </c>
      <c r="Z2681">
        <v>0.74782611603273197</v>
      </c>
      <c r="AA2681">
        <v>100</v>
      </c>
    </row>
    <row r="2682" spans="1:27" x14ac:dyDescent="0.2">
      <c r="A2682">
        <v>30</v>
      </c>
      <c r="B2682">
        <v>2</v>
      </c>
      <c r="C2682">
        <v>0.1</v>
      </c>
      <c r="D2682">
        <v>100</v>
      </c>
      <c r="E2682">
        <v>0.82209281914080101</v>
      </c>
      <c r="F2682">
        <v>2</v>
      </c>
      <c r="G2682">
        <v>35.367144191999998</v>
      </c>
      <c r="H2682">
        <v>0.714226000054627</v>
      </c>
      <c r="I2682">
        <v>2</v>
      </c>
      <c r="J2682">
        <v>1.623714777</v>
      </c>
      <c r="P2682"/>
      <c r="V2682">
        <v>0.71434695663847003</v>
      </c>
      <c r="W2682">
        <v>2</v>
      </c>
      <c r="X2682">
        <v>75917.022574731003</v>
      </c>
      <c r="Y2682">
        <v>23668</v>
      </c>
      <c r="Z2682">
        <v>0.114685978870452</v>
      </c>
      <c r="AA2682">
        <v>100</v>
      </c>
    </row>
    <row r="2683" spans="1:27" x14ac:dyDescent="0.2">
      <c r="A2683">
        <v>30</v>
      </c>
      <c r="B2683">
        <v>2</v>
      </c>
      <c r="C2683">
        <v>0.4</v>
      </c>
      <c r="D2683">
        <v>100</v>
      </c>
      <c r="E2683">
        <v>2.3234978444226801E-2</v>
      </c>
      <c r="F2683">
        <v>2</v>
      </c>
      <c r="G2683">
        <v>34.360181062999999</v>
      </c>
      <c r="H2683">
        <v>2.60820833654637E-2</v>
      </c>
      <c r="I2683">
        <v>2</v>
      </c>
      <c r="J2683">
        <v>0.268544224</v>
      </c>
      <c r="P2683"/>
      <c r="V2683">
        <v>2.0201119873988201E-2</v>
      </c>
      <c r="W2683">
        <v>2</v>
      </c>
      <c r="X2683">
        <v>75877.917932309996</v>
      </c>
      <c r="Y2683">
        <v>28831</v>
      </c>
      <c r="Z2683">
        <v>1.33853068336429</v>
      </c>
      <c r="AA2683">
        <v>100</v>
      </c>
    </row>
    <row r="2684" spans="1:27" x14ac:dyDescent="0.2">
      <c r="A2684">
        <v>30</v>
      </c>
      <c r="B2684">
        <v>2</v>
      </c>
      <c r="C2684">
        <v>0.1</v>
      </c>
      <c r="D2684">
        <v>100</v>
      </c>
      <c r="E2684">
        <v>0.97775536381585104</v>
      </c>
      <c r="F2684">
        <v>2</v>
      </c>
      <c r="G2684">
        <v>41.759678544000003</v>
      </c>
      <c r="H2684">
        <v>0.86902275413805596</v>
      </c>
      <c r="I2684">
        <v>2</v>
      </c>
      <c r="J2684">
        <v>1.5864882440000001</v>
      </c>
      <c r="P2684"/>
      <c r="V2684">
        <v>0.86736818445333297</v>
      </c>
      <c r="W2684">
        <v>2</v>
      </c>
      <c r="X2684">
        <v>76873.956941494995</v>
      </c>
      <c r="Y2684">
        <v>34619</v>
      </c>
      <c r="Z2684">
        <v>6.7196107432328997E-2</v>
      </c>
      <c r="AA2684">
        <v>100</v>
      </c>
    </row>
    <row r="2685" spans="1:27" x14ac:dyDescent="0.2">
      <c r="A2685">
        <v>30</v>
      </c>
      <c r="B2685">
        <v>2</v>
      </c>
      <c r="C2685">
        <v>0.2</v>
      </c>
      <c r="D2685">
        <v>100</v>
      </c>
      <c r="E2685">
        <v>0.26643266886349398</v>
      </c>
      <c r="F2685">
        <v>2</v>
      </c>
      <c r="G2685">
        <v>36.436207662000001</v>
      </c>
      <c r="H2685">
        <v>0.196568120012968</v>
      </c>
      <c r="I2685">
        <v>2</v>
      </c>
      <c r="J2685">
        <v>0.83868902499999998</v>
      </c>
      <c r="P2685"/>
      <c r="V2685">
        <v>0.17797319415643401</v>
      </c>
      <c r="W2685">
        <v>2</v>
      </c>
      <c r="X2685">
        <v>78889.918490290002</v>
      </c>
      <c r="Y2685">
        <v>35423</v>
      </c>
      <c r="Z2685">
        <v>0.71081968863031297</v>
      </c>
      <c r="AA2685">
        <v>100</v>
      </c>
    </row>
    <row r="2686" spans="1:27" x14ac:dyDescent="0.2">
      <c r="A2686">
        <v>30</v>
      </c>
      <c r="B2686">
        <v>2</v>
      </c>
      <c r="C2686">
        <v>0.4</v>
      </c>
      <c r="D2686">
        <v>100</v>
      </c>
      <c r="E2686">
        <v>1.4341288771475001E-2</v>
      </c>
      <c r="F2686">
        <v>2</v>
      </c>
      <c r="G2686">
        <v>32.645188163999997</v>
      </c>
      <c r="H2686">
        <v>1.7739170700727201E-2</v>
      </c>
      <c r="I2686">
        <v>2</v>
      </c>
      <c r="J2686">
        <v>0.194350208</v>
      </c>
      <c r="P2686"/>
      <c r="V2686">
        <v>1.1425908206748801E-2</v>
      </c>
      <c r="W2686">
        <v>2</v>
      </c>
      <c r="X2686">
        <v>76148.108106076994</v>
      </c>
      <c r="Y2686">
        <v>2189</v>
      </c>
      <c r="Z2686">
        <v>1.3355955445393599</v>
      </c>
      <c r="AA2686">
        <v>100</v>
      </c>
    </row>
    <row r="2687" spans="1:27" x14ac:dyDescent="0.2">
      <c r="A2687">
        <v>30</v>
      </c>
      <c r="B2687">
        <v>2</v>
      </c>
      <c r="C2687">
        <v>0.1</v>
      </c>
      <c r="D2687">
        <v>100</v>
      </c>
      <c r="E2687">
        <v>0.74541172114352205</v>
      </c>
      <c r="F2687">
        <v>2</v>
      </c>
      <c r="G2687">
        <v>31.845923846000002</v>
      </c>
      <c r="H2687">
        <v>0.63714632781320102</v>
      </c>
      <c r="I2687">
        <v>2</v>
      </c>
      <c r="J2687">
        <v>1.39746511</v>
      </c>
      <c r="P2687"/>
      <c r="V2687">
        <v>0.63638799895763098</v>
      </c>
      <c r="W2687">
        <v>2</v>
      </c>
      <c r="X2687">
        <v>75941.152755274001</v>
      </c>
      <c r="Y2687">
        <v>19852</v>
      </c>
      <c r="Z2687">
        <v>6.6597016275716195E-2</v>
      </c>
      <c r="AA2687">
        <v>100</v>
      </c>
    </row>
    <row r="2688" spans="1:27" x14ac:dyDescent="0.2">
      <c r="A2688">
        <v>30</v>
      </c>
      <c r="B2688">
        <v>2</v>
      </c>
      <c r="C2688">
        <v>0.1</v>
      </c>
      <c r="D2688">
        <v>100</v>
      </c>
      <c r="E2688">
        <v>1.1697190556438199</v>
      </c>
      <c r="F2688">
        <v>2</v>
      </c>
      <c r="G2688">
        <v>31.586438341000001</v>
      </c>
      <c r="H2688">
        <v>1.0061195999425601</v>
      </c>
      <c r="I2688">
        <v>2</v>
      </c>
      <c r="J2688">
        <v>1.3732173919999999</v>
      </c>
      <c r="P2688"/>
      <c r="V2688">
        <v>1.00771817719739</v>
      </c>
      <c r="W2688">
        <v>2</v>
      </c>
      <c r="X2688">
        <v>76373.031302399002</v>
      </c>
      <c r="Y2688">
        <v>42474</v>
      </c>
      <c r="Z2688">
        <v>8.7251862240323996E-2</v>
      </c>
      <c r="AA2688">
        <v>100</v>
      </c>
    </row>
    <row r="2689" spans="1:27" x14ac:dyDescent="0.2">
      <c r="A2689">
        <v>30</v>
      </c>
      <c r="B2689">
        <v>2</v>
      </c>
      <c r="C2689">
        <v>0.4</v>
      </c>
      <c r="D2689">
        <v>100</v>
      </c>
      <c r="E2689">
        <v>8.5238769177781795E-2</v>
      </c>
      <c r="F2689">
        <v>2</v>
      </c>
      <c r="G2689">
        <v>39.624987633000003</v>
      </c>
      <c r="H2689">
        <v>2.6623086409621001E-2</v>
      </c>
      <c r="I2689">
        <v>2</v>
      </c>
      <c r="J2689">
        <v>0.33482331799999998</v>
      </c>
      <c r="P2689"/>
      <c r="V2689">
        <v>2.21280124286173E-2</v>
      </c>
      <c r="W2689">
        <v>2</v>
      </c>
      <c r="X2689">
        <v>79320.919015804</v>
      </c>
      <c r="Y2689">
        <v>2904</v>
      </c>
      <c r="Z2689">
        <v>1.42193034286901</v>
      </c>
      <c r="AA2689">
        <v>100</v>
      </c>
    </row>
    <row r="2690" spans="1:27" x14ac:dyDescent="0.2">
      <c r="A2690">
        <v>30</v>
      </c>
      <c r="B2690">
        <v>2</v>
      </c>
      <c r="C2690">
        <v>0.2</v>
      </c>
      <c r="D2690">
        <v>100</v>
      </c>
      <c r="E2690">
        <v>0.33949385062571302</v>
      </c>
      <c r="F2690">
        <v>2</v>
      </c>
      <c r="G2690">
        <v>31.121340668999999</v>
      </c>
      <c r="H2690">
        <v>0.166086508147826</v>
      </c>
      <c r="I2690">
        <v>2</v>
      </c>
      <c r="J2690">
        <v>0.76060024000000004</v>
      </c>
      <c r="P2690"/>
      <c r="V2690">
        <v>0.16198373248897299</v>
      </c>
      <c r="W2690">
        <v>2</v>
      </c>
      <c r="X2690">
        <v>76707.453587969998</v>
      </c>
      <c r="Y2690">
        <v>78319</v>
      </c>
      <c r="Z2690">
        <v>0.95923443914376305</v>
      </c>
      <c r="AA2690">
        <v>100</v>
      </c>
    </row>
    <row r="2691" spans="1:27" x14ac:dyDescent="0.2">
      <c r="A2691">
        <v>30</v>
      </c>
      <c r="B2691">
        <v>2</v>
      </c>
      <c r="C2691">
        <v>0.4</v>
      </c>
      <c r="D2691">
        <v>100</v>
      </c>
      <c r="E2691">
        <v>0.104596112955695</v>
      </c>
      <c r="F2691">
        <v>2</v>
      </c>
      <c r="G2691">
        <v>33.290593706999999</v>
      </c>
      <c r="H2691">
        <v>3.1978666224876599E-2</v>
      </c>
      <c r="I2691">
        <v>2</v>
      </c>
      <c r="J2691">
        <v>0.33468613200000003</v>
      </c>
      <c r="P2691"/>
      <c r="V2691">
        <v>2.60535519361615E-2</v>
      </c>
      <c r="W2691">
        <v>2</v>
      </c>
      <c r="X2691">
        <v>77906.221405047996</v>
      </c>
      <c r="Y2691">
        <v>19393</v>
      </c>
      <c r="Z2691">
        <v>0.63845857993692301</v>
      </c>
      <c r="AA2691">
        <v>100</v>
      </c>
    </row>
    <row r="2692" spans="1:27" x14ac:dyDescent="0.2">
      <c r="A2692">
        <v>30</v>
      </c>
      <c r="B2692">
        <v>2</v>
      </c>
      <c r="C2692">
        <v>0.4</v>
      </c>
      <c r="D2692">
        <v>100</v>
      </c>
      <c r="E2692">
        <v>9.4486749955753901E-2</v>
      </c>
      <c r="F2692">
        <v>2</v>
      </c>
      <c r="G2692">
        <v>33.462126427999998</v>
      </c>
      <c r="H2692">
        <v>3.9816851114236301E-2</v>
      </c>
      <c r="I2692">
        <v>2</v>
      </c>
      <c r="J2692">
        <v>0.41866812599999997</v>
      </c>
      <c r="P2692"/>
      <c r="V2692">
        <v>3.2697541432225599E-2</v>
      </c>
      <c r="W2692">
        <v>2</v>
      </c>
      <c r="X2692">
        <v>75292.966770257</v>
      </c>
      <c r="Y2692">
        <v>20110</v>
      </c>
      <c r="Z2692">
        <v>2.6130945641943901</v>
      </c>
      <c r="AA2692">
        <v>100</v>
      </c>
    </row>
    <row r="2693" spans="1:27" x14ac:dyDescent="0.2">
      <c r="A2693">
        <v>30</v>
      </c>
      <c r="B2693">
        <v>2</v>
      </c>
      <c r="C2693">
        <v>0.3</v>
      </c>
      <c r="D2693">
        <v>100</v>
      </c>
      <c r="E2693">
        <v>0.17218682123676801</v>
      </c>
      <c r="F2693">
        <v>2</v>
      </c>
      <c r="G2693">
        <v>33.661034516999997</v>
      </c>
      <c r="H2693">
        <v>3.9662420472766198E-2</v>
      </c>
      <c r="I2693">
        <v>2</v>
      </c>
      <c r="J2693">
        <v>0.620661036</v>
      </c>
      <c r="P2693"/>
      <c r="V2693">
        <v>3.4747201162404401E-2</v>
      </c>
      <c r="W2693">
        <v>2</v>
      </c>
      <c r="X2693">
        <v>77017.462185416996</v>
      </c>
      <c r="Y2693">
        <v>40868</v>
      </c>
      <c r="Z2693">
        <v>1.3209770570047099</v>
      </c>
      <c r="AA2693">
        <v>100</v>
      </c>
    </row>
    <row r="2694" spans="1:27" x14ac:dyDescent="0.2">
      <c r="A2694">
        <v>30</v>
      </c>
      <c r="B2694">
        <v>2</v>
      </c>
      <c r="C2694">
        <v>0.2</v>
      </c>
      <c r="D2694">
        <v>100</v>
      </c>
      <c r="E2694">
        <v>0.32637368842390202</v>
      </c>
      <c r="F2694">
        <v>2</v>
      </c>
      <c r="G2694">
        <v>35.208702498999997</v>
      </c>
      <c r="H2694">
        <v>0.169487414716852</v>
      </c>
      <c r="I2694">
        <v>2</v>
      </c>
      <c r="J2694">
        <v>0.69767287499999997</v>
      </c>
      <c r="P2694"/>
      <c r="V2694">
        <v>0.16400699851862199</v>
      </c>
      <c r="W2694">
        <v>2</v>
      </c>
      <c r="X2694">
        <v>77759.762400053005</v>
      </c>
      <c r="Y2694">
        <v>4700</v>
      </c>
      <c r="Z2694">
        <v>0.70396389085180999</v>
      </c>
      <c r="AA2694">
        <v>100</v>
      </c>
    </row>
    <row r="2695" spans="1:27" x14ac:dyDescent="0.2">
      <c r="A2695">
        <v>30</v>
      </c>
      <c r="B2695">
        <v>2</v>
      </c>
      <c r="C2695">
        <v>0.3</v>
      </c>
      <c r="D2695">
        <v>100</v>
      </c>
      <c r="E2695">
        <v>0.139195206562337</v>
      </c>
      <c r="F2695">
        <v>2</v>
      </c>
      <c r="G2695">
        <v>37.354731395999998</v>
      </c>
      <c r="H2695">
        <v>4.8782007874120001E-2</v>
      </c>
      <c r="I2695">
        <v>2</v>
      </c>
      <c r="J2695">
        <v>0.58295300999999999</v>
      </c>
      <c r="P2695"/>
      <c r="V2695">
        <v>3.8776625974299199E-2</v>
      </c>
      <c r="W2695">
        <v>2</v>
      </c>
      <c r="X2695">
        <v>79871.402341559005</v>
      </c>
      <c r="Y2695">
        <v>2438</v>
      </c>
      <c r="Z2695">
        <v>1.69558815010896</v>
      </c>
      <c r="AA2695">
        <v>100</v>
      </c>
    </row>
    <row r="2696" spans="1:27" x14ac:dyDescent="0.2">
      <c r="A2696">
        <v>30</v>
      </c>
      <c r="B2696">
        <v>2</v>
      </c>
      <c r="C2696">
        <v>0.3</v>
      </c>
      <c r="D2696">
        <v>100</v>
      </c>
      <c r="E2696">
        <v>0.28612902641680099</v>
      </c>
      <c r="F2696">
        <v>2</v>
      </c>
      <c r="G2696">
        <v>38.208383636000001</v>
      </c>
      <c r="H2696">
        <v>6.2588014614591195E-2</v>
      </c>
      <c r="I2696">
        <v>2</v>
      </c>
      <c r="J2696">
        <v>0.67294162999999996</v>
      </c>
      <c r="P2696"/>
      <c r="V2696">
        <v>5.6530171563323801E-2</v>
      </c>
      <c r="W2696">
        <v>2</v>
      </c>
      <c r="X2696">
        <v>77941.716239419999</v>
      </c>
      <c r="Y2696">
        <v>3527</v>
      </c>
      <c r="Z2696">
        <v>1.5628882470537</v>
      </c>
      <c r="AA2696">
        <v>100</v>
      </c>
    </row>
    <row r="2697" spans="1:27" x14ac:dyDescent="0.2">
      <c r="A2697">
        <v>30</v>
      </c>
      <c r="B2697">
        <v>2</v>
      </c>
      <c r="C2697">
        <v>0.2</v>
      </c>
      <c r="D2697">
        <v>100</v>
      </c>
      <c r="E2697">
        <v>0.32458623606276599</v>
      </c>
      <c r="F2697">
        <v>2</v>
      </c>
      <c r="G2697">
        <v>32.540182082000001</v>
      </c>
      <c r="H2697">
        <v>0.13298535108811399</v>
      </c>
      <c r="I2697">
        <v>2</v>
      </c>
      <c r="J2697">
        <v>0.94119206600000005</v>
      </c>
      <c r="P2697"/>
      <c r="V2697">
        <v>0.124326770889888</v>
      </c>
      <c r="W2697">
        <v>2</v>
      </c>
      <c r="X2697">
        <v>75639.212489390004</v>
      </c>
      <c r="Y2697">
        <v>20288</v>
      </c>
      <c r="Z2697">
        <v>0.73535449912196704</v>
      </c>
      <c r="AA2697">
        <v>100</v>
      </c>
    </row>
    <row r="2698" spans="1:27" x14ac:dyDescent="0.2">
      <c r="A2698">
        <v>30</v>
      </c>
      <c r="B2698">
        <v>2</v>
      </c>
      <c r="C2698">
        <v>0.3</v>
      </c>
      <c r="D2698">
        <v>100</v>
      </c>
      <c r="E2698">
        <v>0.298061292410357</v>
      </c>
      <c r="F2698">
        <v>2</v>
      </c>
      <c r="G2698">
        <v>33.596660966000002</v>
      </c>
      <c r="H2698">
        <v>0.20951125947570401</v>
      </c>
      <c r="I2698">
        <v>2</v>
      </c>
      <c r="J2698">
        <v>0.42290713400000002</v>
      </c>
      <c r="P2698"/>
      <c r="V2698">
        <v>0.181041468467251</v>
      </c>
      <c r="W2698">
        <v>2</v>
      </c>
      <c r="X2698">
        <v>76104.461267345003</v>
      </c>
      <c r="Y2698">
        <v>58929</v>
      </c>
      <c r="Z2698">
        <v>1.65237083642169</v>
      </c>
      <c r="AA2698">
        <v>100</v>
      </c>
    </row>
    <row r="2699" spans="1:27" x14ac:dyDescent="0.2">
      <c r="A2699">
        <v>30</v>
      </c>
      <c r="B2699">
        <v>2</v>
      </c>
      <c r="C2699">
        <v>0.2</v>
      </c>
      <c r="D2699">
        <v>100</v>
      </c>
      <c r="E2699">
        <v>0.39011045717730602</v>
      </c>
      <c r="F2699">
        <v>2</v>
      </c>
      <c r="G2699">
        <v>36.556032565000002</v>
      </c>
      <c r="H2699">
        <v>0.15057812203933299</v>
      </c>
      <c r="I2699">
        <v>2</v>
      </c>
      <c r="J2699">
        <v>0.853290997</v>
      </c>
      <c r="P2699"/>
      <c r="V2699">
        <v>0.144073878161043</v>
      </c>
      <c r="W2699">
        <v>2</v>
      </c>
      <c r="X2699">
        <v>78468.818488625999</v>
      </c>
      <c r="Y2699">
        <v>2523</v>
      </c>
      <c r="Z2699">
        <v>1.7823905681652801</v>
      </c>
      <c r="AA2699">
        <v>100</v>
      </c>
    </row>
    <row r="2700" spans="1:27" x14ac:dyDescent="0.2">
      <c r="A2700">
        <v>30</v>
      </c>
      <c r="B2700">
        <v>2</v>
      </c>
      <c r="C2700">
        <v>0.2</v>
      </c>
      <c r="D2700">
        <v>100</v>
      </c>
      <c r="E2700">
        <v>0.46810547597114399</v>
      </c>
      <c r="F2700">
        <v>2</v>
      </c>
      <c r="G2700">
        <v>36.264529025000002</v>
      </c>
      <c r="H2700">
        <v>0.15135405801701901</v>
      </c>
      <c r="I2700">
        <v>2</v>
      </c>
      <c r="J2700">
        <v>1.2132902910000001</v>
      </c>
      <c r="P2700"/>
      <c r="V2700">
        <v>0.14458732882859099</v>
      </c>
      <c r="W2700">
        <v>2</v>
      </c>
      <c r="X2700">
        <v>80310.615352969005</v>
      </c>
      <c r="Y2700">
        <v>2429</v>
      </c>
      <c r="Z2700">
        <v>1.41883263210911</v>
      </c>
      <c r="AA2700">
        <v>100</v>
      </c>
    </row>
    <row r="2701" spans="1:27" x14ac:dyDescent="0.2">
      <c r="A2701">
        <v>30</v>
      </c>
      <c r="B2701">
        <v>2</v>
      </c>
      <c r="C2701">
        <v>0.3</v>
      </c>
      <c r="D2701">
        <v>100</v>
      </c>
      <c r="E2701">
        <v>0.119048825008481</v>
      </c>
      <c r="F2701">
        <v>2</v>
      </c>
      <c r="G2701">
        <v>34.956851317000002</v>
      </c>
      <c r="H2701">
        <v>4.6365133295774602E-2</v>
      </c>
      <c r="I2701">
        <v>2</v>
      </c>
      <c r="J2701">
        <v>0.42819584300000002</v>
      </c>
      <c r="P2701"/>
      <c r="V2701">
        <v>3.9256798932018701E-2</v>
      </c>
      <c r="W2701">
        <v>2</v>
      </c>
      <c r="X2701">
        <v>75798.970534677996</v>
      </c>
      <c r="Y2701">
        <v>54931</v>
      </c>
      <c r="Z2701">
        <v>2.5050967313460899</v>
      </c>
      <c r="AA2701">
        <v>100</v>
      </c>
    </row>
    <row r="2702" spans="1:27" x14ac:dyDescent="0.2">
      <c r="A2702">
        <v>30</v>
      </c>
      <c r="B2702">
        <v>2</v>
      </c>
      <c r="C2702">
        <v>0.2</v>
      </c>
      <c r="D2702">
        <v>100</v>
      </c>
      <c r="E2702">
        <v>0.39221463886163299</v>
      </c>
      <c r="F2702">
        <v>2</v>
      </c>
      <c r="G2702">
        <v>43.794192293000002</v>
      </c>
      <c r="H2702">
        <v>0.11761288418403</v>
      </c>
      <c r="I2702">
        <v>2</v>
      </c>
      <c r="J2702">
        <v>0.79150441100000002</v>
      </c>
      <c r="P2702"/>
      <c r="V2702">
        <v>0.11055723602223</v>
      </c>
      <c r="W2702">
        <v>2</v>
      </c>
      <c r="X2702">
        <v>80094.978209055</v>
      </c>
      <c r="Y2702">
        <v>2482</v>
      </c>
      <c r="Z2702">
        <v>1.63902927649178</v>
      </c>
      <c r="AA2702">
        <v>100</v>
      </c>
    </row>
    <row r="2703" spans="1:27" x14ac:dyDescent="0.2">
      <c r="A2703">
        <v>30</v>
      </c>
      <c r="B2703">
        <v>2</v>
      </c>
      <c r="C2703">
        <v>0.3</v>
      </c>
      <c r="D2703">
        <v>100</v>
      </c>
      <c r="E2703">
        <v>6.1525712306961002E-2</v>
      </c>
      <c r="F2703">
        <v>2</v>
      </c>
      <c r="G2703">
        <v>31.823122995999999</v>
      </c>
      <c r="H2703">
        <v>4.9538101019726603E-2</v>
      </c>
      <c r="I2703">
        <v>2</v>
      </c>
      <c r="J2703">
        <v>0.25424910499999998</v>
      </c>
      <c r="P2703"/>
      <c r="V2703">
        <v>3.75600648086898E-2</v>
      </c>
      <c r="W2703">
        <v>2</v>
      </c>
      <c r="X2703">
        <v>77277.686919059997</v>
      </c>
      <c r="Y2703">
        <v>2867</v>
      </c>
      <c r="Z2703">
        <v>0.93298733695448999</v>
      </c>
      <c r="AA2703">
        <v>100</v>
      </c>
    </row>
    <row r="2704" spans="1:27" x14ac:dyDescent="0.2">
      <c r="A2704">
        <v>30</v>
      </c>
      <c r="B2704">
        <v>2</v>
      </c>
      <c r="C2704">
        <v>0.1</v>
      </c>
      <c r="D2704">
        <v>100</v>
      </c>
      <c r="E2704">
        <v>1.02263713117583</v>
      </c>
      <c r="F2704">
        <v>2</v>
      </c>
      <c r="G2704">
        <v>33.779235356000001</v>
      </c>
      <c r="H2704">
        <v>1.0642532107759399</v>
      </c>
      <c r="I2704">
        <v>2</v>
      </c>
      <c r="J2704">
        <v>1.699294235</v>
      </c>
      <c r="P2704"/>
      <c r="V2704">
        <v>1.06839256818407</v>
      </c>
      <c r="W2704">
        <v>2</v>
      </c>
      <c r="X2704">
        <v>76971.176771839004</v>
      </c>
      <c r="Y2704">
        <v>34211</v>
      </c>
      <c r="Z2704">
        <v>3.8108074747630803E-2</v>
      </c>
      <c r="AA2704">
        <v>100</v>
      </c>
    </row>
    <row r="2705" spans="1:27" x14ac:dyDescent="0.2">
      <c r="A2705">
        <v>30</v>
      </c>
      <c r="B2705">
        <v>2</v>
      </c>
      <c r="C2705">
        <v>0.3</v>
      </c>
      <c r="D2705">
        <v>100</v>
      </c>
      <c r="E2705">
        <v>0.14653177043340601</v>
      </c>
      <c r="F2705">
        <v>2</v>
      </c>
      <c r="G2705">
        <v>35.928394576000002</v>
      </c>
      <c r="H2705">
        <v>4.6320820729515801E-2</v>
      </c>
      <c r="I2705">
        <v>2</v>
      </c>
      <c r="J2705">
        <v>0.81589419900000004</v>
      </c>
      <c r="P2705"/>
      <c r="V2705">
        <v>4.0842317577887498E-2</v>
      </c>
      <c r="W2705">
        <v>2</v>
      </c>
      <c r="X2705">
        <v>79169.529803628</v>
      </c>
      <c r="Y2705">
        <v>3707</v>
      </c>
      <c r="Z2705">
        <v>2.0456065829293899</v>
      </c>
      <c r="AA2705">
        <v>100</v>
      </c>
    </row>
    <row r="2706" spans="1:27" x14ac:dyDescent="0.2">
      <c r="A2706">
        <v>30</v>
      </c>
      <c r="B2706">
        <v>2</v>
      </c>
      <c r="C2706">
        <v>0.4</v>
      </c>
      <c r="D2706">
        <v>100</v>
      </c>
      <c r="E2706">
        <v>2.5480540544891999E-2</v>
      </c>
      <c r="F2706">
        <v>2</v>
      </c>
      <c r="G2706">
        <v>30.278592074999999</v>
      </c>
      <c r="H2706">
        <v>2.8062925508553199E-2</v>
      </c>
      <c r="I2706">
        <v>2</v>
      </c>
      <c r="J2706">
        <v>0.22301084700000001</v>
      </c>
      <c r="P2706"/>
      <c r="V2706">
        <v>2.1714151459316499E-2</v>
      </c>
      <c r="W2706">
        <v>2</v>
      </c>
      <c r="X2706">
        <v>77554.677155547004</v>
      </c>
      <c r="Y2706">
        <v>2802</v>
      </c>
      <c r="Z2706">
        <v>0.81088024034774497</v>
      </c>
      <c r="AA2706">
        <v>100</v>
      </c>
    </row>
    <row r="2707" spans="1:27" x14ac:dyDescent="0.2">
      <c r="A2707">
        <v>30</v>
      </c>
      <c r="B2707">
        <v>2</v>
      </c>
      <c r="C2707">
        <v>0.4</v>
      </c>
      <c r="D2707">
        <v>100</v>
      </c>
      <c r="E2707">
        <v>0.13336829081228499</v>
      </c>
      <c r="F2707">
        <v>2</v>
      </c>
      <c r="G2707">
        <v>38.827140555</v>
      </c>
      <c r="H2707">
        <v>3.1239824312235601E-2</v>
      </c>
      <c r="I2707">
        <v>2</v>
      </c>
      <c r="J2707">
        <v>0.37780468</v>
      </c>
      <c r="P2707"/>
      <c r="V2707">
        <v>2.65437963488597E-2</v>
      </c>
      <c r="W2707">
        <v>2</v>
      </c>
      <c r="X2707">
        <v>79924.338870545005</v>
      </c>
      <c r="Y2707">
        <v>2383</v>
      </c>
      <c r="Z2707">
        <v>2.2863392183152902</v>
      </c>
      <c r="AA2707">
        <v>100</v>
      </c>
    </row>
    <row r="2708" spans="1:27" x14ac:dyDescent="0.2">
      <c r="A2708">
        <v>30</v>
      </c>
      <c r="B2708">
        <v>2</v>
      </c>
      <c r="C2708">
        <v>0.1</v>
      </c>
      <c r="D2708">
        <v>100</v>
      </c>
      <c r="E2708">
        <v>0.76503125364796198</v>
      </c>
      <c r="F2708">
        <v>2</v>
      </c>
      <c r="G2708">
        <v>33.754539512000001</v>
      </c>
      <c r="H2708">
        <v>0.67334970682275297</v>
      </c>
      <c r="I2708">
        <v>2</v>
      </c>
      <c r="J2708">
        <v>1.3922086739999999</v>
      </c>
      <c r="P2708"/>
      <c r="V2708">
        <v>0.67348067336115303</v>
      </c>
      <c r="W2708">
        <v>2</v>
      </c>
      <c r="X2708">
        <v>77563.327014978</v>
      </c>
      <c r="Y2708">
        <v>34883</v>
      </c>
      <c r="Z2708">
        <v>9.2618415112831698E-2</v>
      </c>
      <c r="AA2708">
        <v>100</v>
      </c>
    </row>
    <row r="2709" spans="1:27" x14ac:dyDescent="0.2">
      <c r="A2709">
        <v>30</v>
      </c>
      <c r="B2709">
        <v>2</v>
      </c>
      <c r="C2709">
        <v>0.2</v>
      </c>
      <c r="D2709">
        <v>100</v>
      </c>
      <c r="E2709">
        <v>0.26365836416136301</v>
      </c>
      <c r="F2709">
        <v>2</v>
      </c>
      <c r="G2709">
        <v>31.796333237999999</v>
      </c>
      <c r="H2709">
        <v>9.8121429375552793E-2</v>
      </c>
      <c r="I2709">
        <v>2</v>
      </c>
      <c r="J2709">
        <v>0.73972412300000001</v>
      </c>
      <c r="P2709"/>
      <c r="V2709">
        <v>8.5917730963054703E-2</v>
      </c>
      <c r="W2709">
        <v>2</v>
      </c>
      <c r="X2709">
        <v>78529.611639395996</v>
      </c>
      <c r="Y2709">
        <v>4337</v>
      </c>
      <c r="Z2709">
        <v>0.86478839216943004</v>
      </c>
      <c r="AA2709">
        <v>100</v>
      </c>
    </row>
    <row r="2710" spans="1:27" x14ac:dyDescent="0.2">
      <c r="A2710">
        <v>30</v>
      </c>
      <c r="B2710">
        <v>2</v>
      </c>
      <c r="C2710">
        <v>0.4</v>
      </c>
      <c r="D2710">
        <v>100</v>
      </c>
      <c r="E2710">
        <v>0.103394438441002</v>
      </c>
      <c r="F2710">
        <v>2</v>
      </c>
      <c r="G2710">
        <v>34.023401012000001</v>
      </c>
      <c r="H2710">
        <v>4.1623424129121601E-2</v>
      </c>
      <c r="I2710">
        <v>2</v>
      </c>
      <c r="J2710">
        <v>0.40228667699999998</v>
      </c>
      <c r="P2710"/>
      <c r="V2710">
        <v>3.8080357961649103E-2</v>
      </c>
      <c r="W2710">
        <v>2</v>
      </c>
      <c r="X2710">
        <v>77735.363454314007</v>
      </c>
      <c r="Y2710">
        <v>2596</v>
      </c>
      <c r="Z2710">
        <v>1.39710738286339</v>
      </c>
      <c r="AA2710">
        <v>100</v>
      </c>
    </row>
    <row r="2711" spans="1:27" x14ac:dyDescent="0.2">
      <c r="A2711">
        <v>30</v>
      </c>
      <c r="B2711">
        <v>2</v>
      </c>
      <c r="C2711">
        <v>0.2</v>
      </c>
      <c r="D2711">
        <v>100</v>
      </c>
      <c r="E2711">
        <v>0.31901326345766501</v>
      </c>
      <c r="F2711">
        <v>2</v>
      </c>
      <c r="G2711">
        <v>29.849546446000002</v>
      </c>
      <c r="H2711">
        <v>7.6338398356486495E-2</v>
      </c>
      <c r="I2711">
        <v>2</v>
      </c>
      <c r="J2711">
        <v>0.61912261199999996</v>
      </c>
      <c r="P2711"/>
      <c r="V2711">
        <v>6.9552526375615403E-2</v>
      </c>
      <c r="W2711">
        <v>2</v>
      </c>
      <c r="X2711">
        <v>80712.220674411001</v>
      </c>
      <c r="Y2711">
        <v>2449</v>
      </c>
      <c r="Z2711">
        <v>0.92484940585745701</v>
      </c>
      <c r="AA2711">
        <v>100</v>
      </c>
    </row>
    <row r="2712" spans="1:27" x14ac:dyDescent="0.2">
      <c r="A2712">
        <v>30</v>
      </c>
      <c r="B2712">
        <v>2</v>
      </c>
      <c r="C2712">
        <v>0.1</v>
      </c>
      <c r="D2712">
        <v>100</v>
      </c>
      <c r="E2712">
        <v>1.16205376206226</v>
      </c>
      <c r="F2712">
        <v>2</v>
      </c>
      <c r="G2712">
        <v>31.098609388</v>
      </c>
      <c r="H2712">
        <v>0.83853484053356997</v>
      </c>
      <c r="I2712">
        <v>2</v>
      </c>
      <c r="J2712">
        <v>1.352919701</v>
      </c>
      <c r="P2712"/>
      <c r="V2712">
        <v>0.84066864528914398</v>
      </c>
      <c r="W2712">
        <v>2</v>
      </c>
      <c r="X2712">
        <v>75703.485917318001</v>
      </c>
      <c r="Y2712">
        <v>26776</v>
      </c>
      <c r="Z2712">
        <v>0.12777305229428701</v>
      </c>
      <c r="AA2712">
        <v>100</v>
      </c>
    </row>
    <row r="2713" spans="1:27" x14ac:dyDescent="0.2">
      <c r="A2713">
        <v>30</v>
      </c>
      <c r="B2713">
        <v>2</v>
      </c>
      <c r="C2713">
        <v>0.2</v>
      </c>
      <c r="D2713">
        <v>100</v>
      </c>
      <c r="E2713">
        <v>0.26368045180456201</v>
      </c>
      <c r="F2713">
        <v>2</v>
      </c>
      <c r="G2713">
        <v>44.751196243000003</v>
      </c>
      <c r="H2713">
        <v>8.1326293234602304E-2</v>
      </c>
      <c r="I2713">
        <v>2</v>
      </c>
      <c r="J2713">
        <v>1.498661864</v>
      </c>
      <c r="P2713"/>
      <c r="V2713">
        <v>7.5008760947786302E-2</v>
      </c>
      <c r="W2713">
        <v>2</v>
      </c>
      <c r="X2713">
        <v>75448.333250726995</v>
      </c>
      <c r="Y2713">
        <v>82962</v>
      </c>
      <c r="Z2713">
        <v>0.93829625540206996</v>
      </c>
      <c r="AA2713">
        <v>100</v>
      </c>
    </row>
    <row r="2714" spans="1:27" x14ac:dyDescent="0.2">
      <c r="A2714">
        <v>30</v>
      </c>
      <c r="B2714">
        <v>2</v>
      </c>
      <c r="C2714">
        <v>0.3</v>
      </c>
      <c r="D2714">
        <v>100</v>
      </c>
      <c r="E2714">
        <v>0.31117668816074201</v>
      </c>
      <c r="F2714">
        <v>2</v>
      </c>
      <c r="G2714">
        <v>40.845640203000002</v>
      </c>
      <c r="H2714">
        <v>5.1562848649065497E-2</v>
      </c>
      <c r="I2714">
        <v>2</v>
      </c>
      <c r="J2714">
        <v>0.87377833100000002</v>
      </c>
      <c r="P2714"/>
      <c r="V2714">
        <v>4.82344981566954E-2</v>
      </c>
      <c r="W2714">
        <v>2</v>
      </c>
      <c r="X2714">
        <v>77781.801747327001</v>
      </c>
      <c r="Y2714">
        <v>3011</v>
      </c>
      <c r="Z2714">
        <v>1.9335815738468201</v>
      </c>
      <c r="AA2714">
        <v>100</v>
      </c>
    </row>
    <row r="2715" spans="1:27" x14ac:dyDescent="0.2">
      <c r="A2715">
        <v>30</v>
      </c>
      <c r="B2715">
        <v>2</v>
      </c>
      <c r="C2715">
        <v>0.4</v>
      </c>
      <c r="D2715">
        <v>100</v>
      </c>
      <c r="E2715">
        <v>7.4443701776439303E-2</v>
      </c>
      <c r="F2715">
        <v>2</v>
      </c>
      <c r="G2715">
        <v>38.403010416999997</v>
      </c>
      <c r="H2715">
        <v>1.8775319116975001E-2</v>
      </c>
      <c r="I2715">
        <v>2</v>
      </c>
      <c r="J2715">
        <v>0.41412954200000002</v>
      </c>
      <c r="P2715"/>
      <c r="V2715">
        <v>1.3849244004137E-2</v>
      </c>
      <c r="W2715">
        <v>2</v>
      </c>
      <c r="X2715">
        <v>75485.613624587</v>
      </c>
      <c r="Y2715">
        <v>71373</v>
      </c>
      <c r="Z2715">
        <v>1.58451180647098</v>
      </c>
      <c r="AA2715">
        <v>100</v>
      </c>
    </row>
    <row r="2716" spans="1:27" x14ac:dyDescent="0.2">
      <c r="A2716">
        <v>30</v>
      </c>
      <c r="B2716">
        <v>2</v>
      </c>
      <c r="C2716">
        <v>0.1</v>
      </c>
      <c r="D2716">
        <v>100</v>
      </c>
      <c r="E2716">
        <v>1.0088217864723901</v>
      </c>
      <c r="F2716">
        <v>2</v>
      </c>
      <c r="G2716">
        <v>33.768628679999999</v>
      </c>
      <c r="H2716">
        <v>0.99436318742296204</v>
      </c>
      <c r="I2716">
        <v>2</v>
      </c>
      <c r="J2716">
        <v>1.3209608150000001</v>
      </c>
      <c r="P2716"/>
      <c r="V2716">
        <v>0.99646799708324396</v>
      </c>
      <c r="W2716">
        <v>2</v>
      </c>
      <c r="X2716">
        <v>75844.895686639007</v>
      </c>
      <c r="Y2716">
        <v>38197</v>
      </c>
      <c r="Z2716">
        <v>4.4618005705225901E-2</v>
      </c>
      <c r="AA2716">
        <v>100</v>
      </c>
    </row>
    <row r="2717" spans="1:27" x14ac:dyDescent="0.2">
      <c r="A2717">
        <v>30</v>
      </c>
      <c r="B2717">
        <v>2</v>
      </c>
      <c r="C2717">
        <v>0.3</v>
      </c>
      <c r="D2717">
        <v>100</v>
      </c>
      <c r="E2717">
        <v>0.16725579741722599</v>
      </c>
      <c r="F2717">
        <v>2</v>
      </c>
      <c r="G2717">
        <v>38.235435965999997</v>
      </c>
      <c r="H2717">
        <v>4.7614072656589297E-2</v>
      </c>
      <c r="I2717">
        <v>2</v>
      </c>
      <c r="J2717">
        <v>0.62193363099999999</v>
      </c>
      <c r="P2717"/>
      <c r="V2717">
        <v>4.2374787635436E-2</v>
      </c>
      <c r="W2717">
        <v>2</v>
      </c>
      <c r="X2717">
        <v>75500.162249891</v>
      </c>
      <c r="Y2717">
        <v>81544</v>
      </c>
      <c r="Z2717">
        <v>1.83083786804412</v>
      </c>
      <c r="AA2717">
        <v>100</v>
      </c>
    </row>
    <row r="2718" spans="1:27" x14ac:dyDescent="0.2">
      <c r="A2718">
        <v>30</v>
      </c>
      <c r="B2718">
        <v>2</v>
      </c>
      <c r="C2718">
        <v>0.3</v>
      </c>
      <c r="D2718">
        <v>100</v>
      </c>
      <c r="E2718">
        <v>0.29759970951203402</v>
      </c>
      <c r="F2718">
        <v>2</v>
      </c>
      <c r="G2718">
        <v>37.649509346000002</v>
      </c>
      <c r="H2718">
        <v>8.7036817399133201E-2</v>
      </c>
      <c r="I2718">
        <v>2</v>
      </c>
      <c r="J2718">
        <v>0.44137228299999998</v>
      </c>
      <c r="P2718"/>
      <c r="V2718">
        <v>8.0318894250336198E-2</v>
      </c>
      <c r="W2718">
        <v>2</v>
      </c>
      <c r="X2718">
        <v>75378.584821855999</v>
      </c>
      <c r="Y2718">
        <v>27446</v>
      </c>
      <c r="Z2718">
        <v>2.0100507077965601</v>
      </c>
      <c r="AA2718">
        <v>100</v>
      </c>
    </row>
    <row r="2719" spans="1:27" x14ac:dyDescent="0.2">
      <c r="A2719">
        <v>30</v>
      </c>
      <c r="B2719">
        <v>2</v>
      </c>
      <c r="C2719">
        <v>0.2</v>
      </c>
      <c r="D2719">
        <v>100</v>
      </c>
      <c r="E2719">
        <v>0.34520968935051299</v>
      </c>
      <c r="F2719">
        <v>2</v>
      </c>
      <c r="G2719">
        <v>34.690126544000002</v>
      </c>
      <c r="H2719">
        <v>0.170041383370335</v>
      </c>
      <c r="I2719">
        <v>2</v>
      </c>
      <c r="J2719">
        <v>0.61021879800000001</v>
      </c>
      <c r="P2719"/>
      <c r="V2719">
        <v>0.159115017080869</v>
      </c>
      <c r="W2719">
        <v>2</v>
      </c>
      <c r="X2719">
        <v>75329.589035123005</v>
      </c>
      <c r="Y2719">
        <v>103162</v>
      </c>
      <c r="Z2719">
        <v>0.56480952851961697</v>
      </c>
      <c r="AA2719">
        <v>100</v>
      </c>
    </row>
    <row r="2720" spans="1:27" x14ac:dyDescent="0.2">
      <c r="A2720">
        <v>30</v>
      </c>
      <c r="B2720">
        <v>2</v>
      </c>
      <c r="C2720">
        <v>0.3</v>
      </c>
      <c r="D2720">
        <v>100</v>
      </c>
      <c r="E2720">
        <v>0.15401139795528199</v>
      </c>
      <c r="F2720">
        <v>2</v>
      </c>
      <c r="G2720">
        <v>30.939747540999999</v>
      </c>
      <c r="H2720">
        <v>4.7861705565475698E-2</v>
      </c>
      <c r="I2720">
        <v>2</v>
      </c>
      <c r="J2720">
        <v>0.56502796099999997</v>
      </c>
      <c r="P2720"/>
      <c r="V2720">
        <v>4.1694002036292803E-2</v>
      </c>
      <c r="W2720">
        <v>2</v>
      </c>
      <c r="X2720">
        <v>75884.806876942996</v>
      </c>
      <c r="Y2720">
        <v>28072</v>
      </c>
      <c r="Z2720">
        <v>1.73113556020143</v>
      </c>
      <c r="AA2720">
        <v>100</v>
      </c>
    </row>
    <row r="2721" spans="1:27" x14ac:dyDescent="0.2">
      <c r="A2721">
        <v>30</v>
      </c>
      <c r="B2721">
        <v>2</v>
      </c>
      <c r="C2721">
        <v>0.1</v>
      </c>
      <c r="D2721">
        <v>100</v>
      </c>
      <c r="E2721">
        <v>0.86191557329938295</v>
      </c>
      <c r="F2721">
        <v>2</v>
      </c>
      <c r="G2721">
        <v>36.868537400000001</v>
      </c>
      <c r="H2721">
        <v>0.90144826293715996</v>
      </c>
      <c r="I2721">
        <v>2</v>
      </c>
      <c r="J2721">
        <v>1.51187096</v>
      </c>
      <c r="P2721"/>
      <c r="V2721">
        <v>0.90211646749067398</v>
      </c>
      <c r="W2721">
        <v>2</v>
      </c>
      <c r="X2721">
        <v>76349.709839870004</v>
      </c>
      <c r="Y2721">
        <v>39525</v>
      </c>
      <c r="Z2721">
        <v>5.8727929651427799E-2</v>
      </c>
      <c r="AA2721">
        <v>100</v>
      </c>
    </row>
    <row r="2722" spans="1:27" x14ac:dyDescent="0.2">
      <c r="A2722">
        <v>30</v>
      </c>
      <c r="B2722">
        <v>2</v>
      </c>
      <c r="C2722">
        <v>0.1</v>
      </c>
      <c r="D2722">
        <v>100</v>
      </c>
      <c r="E2722">
        <v>0.76667208208363502</v>
      </c>
      <c r="F2722">
        <v>2</v>
      </c>
      <c r="G2722">
        <v>36.490661621999998</v>
      </c>
      <c r="H2722">
        <v>0.73611869013078102</v>
      </c>
      <c r="I2722">
        <v>2</v>
      </c>
      <c r="J2722">
        <v>1.514907856</v>
      </c>
      <c r="P2722"/>
      <c r="V2722">
        <v>0.73648582020617004</v>
      </c>
      <c r="W2722">
        <v>2</v>
      </c>
      <c r="X2722">
        <v>76229.380910531996</v>
      </c>
      <c r="Y2722">
        <v>46824</v>
      </c>
      <c r="Z2722">
        <v>0.10412995931416399</v>
      </c>
      <c r="AA2722">
        <v>100</v>
      </c>
    </row>
    <row r="2723" spans="1:27" x14ac:dyDescent="0.2">
      <c r="A2723">
        <v>30</v>
      </c>
      <c r="B2723">
        <v>2</v>
      </c>
      <c r="C2723">
        <v>0.1</v>
      </c>
      <c r="D2723">
        <v>100</v>
      </c>
      <c r="E2723">
        <v>0.87837392579291695</v>
      </c>
      <c r="F2723">
        <v>2</v>
      </c>
      <c r="G2723">
        <v>31.641134394000002</v>
      </c>
      <c r="H2723">
        <v>0.774673239749885</v>
      </c>
      <c r="I2723">
        <v>2</v>
      </c>
      <c r="J2723">
        <v>1.4255788089999999</v>
      </c>
      <c r="P2723"/>
      <c r="V2723">
        <v>0.77554807126077097</v>
      </c>
      <c r="W2723">
        <v>2</v>
      </c>
      <c r="X2723">
        <v>76373.088100120993</v>
      </c>
      <c r="Y2723">
        <v>43533</v>
      </c>
      <c r="Z2723">
        <v>0.13577112902001401</v>
      </c>
      <c r="AA2723">
        <v>100</v>
      </c>
    </row>
    <row r="2724" spans="1:27" x14ac:dyDescent="0.2">
      <c r="A2724">
        <v>30</v>
      </c>
      <c r="B2724">
        <v>2</v>
      </c>
      <c r="C2724">
        <v>0.2</v>
      </c>
      <c r="D2724">
        <v>100</v>
      </c>
      <c r="E2724">
        <v>0.43314015546857798</v>
      </c>
      <c r="F2724">
        <v>2</v>
      </c>
      <c r="G2724">
        <v>29.255827863</v>
      </c>
      <c r="H2724">
        <v>0.39940243585247898</v>
      </c>
      <c r="I2724">
        <v>2</v>
      </c>
      <c r="J2724">
        <v>0.73696346599999996</v>
      </c>
      <c r="P2724"/>
      <c r="V2724">
        <v>0.39874893053365501</v>
      </c>
      <c r="W2724">
        <v>2</v>
      </c>
      <c r="X2724">
        <v>78404.042712527007</v>
      </c>
      <c r="Y2724">
        <v>2388</v>
      </c>
      <c r="Z2724">
        <v>1.3262036738360601</v>
      </c>
      <c r="AA2724">
        <v>100</v>
      </c>
    </row>
    <row r="2725" spans="1:27" x14ac:dyDescent="0.2">
      <c r="A2725">
        <v>30</v>
      </c>
      <c r="B2725">
        <v>2</v>
      </c>
      <c r="C2725">
        <v>0.4</v>
      </c>
      <c r="D2725">
        <v>100</v>
      </c>
      <c r="E2725">
        <v>8.6867150499832901E-2</v>
      </c>
      <c r="F2725">
        <v>2</v>
      </c>
      <c r="G2725">
        <v>35.482452164000001</v>
      </c>
      <c r="H2725">
        <v>2.1331754941707099E-2</v>
      </c>
      <c r="I2725">
        <v>2</v>
      </c>
      <c r="J2725">
        <v>0.23382413199999999</v>
      </c>
      <c r="P2725"/>
      <c r="V2725">
        <v>1.6769249679953701E-2</v>
      </c>
      <c r="W2725">
        <v>2</v>
      </c>
      <c r="X2725">
        <v>77089.266819997996</v>
      </c>
      <c r="Y2725">
        <v>34532</v>
      </c>
      <c r="Z2725">
        <v>1.4890169637091399</v>
      </c>
      <c r="AA2725">
        <v>100</v>
      </c>
    </row>
    <row r="2726" spans="1:27" x14ac:dyDescent="0.2">
      <c r="A2726">
        <v>30</v>
      </c>
      <c r="B2726">
        <v>2</v>
      </c>
      <c r="C2726">
        <v>0.4</v>
      </c>
      <c r="D2726">
        <v>100</v>
      </c>
      <c r="E2726">
        <v>6.9086986338915898E-2</v>
      </c>
      <c r="F2726">
        <v>2</v>
      </c>
      <c r="G2726">
        <v>28.876589874</v>
      </c>
      <c r="H2726">
        <v>4.2398914361298799E-2</v>
      </c>
      <c r="I2726">
        <v>2</v>
      </c>
      <c r="J2726">
        <v>0.24397433800000001</v>
      </c>
      <c r="P2726"/>
      <c r="V2726">
        <v>2.8304139456469101E-2</v>
      </c>
      <c r="W2726">
        <v>2</v>
      </c>
      <c r="X2726">
        <v>78538.130336659</v>
      </c>
      <c r="Y2726">
        <v>2456</v>
      </c>
      <c r="Z2726">
        <v>2.0264086911574801</v>
      </c>
      <c r="AA2726">
        <v>100</v>
      </c>
    </row>
    <row r="2727" spans="1:27" x14ac:dyDescent="0.2">
      <c r="A2727">
        <v>30</v>
      </c>
      <c r="B2727">
        <v>2</v>
      </c>
      <c r="C2727">
        <v>0.2</v>
      </c>
      <c r="D2727">
        <v>100</v>
      </c>
      <c r="E2727">
        <v>0.39335626055343598</v>
      </c>
      <c r="F2727">
        <v>2</v>
      </c>
      <c r="G2727">
        <v>30.952591695999999</v>
      </c>
      <c r="H2727">
        <v>0.21465642199210799</v>
      </c>
      <c r="I2727">
        <v>2</v>
      </c>
      <c r="J2727">
        <v>0.88559457100000005</v>
      </c>
      <c r="P2727"/>
      <c r="V2727">
        <v>0.21059749285038701</v>
      </c>
      <c r="W2727">
        <v>2</v>
      </c>
      <c r="X2727">
        <v>78412.705327792006</v>
      </c>
      <c r="Y2727">
        <v>2517</v>
      </c>
      <c r="Z2727">
        <v>1.2759990814302</v>
      </c>
      <c r="AA2727">
        <v>100</v>
      </c>
    </row>
    <row r="2728" spans="1:27" x14ac:dyDescent="0.2">
      <c r="A2728">
        <v>30</v>
      </c>
      <c r="B2728">
        <v>2</v>
      </c>
      <c r="C2728">
        <v>0.4</v>
      </c>
      <c r="D2728">
        <v>100</v>
      </c>
      <c r="E2728">
        <v>1.78506174007622E-2</v>
      </c>
      <c r="F2728">
        <v>2</v>
      </c>
      <c r="G2728">
        <v>31.277136535</v>
      </c>
      <c r="H2728">
        <v>1.87188412627293E-2</v>
      </c>
      <c r="I2728">
        <v>2</v>
      </c>
      <c r="J2728">
        <v>0.18825208900000001</v>
      </c>
      <c r="P2728"/>
      <c r="V2728">
        <v>1.3163704828836401E-2</v>
      </c>
      <c r="W2728">
        <v>2</v>
      </c>
      <c r="X2728">
        <v>79817.350248421004</v>
      </c>
      <c r="Y2728">
        <v>2404</v>
      </c>
      <c r="Z2728">
        <v>1.1923164166237199</v>
      </c>
      <c r="AA2728">
        <v>100</v>
      </c>
    </row>
    <row r="2729" spans="1:27" x14ac:dyDescent="0.2">
      <c r="A2729">
        <v>30</v>
      </c>
      <c r="B2729">
        <v>2</v>
      </c>
      <c r="C2729">
        <v>0.3</v>
      </c>
      <c r="D2729">
        <v>100</v>
      </c>
      <c r="E2729">
        <v>6.0506502717413098E-2</v>
      </c>
      <c r="F2729">
        <v>2</v>
      </c>
      <c r="G2729">
        <v>28.707563748999998</v>
      </c>
      <c r="H2729">
        <v>2.7563689088992802E-2</v>
      </c>
      <c r="I2729">
        <v>2</v>
      </c>
      <c r="J2729">
        <v>0.31475304700000001</v>
      </c>
      <c r="P2729"/>
      <c r="V2729">
        <v>2.3119150577067302E-2</v>
      </c>
      <c r="W2729">
        <v>2</v>
      </c>
      <c r="X2729">
        <v>78560.830338907996</v>
      </c>
      <c r="Y2729">
        <v>2431</v>
      </c>
      <c r="Z2729">
        <v>1.55678892034484</v>
      </c>
      <c r="AA2729">
        <v>100</v>
      </c>
    </row>
    <row r="2730" spans="1:27" x14ac:dyDescent="0.2">
      <c r="A2730">
        <v>30</v>
      </c>
      <c r="B2730">
        <v>2</v>
      </c>
      <c r="C2730">
        <v>0.4</v>
      </c>
      <c r="D2730">
        <v>100</v>
      </c>
      <c r="E2730">
        <v>8.2694592095894595E-2</v>
      </c>
      <c r="F2730">
        <v>2</v>
      </c>
      <c r="G2730">
        <v>29.861304651000001</v>
      </c>
      <c r="H2730">
        <v>2.63945447353825E-2</v>
      </c>
      <c r="I2730">
        <v>2</v>
      </c>
      <c r="J2730">
        <v>0.31232958300000002</v>
      </c>
      <c r="P2730"/>
      <c r="V2730">
        <v>2.1554983988620199E-2</v>
      </c>
      <c r="W2730">
        <v>2</v>
      </c>
      <c r="X2730">
        <v>76763.757763652</v>
      </c>
      <c r="Y2730">
        <v>3639</v>
      </c>
      <c r="Z2730">
        <v>1.01656687178789</v>
      </c>
      <c r="AA2730">
        <v>100</v>
      </c>
    </row>
    <row r="2731" spans="1:27" x14ac:dyDescent="0.2">
      <c r="A2731">
        <v>30</v>
      </c>
      <c r="B2731">
        <v>2</v>
      </c>
      <c r="C2731">
        <v>0.1</v>
      </c>
      <c r="D2731">
        <v>100</v>
      </c>
      <c r="E2731">
        <v>1.1603823823070401</v>
      </c>
      <c r="F2731">
        <v>2</v>
      </c>
      <c r="G2731">
        <v>37.604916174000003</v>
      </c>
      <c r="H2731">
        <v>1.06861980454854</v>
      </c>
      <c r="I2731">
        <v>2</v>
      </c>
      <c r="J2731">
        <v>1.4963058869999999</v>
      </c>
      <c r="P2731"/>
      <c r="V2731">
        <v>1.0716951964154</v>
      </c>
      <c r="W2731">
        <v>2</v>
      </c>
      <c r="X2731">
        <v>76904.236249947993</v>
      </c>
      <c r="Y2731">
        <v>40611</v>
      </c>
      <c r="Z2731">
        <v>9.2650771585348596E-2</v>
      </c>
      <c r="AA2731">
        <v>100</v>
      </c>
    </row>
    <row r="2732" spans="1:27" x14ac:dyDescent="0.2">
      <c r="A2732">
        <v>30</v>
      </c>
      <c r="B2732">
        <v>2</v>
      </c>
      <c r="C2732">
        <v>0.2</v>
      </c>
      <c r="D2732">
        <v>100</v>
      </c>
      <c r="E2732">
        <v>0.25900495140726398</v>
      </c>
      <c r="F2732">
        <v>2</v>
      </c>
      <c r="G2732">
        <v>27.706492002000001</v>
      </c>
      <c r="H2732">
        <v>0.117287566111121</v>
      </c>
      <c r="I2732">
        <v>2</v>
      </c>
      <c r="J2732">
        <v>0.70609773499999995</v>
      </c>
      <c r="P2732"/>
      <c r="V2732">
        <v>0.10813206735188401</v>
      </c>
      <c r="W2732">
        <v>2</v>
      </c>
      <c r="X2732">
        <v>76275.473493924001</v>
      </c>
      <c r="Y2732">
        <v>2816</v>
      </c>
      <c r="Z2732">
        <v>1.83937051234574</v>
      </c>
      <c r="AA2732">
        <v>100</v>
      </c>
    </row>
    <row r="2733" spans="1:27" x14ac:dyDescent="0.2">
      <c r="A2733">
        <v>30</v>
      </c>
      <c r="B2733">
        <v>2</v>
      </c>
      <c r="C2733">
        <v>0.1</v>
      </c>
      <c r="D2733">
        <v>100</v>
      </c>
      <c r="E2733">
        <v>0.77088439389993801</v>
      </c>
      <c r="F2733">
        <v>2</v>
      </c>
      <c r="G2733">
        <v>32.660428611</v>
      </c>
      <c r="H2733">
        <v>0.62981743411631896</v>
      </c>
      <c r="I2733">
        <v>2</v>
      </c>
      <c r="J2733">
        <v>1.6416895899999999</v>
      </c>
      <c r="P2733"/>
      <c r="V2733">
        <v>0.62730332633314301</v>
      </c>
      <c r="W2733">
        <v>2</v>
      </c>
      <c r="X2733">
        <v>77096.473886624997</v>
      </c>
      <c r="Y2733">
        <v>42432</v>
      </c>
      <c r="Z2733">
        <v>7.8572079799405198E-2</v>
      </c>
      <c r="AA2733">
        <v>100</v>
      </c>
    </row>
    <row r="2734" spans="1:27" x14ac:dyDescent="0.2">
      <c r="A2734">
        <v>30</v>
      </c>
      <c r="B2734">
        <v>2</v>
      </c>
      <c r="C2734">
        <v>0.4</v>
      </c>
      <c r="D2734">
        <v>100</v>
      </c>
      <c r="E2734">
        <v>0.15189068063303701</v>
      </c>
      <c r="F2734">
        <v>2</v>
      </c>
      <c r="G2734">
        <v>33.331921973</v>
      </c>
      <c r="H2734">
        <v>4.2002059996828503E-2</v>
      </c>
      <c r="I2734">
        <v>2</v>
      </c>
      <c r="J2734">
        <v>0.461972622</v>
      </c>
      <c r="P2734"/>
      <c r="V2734">
        <v>3.2782371097598802E-2</v>
      </c>
      <c r="W2734">
        <v>2</v>
      </c>
      <c r="X2734">
        <v>77940.272914834</v>
      </c>
      <c r="Y2734">
        <v>2628</v>
      </c>
      <c r="Z2734">
        <v>1.42135900960238</v>
      </c>
      <c r="AA2734">
        <v>100</v>
      </c>
    </row>
    <row r="2735" spans="1:27" x14ac:dyDescent="0.2">
      <c r="A2735">
        <v>30</v>
      </c>
      <c r="B2735">
        <v>2</v>
      </c>
      <c r="C2735">
        <v>0.1</v>
      </c>
      <c r="D2735">
        <v>100</v>
      </c>
      <c r="E2735">
        <v>0.95306737265622798</v>
      </c>
      <c r="F2735">
        <v>2</v>
      </c>
      <c r="G2735">
        <v>35.115720557000003</v>
      </c>
      <c r="H2735">
        <v>0.91031190834618803</v>
      </c>
      <c r="I2735">
        <v>2</v>
      </c>
      <c r="J2735">
        <v>1.531048867</v>
      </c>
      <c r="P2735"/>
      <c r="V2735">
        <v>0.91280079229537203</v>
      </c>
      <c r="W2735">
        <v>2</v>
      </c>
      <c r="X2735">
        <v>75790.761106268998</v>
      </c>
      <c r="Y2735">
        <v>40214</v>
      </c>
      <c r="Z2735">
        <v>4.0756338438730298E-2</v>
      </c>
      <c r="AA2735">
        <v>100</v>
      </c>
    </row>
    <row r="2736" spans="1:27" x14ac:dyDescent="0.2">
      <c r="A2736">
        <v>30</v>
      </c>
      <c r="B2736">
        <v>2</v>
      </c>
      <c r="C2736">
        <v>0.4</v>
      </c>
      <c r="D2736">
        <v>100</v>
      </c>
      <c r="E2736">
        <v>2.6000003256893701E-2</v>
      </c>
      <c r="F2736">
        <v>2</v>
      </c>
      <c r="G2736">
        <v>35.537428204999998</v>
      </c>
      <c r="H2736">
        <v>2.98552190631232E-2</v>
      </c>
      <c r="I2736">
        <v>2</v>
      </c>
      <c r="J2736">
        <v>9.1245437999999998E-2</v>
      </c>
      <c r="P2736"/>
      <c r="V2736">
        <v>2.7325391380624401E-2</v>
      </c>
      <c r="W2736">
        <v>2</v>
      </c>
      <c r="X2736">
        <v>76332.958903103005</v>
      </c>
      <c r="Y2736">
        <v>3224</v>
      </c>
      <c r="Z2736">
        <v>1.75052467571185</v>
      </c>
      <c r="AA2736">
        <v>100</v>
      </c>
    </row>
    <row r="2737" spans="1:27" x14ac:dyDescent="0.2">
      <c r="A2737">
        <v>30</v>
      </c>
      <c r="B2737">
        <v>2</v>
      </c>
      <c r="C2737">
        <v>0.2</v>
      </c>
      <c r="D2737">
        <v>100</v>
      </c>
      <c r="E2737">
        <v>0.34469781967157898</v>
      </c>
      <c r="F2737">
        <v>2</v>
      </c>
      <c r="G2737">
        <v>30.556359018999999</v>
      </c>
      <c r="H2737">
        <v>0.16354393953968099</v>
      </c>
      <c r="I2737">
        <v>2</v>
      </c>
      <c r="J2737">
        <v>1.0103540719999999</v>
      </c>
      <c r="P2737"/>
      <c r="V2737">
        <v>0.156110149108206</v>
      </c>
      <c r="W2737">
        <v>2</v>
      </c>
      <c r="X2737">
        <v>75891.007392651998</v>
      </c>
      <c r="Y2737">
        <v>62495</v>
      </c>
      <c r="Z2737">
        <v>0.863618505298411</v>
      </c>
      <c r="AA2737">
        <v>100</v>
      </c>
    </row>
    <row r="2738" spans="1:27" x14ac:dyDescent="0.2">
      <c r="A2738">
        <v>30</v>
      </c>
      <c r="B2738">
        <v>2</v>
      </c>
      <c r="C2738">
        <v>0.1</v>
      </c>
      <c r="D2738">
        <v>100</v>
      </c>
      <c r="E2738">
        <v>1.28642921472113</v>
      </c>
      <c r="F2738">
        <v>2</v>
      </c>
      <c r="G2738">
        <v>33.954282925999998</v>
      </c>
      <c r="H2738">
        <v>1.08603658411847</v>
      </c>
      <c r="I2738">
        <v>2</v>
      </c>
      <c r="J2738">
        <v>1.4478077789999999</v>
      </c>
      <c r="P2738"/>
      <c r="V2738">
        <v>1.08893210564814</v>
      </c>
      <c r="W2738">
        <v>2</v>
      </c>
      <c r="X2738">
        <v>75766.563351653997</v>
      </c>
      <c r="Y2738">
        <v>41479</v>
      </c>
      <c r="Z2738">
        <v>4.29606686077912E-2</v>
      </c>
      <c r="AA2738">
        <v>100</v>
      </c>
    </row>
    <row r="2739" spans="1:27" x14ac:dyDescent="0.2">
      <c r="A2739">
        <v>30</v>
      </c>
      <c r="B2739">
        <v>2</v>
      </c>
      <c r="C2739">
        <v>0.3</v>
      </c>
      <c r="D2739">
        <v>100</v>
      </c>
      <c r="E2739">
        <v>0.24239701306845601</v>
      </c>
      <c r="F2739">
        <v>2</v>
      </c>
      <c r="G2739">
        <v>29.107415491000001</v>
      </c>
      <c r="H2739">
        <v>7.7399094048936995E-2</v>
      </c>
      <c r="I2739">
        <v>2</v>
      </c>
      <c r="J2739">
        <v>0.50724468899999997</v>
      </c>
      <c r="P2739"/>
      <c r="V2739">
        <v>6.7421110556710101E-2</v>
      </c>
      <c r="W2739">
        <v>2</v>
      </c>
      <c r="X2739">
        <v>80364.669310544996</v>
      </c>
      <c r="Y2739">
        <v>2395</v>
      </c>
      <c r="Z2739">
        <v>1.5902087256708901</v>
      </c>
      <c r="AA2739">
        <v>100</v>
      </c>
    </row>
    <row r="2740" spans="1:27" x14ac:dyDescent="0.2">
      <c r="A2740">
        <v>30</v>
      </c>
      <c r="B2740">
        <v>2</v>
      </c>
      <c r="C2740">
        <v>0.2</v>
      </c>
      <c r="D2740">
        <v>100</v>
      </c>
      <c r="E2740">
        <v>0.49732454991896202</v>
      </c>
      <c r="F2740">
        <v>2</v>
      </c>
      <c r="G2740">
        <v>39.612603626000002</v>
      </c>
      <c r="H2740">
        <v>0.18989320663759299</v>
      </c>
      <c r="I2740">
        <v>2</v>
      </c>
      <c r="J2740">
        <v>0.95126087299999995</v>
      </c>
      <c r="P2740"/>
      <c r="V2740">
        <v>0.171194820127895</v>
      </c>
      <c r="W2740">
        <v>2</v>
      </c>
      <c r="X2740">
        <v>78551.433040438002</v>
      </c>
      <c r="Y2740">
        <v>2438</v>
      </c>
      <c r="Z2740">
        <v>1.2016243208436199</v>
      </c>
      <c r="AA2740">
        <v>100</v>
      </c>
    </row>
    <row r="2741" spans="1:27" x14ac:dyDescent="0.2">
      <c r="A2741">
        <v>30</v>
      </c>
      <c r="B2741">
        <v>2</v>
      </c>
      <c r="C2741">
        <v>0.3</v>
      </c>
      <c r="D2741">
        <v>100</v>
      </c>
      <c r="E2741">
        <v>0.155989615154316</v>
      </c>
      <c r="F2741">
        <v>2</v>
      </c>
      <c r="G2741">
        <v>34.521348969000002</v>
      </c>
      <c r="H2741">
        <v>4.2961639477111298E-2</v>
      </c>
      <c r="I2741">
        <v>2</v>
      </c>
      <c r="J2741">
        <v>0.47095413000000003</v>
      </c>
      <c r="P2741"/>
      <c r="V2741">
        <v>3.7805028088851701E-2</v>
      </c>
      <c r="W2741">
        <v>2</v>
      </c>
      <c r="X2741">
        <v>78311.078430898997</v>
      </c>
      <c r="Y2741">
        <v>2407</v>
      </c>
      <c r="Z2741">
        <v>2.71519179029201</v>
      </c>
      <c r="AA2741">
        <v>100</v>
      </c>
    </row>
    <row r="2742" spans="1:27" x14ac:dyDescent="0.2">
      <c r="A2742">
        <v>30</v>
      </c>
      <c r="B2742">
        <v>2</v>
      </c>
      <c r="C2742">
        <v>0.3</v>
      </c>
      <c r="D2742">
        <v>100</v>
      </c>
      <c r="E2742">
        <v>6.5997736142215796E-2</v>
      </c>
      <c r="F2742">
        <v>2</v>
      </c>
      <c r="G2742">
        <v>37.401961129</v>
      </c>
      <c r="H2742">
        <v>4.2829059361880403E-2</v>
      </c>
      <c r="I2742">
        <v>2</v>
      </c>
      <c r="J2742">
        <v>0.54582120700000003</v>
      </c>
      <c r="P2742"/>
      <c r="V2742">
        <v>3.2189205797205897E-2</v>
      </c>
      <c r="W2742">
        <v>2</v>
      </c>
      <c r="X2742">
        <v>75830.489216774004</v>
      </c>
      <c r="Y2742">
        <v>71773</v>
      </c>
      <c r="Z2742">
        <v>1.6989351122468801</v>
      </c>
      <c r="AA2742">
        <v>100</v>
      </c>
    </row>
    <row r="2743" spans="1:27" x14ac:dyDescent="0.2">
      <c r="A2743">
        <v>30</v>
      </c>
      <c r="B2743">
        <v>2</v>
      </c>
      <c r="C2743">
        <v>0.3</v>
      </c>
      <c r="D2743">
        <v>100</v>
      </c>
      <c r="E2743">
        <v>0.28118207562756298</v>
      </c>
      <c r="F2743">
        <v>2</v>
      </c>
      <c r="G2743">
        <v>41.335113325000002</v>
      </c>
      <c r="H2743">
        <v>7.8601878644870296E-2</v>
      </c>
      <c r="I2743">
        <v>2</v>
      </c>
      <c r="J2743">
        <v>0.64586649200000001</v>
      </c>
      <c r="P2743"/>
      <c r="V2743">
        <v>6.9965296820315506E-2</v>
      </c>
      <c r="W2743">
        <v>2</v>
      </c>
      <c r="X2743">
        <v>78519.759021067002</v>
      </c>
      <c r="Y2743">
        <v>2392</v>
      </c>
      <c r="Z2743">
        <v>1.5567668794137699</v>
      </c>
      <c r="AA2743">
        <v>100</v>
      </c>
    </row>
    <row r="2744" spans="1:27" x14ac:dyDescent="0.2">
      <c r="A2744">
        <v>30</v>
      </c>
      <c r="B2744">
        <v>2</v>
      </c>
      <c r="C2744">
        <v>0.4</v>
      </c>
      <c r="D2744">
        <v>100</v>
      </c>
      <c r="E2744">
        <v>4.2058892931311799E-2</v>
      </c>
      <c r="F2744">
        <v>2</v>
      </c>
      <c r="G2744">
        <v>40.871600620999999</v>
      </c>
      <c r="H2744">
        <v>2.5650227660841299E-2</v>
      </c>
      <c r="I2744">
        <v>2</v>
      </c>
      <c r="J2744">
        <v>0.33816639599999998</v>
      </c>
      <c r="P2744"/>
      <c r="V2744">
        <v>1.8767012148061299E-2</v>
      </c>
      <c r="W2744">
        <v>2</v>
      </c>
      <c r="X2744">
        <v>78452.851683678993</v>
      </c>
      <c r="Y2744">
        <v>2476</v>
      </c>
      <c r="Z2744">
        <v>1.42557236969356</v>
      </c>
      <c r="AA2744">
        <v>100</v>
      </c>
    </row>
    <row r="2745" spans="1:27" x14ac:dyDescent="0.2">
      <c r="A2745">
        <v>30</v>
      </c>
      <c r="B2745">
        <v>2</v>
      </c>
      <c r="C2745">
        <v>0.2</v>
      </c>
      <c r="D2745">
        <v>100</v>
      </c>
      <c r="E2745">
        <v>0.37140508536879602</v>
      </c>
      <c r="F2745">
        <v>2</v>
      </c>
      <c r="G2745">
        <v>29.012337768999998</v>
      </c>
      <c r="H2745">
        <v>0.19058781243457801</v>
      </c>
      <c r="I2745">
        <v>2</v>
      </c>
      <c r="J2745">
        <v>0.68257908099999998</v>
      </c>
      <c r="P2745"/>
      <c r="V2745">
        <v>0.187461398445912</v>
      </c>
      <c r="W2745">
        <v>2</v>
      </c>
      <c r="X2745">
        <v>78474.929003587997</v>
      </c>
      <c r="Y2745">
        <v>2543</v>
      </c>
      <c r="Z2745">
        <v>0.99716283840098097</v>
      </c>
      <c r="AA2745">
        <v>100</v>
      </c>
    </row>
    <row r="2746" spans="1:27" x14ac:dyDescent="0.2">
      <c r="A2746">
        <v>30</v>
      </c>
      <c r="B2746">
        <v>2</v>
      </c>
      <c r="C2746">
        <v>0.4</v>
      </c>
      <c r="D2746">
        <v>100</v>
      </c>
      <c r="E2746">
        <v>7.4612313397791299E-2</v>
      </c>
      <c r="F2746">
        <v>2</v>
      </c>
      <c r="G2746">
        <v>43.344800354</v>
      </c>
      <c r="H2746">
        <v>2.12464910950101E-2</v>
      </c>
      <c r="I2746">
        <v>2</v>
      </c>
      <c r="J2746">
        <v>0.42805125799999999</v>
      </c>
      <c r="P2746"/>
      <c r="V2746">
        <v>1.5919848387679601E-2</v>
      </c>
      <c r="W2746">
        <v>2</v>
      </c>
      <c r="X2746">
        <v>76758.840257716001</v>
      </c>
      <c r="Y2746">
        <v>17886</v>
      </c>
      <c r="Z2746">
        <v>1.0303746061799699</v>
      </c>
      <c r="AA2746">
        <v>100</v>
      </c>
    </row>
    <row r="2747" spans="1:27" x14ac:dyDescent="0.2">
      <c r="A2747">
        <v>30</v>
      </c>
      <c r="B2747">
        <v>2</v>
      </c>
      <c r="C2747">
        <v>0.1</v>
      </c>
      <c r="D2747">
        <v>100</v>
      </c>
      <c r="E2747">
        <v>0.86879550519411597</v>
      </c>
      <c r="F2747">
        <v>2</v>
      </c>
      <c r="G2747">
        <v>36.559854645999998</v>
      </c>
      <c r="H2747">
        <v>0.85217952021432597</v>
      </c>
      <c r="I2747">
        <v>2</v>
      </c>
      <c r="J2747">
        <v>1.508176832</v>
      </c>
      <c r="P2747"/>
      <c r="V2747">
        <v>0.85254187247506197</v>
      </c>
      <c r="W2747">
        <v>2</v>
      </c>
      <c r="X2747">
        <v>77374.59175064</v>
      </c>
      <c r="Y2747">
        <v>30673</v>
      </c>
      <c r="Z2747">
        <v>6.2570053626219493E-2</v>
      </c>
      <c r="AA2747">
        <v>100</v>
      </c>
    </row>
    <row r="2748" spans="1:27" x14ac:dyDescent="0.2">
      <c r="A2748">
        <v>40</v>
      </c>
      <c r="B2748">
        <v>3</v>
      </c>
      <c r="C2748">
        <v>0.1</v>
      </c>
      <c r="D2748">
        <v>20</v>
      </c>
      <c r="E2748">
        <v>0.813198848133449</v>
      </c>
      <c r="F2748">
        <v>3</v>
      </c>
      <c r="G2748">
        <v>30.131342514</v>
      </c>
      <c r="H2748">
        <v>0.812485421232095</v>
      </c>
      <c r="I2748">
        <v>3</v>
      </c>
      <c r="J2748">
        <v>2.803898883</v>
      </c>
      <c r="P2748"/>
      <c r="V2748">
        <v>0.81614306255568703</v>
      </c>
      <c r="W2748">
        <v>3</v>
      </c>
      <c r="X2748">
        <v>76213.497485767002</v>
      </c>
      <c r="Y2748">
        <v>5966</v>
      </c>
      <c r="Z2748">
        <v>2.60016383030597</v>
      </c>
      <c r="AA2748">
        <v>100</v>
      </c>
    </row>
    <row r="2749" spans="1:27" x14ac:dyDescent="0.2">
      <c r="A2749">
        <v>40</v>
      </c>
      <c r="B2749">
        <v>3</v>
      </c>
      <c r="C2749">
        <v>0.1</v>
      </c>
      <c r="D2749">
        <v>20</v>
      </c>
      <c r="E2749">
        <v>0.97464516983812599</v>
      </c>
      <c r="F2749">
        <v>3</v>
      </c>
      <c r="G2749">
        <v>30.775031690999999</v>
      </c>
      <c r="H2749">
        <v>0.98874468583862096</v>
      </c>
      <c r="I2749">
        <v>3</v>
      </c>
      <c r="J2749">
        <v>2.6699236970000002</v>
      </c>
      <c r="P2749"/>
      <c r="V2749">
        <v>0.99282354085428304</v>
      </c>
      <c r="W2749">
        <v>3</v>
      </c>
      <c r="X2749">
        <v>76115.783459098995</v>
      </c>
      <c r="Y2749">
        <v>5087</v>
      </c>
      <c r="Z2749">
        <v>1.3475231481087799</v>
      </c>
      <c r="AA2749">
        <v>100</v>
      </c>
    </row>
    <row r="2750" spans="1:27" x14ac:dyDescent="0.2">
      <c r="A2750">
        <v>40</v>
      </c>
      <c r="B2750">
        <v>3</v>
      </c>
      <c r="C2750">
        <v>0.1</v>
      </c>
      <c r="D2750">
        <v>20</v>
      </c>
      <c r="E2750">
        <v>0.92931195063568395</v>
      </c>
      <c r="F2750">
        <v>3</v>
      </c>
      <c r="G2750">
        <v>23.451577443000001</v>
      </c>
      <c r="H2750">
        <v>0.96571166724735702</v>
      </c>
      <c r="I2750">
        <v>3</v>
      </c>
      <c r="J2750">
        <v>1.8967856620000001</v>
      </c>
      <c r="P2750"/>
      <c r="V2750">
        <v>0.97362082360947799</v>
      </c>
      <c r="W2750">
        <v>3</v>
      </c>
      <c r="X2750">
        <v>76031.409770646002</v>
      </c>
      <c r="Y2750">
        <v>6607</v>
      </c>
      <c r="Z2750">
        <v>0.97442146326736701</v>
      </c>
      <c r="AA2750">
        <v>100</v>
      </c>
    </row>
    <row r="2751" spans="1:27" x14ac:dyDescent="0.2">
      <c r="A2751">
        <v>40</v>
      </c>
      <c r="B2751">
        <v>3</v>
      </c>
      <c r="C2751">
        <v>0.1</v>
      </c>
      <c r="D2751">
        <v>20</v>
      </c>
      <c r="E2751">
        <v>0.96898069961325906</v>
      </c>
      <c r="F2751">
        <v>3</v>
      </c>
      <c r="G2751">
        <v>28.370762023000001</v>
      </c>
      <c r="H2751">
        <v>0.879276964486573</v>
      </c>
      <c r="I2751">
        <v>3</v>
      </c>
      <c r="J2751">
        <v>2.3084489019999999</v>
      </c>
      <c r="P2751"/>
      <c r="V2751">
        <v>0.88516455190111298</v>
      </c>
      <c r="W2751">
        <v>3</v>
      </c>
      <c r="X2751">
        <v>76318.531798387994</v>
      </c>
      <c r="Y2751">
        <v>5206</v>
      </c>
      <c r="Z2751">
        <v>1.62479156404879</v>
      </c>
      <c r="AA2751">
        <v>100</v>
      </c>
    </row>
    <row r="2752" spans="1:27" x14ac:dyDescent="0.2">
      <c r="A2752">
        <v>40</v>
      </c>
      <c r="B2752">
        <v>3</v>
      </c>
      <c r="C2752">
        <v>0.1</v>
      </c>
      <c r="D2752">
        <v>20</v>
      </c>
      <c r="E2752">
        <v>1.0087040554406901</v>
      </c>
      <c r="F2752">
        <v>3</v>
      </c>
      <c r="G2752">
        <v>32.904138748999998</v>
      </c>
      <c r="H2752">
        <v>1.02647892565502</v>
      </c>
      <c r="I2752">
        <v>3</v>
      </c>
      <c r="J2752">
        <v>2.936346012</v>
      </c>
      <c r="P2752"/>
      <c r="V2752">
        <v>1.03194188231609</v>
      </c>
      <c r="W2752">
        <v>3</v>
      </c>
      <c r="X2752">
        <v>76259.290043704998</v>
      </c>
      <c r="Y2752">
        <v>6009</v>
      </c>
      <c r="Z2752">
        <v>1.39637488034559</v>
      </c>
      <c r="AA2752">
        <v>100</v>
      </c>
    </row>
    <row r="2753" spans="1:27" x14ac:dyDescent="0.2">
      <c r="A2753">
        <v>40</v>
      </c>
      <c r="B2753">
        <v>3</v>
      </c>
      <c r="C2753">
        <v>0.1</v>
      </c>
      <c r="D2753">
        <v>20</v>
      </c>
      <c r="E2753">
        <v>0.95644281867606995</v>
      </c>
      <c r="F2753">
        <v>3</v>
      </c>
      <c r="G2753">
        <v>33.879634699999997</v>
      </c>
      <c r="H2753">
        <v>0.93333694706379999</v>
      </c>
      <c r="I2753">
        <v>3</v>
      </c>
      <c r="J2753">
        <v>2.641874557</v>
      </c>
      <c r="P2753"/>
      <c r="V2753">
        <v>0.93837507883189597</v>
      </c>
      <c r="W2753">
        <v>3</v>
      </c>
      <c r="X2753">
        <v>76043.409275843005</v>
      </c>
      <c r="Y2753">
        <v>1590</v>
      </c>
      <c r="Z2753">
        <v>1.6585109539119001</v>
      </c>
      <c r="AA2753">
        <v>100</v>
      </c>
    </row>
    <row r="2754" spans="1:27" x14ac:dyDescent="0.2">
      <c r="A2754">
        <v>40</v>
      </c>
      <c r="B2754">
        <v>3</v>
      </c>
      <c r="C2754">
        <v>0.1</v>
      </c>
      <c r="D2754">
        <v>20</v>
      </c>
      <c r="E2754">
        <v>1.00590364592458</v>
      </c>
      <c r="F2754">
        <v>3</v>
      </c>
      <c r="G2754">
        <v>27.923358542999999</v>
      </c>
      <c r="H2754">
        <v>0.89149252233806497</v>
      </c>
      <c r="I2754">
        <v>3</v>
      </c>
      <c r="J2754">
        <v>2.677345866</v>
      </c>
      <c r="P2754"/>
      <c r="V2754">
        <v>0.89542761655685099</v>
      </c>
      <c r="W2754">
        <v>3</v>
      </c>
      <c r="X2754">
        <v>76717.623716545</v>
      </c>
      <c r="Y2754">
        <v>3539</v>
      </c>
      <c r="Z2754">
        <v>1.7609958406483199</v>
      </c>
      <c r="AA2754">
        <v>100</v>
      </c>
    </row>
    <row r="2755" spans="1:27" x14ac:dyDescent="0.2">
      <c r="A2755">
        <v>40</v>
      </c>
      <c r="B2755">
        <v>3</v>
      </c>
      <c r="C2755">
        <v>0.1</v>
      </c>
      <c r="D2755">
        <v>20</v>
      </c>
      <c r="E2755">
        <v>0.90976609427492605</v>
      </c>
      <c r="F2755">
        <v>3</v>
      </c>
      <c r="G2755">
        <v>30.513558500999999</v>
      </c>
      <c r="H2755">
        <v>0.92307216726431096</v>
      </c>
      <c r="I2755">
        <v>3</v>
      </c>
      <c r="J2755">
        <v>2.5252822949999998</v>
      </c>
      <c r="P2755"/>
      <c r="V2755">
        <v>0.92698451887113398</v>
      </c>
      <c r="W2755">
        <v>3</v>
      </c>
      <c r="X2755">
        <v>76272.051703454999</v>
      </c>
      <c r="Y2755">
        <v>5024</v>
      </c>
      <c r="Z2755">
        <v>2.1657998725368</v>
      </c>
      <c r="AA2755">
        <v>100</v>
      </c>
    </row>
    <row r="2756" spans="1:27" x14ac:dyDescent="0.2">
      <c r="A2756">
        <v>20</v>
      </c>
      <c r="B2756">
        <v>3</v>
      </c>
      <c r="C2756">
        <v>0.1</v>
      </c>
      <c r="D2756">
        <v>20</v>
      </c>
      <c r="E2756">
        <v>0.911280792951636</v>
      </c>
      <c r="F2756">
        <v>3</v>
      </c>
      <c r="G2756">
        <v>21.535437663</v>
      </c>
      <c r="H2756">
        <v>0.88930824713448198</v>
      </c>
      <c r="I2756">
        <v>3</v>
      </c>
      <c r="J2756">
        <v>0.514169455</v>
      </c>
      <c r="P2756"/>
      <c r="V2756">
        <v>0.89000124895727994</v>
      </c>
      <c r="W2756">
        <v>3</v>
      </c>
      <c r="X2756">
        <v>44.652566686999997</v>
      </c>
      <c r="Y2756">
        <v>1</v>
      </c>
      <c r="Z2756">
        <v>5.9044316125507201E-3</v>
      </c>
      <c r="AA2756">
        <v>1</v>
      </c>
    </row>
    <row r="2757" spans="1:27" x14ac:dyDescent="0.2">
      <c r="A2757">
        <v>20</v>
      </c>
      <c r="B2757">
        <v>3</v>
      </c>
      <c r="C2757">
        <v>0.1</v>
      </c>
      <c r="D2757">
        <v>20</v>
      </c>
      <c r="E2757">
        <v>0.968729906294856</v>
      </c>
      <c r="F2757">
        <v>3</v>
      </c>
      <c r="G2757">
        <v>31.089683859000001</v>
      </c>
      <c r="H2757">
        <v>0.96819941923125996</v>
      </c>
      <c r="I2757">
        <v>3</v>
      </c>
      <c r="J2757">
        <v>5.2967317E-2</v>
      </c>
      <c r="P2757"/>
      <c r="V2757">
        <v>0.96888990233014904</v>
      </c>
      <c r="W2757">
        <v>3</v>
      </c>
      <c r="X2757">
        <v>54.304704842</v>
      </c>
      <c r="Y2757">
        <v>1</v>
      </c>
      <c r="Z2757">
        <v>6.10797414782859E-3</v>
      </c>
      <c r="AA2757">
        <v>1</v>
      </c>
    </row>
    <row r="2758" spans="1:27" x14ac:dyDescent="0.2">
      <c r="A2758">
        <v>40</v>
      </c>
      <c r="B2758">
        <v>3</v>
      </c>
      <c r="C2758">
        <v>0.2</v>
      </c>
      <c r="D2758">
        <v>20</v>
      </c>
      <c r="E2758">
        <v>0.51058769263783799</v>
      </c>
      <c r="F2758">
        <v>3</v>
      </c>
      <c r="G2758">
        <v>36.102116807000002</v>
      </c>
      <c r="H2758">
        <v>0.34183431629430999</v>
      </c>
      <c r="I2758">
        <v>3</v>
      </c>
      <c r="J2758">
        <v>2.9813419919999999</v>
      </c>
      <c r="P2758"/>
      <c r="V2758">
        <v>0.32183719243453301</v>
      </c>
      <c r="W2758">
        <v>3</v>
      </c>
      <c r="X2758">
        <v>75296.570450112995</v>
      </c>
      <c r="Y2758">
        <v>0</v>
      </c>
      <c r="Z2758" s="1">
        <v>1E+100</v>
      </c>
      <c r="AA2758">
        <v>100</v>
      </c>
    </row>
    <row r="2759" spans="1:27" x14ac:dyDescent="0.2">
      <c r="A2759">
        <v>40</v>
      </c>
      <c r="B2759">
        <v>3</v>
      </c>
      <c r="C2759">
        <v>0.3</v>
      </c>
      <c r="D2759">
        <v>20</v>
      </c>
      <c r="E2759">
        <v>0.21860995815109499</v>
      </c>
      <c r="F2759">
        <v>3</v>
      </c>
      <c r="G2759">
        <v>32.082862528</v>
      </c>
      <c r="H2759">
        <v>0.140800312553511</v>
      </c>
      <c r="I2759">
        <v>3</v>
      </c>
      <c r="J2759">
        <v>1.1380450790000001</v>
      </c>
      <c r="P2759"/>
      <c r="V2759">
        <v>0.120730250604709</v>
      </c>
      <c r="W2759">
        <v>3</v>
      </c>
      <c r="X2759">
        <v>75250.572167552004</v>
      </c>
      <c r="Y2759">
        <v>0</v>
      </c>
      <c r="Z2759" s="1">
        <v>1E+100</v>
      </c>
      <c r="AA2759">
        <v>100</v>
      </c>
    </row>
    <row r="2760" spans="1:27" x14ac:dyDescent="0.2">
      <c r="A2760">
        <v>40</v>
      </c>
      <c r="B2760">
        <v>3</v>
      </c>
      <c r="C2760">
        <v>0.4</v>
      </c>
      <c r="D2760">
        <v>20</v>
      </c>
      <c r="E2760">
        <v>9.3715005577373195E-2</v>
      </c>
      <c r="F2760">
        <v>3</v>
      </c>
      <c r="G2760">
        <v>38.515889827000002</v>
      </c>
      <c r="H2760">
        <v>0.107674241250546</v>
      </c>
      <c r="I2760">
        <v>3</v>
      </c>
      <c r="J2760">
        <v>0.80310000000000004</v>
      </c>
      <c r="P2760"/>
      <c r="V2760">
        <v>9.0691541169638804E-2</v>
      </c>
      <c r="W2760">
        <v>3</v>
      </c>
      <c r="X2760">
        <v>75273.236958155001</v>
      </c>
      <c r="Y2760">
        <v>0</v>
      </c>
      <c r="Z2760" s="1">
        <v>1E+100</v>
      </c>
      <c r="AA2760">
        <v>100</v>
      </c>
    </row>
    <row r="2761" spans="1:27" x14ac:dyDescent="0.2">
      <c r="A2761">
        <v>40</v>
      </c>
      <c r="B2761">
        <v>3</v>
      </c>
      <c r="C2761">
        <v>0.2</v>
      </c>
      <c r="D2761">
        <v>20</v>
      </c>
      <c r="E2761">
        <v>0.44536704931111298</v>
      </c>
      <c r="F2761">
        <v>3</v>
      </c>
      <c r="G2761">
        <v>36.665991347999999</v>
      </c>
      <c r="H2761">
        <v>0.351185905618143</v>
      </c>
      <c r="I2761">
        <v>3</v>
      </c>
      <c r="J2761">
        <v>2.1991722029999998</v>
      </c>
      <c r="P2761"/>
      <c r="V2761">
        <v>0.34175207163909299</v>
      </c>
      <c r="W2761">
        <v>3</v>
      </c>
      <c r="X2761">
        <v>75281.892191168998</v>
      </c>
      <c r="Y2761">
        <v>0</v>
      </c>
      <c r="Z2761" s="1">
        <v>1E+100</v>
      </c>
      <c r="AA2761">
        <v>100</v>
      </c>
    </row>
    <row r="2762" spans="1:27" x14ac:dyDescent="0.2">
      <c r="A2762">
        <v>40</v>
      </c>
      <c r="B2762">
        <v>3</v>
      </c>
      <c r="C2762">
        <v>0.3</v>
      </c>
      <c r="D2762">
        <v>20</v>
      </c>
      <c r="E2762">
        <v>0.12517166827213999</v>
      </c>
      <c r="F2762">
        <v>3</v>
      </c>
      <c r="G2762">
        <v>32.514126001999998</v>
      </c>
      <c r="H2762">
        <v>0.125094241261135</v>
      </c>
      <c r="I2762">
        <v>3</v>
      </c>
      <c r="J2762">
        <v>0.34795579599999998</v>
      </c>
      <c r="P2762"/>
      <c r="V2762">
        <v>9.7492437593947004E-2</v>
      </c>
      <c r="W2762">
        <v>3</v>
      </c>
      <c r="X2762">
        <v>75248.166553353003</v>
      </c>
      <c r="Y2762">
        <v>0</v>
      </c>
      <c r="Z2762" s="1">
        <v>1E+100</v>
      </c>
      <c r="AA2762">
        <v>100</v>
      </c>
    </row>
    <row r="2763" spans="1:27" x14ac:dyDescent="0.2">
      <c r="A2763">
        <v>40</v>
      </c>
      <c r="B2763">
        <v>3</v>
      </c>
      <c r="C2763">
        <v>0.4</v>
      </c>
      <c r="D2763">
        <v>20</v>
      </c>
      <c r="E2763">
        <v>7.7533024464124106E-2</v>
      </c>
      <c r="F2763">
        <v>3</v>
      </c>
      <c r="G2763">
        <v>35.652044875999998</v>
      </c>
      <c r="H2763">
        <v>8.7436583555442302E-2</v>
      </c>
      <c r="I2763">
        <v>3</v>
      </c>
      <c r="J2763">
        <v>0.76462306700000005</v>
      </c>
      <c r="P2763"/>
      <c r="V2763">
        <v>6.3118915848926205E-2</v>
      </c>
      <c r="W2763">
        <v>3</v>
      </c>
      <c r="X2763">
        <v>75260.722846417993</v>
      </c>
      <c r="Y2763">
        <v>0</v>
      </c>
      <c r="Z2763" s="1">
        <v>1E+100</v>
      </c>
      <c r="AA2763">
        <v>100</v>
      </c>
    </row>
    <row r="2764" spans="1:27" x14ac:dyDescent="0.2">
      <c r="A2764">
        <v>40</v>
      </c>
      <c r="B2764">
        <v>3</v>
      </c>
      <c r="C2764">
        <v>0.2</v>
      </c>
      <c r="D2764">
        <v>20</v>
      </c>
      <c r="E2764">
        <v>0.53488696564501004</v>
      </c>
      <c r="F2764">
        <v>3</v>
      </c>
      <c r="G2764">
        <v>33.066925935</v>
      </c>
      <c r="H2764">
        <v>0.36226710103337101</v>
      </c>
      <c r="I2764">
        <v>3</v>
      </c>
      <c r="J2764">
        <v>1.467876696</v>
      </c>
      <c r="P2764"/>
      <c r="V2764">
        <v>0.33863532168447702</v>
      </c>
      <c r="W2764">
        <v>3</v>
      </c>
      <c r="X2764">
        <v>75258.463411624994</v>
      </c>
      <c r="Y2764">
        <v>0</v>
      </c>
      <c r="Z2764" s="1">
        <v>1E+100</v>
      </c>
      <c r="AA2764">
        <v>100</v>
      </c>
    </row>
    <row r="2765" spans="1:27" x14ac:dyDescent="0.2">
      <c r="A2765">
        <v>40</v>
      </c>
      <c r="B2765">
        <v>3</v>
      </c>
      <c r="C2765">
        <v>0.3</v>
      </c>
      <c r="D2765">
        <v>20</v>
      </c>
      <c r="E2765">
        <v>0.16282971656261699</v>
      </c>
      <c r="F2765">
        <v>3</v>
      </c>
      <c r="G2765">
        <v>32.056555750000001</v>
      </c>
      <c r="H2765">
        <v>0.14591915185146501</v>
      </c>
      <c r="I2765">
        <v>3</v>
      </c>
      <c r="J2765">
        <v>0.64872500099999997</v>
      </c>
      <c r="P2765"/>
      <c r="V2765">
        <v>0.121081240093372</v>
      </c>
      <c r="W2765">
        <v>3</v>
      </c>
      <c r="X2765">
        <v>75273.625070958005</v>
      </c>
      <c r="Y2765">
        <v>0</v>
      </c>
      <c r="Z2765" s="1">
        <v>1E+100</v>
      </c>
      <c r="AA2765">
        <v>100</v>
      </c>
    </row>
    <row r="2766" spans="1:27" x14ac:dyDescent="0.2">
      <c r="A2766">
        <v>40</v>
      </c>
      <c r="B2766">
        <v>3</v>
      </c>
      <c r="C2766">
        <v>0.4</v>
      </c>
      <c r="D2766">
        <v>20</v>
      </c>
      <c r="E2766">
        <v>9.7629085135302898E-2</v>
      </c>
      <c r="F2766">
        <v>3</v>
      </c>
      <c r="G2766">
        <v>33.400811877000002</v>
      </c>
      <c r="H2766">
        <v>0.11545925977406001</v>
      </c>
      <c r="I2766">
        <v>3</v>
      </c>
      <c r="J2766">
        <v>0.91502312399999997</v>
      </c>
      <c r="P2766"/>
      <c r="V2766">
        <v>8.9899786000246604E-2</v>
      </c>
      <c r="W2766">
        <v>3</v>
      </c>
      <c r="X2766">
        <v>75260.439158547</v>
      </c>
      <c r="Y2766">
        <v>0</v>
      </c>
      <c r="Z2766" s="1">
        <v>1E+100</v>
      </c>
      <c r="AA2766">
        <v>100</v>
      </c>
    </row>
    <row r="2767" spans="1:27" x14ac:dyDescent="0.2">
      <c r="A2767">
        <v>40</v>
      </c>
      <c r="B2767">
        <v>3</v>
      </c>
      <c r="C2767">
        <v>0.1</v>
      </c>
      <c r="D2767">
        <v>20</v>
      </c>
      <c r="E2767">
        <v>0.94769064378548495</v>
      </c>
      <c r="F2767">
        <v>3</v>
      </c>
      <c r="G2767">
        <v>35.125659366999997</v>
      </c>
      <c r="H2767">
        <v>0.96817438715750004</v>
      </c>
      <c r="I2767">
        <v>3</v>
      </c>
      <c r="J2767">
        <v>3.307265889</v>
      </c>
      <c r="P2767"/>
      <c r="V2767">
        <v>0.97447931733349802</v>
      </c>
      <c r="W2767">
        <v>3</v>
      </c>
      <c r="X2767">
        <v>75679.090922716001</v>
      </c>
      <c r="Y2767">
        <v>3498</v>
      </c>
      <c r="Z2767">
        <v>1.0454402464183601</v>
      </c>
      <c r="AA2767">
        <v>100</v>
      </c>
    </row>
    <row r="2768" spans="1:27" x14ac:dyDescent="0.2">
      <c r="A2768">
        <v>40</v>
      </c>
      <c r="B2768">
        <v>3</v>
      </c>
      <c r="C2768">
        <v>0.2</v>
      </c>
      <c r="D2768">
        <v>20</v>
      </c>
      <c r="E2768">
        <v>0.38632077454931602</v>
      </c>
      <c r="F2768">
        <v>3</v>
      </c>
      <c r="G2768">
        <v>32.519787852999997</v>
      </c>
      <c r="H2768">
        <v>0.27898524637030397</v>
      </c>
      <c r="I2768">
        <v>3</v>
      </c>
      <c r="J2768">
        <v>1.749596937</v>
      </c>
      <c r="P2768"/>
      <c r="V2768">
        <v>0.26623696066458102</v>
      </c>
      <c r="W2768">
        <v>3</v>
      </c>
      <c r="X2768">
        <v>75251.688767403</v>
      </c>
      <c r="Y2768">
        <v>0</v>
      </c>
      <c r="Z2768" s="1">
        <v>1E+100</v>
      </c>
      <c r="AA2768">
        <v>100</v>
      </c>
    </row>
    <row r="2769" spans="1:27" x14ac:dyDescent="0.2">
      <c r="A2769">
        <v>40</v>
      </c>
      <c r="B2769">
        <v>3</v>
      </c>
      <c r="C2769">
        <v>0.1</v>
      </c>
      <c r="D2769">
        <v>20</v>
      </c>
      <c r="E2769">
        <v>1.0229148262019301</v>
      </c>
      <c r="F2769">
        <v>3</v>
      </c>
      <c r="G2769">
        <v>32.190832788000002</v>
      </c>
      <c r="H2769">
        <v>1.0546556923241599</v>
      </c>
      <c r="I2769">
        <v>3</v>
      </c>
      <c r="J2769">
        <v>2.6636278510000002</v>
      </c>
      <c r="P2769"/>
      <c r="V2769">
        <v>1.06041018147555</v>
      </c>
      <c r="W2769">
        <v>3</v>
      </c>
      <c r="X2769">
        <v>75311.161628304995</v>
      </c>
      <c r="Y2769">
        <v>1019</v>
      </c>
      <c r="Z2769">
        <v>1.68717845652099</v>
      </c>
      <c r="AA2769">
        <v>100</v>
      </c>
    </row>
    <row r="2770" spans="1:27" x14ac:dyDescent="0.2">
      <c r="A2770">
        <v>40</v>
      </c>
      <c r="B2770">
        <v>3</v>
      </c>
      <c r="C2770">
        <v>0.4</v>
      </c>
      <c r="D2770">
        <v>20</v>
      </c>
      <c r="E2770">
        <v>8.2979215914907797E-2</v>
      </c>
      <c r="F2770">
        <v>3</v>
      </c>
      <c r="G2770">
        <v>31.109242029000001</v>
      </c>
      <c r="H2770">
        <v>9.2004951707054194E-2</v>
      </c>
      <c r="I2770">
        <v>3</v>
      </c>
      <c r="J2770">
        <v>0.71518121599999995</v>
      </c>
      <c r="P2770"/>
      <c r="V2770">
        <v>6.8234757036423399E-2</v>
      </c>
      <c r="W2770">
        <v>3</v>
      </c>
      <c r="X2770">
        <v>75258.800030940998</v>
      </c>
      <c r="Y2770">
        <v>0</v>
      </c>
      <c r="Z2770" s="1">
        <v>1E+100</v>
      </c>
      <c r="AA2770">
        <v>100</v>
      </c>
    </row>
    <row r="2771" spans="1:27" x14ac:dyDescent="0.2">
      <c r="A2771">
        <v>40</v>
      </c>
      <c r="B2771">
        <v>3</v>
      </c>
      <c r="C2771">
        <v>0.3</v>
      </c>
      <c r="D2771">
        <v>20</v>
      </c>
      <c r="E2771">
        <v>0.15540921602771199</v>
      </c>
      <c r="F2771">
        <v>3</v>
      </c>
      <c r="G2771">
        <v>39.915813829999998</v>
      </c>
      <c r="H2771">
        <v>0.132292869859092</v>
      </c>
      <c r="I2771">
        <v>3</v>
      </c>
      <c r="J2771">
        <v>1.0968335300000001</v>
      </c>
      <c r="P2771"/>
      <c r="V2771">
        <v>0.11077751126924</v>
      </c>
      <c r="W2771">
        <v>3</v>
      </c>
      <c r="X2771">
        <v>75292.147231037001</v>
      </c>
      <c r="Y2771">
        <v>0</v>
      </c>
      <c r="Z2771" s="1">
        <v>1E+100</v>
      </c>
      <c r="AA2771">
        <v>100</v>
      </c>
    </row>
    <row r="2772" spans="1:27" x14ac:dyDescent="0.2">
      <c r="A2772">
        <v>40</v>
      </c>
      <c r="B2772">
        <v>3</v>
      </c>
      <c r="C2772">
        <v>0.2</v>
      </c>
      <c r="D2772">
        <v>20</v>
      </c>
      <c r="E2772">
        <v>0.51497432131194898</v>
      </c>
      <c r="F2772">
        <v>3</v>
      </c>
      <c r="G2772">
        <v>28.883659097999999</v>
      </c>
      <c r="H2772">
        <v>0.38462820913142798</v>
      </c>
      <c r="I2772">
        <v>3</v>
      </c>
      <c r="J2772">
        <v>1.58474972</v>
      </c>
      <c r="P2772"/>
      <c r="V2772">
        <v>0.36082158148708099</v>
      </c>
      <c r="W2772">
        <v>3</v>
      </c>
      <c r="X2772">
        <v>75230.815550985993</v>
      </c>
      <c r="Y2772">
        <v>0</v>
      </c>
      <c r="Z2772" s="1">
        <v>1E+100</v>
      </c>
      <c r="AA2772">
        <v>100</v>
      </c>
    </row>
    <row r="2773" spans="1:27" x14ac:dyDescent="0.2">
      <c r="A2773">
        <v>40</v>
      </c>
      <c r="B2773">
        <v>3</v>
      </c>
      <c r="C2773">
        <v>0.3</v>
      </c>
      <c r="D2773">
        <v>20</v>
      </c>
      <c r="E2773">
        <v>0.20097788484828699</v>
      </c>
      <c r="F2773">
        <v>3</v>
      </c>
      <c r="G2773">
        <v>34.221650764000003</v>
      </c>
      <c r="H2773">
        <v>0.16416005845610501</v>
      </c>
      <c r="I2773">
        <v>3</v>
      </c>
      <c r="J2773">
        <v>1.265377389</v>
      </c>
      <c r="P2773"/>
      <c r="V2773">
        <v>0.14100230816714601</v>
      </c>
      <c r="W2773">
        <v>3</v>
      </c>
      <c r="X2773">
        <v>75262.699972640999</v>
      </c>
      <c r="Y2773">
        <v>0</v>
      </c>
      <c r="Z2773" s="1">
        <v>1E+100</v>
      </c>
      <c r="AA2773">
        <v>100</v>
      </c>
    </row>
    <row r="2774" spans="1:27" x14ac:dyDescent="0.2">
      <c r="A2774">
        <v>40</v>
      </c>
      <c r="B2774">
        <v>3</v>
      </c>
      <c r="C2774">
        <v>0.4</v>
      </c>
      <c r="D2774">
        <v>20</v>
      </c>
      <c r="E2774">
        <v>0.143633891341438</v>
      </c>
      <c r="F2774">
        <v>3</v>
      </c>
      <c r="G2774">
        <v>32.725562365999998</v>
      </c>
      <c r="H2774">
        <v>0.123407540317462</v>
      </c>
      <c r="I2774">
        <v>3</v>
      </c>
      <c r="J2774">
        <v>0.79806296600000004</v>
      </c>
      <c r="P2774"/>
      <c r="V2774">
        <v>0.102085907260435</v>
      </c>
      <c r="W2774">
        <v>3</v>
      </c>
      <c r="X2774">
        <v>75261.328662371001</v>
      </c>
      <c r="Y2774">
        <v>0</v>
      </c>
      <c r="Z2774" s="1">
        <v>1E+100</v>
      </c>
      <c r="AA2774">
        <v>100</v>
      </c>
    </row>
    <row r="2775" spans="1:27" x14ac:dyDescent="0.2">
      <c r="A2775">
        <v>40</v>
      </c>
      <c r="B2775">
        <v>3</v>
      </c>
      <c r="C2775">
        <v>0.2</v>
      </c>
      <c r="D2775">
        <v>20</v>
      </c>
      <c r="E2775">
        <v>0.442605526347009</v>
      </c>
      <c r="F2775">
        <v>3</v>
      </c>
      <c r="G2775">
        <v>29.657734403999999</v>
      </c>
      <c r="H2775">
        <v>0.30835622017347097</v>
      </c>
      <c r="I2775">
        <v>3</v>
      </c>
      <c r="J2775">
        <v>1.563791505</v>
      </c>
      <c r="P2775"/>
      <c r="V2775">
        <v>0.283180035634925</v>
      </c>
      <c r="W2775">
        <v>3</v>
      </c>
      <c r="X2775">
        <v>75254.506730127003</v>
      </c>
      <c r="Y2775">
        <v>0</v>
      </c>
      <c r="Z2775" s="1">
        <v>1E+100</v>
      </c>
      <c r="AA2775">
        <v>100</v>
      </c>
    </row>
    <row r="2776" spans="1:27" x14ac:dyDescent="0.2">
      <c r="A2776">
        <v>40</v>
      </c>
      <c r="B2776">
        <v>3</v>
      </c>
      <c r="C2776">
        <v>0.3</v>
      </c>
      <c r="D2776">
        <v>20</v>
      </c>
      <c r="E2776">
        <v>0.163502399565325</v>
      </c>
      <c r="F2776">
        <v>3</v>
      </c>
      <c r="G2776">
        <v>33.068056472000002</v>
      </c>
      <c r="H2776">
        <v>0.131440778561834</v>
      </c>
      <c r="I2776">
        <v>3</v>
      </c>
      <c r="J2776">
        <v>0.81578970500000003</v>
      </c>
      <c r="P2776"/>
      <c r="V2776">
        <v>0.10913297598345401</v>
      </c>
      <c r="W2776">
        <v>3</v>
      </c>
      <c r="X2776">
        <v>75233.306154759004</v>
      </c>
      <c r="Y2776">
        <v>0</v>
      </c>
      <c r="Z2776" s="1">
        <v>1E+100</v>
      </c>
      <c r="AA2776">
        <v>100</v>
      </c>
    </row>
    <row r="2777" spans="1:27" x14ac:dyDescent="0.2">
      <c r="A2777">
        <v>40</v>
      </c>
      <c r="B2777">
        <v>3</v>
      </c>
      <c r="C2777">
        <v>0.1</v>
      </c>
      <c r="D2777">
        <v>20</v>
      </c>
      <c r="E2777">
        <v>0.98504465339102598</v>
      </c>
      <c r="F2777">
        <v>3</v>
      </c>
      <c r="G2777">
        <v>31.952570506000001</v>
      </c>
      <c r="H2777">
        <v>0.96644876428214399</v>
      </c>
      <c r="I2777">
        <v>3</v>
      </c>
      <c r="J2777">
        <v>3.1905810309999998</v>
      </c>
      <c r="P2777"/>
      <c r="V2777">
        <v>0.97209378503520005</v>
      </c>
      <c r="W2777">
        <v>3</v>
      </c>
      <c r="X2777">
        <v>75246.295741110007</v>
      </c>
      <c r="Y2777">
        <v>0</v>
      </c>
      <c r="Z2777" s="1">
        <v>1E+100</v>
      </c>
      <c r="AA2777">
        <v>100</v>
      </c>
    </row>
    <row r="2778" spans="1:27" x14ac:dyDescent="0.2">
      <c r="A2778">
        <v>40</v>
      </c>
      <c r="B2778">
        <v>3</v>
      </c>
      <c r="C2778">
        <v>0.4</v>
      </c>
      <c r="D2778">
        <v>20</v>
      </c>
      <c r="E2778">
        <v>9.2126035062144201E-2</v>
      </c>
      <c r="F2778">
        <v>3</v>
      </c>
      <c r="G2778">
        <v>38.735421238000001</v>
      </c>
      <c r="H2778">
        <v>9.8898605879531004E-2</v>
      </c>
      <c r="I2778">
        <v>3</v>
      </c>
      <c r="J2778">
        <v>1.0380517229999999</v>
      </c>
      <c r="P2778"/>
      <c r="V2778">
        <v>7.3166078157273495E-2</v>
      </c>
      <c r="W2778">
        <v>3</v>
      </c>
      <c r="X2778">
        <v>75293.230513172006</v>
      </c>
      <c r="Y2778">
        <v>0</v>
      </c>
      <c r="Z2778" s="1">
        <v>1E+100</v>
      </c>
      <c r="AA2778">
        <v>100</v>
      </c>
    </row>
    <row r="2779" spans="1:27" x14ac:dyDescent="0.2">
      <c r="A2779">
        <v>40</v>
      </c>
      <c r="B2779">
        <v>3</v>
      </c>
      <c r="C2779">
        <v>0.2</v>
      </c>
      <c r="D2779">
        <v>20</v>
      </c>
      <c r="E2779">
        <v>0.38045573731673399</v>
      </c>
      <c r="F2779">
        <v>3</v>
      </c>
      <c r="G2779">
        <v>27.49614059</v>
      </c>
      <c r="H2779">
        <v>0.28416213595358503</v>
      </c>
      <c r="I2779">
        <v>3</v>
      </c>
      <c r="J2779">
        <v>1.242246016</v>
      </c>
      <c r="P2779"/>
      <c r="V2779">
        <v>0.25832015141750903</v>
      </c>
      <c r="W2779">
        <v>3</v>
      </c>
      <c r="X2779">
        <v>75229.183588768006</v>
      </c>
      <c r="Y2779">
        <v>0</v>
      </c>
      <c r="Z2779" s="1">
        <v>1E+100</v>
      </c>
      <c r="AA2779">
        <v>100</v>
      </c>
    </row>
    <row r="2780" spans="1:27" x14ac:dyDescent="0.2">
      <c r="A2780">
        <v>40</v>
      </c>
      <c r="B2780">
        <v>3</v>
      </c>
      <c r="C2780">
        <v>0.1</v>
      </c>
      <c r="D2780">
        <v>20</v>
      </c>
      <c r="E2780">
        <v>0.852391589742578</v>
      </c>
      <c r="F2780">
        <v>3</v>
      </c>
      <c r="G2780">
        <v>31.635038601000002</v>
      </c>
      <c r="H2780">
        <v>0.88795643775970301</v>
      </c>
      <c r="I2780">
        <v>3</v>
      </c>
      <c r="J2780">
        <v>2.4761743350000001</v>
      </c>
      <c r="P2780"/>
      <c r="V2780">
        <v>0.89217293894081695</v>
      </c>
      <c r="W2780">
        <v>3</v>
      </c>
      <c r="X2780">
        <v>75727.610272860999</v>
      </c>
      <c r="Y2780">
        <v>3558</v>
      </c>
      <c r="Z2780">
        <v>2.1767203558974799</v>
      </c>
      <c r="AA2780">
        <v>100</v>
      </c>
    </row>
    <row r="2781" spans="1:27" x14ac:dyDescent="0.2">
      <c r="A2781">
        <v>40</v>
      </c>
      <c r="B2781">
        <v>3</v>
      </c>
      <c r="C2781">
        <v>0.3</v>
      </c>
      <c r="D2781">
        <v>20</v>
      </c>
      <c r="E2781">
        <v>0.14810776555153299</v>
      </c>
      <c r="F2781">
        <v>3</v>
      </c>
      <c r="G2781">
        <v>30.650387229</v>
      </c>
      <c r="H2781">
        <v>0.13496926887980701</v>
      </c>
      <c r="I2781">
        <v>3</v>
      </c>
      <c r="J2781">
        <v>0.344887677</v>
      </c>
      <c r="P2781"/>
      <c r="V2781">
        <v>0.103721339544604</v>
      </c>
      <c r="W2781">
        <v>3</v>
      </c>
      <c r="X2781">
        <v>75257.458832991993</v>
      </c>
      <c r="Y2781">
        <v>0</v>
      </c>
      <c r="Z2781" s="1">
        <v>1E+100</v>
      </c>
      <c r="AA2781">
        <v>100</v>
      </c>
    </row>
    <row r="2782" spans="1:27" x14ac:dyDescent="0.2">
      <c r="A2782">
        <v>40</v>
      </c>
      <c r="B2782">
        <v>3</v>
      </c>
      <c r="C2782">
        <v>0.1</v>
      </c>
      <c r="D2782">
        <v>20</v>
      </c>
      <c r="E2782">
        <v>0.93309440012635603</v>
      </c>
      <c r="F2782">
        <v>3</v>
      </c>
      <c r="G2782">
        <v>32.734116681000003</v>
      </c>
      <c r="H2782">
        <v>1.00497475468979</v>
      </c>
      <c r="I2782">
        <v>3</v>
      </c>
      <c r="J2782">
        <v>2.7168922370000002</v>
      </c>
      <c r="P2782"/>
      <c r="V2782">
        <v>1.01490711798799</v>
      </c>
      <c r="W2782">
        <v>3</v>
      </c>
      <c r="X2782">
        <v>76409.101582860007</v>
      </c>
      <c r="Y2782">
        <v>4939</v>
      </c>
      <c r="Z2782">
        <v>1.9842049710291401</v>
      </c>
      <c r="AA2782">
        <v>100</v>
      </c>
    </row>
    <row r="2783" spans="1:27" x14ac:dyDescent="0.2">
      <c r="A2783">
        <v>40</v>
      </c>
      <c r="B2783">
        <v>3</v>
      </c>
      <c r="C2783">
        <v>0.4</v>
      </c>
      <c r="D2783">
        <v>20</v>
      </c>
      <c r="E2783">
        <v>8.55274576351783E-2</v>
      </c>
      <c r="F2783">
        <v>3</v>
      </c>
      <c r="G2783">
        <v>35.305913599999997</v>
      </c>
      <c r="H2783">
        <v>9.4183728172223605E-2</v>
      </c>
      <c r="I2783">
        <v>3</v>
      </c>
      <c r="J2783">
        <v>0.73819544500000001</v>
      </c>
      <c r="P2783"/>
      <c r="V2783">
        <v>7.1152384628875798E-2</v>
      </c>
      <c r="W2783">
        <v>3</v>
      </c>
      <c r="X2783">
        <v>75272.336540606004</v>
      </c>
      <c r="Y2783">
        <v>0</v>
      </c>
      <c r="Z2783" s="1">
        <v>1E+100</v>
      </c>
      <c r="AA2783">
        <v>100</v>
      </c>
    </row>
    <row r="2784" spans="1:27" x14ac:dyDescent="0.2">
      <c r="A2784">
        <v>40</v>
      </c>
      <c r="B2784">
        <v>3</v>
      </c>
      <c r="C2784">
        <v>0.1</v>
      </c>
      <c r="D2784">
        <v>20</v>
      </c>
      <c r="E2784">
        <v>0.90466446989960103</v>
      </c>
      <c r="F2784">
        <v>3</v>
      </c>
      <c r="G2784">
        <v>28.690754316</v>
      </c>
      <c r="H2784">
        <v>0.94756225676474803</v>
      </c>
      <c r="I2784">
        <v>3</v>
      </c>
      <c r="J2784">
        <v>2.4474143270000002</v>
      </c>
      <c r="P2784"/>
      <c r="V2784">
        <v>0.95570924329681595</v>
      </c>
      <c r="W2784">
        <v>3</v>
      </c>
      <c r="X2784">
        <v>76102.206913713002</v>
      </c>
      <c r="Y2784">
        <v>1565</v>
      </c>
      <c r="Z2784">
        <v>2.6705659234648902</v>
      </c>
      <c r="AA2784">
        <v>100</v>
      </c>
    </row>
    <row r="2785" spans="1:27" x14ac:dyDescent="0.2">
      <c r="A2785">
        <v>20</v>
      </c>
      <c r="B2785">
        <v>3</v>
      </c>
      <c r="C2785">
        <v>0.1</v>
      </c>
      <c r="D2785">
        <v>20</v>
      </c>
      <c r="E2785">
        <v>1.01632298062198</v>
      </c>
      <c r="F2785">
        <v>3</v>
      </c>
      <c r="G2785">
        <v>29.776280981999999</v>
      </c>
      <c r="H2785">
        <v>0.97866623558322097</v>
      </c>
      <c r="I2785">
        <v>3</v>
      </c>
      <c r="J2785">
        <v>0.58030479099999999</v>
      </c>
      <c r="P2785"/>
      <c r="V2785">
        <v>0.98100691770734805</v>
      </c>
      <c r="W2785">
        <v>3</v>
      </c>
      <c r="X2785">
        <v>75127.226018597998</v>
      </c>
      <c r="Y2785">
        <v>64441</v>
      </c>
      <c r="Z2785">
        <v>1.0482638774062801E-2</v>
      </c>
      <c r="AA2785">
        <v>100</v>
      </c>
    </row>
    <row r="2786" spans="1:27" x14ac:dyDescent="0.2">
      <c r="A2786">
        <v>20</v>
      </c>
      <c r="B2786">
        <v>3</v>
      </c>
      <c r="C2786">
        <v>0.1</v>
      </c>
      <c r="D2786">
        <v>20</v>
      </c>
      <c r="E2786">
        <v>1.0035811512278601</v>
      </c>
      <c r="F2786">
        <v>3</v>
      </c>
      <c r="G2786">
        <v>21.540997441999998</v>
      </c>
      <c r="H2786">
        <v>1.0104740055994501</v>
      </c>
      <c r="I2786">
        <v>3</v>
      </c>
      <c r="J2786">
        <v>0.29346850499999999</v>
      </c>
      <c r="P2786"/>
      <c r="V2786">
        <v>1.0115306025839901</v>
      </c>
      <c r="W2786">
        <v>3</v>
      </c>
      <c r="X2786">
        <v>75066.095516191999</v>
      </c>
      <c r="Y2786">
        <v>196753</v>
      </c>
      <c r="Z2786">
        <v>2.85305374564379E-2</v>
      </c>
      <c r="AA2786">
        <v>100</v>
      </c>
    </row>
    <row r="2787" spans="1:27" x14ac:dyDescent="0.2">
      <c r="A2787">
        <v>20</v>
      </c>
      <c r="B2787">
        <v>3</v>
      </c>
      <c r="C2787">
        <v>0.1</v>
      </c>
      <c r="D2787">
        <v>20</v>
      </c>
      <c r="E2787">
        <v>1.00234218167914</v>
      </c>
      <c r="F2787">
        <v>3</v>
      </c>
      <c r="G2787">
        <v>23.039274250999998</v>
      </c>
      <c r="H2787">
        <v>0.978960604530832</v>
      </c>
      <c r="I2787">
        <v>3</v>
      </c>
      <c r="J2787">
        <v>0.69462938500000004</v>
      </c>
      <c r="P2787"/>
      <c r="V2787">
        <v>1.0173567887177899</v>
      </c>
      <c r="W2787">
        <v>3</v>
      </c>
      <c r="X2787">
        <v>75207.028399146002</v>
      </c>
      <c r="Y2787">
        <v>175444</v>
      </c>
      <c r="Z2787">
        <v>6.0103229197483302E-2</v>
      </c>
      <c r="AA2787">
        <v>100</v>
      </c>
    </row>
    <row r="2788" spans="1:27" x14ac:dyDescent="0.2">
      <c r="A2788">
        <v>20</v>
      </c>
      <c r="B2788">
        <v>3</v>
      </c>
      <c r="C2788">
        <v>0.1</v>
      </c>
      <c r="D2788">
        <v>20</v>
      </c>
      <c r="E2788">
        <v>0.86045968641550397</v>
      </c>
      <c r="F2788">
        <v>3</v>
      </c>
      <c r="G2788">
        <v>34.673837769000002</v>
      </c>
      <c r="H2788">
        <v>0.88510364740473102</v>
      </c>
      <c r="I2788">
        <v>3</v>
      </c>
      <c r="J2788">
        <v>0.77087210100000003</v>
      </c>
      <c r="P2788"/>
      <c r="V2788">
        <v>0.88421102285865605</v>
      </c>
      <c r="W2788">
        <v>3</v>
      </c>
      <c r="X2788">
        <v>75190.006381649</v>
      </c>
      <c r="Y2788">
        <v>53296</v>
      </c>
      <c r="Z2788">
        <v>3.4004855829961302E-2</v>
      </c>
      <c r="AA2788">
        <v>100</v>
      </c>
    </row>
    <row r="2789" spans="1:27" x14ac:dyDescent="0.2">
      <c r="A2789">
        <v>20</v>
      </c>
      <c r="B2789">
        <v>3</v>
      </c>
      <c r="C2789">
        <v>0.4</v>
      </c>
      <c r="D2789">
        <v>20</v>
      </c>
      <c r="E2789">
        <v>0.34286724337310398</v>
      </c>
      <c r="F2789">
        <v>3</v>
      </c>
      <c r="G2789">
        <v>28.902856550999999</v>
      </c>
      <c r="H2789">
        <v>0.21877169362059701</v>
      </c>
      <c r="I2789">
        <v>3</v>
      </c>
      <c r="J2789">
        <v>0.42690316900000003</v>
      </c>
      <c r="P2789"/>
      <c r="V2789">
        <v>0.20586903100266599</v>
      </c>
      <c r="W2789">
        <v>3</v>
      </c>
      <c r="X2789">
        <v>75223.373086635998</v>
      </c>
      <c r="Y2789">
        <v>145430</v>
      </c>
      <c r="Z2789">
        <v>4.8824591070201997</v>
      </c>
      <c r="AA2789">
        <v>100</v>
      </c>
    </row>
    <row r="2790" spans="1:27" x14ac:dyDescent="0.2">
      <c r="A2790">
        <v>20</v>
      </c>
      <c r="B2790">
        <v>3</v>
      </c>
      <c r="C2790">
        <v>0.1</v>
      </c>
      <c r="D2790">
        <v>20</v>
      </c>
      <c r="E2790">
        <v>1.2672630450278</v>
      </c>
      <c r="F2790">
        <v>3</v>
      </c>
      <c r="G2790">
        <v>28.810863447999999</v>
      </c>
      <c r="H2790">
        <v>1.03752651682006</v>
      </c>
      <c r="I2790">
        <v>3</v>
      </c>
      <c r="J2790">
        <v>0.67297179500000004</v>
      </c>
      <c r="P2790"/>
      <c r="V2790">
        <v>1.11127508722853</v>
      </c>
      <c r="W2790">
        <v>3</v>
      </c>
      <c r="X2790">
        <v>75130.423735022006</v>
      </c>
      <c r="Y2790">
        <v>212649</v>
      </c>
      <c r="Z2790">
        <v>4.4983629978718701E-2</v>
      </c>
      <c r="AA2790">
        <v>100</v>
      </c>
    </row>
    <row r="2791" spans="1:27" x14ac:dyDescent="0.2">
      <c r="A2791">
        <v>20</v>
      </c>
      <c r="B2791">
        <v>3</v>
      </c>
      <c r="C2791">
        <v>0.1</v>
      </c>
      <c r="D2791">
        <v>20</v>
      </c>
      <c r="E2791">
        <v>1.08007415503876</v>
      </c>
      <c r="F2791">
        <v>3</v>
      </c>
      <c r="G2791">
        <v>29.192350088000001</v>
      </c>
      <c r="H2791">
        <v>0.98991409036127498</v>
      </c>
      <c r="I2791">
        <v>3</v>
      </c>
      <c r="J2791">
        <v>0.66210398000000004</v>
      </c>
      <c r="P2791"/>
      <c r="V2791">
        <v>0.99162712120957497</v>
      </c>
      <c r="W2791">
        <v>3</v>
      </c>
      <c r="X2791">
        <v>74990.828967149995</v>
      </c>
      <c r="Y2791">
        <v>114282</v>
      </c>
      <c r="Z2791">
        <v>1.02321608057757E-2</v>
      </c>
      <c r="AA2791">
        <v>100</v>
      </c>
    </row>
    <row r="2792" spans="1:27" x14ac:dyDescent="0.2">
      <c r="A2792">
        <v>20</v>
      </c>
      <c r="B2792">
        <v>3</v>
      </c>
      <c r="C2792">
        <v>0.3</v>
      </c>
      <c r="D2792">
        <v>20</v>
      </c>
      <c r="E2792">
        <v>0.61724012439082199</v>
      </c>
      <c r="F2792">
        <v>3</v>
      </c>
      <c r="G2792">
        <v>29.044293921000001</v>
      </c>
      <c r="H2792">
        <v>0.65301148229139305</v>
      </c>
      <c r="I2792">
        <v>3</v>
      </c>
      <c r="J2792">
        <v>0.36141104299999999</v>
      </c>
      <c r="P2792"/>
      <c r="V2792">
        <v>0.65173558254628905</v>
      </c>
      <c r="W2792">
        <v>3</v>
      </c>
      <c r="X2792">
        <v>75299.392696529001</v>
      </c>
      <c r="Y2792">
        <v>139986</v>
      </c>
      <c r="Z2792">
        <v>2.2641194402292699</v>
      </c>
      <c r="AA2792">
        <v>100</v>
      </c>
    </row>
    <row r="2793" spans="1:27" x14ac:dyDescent="0.2">
      <c r="A2793">
        <v>20</v>
      </c>
      <c r="B2793">
        <v>3</v>
      </c>
      <c r="C2793">
        <v>0.4</v>
      </c>
      <c r="D2793">
        <v>20</v>
      </c>
      <c r="E2793">
        <v>0.45908807744590702</v>
      </c>
      <c r="F2793">
        <v>3</v>
      </c>
      <c r="G2793">
        <v>31.349186222</v>
      </c>
      <c r="H2793">
        <v>0.35548382399199302</v>
      </c>
      <c r="I2793">
        <v>3</v>
      </c>
      <c r="J2793">
        <v>0.822791206</v>
      </c>
      <c r="P2793"/>
      <c r="V2793">
        <v>0.329664737811182</v>
      </c>
      <c r="W2793">
        <v>3</v>
      </c>
      <c r="X2793">
        <v>75159.336653339007</v>
      </c>
      <c r="Y2793">
        <v>165943</v>
      </c>
      <c r="Z2793">
        <v>4.0627196328387001</v>
      </c>
      <c r="AA2793">
        <v>100</v>
      </c>
    </row>
    <row r="2794" spans="1:27" x14ac:dyDescent="0.2">
      <c r="A2794">
        <v>20</v>
      </c>
      <c r="B2794">
        <v>3</v>
      </c>
      <c r="C2794">
        <v>0.1</v>
      </c>
      <c r="D2794">
        <v>20</v>
      </c>
      <c r="E2794">
        <v>1.07783556873841</v>
      </c>
      <c r="F2794">
        <v>3</v>
      </c>
      <c r="G2794">
        <v>35.365908425999997</v>
      </c>
      <c r="H2794">
        <v>1.00602627480162</v>
      </c>
      <c r="I2794">
        <v>3</v>
      </c>
      <c r="J2794">
        <v>0.68352297299999998</v>
      </c>
      <c r="P2794"/>
      <c r="V2794">
        <v>1.00672814199761</v>
      </c>
      <c r="W2794">
        <v>3</v>
      </c>
      <c r="X2794">
        <v>75161.147829188005</v>
      </c>
      <c r="Y2794">
        <v>95303</v>
      </c>
      <c r="Z2794">
        <v>2.1290651780493601E-2</v>
      </c>
      <c r="AA2794">
        <v>100</v>
      </c>
    </row>
    <row r="2795" spans="1:27" x14ac:dyDescent="0.2">
      <c r="A2795">
        <v>20</v>
      </c>
      <c r="B2795">
        <v>3</v>
      </c>
      <c r="C2795">
        <v>0.1</v>
      </c>
      <c r="D2795">
        <v>20</v>
      </c>
      <c r="E2795">
        <v>0.93530493200905696</v>
      </c>
      <c r="F2795">
        <v>3</v>
      </c>
      <c r="G2795">
        <v>28.726804810000001</v>
      </c>
      <c r="H2795">
        <v>0.99234143725896196</v>
      </c>
      <c r="I2795">
        <v>3</v>
      </c>
      <c r="J2795">
        <v>0.51700410900000004</v>
      </c>
      <c r="P2795"/>
      <c r="V2795">
        <v>1.0212885546480801</v>
      </c>
      <c r="W2795">
        <v>3</v>
      </c>
      <c r="X2795">
        <v>75208.331600346995</v>
      </c>
      <c r="Y2795">
        <v>172699</v>
      </c>
      <c r="Z2795">
        <v>6.2773051453860404E-2</v>
      </c>
      <c r="AA2795">
        <v>100</v>
      </c>
    </row>
    <row r="2796" spans="1:27" x14ac:dyDescent="0.2">
      <c r="A2796">
        <v>20</v>
      </c>
      <c r="B2796">
        <v>3</v>
      </c>
      <c r="C2796">
        <v>0.1</v>
      </c>
      <c r="D2796">
        <v>20</v>
      </c>
      <c r="E2796">
        <v>1.0206994393344799</v>
      </c>
      <c r="F2796">
        <v>3</v>
      </c>
      <c r="G2796">
        <v>36.920615494000003</v>
      </c>
      <c r="H2796">
        <v>1.0212085932118899</v>
      </c>
      <c r="I2796">
        <v>3</v>
      </c>
      <c r="J2796">
        <v>0.44616339900000002</v>
      </c>
      <c r="P2796"/>
      <c r="V2796">
        <v>1.0223372606102401</v>
      </c>
      <c r="W2796">
        <v>3</v>
      </c>
      <c r="X2796">
        <v>75360.444235774994</v>
      </c>
      <c r="Y2796">
        <v>111207</v>
      </c>
      <c r="Z2796">
        <v>1.4539619447846E-2</v>
      </c>
      <c r="AA2796">
        <v>100</v>
      </c>
    </row>
    <row r="2797" spans="1:27" x14ac:dyDescent="0.2">
      <c r="A2797">
        <v>20</v>
      </c>
      <c r="B2797">
        <v>3</v>
      </c>
      <c r="C2797">
        <v>0.4</v>
      </c>
      <c r="D2797">
        <v>20</v>
      </c>
      <c r="E2797">
        <v>0.44552156948537103</v>
      </c>
      <c r="F2797">
        <v>3</v>
      </c>
      <c r="G2797">
        <v>32.586594923</v>
      </c>
      <c r="H2797">
        <v>0.355473751168147</v>
      </c>
      <c r="I2797">
        <v>3</v>
      </c>
      <c r="J2797">
        <v>0.56240305899999998</v>
      </c>
      <c r="P2797"/>
      <c r="V2797">
        <v>0.33695067438580301</v>
      </c>
      <c r="W2797">
        <v>3</v>
      </c>
      <c r="X2797">
        <v>75451.719123075003</v>
      </c>
      <c r="Y2797">
        <v>6360</v>
      </c>
      <c r="Z2797">
        <v>4.5278887489712298</v>
      </c>
      <c r="AA2797">
        <v>100</v>
      </c>
    </row>
    <row r="2798" spans="1:27" x14ac:dyDescent="0.2">
      <c r="A2798">
        <v>20</v>
      </c>
      <c r="B2798">
        <v>3</v>
      </c>
      <c r="C2798">
        <v>0.1</v>
      </c>
      <c r="D2798">
        <v>20</v>
      </c>
      <c r="E2798">
        <v>0.99605131481162701</v>
      </c>
      <c r="F2798">
        <v>3</v>
      </c>
      <c r="G2798">
        <v>28.438119270000001</v>
      </c>
      <c r="H2798">
        <v>1.00864775794906</v>
      </c>
      <c r="I2798">
        <v>3</v>
      </c>
      <c r="J2798">
        <v>0.41903538499999998</v>
      </c>
      <c r="P2798"/>
      <c r="V2798">
        <v>1.0364783549290699</v>
      </c>
      <c r="W2798">
        <v>3</v>
      </c>
      <c r="X2798">
        <v>75487.146449840002</v>
      </c>
      <c r="Y2798">
        <v>194493</v>
      </c>
      <c r="Z2798">
        <v>4.0553972174390197E-2</v>
      </c>
      <c r="AA2798">
        <v>100</v>
      </c>
    </row>
    <row r="2799" spans="1:27" x14ac:dyDescent="0.2">
      <c r="A2799">
        <v>20</v>
      </c>
      <c r="B2799">
        <v>3</v>
      </c>
      <c r="C2799">
        <v>0.1</v>
      </c>
      <c r="D2799">
        <v>20</v>
      </c>
      <c r="E2799">
        <v>0.97627101114327497</v>
      </c>
      <c r="F2799">
        <v>3</v>
      </c>
      <c r="G2799">
        <v>32.303806121000001</v>
      </c>
      <c r="H2799">
        <v>0.944150727514667</v>
      </c>
      <c r="I2799">
        <v>3</v>
      </c>
      <c r="J2799">
        <v>0.780983541</v>
      </c>
      <c r="P2799"/>
      <c r="V2799">
        <v>1.02056391727201</v>
      </c>
      <c r="W2799">
        <v>3</v>
      </c>
      <c r="X2799">
        <v>75495.703386940993</v>
      </c>
      <c r="Y2799">
        <v>99982</v>
      </c>
      <c r="Z2799">
        <v>5.5197768972537503E-2</v>
      </c>
      <c r="AA2799">
        <v>100</v>
      </c>
    </row>
    <row r="2800" spans="1:27" x14ac:dyDescent="0.2">
      <c r="A2800">
        <v>20</v>
      </c>
      <c r="B2800">
        <v>3</v>
      </c>
      <c r="C2800">
        <v>0.1</v>
      </c>
      <c r="D2800">
        <v>20</v>
      </c>
      <c r="E2800">
        <v>0.96737819305513595</v>
      </c>
      <c r="F2800">
        <v>3</v>
      </c>
      <c r="G2800">
        <v>28.615032702000001</v>
      </c>
      <c r="H2800">
        <v>0.96450861797408505</v>
      </c>
      <c r="I2800">
        <v>3</v>
      </c>
      <c r="J2800">
        <v>0.187607572</v>
      </c>
      <c r="P2800"/>
      <c r="V2800">
        <v>0.96492554355718796</v>
      </c>
      <c r="W2800">
        <v>3</v>
      </c>
      <c r="X2800">
        <v>75507.579606501007</v>
      </c>
      <c r="Y2800">
        <v>73915</v>
      </c>
      <c r="Z2800">
        <v>1.0938806282328999E-2</v>
      </c>
      <c r="AA2800">
        <v>100</v>
      </c>
    </row>
    <row r="2801" spans="1:27" x14ac:dyDescent="0.2">
      <c r="A2801">
        <v>20</v>
      </c>
      <c r="B2801">
        <v>3</v>
      </c>
      <c r="C2801">
        <v>0.3</v>
      </c>
      <c r="D2801">
        <v>20</v>
      </c>
      <c r="E2801">
        <v>0.55708922340163103</v>
      </c>
      <c r="F2801">
        <v>3</v>
      </c>
      <c r="G2801">
        <v>28.498425710999999</v>
      </c>
      <c r="H2801">
        <v>0.46490116850246699</v>
      </c>
      <c r="I2801">
        <v>3</v>
      </c>
      <c r="J2801">
        <v>0.51570946600000001</v>
      </c>
      <c r="P2801"/>
      <c r="V2801">
        <v>0.45530319361947902</v>
      </c>
      <c r="W2801">
        <v>3</v>
      </c>
      <c r="X2801">
        <v>75490.348690190993</v>
      </c>
      <c r="Y2801">
        <v>80763</v>
      </c>
      <c r="Z2801">
        <v>1.469922749887</v>
      </c>
      <c r="AA2801">
        <v>100</v>
      </c>
    </row>
    <row r="2802" spans="1:27" x14ac:dyDescent="0.2">
      <c r="A2802">
        <v>20</v>
      </c>
      <c r="B2802">
        <v>3</v>
      </c>
      <c r="C2802">
        <v>0.4</v>
      </c>
      <c r="D2802">
        <v>20</v>
      </c>
      <c r="E2802">
        <v>0.36847548841795302</v>
      </c>
      <c r="F2802">
        <v>3</v>
      </c>
      <c r="G2802">
        <v>35.142954889000002</v>
      </c>
      <c r="H2802">
        <v>0.27567472399971299</v>
      </c>
      <c r="I2802">
        <v>3</v>
      </c>
      <c r="J2802">
        <v>0.54004904099999995</v>
      </c>
      <c r="P2802"/>
      <c r="V2802">
        <v>0.264266970458992</v>
      </c>
      <c r="W2802">
        <v>3</v>
      </c>
      <c r="X2802">
        <v>75479.819094731996</v>
      </c>
      <c r="Y2802">
        <v>6927</v>
      </c>
      <c r="Z2802">
        <v>6.0773384298985196</v>
      </c>
      <c r="AA2802">
        <v>100</v>
      </c>
    </row>
    <row r="2803" spans="1:27" x14ac:dyDescent="0.2">
      <c r="A2803">
        <v>20</v>
      </c>
      <c r="B2803">
        <v>3</v>
      </c>
      <c r="C2803">
        <v>0.4</v>
      </c>
      <c r="D2803">
        <v>20</v>
      </c>
      <c r="E2803">
        <v>0.40200273875654002</v>
      </c>
      <c r="F2803">
        <v>3</v>
      </c>
      <c r="G2803">
        <v>26.240188805999999</v>
      </c>
      <c r="H2803">
        <v>0.23897401755674</v>
      </c>
      <c r="I2803">
        <v>3</v>
      </c>
      <c r="J2803">
        <v>0.521208479</v>
      </c>
      <c r="P2803"/>
      <c r="V2803">
        <v>0.21760545294730499</v>
      </c>
      <c r="W2803">
        <v>3</v>
      </c>
      <c r="X2803">
        <v>75507.890586258</v>
      </c>
      <c r="Y2803">
        <v>64566</v>
      </c>
      <c r="Z2803">
        <v>3.24487293289457</v>
      </c>
      <c r="AA2803">
        <v>100</v>
      </c>
    </row>
    <row r="2804" spans="1:27" x14ac:dyDescent="0.2">
      <c r="A2804">
        <v>20</v>
      </c>
      <c r="B2804">
        <v>3</v>
      </c>
      <c r="C2804">
        <v>0.1</v>
      </c>
      <c r="D2804">
        <v>20</v>
      </c>
      <c r="E2804">
        <v>1.0150929369867201</v>
      </c>
      <c r="F2804">
        <v>3</v>
      </c>
      <c r="G2804">
        <v>30.550537617</v>
      </c>
      <c r="H2804">
        <v>0.99786364730274302</v>
      </c>
      <c r="I2804">
        <v>3</v>
      </c>
      <c r="J2804">
        <v>0.71114228800000001</v>
      </c>
      <c r="P2804"/>
      <c r="V2804">
        <v>1.03805110480034</v>
      </c>
      <c r="W2804">
        <v>3</v>
      </c>
      <c r="X2804">
        <v>75520.361885587001</v>
      </c>
      <c r="Y2804">
        <v>193882</v>
      </c>
      <c r="Z2804">
        <v>4.1421865707120198E-2</v>
      </c>
      <c r="AA2804">
        <v>100</v>
      </c>
    </row>
    <row r="2805" spans="1:27" x14ac:dyDescent="0.2">
      <c r="A2805">
        <v>20</v>
      </c>
      <c r="B2805">
        <v>3</v>
      </c>
      <c r="C2805">
        <v>0.2</v>
      </c>
      <c r="D2805">
        <v>20</v>
      </c>
      <c r="E2805">
        <v>0.94109351674322805</v>
      </c>
      <c r="F2805">
        <v>3</v>
      </c>
      <c r="G2805">
        <v>32.380049077999999</v>
      </c>
      <c r="H2805">
        <v>0.95376940865224202</v>
      </c>
      <c r="I2805">
        <v>3</v>
      </c>
      <c r="J2805">
        <v>1.0161034419999999</v>
      </c>
      <c r="P2805"/>
      <c r="V2805">
        <v>0.96146981657599795</v>
      </c>
      <c r="W2805">
        <v>3</v>
      </c>
      <c r="X2805">
        <v>75687.374881848998</v>
      </c>
      <c r="Y2805">
        <v>6731</v>
      </c>
      <c r="Z2805">
        <v>0.39342042817447598</v>
      </c>
      <c r="AA2805">
        <v>100</v>
      </c>
    </row>
    <row r="2806" spans="1:27" x14ac:dyDescent="0.2">
      <c r="A2806">
        <v>20</v>
      </c>
      <c r="B2806">
        <v>3</v>
      </c>
      <c r="C2806">
        <v>0.2</v>
      </c>
      <c r="D2806">
        <v>20</v>
      </c>
      <c r="E2806">
        <v>0.91737127705610499</v>
      </c>
      <c r="F2806">
        <v>3</v>
      </c>
      <c r="G2806">
        <v>28.828905993999999</v>
      </c>
      <c r="H2806">
        <v>1.0116302143253</v>
      </c>
      <c r="I2806">
        <v>3</v>
      </c>
      <c r="J2806">
        <v>0.89041413000000003</v>
      </c>
      <c r="P2806"/>
      <c r="V2806">
        <v>1.0182086447176899</v>
      </c>
      <c r="W2806">
        <v>3</v>
      </c>
      <c r="X2806">
        <v>75698.566402661003</v>
      </c>
      <c r="Y2806">
        <v>6063</v>
      </c>
      <c r="Z2806">
        <v>0.58554135172398303</v>
      </c>
      <c r="AA2806">
        <v>100</v>
      </c>
    </row>
    <row r="2807" spans="1:27" x14ac:dyDescent="0.2">
      <c r="A2807">
        <v>20</v>
      </c>
      <c r="B2807">
        <v>3</v>
      </c>
      <c r="C2807">
        <v>0.4</v>
      </c>
      <c r="D2807">
        <v>20</v>
      </c>
      <c r="E2807">
        <v>0.40576366838931599</v>
      </c>
      <c r="F2807">
        <v>3</v>
      </c>
      <c r="G2807">
        <v>29.051839286</v>
      </c>
      <c r="H2807">
        <v>0.33815468375236801</v>
      </c>
      <c r="I2807">
        <v>3</v>
      </c>
      <c r="J2807">
        <v>0.49620250799999999</v>
      </c>
      <c r="P2807"/>
      <c r="V2807">
        <v>0.312061986896638</v>
      </c>
      <c r="W2807">
        <v>3</v>
      </c>
      <c r="X2807">
        <v>75581.575365170007</v>
      </c>
      <c r="Y2807">
        <v>5559</v>
      </c>
      <c r="Z2807">
        <v>4.7046344690334001</v>
      </c>
      <c r="AA2807">
        <v>100</v>
      </c>
    </row>
    <row r="2808" spans="1:27" x14ac:dyDescent="0.2">
      <c r="A2808">
        <v>20</v>
      </c>
      <c r="B2808">
        <v>3</v>
      </c>
      <c r="C2808">
        <v>0.4</v>
      </c>
      <c r="D2808">
        <v>20</v>
      </c>
      <c r="E2808">
        <v>0.26354442839207998</v>
      </c>
      <c r="F2808">
        <v>3</v>
      </c>
      <c r="G2808">
        <v>21.552273523</v>
      </c>
      <c r="H2808">
        <v>0.20592308948764701</v>
      </c>
      <c r="I2808">
        <v>3</v>
      </c>
      <c r="J2808">
        <v>0.30676392800000002</v>
      </c>
      <c r="P2808"/>
      <c r="V2808">
        <v>0.18485561763187</v>
      </c>
      <c r="W2808">
        <v>3</v>
      </c>
      <c r="X2808">
        <v>75731.159485893004</v>
      </c>
      <c r="Y2808">
        <v>5352</v>
      </c>
      <c r="Z2808">
        <v>3.84835895235301</v>
      </c>
      <c r="AA2808">
        <v>100</v>
      </c>
    </row>
    <row r="2809" spans="1:27" x14ac:dyDescent="0.2">
      <c r="A2809">
        <v>20</v>
      </c>
      <c r="B2809">
        <v>3</v>
      </c>
      <c r="C2809">
        <v>0.4</v>
      </c>
      <c r="D2809">
        <v>20</v>
      </c>
      <c r="E2809">
        <v>0.33225678575147999</v>
      </c>
      <c r="F2809">
        <v>3</v>
      </c>
      <c r="G2809">
        <v>32.104173832000001</v>
      </c>
      <c r="H2809">
        <v>0.20104219130877801</v>
      </c>
      <c r="I2809">
        <v>3</v>
      </c>
      <c r="J2809">
        <v>0.45280046600000001</v>
      </c>
      <c r="P2809"/>
      <c r="V2809">
        <v>0.171374232230315</v>
      </c>
      <c r="W2809">
        <v>3</v>
      </c>
      <c r="X2809">
        <v>75579.135774082999</v>
      </c>
      <c r="Y2809">
        <v>57955</v>
      </c>
      <c r="Z2809">
        <v>4.02411427098611</v>
      </c>
      <c r="AA2809">
        <v>100</v>
      </c>
    </row>
    <row r="2810" spans="1:27" x14ac:dyDescent="0.2">
      <c r="A2810">
        <v>20</v>
      </c>
      <c r="B2810">
        <v>3</v>
      </c>
      <c r="C2810">
        <v>0.4</v>
      </c>
      <c r="D2810">
        <v>20</v>
      </c>
      <c r="E2810">
        <v>0.31996571296603998</v>
      </c>
      <c r="F2810">
        <v>3</v>
      </c>
      <c r="G2810">
        <v>22.543295622999999</v>
      </c>
      <c r="H2810">
        <v>0.23996364490497399</v>
      </c>
      <c r="I2810">
        <v>3</v>
      </c>
      <c r="J2810">
        <v>0.25061530199999998</v>
      </c>
      <c r="P2810"/>
      <c r="V2810">
        <v>0.21697604257185299</v>
      </c>
      <c r="W2810">
        <v>3</v>
      </c>
      <c r="X2810">
        <v>75735.466560828005</v>
      </c>
      <c r="Y2810">
        <v>6201</v>
      </c>
      <c r="Z2810">
        <v>2.09499387219646</v>
      </c>
      <c r="AA2810">
        <v>100</v>
      </c>
    </row>
    <row r="2811" spans="1:27" x14ac:dyDescent="0.2">
      <c r="A2811">
        <v>20</v>
      </c>
      <c r="B2811">
        <v>3</v>
      </c>
      <c r="C2811">
        <v>0.3</v>
      </c>
      <c r="D2811">
        <v>20</v>
      </c>
      <c r="E2811">
        <v>0.598411684937879</v>
      </c>
      <c r="F2811">
        <v>3</v>
      </c>
      <c r="G2811">
        <v>30.111798171</v>
      </c>
      <c r="H2811">
        <v>0.64480088271489799</v>
      </c>
      <c r="I2811">
        <v>3</v>
      </c>
      <c r="J2811">
        <v>0.71336123600000001</v>
      </c>
      <c r="P2811"/>
      <c r="V2811">
        <v>0.64872252068444203</v>
      </c>
      <c r="W2811">
        <v>3</v>
      </c>
      <c r="X2811">
        <v>75587.834589349004</v>
      </c>
      <c r="Y2811">
        <v>6213</v>
      </c>
      <c r="Z2811">
        <v>2.26545607547191</v>
      </c>
      <c r="AA2811">
        <v>100</v>
      </c>
    </row>
    <row r="2812" spans="1:27" x14ac:dyDescent="0.2">
      <c r="A2812">
        <v>20</v>
      </c>
      <c r="B2812">
        <v>3</v>
      </c>
      <c r="C2812">
        <v>0.4</v>
      </c>
      <c r="D2812">
        <v>20</v>
      </c>
      <c r="E2812">
        <v>0.235936691411091</v>
      </c>
      <c r="F2812">
        <v>3</v>
      </c>
      <c r="G2812">
        <v>31.078009607999999</v>
      </c>
      <c r="H2812">
        <v>0.211633530643134</v>
      </c>
      <c r="I2812">
        <v>3</v>
      </c>
      <c r="J2812">
        <v>0.28393578200000003</v>
      </c>
      <c r="P2812"/>
      <c r="V2812">
        <v>0.19165681186566799</v>
      </c>
      <c r="W2812">
        <v>3</v>
      </c>
      <c r="X2812">
        <v>75601.415301379006</v>
      </c>
      <c r="Y2812">
        <v>5596</v>
      </c>
      <c r="Z2812">
        <v>5.2757421373025801</v>
      </c>
      <c r="AA2812">
        <v>100</v>
      </c>
    </row>
    <row r="2813" spans="1:27" x14ac:dyDescent="0.2">
      <c r="A2813">
        <v>20</v>
      </c>
      <c r="B2813">
        <v>3</v>
      </c>
      <c r="C2813">
        <v>0.3</v>
      </c>
      <c r="D2813">
        <v>20</v>
      </c>
      <c r="E2813">
        <v>0.43663908278700497</v>
      </c>
      <c r="F2813">
        <v>3</v>
      </c>
      <c r="G2813">
        <v>40.297054697999997</v>
      </c>
      <c r="H2813">
        <v>0.344401631147703</v>
      </c>
      <c r="I2813">
        <v>3</v>
      </c>
      <c r="J2813">
        <v>0.60356253599999998</v>
      </c>
      <c r="P2813"/>
      <c r="V2813">
        <v>0.33740529229661698</v>
      </c>
      <c r="W2813">
        <v>3</v>
      </c>
      <c r="X2813">
        <v>75579.137938469998</v>
      </c>
      <c r="Y2813">
        <v>180768</v>
      </c>
      <c r="Z2813">
        <v>3.0734822121248699</v>
      </c>
      <c r="AA2813">
        <v>100</v>
      </c>
    </row>
    <row r="2814" spans="1:27" x14ac:dyDescent="0.2">
      <c r="A2814">
        <v>20</v>
      </c>
      <c r="B2814">
        <v>3</v>
      </c>
      <c r="C2814">
        <v>0.2</v>
      </c>
      <c r="D2814">
        <v>20</v>
      </c>
      <c r="E2814">
        <v>0.85091674569027198</v>
      </c>
      <c r="F2814">
        <v>3</v>
      </c>
      <c r="G2814">
        <v>23.660836699000001</v>
      </c>
      <c r="H2814">
        <v>0.77607231009043298</v>
      </c>
      <c r="I2814">
        <v>3</v>
      </c>
      <c r="J2814">
        <v>0.75326497100000001</v>
      </c>
      <c r="P2814"/>
      <c r="V2814">
        <v>0.77872188843043799</v>
      </c>
      <c r="W2814">
        <v>3</v>
      </c>
      <c r="X2814">
        <v>75630.201677043995</v>
      </c>
      <c r="Y2814">
        <v>6127</v>
      </c>
      <c r="Z2814">
        <v>0.98878745064939699</v>
      </c>
      <c r="AA2814">
        <v>100</v>
      </c>
    </row>
    <row r="2815" spans="1:27" x14ac:dyDescent="0.2">
      <c r="A2815">
        <v>20</v>
      </c>
      <c r="B2815">
        <v>3</v>
      </c>
      <c r="C2815">
        <v>0.4</v>
      </c>
      <c r="D2815">
        <v>20</v>
      </c>
      <c r="E2815">
        <v>0.35072105907599399</v>
      </c>
      <c r="F2815">
        <v>3</v>
      </c>
      <c r="G2815">
        <v>29.653582351000001</v>
      </c>
      <c r="H2815">
        <v>0.26254213359013401</v>
      </c>
      <c r="I2815">
        <v>3</v>
      </c>
      <c r="J2815">
        <v>0.320675353</v>
      </c>
      <c r="P2815"/>
      <c r="V2815">
        <v>0.24363123069463799</v>
      </c>
      <c r="W2815">
        <v>3</v>
      </c>
      <c r="X2815">
        <v>75628.596473355996</v>
      </c>
      <c r="Y2815">
        <v>5834</v>
      </c>
      <c r="Z2815">
        <v>2.3121972502976802</v>
      </c>
      <c r="AA2815">
        <v>100</v>
      </c>
    </row>
    <row r="2816" spans="1:27" x14ac:dyDescent="0.2">
      <c r="A2816">
        <v>20</v>
      </c>
      <c r="B2816">
        <v>3</v>
      </c>
      <c r="C2816">
        <v>0.3</v>
      </c>
      <c r="D2816">
        <v>20</v>
      </c>
      <c r="E2816">
        <v>0.55539419403873302</v>
      </c>
      <c r="F2816">
        <v>3</v>
      </c>
      <c r="G2816">
        <v>28.734551697000001</v>
      </c>
      <c r="H2816">
        <v>0.41561132920302302</v>
      </c>
      <c r="I2816">
        <v>3</v>
      </c>
      <c r="J2816">
        <v>0.76785955100000003</v>
      </c>
      <c r="P2816"/>
      <c r="V2816">
        <v>0.40242537661037803</v>
      </c>
      <c r="W2816">
        <v>3</v>
      </c>
      <c r="X2816">
        <v>75785.469082658994</v>
      </c>
      <c r="Y2816">
        <v>8270</v>
      </c>
      <c r="Z2816">
        <v>0.95916569603169499</v>
      </c>
      <c r="AA2816">
        <v>100</v>
      </c>
    </row>
    <row r="2817" spans="1:27" x14ac:dyDescent="0.2">
      <c r="A2817">
        <v>20</v>
      </c>
      <c r="B2817">
        <v>3</v>
      </c>
      <c r="C2817">
        <v>0.2</v>
      </c>
      <c r="D2817">
        <v>20</v>
      </c>
      <c r="E2817">
        <v>0.97369169582306103</v>
      </c>
      <c r="F2817">
        <v>3</v>
      </c>
      <c r="G2817">
        <v>29.768847455</v>
      </c>
      <c r="H2817">
        <v>1.06330104717468</v>
      </c>
      <c r="I2817">
        <v>3</v>
      </c>
      <c r="J2817">
        <v>0.82087103500000003</v>
      </c>
      <c r="P2817"/>
      <c r="V2817">
        <v>1.07166188399283</v>
      </c>
      <c r="W2817">
        <v>3</v>
      </c>
      <c r="X2817">
        <v>75517.191353938993</v>
      </c>
      <c r="Y2817">
        <v>6700</v>
      </c>
      <c r="Z2817">
        <v>0.62176292574439096</v>
      </c>
      <c r="AA2817">
        <v>100</v>
      </c>
    </row>
    <row r="2818" spans="1:27" x14ac:dyDescent="0.2">
      <c r="A2818">
        <v>20</v>
      </c>
      <c r="B2818">
        <v>3</v>
      </c>
      <c r="C2818">
        <v>0.2</v>
      </c>
      <c r="D2818">
        <v>20</v>
      </c>
      <c r="E2818">
        <v>0.97534575003860502</v>
      </c>
      <c r="F2818">
        <v>3</v>
      </c>
      <c r="G2818">
        <v>33.799815348999999</v>
      </c>
      <c r="H2818">
        <v>0.93446945882687404</v>
      </c>
      <c r="I2818">
        <v>3</v>
      </c>
      <c r="J2818">
        <v>1.1566500710000001</v>
      </c>
      <c r="P2818"/>
      <c r="V2818">
        <v>0.93952577254750502</v>
      </c>
      <c r="W2818">
        <v>3</v>
      </c>
      <c r="X2818">
        <v>75790.417299674999</v>
      </c>
      <c r="Y2818">
        <v>108017</v>
      </c>
      <c r="Z2818">
        <v>0.48227213518796103</v>
      </c>
      <c r="AA2818">
        <v>100</v>
      </c>
    </row>
    <row r="2819" spans="1:27" x14ac:dyDescent="0.2">
      <c r="A2819">
        <v>20</v>
      </c>
      <c r="B2819">
        <v>3</v>
      </c>
      <c r="C2819">
        <v>0.1</v>
      </c>
      <c r="D2819">
        <v>20</v>
      </c>
      <c r="E2819">
        <v>0.98199837317330996</v>
      </c>
      <c r="F2819">
        <v>3</v>
      </c>
      <c r="G2819">
        <v>29.870461858999999</v>
      </c>
      <c r="H2819">
        <v>1.0045946243402</v>
      </c>
      <c r="I2819">
        <v>3</v>
      </c>
      <c r="J2819">
        <v>0.47351128999999997</v>
      </c>
      <c r="P2819"/>
      <c r="V2819">
        <v>1.0682998861666</v>
      </c>
      <c r="W2819">
        <v>3</v>
      </c>
      <c r="X2819">
        <v>75674.513039500001</v>
      </c>
      <c r="Y2819">
        <v>79500</v>
      </c>
      <c r="Z2819">
        <v>2.4586680717236499E-2</v>
      </c>
      <c r="AA2819">
        <v>100</v>
      </c>
    </row>
    <row r="2820" spans="1:27" x14ac:dyDescent="0.2">
      <c r="A2820">
        <v>20</v>
      </c>
      <c r="B2820">
        <v>3</v>
      </c>
      <c r="C2820">
        <v>0.2</v>
      </c>
      <c r="D2820">
        <v>20</v>
      </c>
      <c r="E2820">
        <v>0.90875024644650204</v>
      </c>
      <c r="F2820">
        <v>3</v>
      </c>
      <c r="G2820">
        <v>26.504533525999999</v>
      </c>
      <c r="H2820">
        <v>0.84044660127931203</v>
      </c>
      <c r="I2820">
        <v>3</v>
      </c>
      <c r="J2820">
        <v>0.83237523599999996</v>
      </c>
      <c r="P2820"/>
      <c r="V2820">
        <v>0.84670872347611603</v>
      </c>
      <c r="W2820">
        <v>3</v>
      </c>
      <c r="X2820">
        <v>75713.275647153001</v>
      </c>
      <c r="Y2820">
        <v>68836</v>
      </c>
      <c r="Z2820">
        <v>0.83639407301598101</v>
      </c>
      <c r="AA2820">
        <v>100</v>
      </c>
    </row>
    <row r="2821" spans="1:27" x14ac:dyDescent="0.2">
      <c r="A2821">
        <v>20</v>
      </c>
      <c r="B2821">
        <v>3</v>
      </c>
      <c r="C2821">
        <v>0.3</v>
      </c>
      <c r="D2821">
        <v>20</v>
      </c>
      <c r="E2821">
        <v>0.70613479597406603</v>
      </c>
      <c r="F2821">
        <v>3</v>
      </c>
      <c r="G2821">
        <v>28.129414033</v>
      </c>
      <c r="H2821">
        <v>0.44900170719924898</v>
      </c>
      <c r="I2821">
        <v>3</v>
      </c>
      <c r="J2821">
        <v>0.78173869399999996</v>
      </c>
      <c r="P2821"/>
      <c r="V2821">
        <v>0.43763524990130498</v>
      </c>
      <c r="W2821">
        <v>3</v>
      </c>
      <c r="X2821">
        <v>75857.197515227002</v>
      </c>
      <c r="Y2821">
        <v>6863</v>
      </c>
      <c r="Z2821">
        <v>1.88042945420995</v>
      </c>
      <c r="AA2821">
        <v>100</v>
      </c>
    </row>
    <row r="2822" spans="1:27" x14ac:dyDescent="0.2">
      <c r="A2822">
        <v>20</v>
      </c>
      <c r="B2822">
        <v>3</v>
      </c>
      <c r="C2822">
        <v>0.1</v>
      </c>
      <c r="D2822">
        <v>20</v>
      </c>
      <c r="E2822">
        <v>0.94381093674310101</v>
      </c>
      <c r="F2822">
        <v>3</v>
      </c>
      <c r="G2822">
        <v>30.355177649000002</v>
      </c>
      <c r="H2822">
        <v>0.99835601261010898</v>
      </c>
      <c r="I2822">
        <v>3</v>
      </c>
      <c r="J2822">
        <v>0.54220581800000001</v>
      </c>
      <c r="P2822"/>
      <c r="V2822">
        <v>1.1025596049797799</v>
      </c>
      <c r="W2822">
        <v>3</v>
      </c>
      <c r="X2822">
        <v>75719.212868930001</v>
      </c>
      <c r="Y2822">
        <v>105195</v>
      </c>
      <c r="Z2822">
        <v>3.3060836120598097E-2</v>
      </c>
      <c r="AA2822">
        <v>100</v>
      </c>
    </row>
    <row r="2823" spans="1:27" x14ac:dyDescent="0.2">
      <c r="A2823">
        <v>20</v>
      </c>
      <c r="B2823">
        <v>3</v>
      </c>
      <c r="C2823">
        <v>0.4</v>
      </c>
      <c r="D2823">
        <v>20</v>
      </c>
      <c r="E2823">
        <v>0.45786804104094198</v>
      </c>
      <c r="F2823">
        <v>3</v>
      </c>
      <c r="G2823">
        <v>29.026710097999999</v>
      </c>
      <c r="H2823">
        <v>0.30251020592841099</v>
      </c>
      <c r="I2823">
        <v>3</v>
      </c>
      <c r="J2823">
        <v>0.54652872699999999</v>
      </c>
      <c r="P2823"/>
      <c r="V2823">
        <v>0.283272782750568</v>
      </c>
      <c r="W2823">
        <v>3</v>
      </c>
      <c r="X2823">
        <v>75639.739323337999</v>
      </c>
      <c r="Y2823">
        <v>5302</v>
      </c>
      <c r="Z2823">
        <v>3.0576438462685398</v>
      </c>
      <c r="AA2823">
        <v>100</v>
      </c>
    </row>
    <row r="2824" spans="1:27" x14ac:dyDescent="0.2">
      <c r="A2824">
        <v>20</v>
      </c>
      <c r="B2824">
        <v>3</v>
      </c>
      <c r="C2824">
        <v>0.2</v>
      </c>
      <c r="D2824">
        <v>20</v>
      </c>
      <c r="E2824">
        <v>0.92923324930208495</v>
      </c>
      <c r="F2824">
        <v>3</v>
      </c>
      <c r="G2824">
        <v>26.183550468</v>
      </c>
      <c r="H2824">
        <v>0.89951202026572996</v>
      </c>
      <c r="I2824">
        <v>3</v>
      </c>
      <c r="J2824">
        <v>0.77563528900000001</v>
      </c>
      <c r="P2824"/>
      <c r="V2824">
        <v>0.90506099657811601</v>
      </c>
      <c r="W2824">
        <v>3</v>
      </c>
      <c r="X2824">
        <v>75928.792133063995</v>
      </c>
      <c r="Y2824">
        <v>121159</v>
      </c>
      <c r="Z2824">
        <v>1.2526854844477</v>
      </c>
      <c r="AA2824">
        <v>100</v>
      </c>
    </row>
    <row r="2825" spans="1:27" x14ac:dyDescent="0.2">
      <c r="A2825">
        <v>20</v>
      </c>
      <c r="B2825">
        <v>3</v>
      </c>
      <c r="C2825">
        <v>0.2</v>
      </c>
      <c r="D2825">
        <v>20</v>
      </c>
      <c r="E2825">
        <v>0.92470260182919395</v>
      </c>
      <c r="F2825">
        <v>3</v>
      </c>
      <c r="G2825">
        <v>29.931297910000001</v>
      </c>
      <c r="H2825">
        <v>0.92419136394360102</v>
      </c>
      <c r="I2825">
        <v>3</v>
      </c>
      <c r="J2825">
        <v>0.96711758699999995</v>
      </c>
      <c r="P2825"/>
      <c r="V2825">
        <v>0.93193163156163605</v>
      </c>
      <c r="W2825">
        <v>3</v>
      </c>
      <c r="X2825">
        <v>75937.764270856002</v>
      </c>
      <c r="Y2825">
        <v>3762</v>
      </c>
      <c r="Z2825">
        <v>0.609432202823882</v>
      </c>
      <c r="AA2825">
        <v>100</v>
      </c>
    </row>
    <row r="2826" spans="1:27" x14ac:dyDescent="0.2">
      <c r="A2826">
        <v>20</v>
      </c>
      <c r="B2826">
        <v>3</v>
      </c>
      <c r="C2826">
        <v>0.4</v>
      </c>
      <c r="D2826">
        <v>20</v>
      </c>
      <c r="E2826">
        <v>0.40848466146399198</v>
      </c>
      <c r="F2826">
        <v>3</v>
      </c>
      <c r="G2826">
        <v>33.663768232999999</v>
      </c>
      <c r="H2826">
        <v>0.35435498560860901</v>
      </c>
      <c r="I2826">
        <v>3</v>
      </c>
      <c r="J2826">
        <v>0.25216371999999998</v>
      </c>
      <c r="P2826"/>
      <c r="V2826">
        <v>0.33171679328656201</v>
      </c>
      <c r="W2826">
        <v>3</v>
      </c>
      <c r="X2826">
        <v>75945.060660090006</v>
      </c>
      <c r="Y2826">
        <v>4544</v>
      </c>
      <c r="Z2826">
        <v>4.7495497170711998</v>
      </c>
      <c r="AA2826">
        <v>100</v>
      </c>
    </row>
    <row r="2827" spans="1:27" x14ac:dyDescent="0.2">
      <c r="A2827">
        <v>20</v>
      </c>
      <c r="B2827">
        <v>3</v>
      </c>
      <c r="C2827">
        <v>0.2</v>
      </c>
      <c r="D2827">
        <v>20</v>
      </c>
      <c r="E2827">
        <v>0.77688904848982898</v>
      </c>
      <c r="F2827">
        <v>3</v>
      </c>
      <c r="G2827">
        <v>28.511116088000001</v>
      </c>
      <c r="H2827">
        <v>0.783475148993515</v>
      </c>
      <c r="I2827">
        <v>3</v>
      </c>
      <c r="J2827">
        <v>0.42527610300000002</v>
      </c>
      <c r="P2827"/>
      <c r="V2827">
        <v>0.782447705092157</v>
      </c>
      <c r="W2827">
        <v>3</v>
      </c>
      <c r="X2827">
        <v>76000.365529627001</v>
      </c>
      <c r="Y2827">
        <v>7292</v>
      </c>
      <c r="Z2827">
        <v>0.48190607629976301</v>
      </c>
      <c r="AA2827">
        <v>100</v>
      </c>
    </row>
    <row r="2828" spans="1:27" x14ac:dyDescent="0.2">
      <c r="A2828">
        <v>20</v>
      </c>
      <c r="B2828">
        <v>3</v>
      </c>
      <c r="C2828">
        <v>0.3</v>
      </c>
      <c r="D2828">
        <v>20</v>
      </c>
      <c r="E2828">
        <v>0.54086519850229997</v>
      </c>
      <c r="F2828">
        <v>3</v>
      </c>
      <c r="G2828">
        <v>33.246584847000001</v>
      </c>
      <c r="H2828">
        <v>0.41350104653740799</v>
      </c>
      <c r="I2828">
        <v>3</v>
      </c>
      <c r="J2828">
        <v>1.0113227869999999</v>
      </c>
      <c r="P2828"/>
      <c r="V2828">
        <v>0.40960780835630001</v>
      </c>
      <c r="W2828">
        <v>3</v>
      </c>
      <c r="X2828">
        <v>75882.794334541002</v>
      </c>
      <c r="Y2828">
        <v>3799</v>
      </c>
      <c r="Z2828">
        <v>2.51936544695308</v>
      </c>
      <c r="AA2828">
        <v>100</v>
      </c>
    </row>
    <row r="2829" spans="1:27" x14ac:dyDescent="0.2">
      <c r="A2829">
        <v>20</v>
      </c>
      <c r="B2829">
        <v>3</v>
      </c>
      <c r="C2829">
        <v>0.3</v>
      </c>
      <c r="D2829">
        <v>20</v>
      </c>
      <c r="E2829">
        <v>0.65616239952007505</v>
      </c>
      <c r="F2829">
        <v>3</v>
      </c>
      <c r="G2829">
        <v>29.616345898999999</v>
      </c>
      <c r="H2829">
        <v>0.41889293633838698</v>
      </c>
      <c r="I2829">
        <v>3</v>
      </c>
      <c r="J2829">
        <v>0.97975441900000004</v>
      </c>
      <c r="P2829"/>
      <c r="V2829">
        <v>0.40959551022752599</v>
      </c>
      <c r="W2829">
        <v>3</v>
      </c>
      <c r="X2829">
        <v>75910.737889993005</v>
      </c>
      <c r="Y2829">
        <v>6305</v>
      </c>
      <c r="Z2829">
        <v>1.42866620609856</v>
      </c>
      <c r="AA2829">
        <v>100</v>
      </c>
    </row>
    <row r="2830" spans="1:27" x14ac:dyDescent="0.2">
      <c r="A2830">
        <v>20</v>
      </c>
      <c r="B2830">
        <v>3</v>
      </c>
      <c r="C2830">
        <v>0.2</v>
      </c>
      <c r="D2830">
        <v>20</v>
      </c>
      <c r="E2830">
        <v>0.88124056556439001</v>
      </c>
      <c r="F2830">
        <v>3</v>
      </c>
      <c r="G2830">
        <v>30.624807306000001</v>
      </c>
      <c r="H2830">
        <v>0.86779089964830303</v>
      </c>
      <c r="I2830">
        <v>3</v>
      </c>
      <c r="J2830">
        <v>0.66513385000000003</v>
      </c>
      <c r="P2830"/>
      <c r="V2830">
        <v>0.87127175150083602</v>
      </c>
      <c r="W2830">
        <v>3</v>
      </c>
      <c r="X2830">
        <v>76023.148339249994</v>
      </c>
      <c r="Y2830">
        <v>3756</v>
      </c>
      <c r="Z2830">
        <v>0.49919649191542698</v>
      </c>
      <c r="AA2830">
        <v>100</v>
      </c>
    </row>
    <row r="2831" spans="1:27" x14ac:dyDescent="0.2">
      <c r="A2831">
        <v>20</v>
      </c>
      <c r="B2831">
        <v>3</v>
      </c>
      <c r="C2831">
        <v>0.2</v>
      </c>
      <c r="D2831">
        <v>20</v>
      </c>
      <c r="E2831">
        <v>0.89155255414296697</v>
      </c>
      <c r="F2831">
        <v>3</v>
      </c>
      <c r="G2831">
        <v>29.740242601999999</v>
      </c>
      <c r="H2831">
        <v>0.93213337796362705</v>
      </c>
      <c r="I2831">
        <v>3</v>
      </c>
      <c r="J2831">
        <v>0.95472974300000002</v>
      </c>
      <c r="P2831"/>
      <c r="V2831">
        <v>0.93589275398981797</v>
      </c>
      <c r="W2831">
        <v>3</v>
      </c>
      <c r="X2831">
        <v>76051.325422366994</v>
      </c>
      <c r="Y2831">
        <v>3668</v>
      </c>
      <c r="Z2831">
        <v>0.89975651612803598</v>
      </c>
      <c r="AA2831">
        <v>100</v>
      </c>
    </row>
    <row r="2832" spans="1:27" x14ac:dyDescent="0.2">
      <c r="A2832">
        <v>20</v>
      </c>
      <c r="B2832">
        <v>3</v>
      </c>
      <c r="C2832">
        <v>0.4</v>
      </c>
      <c r="D2832">
        <v>20</v>
      </c>
      <c r="E2832">
        <v>0.28047201937196697</v>
      </c>
      <c r="F2832">
        <v>3</v>
      </c>
      <c r="G2832">
        <v>30.539018737999999</v>
      </c>
      <c r="H2832">
        <v>0.20943453901044401</v>
      </c>
      <c r="I2832">
        <v>3</v>
      </c>
      <c r="J2832">
        <v>0.37951912799999998</v>
      </c>
      <c r="P2832"/>
      <c r="V2832">
        <v>0.194400646454742</v>
      </c>
      <c r="W2832">
        <v>3</v>
      </c>
      <c r="X2832">
        <v>76214.761296199998</v>
      </c>
      <c r="Y2832">
        <v>3523</v>
      </c>
      <c r="Z2832">
        <v>5.8349427603097803</v>
      </c>
      <c r="AA2832">
        <v>100</v>
      </c>
    </row>
    <row r="2833" spans="1:27" x14ac:dyDescent="0.2">
      <c r="A2833">
        <v>20</v>
      </c>
      <c r="B2833">
        <v>3</v>
      </c>
      <c r="C2833">
        <v>0.3</v>
      </c>
      <c r="D2833">
        <v>20</v>
      </c>
      <c r="E2833">
        <v>0.55196730888613899</v>
      </c>
      <c r="F2833">
        <v>3</v>
      </c>
      <c r="G2833">
        <v>40.643245399000001</v>
      </c>
      <c r="H2833">
        <v>0.43995048839411099</v>
      </c>
      <c r="I2833">
        <v>3</v>
      </c>
      <c r="J2833">
        <v>1.170094408</v>
      </c>
      <c r="P2833"/>
      <c r="V2833">
        <v>0.428229261478898</v>
      </c>
      <c r="W2833">
        <v>3</v>
      </c>
      <c r="X2833">
        <v>76240.751492903</v>
      </c>
      <c r="Y2833">
        <v>3684</v>
      </c>
      <c r="Z2833">
        <v>2.3536626326149399</v>
      </c>
      <c r="AA2833">
        <v>100</v>
      </c>
    </row>
    <row r="2834" spans="1:27" x14ac:dyDescent="0.2">
      <c r="A2834">
        <v>20</v>
      </c>
      <c r="B2834">
        <v>3</v>
      </c>
      <c r="C2834">
        <v>0.4</v>
      </c>
      <c r="D2834">
        <v>20</v>
      </c>
      <c r="E2834">
        <v>0.257096559319971</v>
      </c>
      <c r="F2834">
        <v>3</v>
      </c>
      <c r="G2834">
        <v>29.547850522000001</v>
      </c>
      <c r="H2834">
        <v>0.13747625232616001</v>
      </c>
      <c r="I2834">
        <v>3</v>
      </c>
      <c r="J2834">
        <v>0.35639479299999999</v>
      </c>
      <c r="P2834"/>
      <c r="V2834">
        <v>0.118253158459904</v>
      </c>
      <c r="W2834">
        <v>3</v>
      </c>
      <c r="X2834">
        <v>76266.887556728005</v>
      </c>
      <c r="Y2834">
        <v>4496</v>
      </c>
      <c r="Z2834">
        <v>4.7478777935175396</v>
      </c>
      <c r="AA2834">
        <v>100</v>
      </c>
    </row>
    <row r="2835" spans="1:27" x14ac:dyDescent="0.2">
      <c r="A2835">
        <v>20</v>
      </c>
      <c r="B2835">
        <v>3</v>
      </c>
      <c r="C2835">
        <v>0.2</v>
      </c>
      <c r="D2835">
        <v>20</v>
      </c>
      <c r="E2835">
        <v>0.90410594500060204</v>
      </c>
      <c r="F2835">
        <v>3</v>
      </c>
      <c r="G2835">
        <v>33.530090745000003</v>
      </c>
      <c r="H2835">
        <v>0.97870906462118201</v>
      </c>
      <c r="I2835">
        <v>3</v>
      </c>
      <c r="J2835">
        <v>1.0992988379999999</v>
      </c>
      <c r="P2835"/>
      <c r="V2835">
        <v>0.987825927737774</v>
      </c>
      <c r="W2835">
        <v>3</v>
      </c>
      <c r="X2835">
        <v>76266.190902511007</v>
      </c>
      <c r="Y2835">
        <v>3436</v>
      </c>
      <c r="Z2835">
        <v>0.879623515064345</v>
      </c>
      <c r="AA2835">
        <v>100</v>
      </c>
    </row>
    <row r="2836" spans="1:27" x14ac:dyDescent="0.2">
      <c r="A2836">
        <v>20</v>
      </c>
      <c r="B2836">
        <v>3</v>
      </c>
      <c r="C2836">
        <v>0.3</v>
      </c>
      <c r="D2836">
        <v>20</v>
      </c>
      <c r="E2836">
        <v>0.71878435398211205</v>
      </c>
      <c r="F2836">
        <v>3</v>
      </c>
      <c r="G2836">
        <v>31.411186785000002</v>
      </c>
      <c r="H2836">
        <v>0.723333164524813</v>
      </c>
      <c r="I2836">
        <v>3</v>
      </c>
      <c r="J2836">
        <v>0.42656663</v>
      </c>
      <c r="P2836"/>
      <c r="V2836">
        <v>0.72745989046972803</v>
      </c>
      <c r="W2836">
        <v>3</v>
      </c>
      <c r="X2836">
        <v>76178.014149427996</v>
      </c>
      <c r="Y2836">
        <v>68309</v>
      </c>
      <c r="Z2836">
        <v>1.4591379882403901</v>
      </c>
      <c r="AA2836">
        <v>100</v>
      </c>
    </row>
    <row r="2837" spans="1:27" x14ac:dyDescent="0.2">
      <c r="A2837">
        <v>20</v>
      </c>
      <c r="B2837">
        <v>3</v>
      </c>
      <c r="C2837">
        <v>0.3</v>
      </c>
      <c r="D2837">
        <v>20</v>
      </c>
      <c r="E2837">
        <v>0.69759294567882801</v>
      </c>
      <c r="F2837">
        <v>3</v>
      </c>
      <c r="G2837">
        <v>30.408103675</v>
      </c>
      <c r="H2837">
        <v>0.71563879777816297</v>
      </c>
      <c r="I2837">
        <v>3</v>
      </c>
      <c r="J2837">
        <v>0.74406816899999995</v>
      </c>
      <c r="P2837"/>
      <c r="V2837">
        <v>0.72342602734633898</v>
      </c>
      <c r="W2837">
        <v>3</v>
      </c>
      <c r="X2837">
        <v>76269.221263080006</v>
      </c>
      <c r="Y2837">
        <v>108234</v>
      </c>
      <c r="Z2837">
        <v>3.3499870502607498</v>
      </c>
      <c r="AA2837">
        <v>100</v>
      </c>
    </row>
    <row r="2838" spans="1:27" x14ac:dyDescent="0.2">
      <c r="A2838">
        <v>20</v>
      </c>
      <c r="B2838">
        <v>3</v>
      </c>
      <c r="C2838">
        <v>0.3</v>
      </c>
      <c r="D2838">
        <v>20</v>
      </c>
      <c r="E2838">
        <v>0.54727345674616101</v>
      </c>
      <c r="F2838">
        <v>3</v>
      </c>
      <c r="G2838">
        <v>33.132693029000002</v>
      </c>
      <c r="H2838">
        <v>0.42319458166062801</v>
      </c>
      <c r="I2838">
        <v>3</v>
      </c>
      <c r="J2838">
        <v>0.48207439499999999</v>
      </c>
      <c r="P2838"/>
      <c r="V2838">
        <v>0.41357420751635199</v>
      </c>
      <c r="W2838">
        <v>3</v>
      </c>
      <c r="X2838">
        <v>76415.603986964998</v>
      </c>
      <c r="Y2838">
        <v>3546</v>
      </c>
      <c r="Z2838">
        <v>4.1023673767995197</v>
      </c>
      <c r="AA2838">
        <v>100</v>
      </c>
    </row>
    <row r="2839" spans="1:27" x14ac:dyDescent="0.2">
      <c r="A2839">
        <v>20</v>
      </c>
      <c r="B2839">
        <v>3</v>
      </c>
      <c r="C2839">
        <v>0.4</v>
      </c>
      <c r="D2839">
        <v>20</v>
      </c>
      <c r="E2839">
        <v>0.19509545244488399</v>
      </c>
      <c r="F2839">
        <v>3</v>
      </c>
      <c r="G2839">
        <v>29.750350946000001</v>
      </c>
      <c r="H2839">
        <v>0.170627791393519</v>
      </c>
      <c r="I2839">
        <v>3</v>
      </c>
      <c r="J2839">
        <v>0.297436172</v>
      </c>
      <c r="P2839"/>
      <c r="V2839">
        <v>0.14377059436426901</v>
      </c>
      <c r="W2839">
        <v>3</v>
      </c>
      <c r="X2839">
        <v>76321.981308714996</v>
      </c>
      <c r="Y2839">
        <v>60156</v>
      </c>
      <c r="Z2839">
        <v>2.9651168618088599</v>
      </c>
      <c r="AA2839">
        <v>100</v>
      </c>
    </row>
    <row r="2840" spans="1:27" x14ac:dyDescent="0.2">
      <c r="A2840">
        <v>20</v>
      </c>
      <c r="B2840">
        <v>3</v>
      </c>
      <c r="C2840">
        <v>0.3</v>
      </c>
      <c r="D2840">
        <v>20</v>
      </c>
      <c r="E2840">
        <v>0.565781949454085</v>
      </c>
      <c r="F2840">
        <v>3</v>
      </c>
      <c r="G2840">
        <v>30.797979778999999</v>
      </c>
      <c r="H2840">
        <v>0.55156093107824</v>
      </c>
      <c r="I2840">
        <v>3</v>
      </c>
      <c r="J2840">
        <v>0.76973886999999996</v>
      </c>
      <c r="P2840"/>
      <c r="V2840">
        <v>0.55083623560078399</v>
      </c>
      <c r="W2840">
        <v>3</v>
      </c>
      <c r="X2840">
        <v>76511.474032724</v>
      </c>
      <c r="Y2840">
        <v>3569</v>
      </c>
      <c r="Z2840">
        <v>3.77534398672833</v>
      </c>
      <c r="AA2840">
        <v>100</v>
      </c>
    </row>
    <row r="2841" spans="1:27" x14ac:dyDescent="0.2">
      <c r="A2841">
        <v>20</v>
      </c>
      <c r="B2841">
        <v>3</v>
      </c>
      <c r="C2841">
        <v>0.2</v>
      </c>
      <c r="D2841">
        <v>20</v>
      </c>
      <c r="E2841">
        <v>0.80033745478567297</v>
      </c>
      <c r="F2841">
        <v>3</v>
      </c>
      <c r="G2841">
        <v>29.878308180000001</v>
      </c>
      <c r="H2841">
        <v>0.86270524336732701</v>
      </c>
      <c r="I2841">
        <v>3</v>
      </c>
      <c r="J2841">
        <v>0.76331255899999995</v>
      </c>
      <c r="P2841"/>
      <c r="V2841">
        <v>0.86520144220614403</v>
      </c>
      <c r="W2841">
        <v>3</v>
      </c>
      <c r="X2841">
        <v>76409.896900467007</v>
      </c>
      <c r="Y2841">
        <v>3498</v>
      </c>
      <c r="Z2841">
        <v>0.50287519464472996</v>
      </c>
      <c r="AA2841">
        <v>100</v>
      </c>
    </row>
    <row r="2842" spans="1:27" x14ac:dyDescent="0.2">
      <c r="A2842">
        <v>20</v>
      </c>
      <c r="B2842">
        <v>3</v>
      </c>
      <c r="C2842">
        <v>0.4</v>
      </c>
      <c r="D2842">
        <v>20</v>
      </c>
      <c r="E2842">
        <v>0.35527179690470001</v>
      </c>
      <c r="F2842">
        <v>3</v>
      </c>
      <c r="G2842">
        <v>28.775502096</v>
      </c>
      <c r="H2842">
        <v>0.28004721982163699</v>
      </c>
      <c r="I2842">
        <v>3</v>
      </c>
      <c r="J2842">
        <v>0.56048826799999996</v>
      </c>
      <c r="P2842"/>
      <c r="V2842">
        <v>0.25782480179054701</v>
      </c>
      <c r="W2842">
        <v>3</v>
      </c>
      <c r="X2842">
        <v>76566.374774786993</v>
      </c>
      <c r="Y2842">
        <v>3477</v>
      </c>
      <c r="Z2842">
        <v>3.3207043985312299</v>
      </c>
      <c r="AA2842">
        <v>100</v>
      </c>
    </row>
    <row r="2843" spans="1:27" x14ac:dyDescent="0.2">
      <c r="A2843">
        <v>20</v>
      </c>
      <c r="B2843">
        <v>3</v>
      </c>
      <c r="C2843">
        <v>0.3</v>
      </c>
      <c r="D2843">
        <v>20</v>
      </c>
      <c r="E2843">
        <v>0.61292448145638101</v>
      </c>
      <c r="F2843">
        <v>3</v>
      </c>
      <c r="G2843">
        <v>32.582345234999998</v>
      </c>
      <c r="H2843">
        <v>0.47103371631098701</v>
      </c>
      <c r="I2843">
        <v>3</v>
      </c>
      <c r="J2843">
        <v>0.80957858500000002</v>
      </c>
      <c r="P2843"/>
      <c r="V2843">
        <v>0.46596593282329002</v>
      </c>
      <c r="W2843">
        <v>3</v>
      </c>
      <c r="X2843">
        <v>76421.402694934994</v>
      </c>
      <c r="Y2843">
        <v>3448</v>
      </c>
      <c r="Z2843">
        <v>1.9428925906740899</v>
      </c>
      <c r="AA2843">
        <v>100</v>
      </c>
    </row>
    <row r="2844" spans="1:27" x14ac:dyDescent="0.2">
      <c r="A2844">
        <v>20</v>
      </c>
      <c r="B2844">
        <v>3</v>
      </c>
      <c r="C2844">
        <v>0.3</v>
      </c>
      <c r="D2844">
        <v>20</v>
      </c>
      <c r="E2844">
        <v>0.42476125226865702</v>
      </c>
      <c r="F2844">
        <v>3</v>
      </c>
      <c r="G2844">
        <v>24.847859634999999</v>
      </c>
      <c r="H2844">
        <v>0.34348271889874799</v>
      </c>
      <c r="I2844">
        <v>3</v>
      </c>
      <c r="J2844">
        <v>0.45371981500000003</v>
      </c>
      <c r="P2844"/>
      <c r="V2844">
        <v>0.330211343776738</v>
      </c>
      <c r="W2844">
        <v>3</v>
      </c>
      <c r="X2844">
        <v>76910.060720356007</v>
      </c>
      <c r="Y2844">
        <v>3386</v>
      </c>
      <c r="Z2844">
        <v>2.3589871953645298</v>
      </c>
      <c r="AA2844">
        <v>100</v>
      </c>
    </row>
    <row r="2845" spans="1:27" x14ac:dyDescent="0.2">
      <c r="A2845">
        <v>20</v>
      </c>
      <c r="B2845">
        <v>3</v>
      </c>
      <c r="C2845">
        <v>0.2</v>
      </c>
      <c r="D2845">
        <v>20</v>
      </c>
      <c r="E2845">
        <v>0.75763607937878497</v>
      </c>
      <c r="F2845">
        <v>3</v>
      </c>
      <c r="G2845">
        <v>30.420067421999999</v>
      </c>
      <c r="H2845">
        <v>0.76306255257472799</v>
      </c>
      <c r="I2845">
        <v>3</v>
      </c>
      <c r="J2845">
        <v>0.50416799300000004</v>
      </c>
      <c r="P2845"/>
      <c r="V2845">
        <v>0.76755819163439298</v>
      </c>
      <c r="W2845">
        <v>3</v>
      </c>
      <c r="X2845">
        <v>76904.799670142995</v>
      </c>
      <c r="Y2845">
        <v>125306</v>
      </c>
      <c r="Z2845">
        <v>0.79733531161793303</v>
      </c>
      <c r="AA2845">
        <v>100</v>
      </c>
    </row>
    <row r="2846" spans="1:27" x14ac:dyDescent="0.2">
      <c r="A2846">
        <v>20</v>
      </c>
      <c r="B2846">
        <v>3</v>
      </c>
      <c r="C2846">
        <v>0.3</v>
      </c>
      <c r="D2846">
        <v>20</v>
      </c>
      <c r="E2846">
        <v>0.62082775754524699</v>
      </c>
      <c r="F2846">
        <v>3</v>
      </c>
      <c r="G2846">
        <v>21.716366541999999</v>
      </c>
      <c r="H2846">
        <v>0.55662827896257805</v>
      </c>
      <c r="I2846">
        <v>3</v>
      </c>
      <c r="J2846">
        <v>0.71312553300000003</v>
      </c>
      <c r="P2846"/>
      <c r="V2846">
        <v>0.55339986755179105</v>
      </c>
      <c r="W2846">
        <v>3</v>
      </c>
      <c r="X2846">
        <v>77513.075083265998</v>
      </c>
      <c r="Y2846">
        <v>120711</v>
      </c>
      <c r="Z2846">
        <v>3.7909829467338598</v>
      </c>
      <c r="AA2846">
        <v>100</v>
      </c>
    </row>
    <row r="2847" spans="1:27" x14ac:dyDescent="0.2">
      <c r="A2847">
        <v>20</v>
      </c>
      <c r="B2847">
        <v>3</v>
      </c>
      <c r="C2847">
        <v>0.2</v>
      </c>
      <c r="D2847">
        <v>20</v>
      </c>
      <c r="E2847">
        <v>0.83965580009960705</v>
      </c>
      <c r="F2847">
        <v>3</v>
      </c>
      <c r="G2847">
        <v>32.349011273999999</v>
      </c>
      <c r="H2847">
        <v>0.92522671503013199</v>
      </c>
      <c r="I2847">
        <v>3</v>
      </c>
      <c r="J2847">
        <v>1.1354135400000001</v>
      </c>
      <c r="P2847"/>
      <c r="V2847">
        <v>0.93474773339601003</v>
      </c>
      <c r="W2847">
        <v>3</v>
      </c>
      <c r="X2847">
        <v>78048.845043926005</v>
      </c>
      <c r="Y2847">
        <v>91427</v>
      </c>
      <c r="Z2847">
        <v>0.66723979918242504</v>
      </c>
      <c r="AA2847">
        <v>100</v>
      </c>
    </row>
    <row r="2848" spans="1:27" x14ac:dyDescent="0.2">
      <c r="A2848">
        <v>20</v>
      </c>
      <c r="B2848">
        <v>3</v>
      </c>
      <c r="C2848">
        <v>0.3</v>
      </c>
      <c r="D2848">
        <v>20</v>
      </c>
      <c r="E2848">
        <v>0.70513233308521905</v>
      </c>
      <c r="F2848">
        <v>3</v>
      </c>
      <c r="G2848">
        <v>29.674066088</v>
      </c>
      <c r="H2848">
        <v>0.68408610124322</v>
      </c>
      <c r="I2848">
        <v>3</v>
      </c>
      <c r="J2848">
        <v>0.93757634700000003</v>
      </c>
      <c r="P2848"/>
      <c r="V2848">
        <v>0.69206339922260995</v>
      </c>
      <c r="W2848">
        <v>3</v>
      </c>
      <c r="X2848">
        <v>77949.106542156995</v>
      </c>
      <c r="Y2848">
        <v>92670</v>
      </c>
      <c r="Z2848">
        <v>1.3690317359069</v>
      </c>
      <c r="AA2848">
        <v>100</v>
      </c>
    </row>
    <row r="2849" spans="1:27" x14ac:dyDescent="0.2">
      <c r="A2849">
        <v>20</v>
      </c>
      <c r="B2849">
        <v>3</v>
      </c>
      <c r="C2849">
        <v>0.3</v>
      </c>
      <c r="D2849">
        <v>20</v>
      </c>
      <c r="E2849">
        <v>0.50129647811063205</v>
      </c>
      <c r="F2849">
        <v>3</v>
      </c>
      <c r="G2849">
        <v>28.025256593999998</v>
      </c>
      <c r="H2849">
        <v>0.30616635389561597</v>
      </c>
      <c r="I2849">
        <v>3</v>
      </c>
      <c r="J2849">
        <v>0.539844561</v>
      </c>
      <c r="P2849"/>
      <c r="V2849">
        <v>0.290989946274268</v>
      </c>
      <c r="W2849">
        <v>3</v>
      </c>
      <c r="X2849">
        <v>75722.110873073994</v>
      </c>
      <c r="Y2849">
        <v>4850</v>
      </c>
      <c r="Z2849">
        <v>2.6101803399583701</v>
      </c>
      <c r="AA2849">
        <v>100</v>
      </c>
    </row>
    <row r="2850" spans="1:27" x14ac:dyDescent="0.2">
      <c r="A2850">
        <v>20</v>
      </c>
      <c r="B2850">
        <v>3</v>
      </c>
      <c r="C2850">
        <v>0.2</v>
      </c>
      <c r="D2850">
        <v>20</v>
      </c>
      <c r="E2850">
        <v>0.90944516156964195</v>
      </c>
      <c r="F2850">
        <v>3</v>
      </c>
      <c r="G2850">
        <v>28.337464618999999</v>
      </c>
      <c r="H2850">
        <v>0.90301395242878901</v>
      </c>
      <c r="I2850">
        <v>3</v>
      </c>
      <c r="J2850">
        <v>0.87576358300000001</v>
      </c>
      <c r="P2850"/>
      <c r="V2850">
        <v>0.909862509449332</v>
      </c>
      <c r="W2850">
        <v>3</v>
      </c>
      <c r="X2850">
        <v>76405.147945980003</v>
      </c>
      <c r="Y2850">
        <v>3581</v>
      </c>
      <c r="Z2850">
        <v>0.64918809063055904</v>
      </c>
      <c r="AA2850">
        <v>100</v>
      </c>
    </row>
    <row r="2851" spans="1:27" x14ac:dyDescent="0.2">
      <c r="A2851">
        <v>20</v>
      </c>
      <c r="B2851">
        <v>3</v>
      </c>
      <c r="C2851">
        <v>0.1</v>
      </c>
      <c r="D2851">
        <v>20</v>
      </c>
      <c r="E2851">
        <v>0.95571986381312601</v>
      </c>
      <c r="F2851">
        <v>3</v>
      </c>
      <c r="G2851">
        <v>26.731756084000001</v>
      </c>
      <c r="H2851">
        <v>0.95678038632149798</v>
      </c>
      <c r="I2851">
        <v>3</v>
      </c>
      <c r="J2851">
        <v>0.29193034299999998</v>
      </c>
      <c r="P2851"/>
      <c r="V2851">
        <v>0.90928592905729599</v>
      </c>
      <c r="W2851">
        <v>3</v>
      </c>
      <c r="X2851">
        <v>76445.261081157005</v>
      </c>
      <c r="Y2851">
        <v>107610</v>
      </c>
      <c r="Z2851">
        <v>0.19148909117770899</v>
      </c>
      <c r="AA2851">
        <v>100</v>
      </c>
    </row>
    <row r="2852" spans="1:27" x14ac:dyDescent="0.2">
      <c r="A2852">
        <v>30</v>
      </c>
      <c r="B2852">
        <v>1</v>
      </c>
      <c r="C2852">
        <v>0.4</v>
      </c>
      <c r="D2852">
        <v>20</v>
      </c>
      <c r="E2852">
        <v>5.1878856110298299E-2</v>
      </c>
      <c r="F2852">
        <v>1</v>
      </c>
      <c r="G2852">
        <v>31.826939984999999</v>
      </c>
      <c r="H2852">
        <v>8.0863203945931203E-2</v>
      </c>
      <c r="I2852">
        <v>1</v>
      </c>
      <c r="J2852">
        <v>0.19076219999999999</v>
      </c>
      <c r="P2852"/>
      <c r="V2852">
        <v>6.3628207294104594E-2</v>
      </c>
      <c r="W2852">
        <v>1</v>
      </c>
      <c r="X2852">
        <v>101.84732771500001</v>
      </c>
      <c r="Y2852">
        <v>135</v>
      </c>
      <c r="Z2852">
        <v>2.0267913129004E-3</v>
      </c>
      <c r="AA2852">
        <v>9</v>
      </c>
    </row>
    <row r="2853" spans="1:27" x14ac:dyDescent="0.2">
      <c r="A2853">
        <v>30</v>
      </c>
      <c r="B2853">
        <v>1</v>
      </c>
      <c r="C2853">
        <v>0.4</v>
      </c>
      <c r="D2853">
        <v>20</v>
      </c>
      <c r="E2853">
        <v>6.6013580642046099E-2</v>
      </c>
      <c r="F2853">
        <v>1</v>
      </c>
      <c r="G2853">
        <v>31.879058360999998</v>
      </c>
      <c r="H2853">
        <v>7.4750511164549102E-2</v>
      </c>
      <c r="I2853">
        <v>1</v>
      </c>
      <c r="J2853">
        <v>0.225028058</v>
      </c>
      <c r="P2853"/>
      <c r="V2853">
        <v>4.65152461186659E-2</v>
      </c>
      <c r="W2853">
        <v>1</v>
      </c>
      <c r="X2853">
        <v>69.610017408999994</v>
      </c>
      <c r="Y2853">
        <v>151</v>
      </c>
      <c r="Z2853">
        <v>8.7509801473419895E-3</v>
      </c>
      <c r="AA2853">
        <v>1</v>
      </c>
    </row>
    <row r="2854" spans="1:27" x14ac:dyDescent="0.2">
      <c r="A2854">
        <v>30</v>
      </c>
      <c r="B2854">
        <v>1</v>
      </c>
      <c r="C2854">
        <v>0.4</v>
      </c>
      <c r="D2854">
        <v>20</v>
      </c>
      <c r="E2854">
        <v>4.6023155726796501E-2</v>
      </c>
      <c r="F2854">
        <v>1</v>
      </c>
      <c r="G2854">
        <v>30.751468278000001</v>
      </c>
      <c r="H2854">
        <v>6.4351275670643499E-2</v>
      </c>
      <c r="I2854">
        <v>1</v>
      </c>
      <c r="J2854">
        <v>0.40868629400000001</v>
      </c>
      <c r="P2854"/>
      <c r="V2854">
        <v>4.6972096146569303E-2</v>
      </c>
      <c r="W2854">
        <v>1</v>
      </c>
      <c r="X2854">
        <v>77.671854783000001</v>
      </c>
      <c r="Y2854">
        <v>71</v>
      </c>
      <c r="Z2854">
        <v>9.4708271231826995E-3</v>
      </c>
      <c r="AA2854">
        <v>57</v>
      </c>
    </row>
    <row r="2855" spans="1:27" x14ac:dyDescent="0.2">
      <c r="A2855">
        <v>30</v>
      </c>
      <c r="B2855">
        <v>1</v>
      </c>
      <c r="C2855">
        <v>0.2</v>
      </c>
      <c r="D2855">
        <v>20</v>
      </c>
      <c r="E2855">
        <v>6.5283126270938394E-2</v>
      </c>
      <c r="F2855">
        <v>1</v>
      </c>
      <c r="G2855">
        <v>33.584171988999998</v>
      </c>
      <c r="H2855">
        <v>9.3253810804495005E-2</v>
      </c>
      <c r="I2855">
        <v>1</v>
      </c>
      <c r="J2855">
        <v>0.19820159900000001</v>
      </c>
      <c r="P2855"/>
      <c r="V2855">
        <v>7.8118613621616595E-2</v>
      </c>
      <c r="W2855">
        <v>1</v>
      </c>
      <c r="X2855">
        <v>111.000396321</v>
      </c>
      <c r="Y2855">
        <v>168</v>
      </c>
      <c r="Z2855">
        <v>1.37345350472628E-3</v>
      </c>
      <c r="AA2855">
        <v>1</v>
      </c>
    </row>
    <row r="2856" spans="1:27" x14ac:dyDescent="0.2">
      <c r="A2856">
        <v>30</v>
      </c>
      <c r="B2856">
        <v>1</v>
      </c>
      <c r="C2856">
        <v>0.4</v>
      </c>
      <c r="D2856">
        <v>20</v>
      </c>
      <c r="E2856">
        <v>8.0148557597377601E-2</v>
      </c>
      <c r="F2856">
        <v>1</v>
      </c>
      <c r="G2856">
        <v>30.775505284000001</v>
      </c>
      <c r="H2856">
        <v>8.9225292722456898E-2</v>
      </c>
      <c r="I2856">
        <v>1</v>
      </c>
      <c r="J2856">
        <v>0.176518917</v>
      </c>
      <c r="P2856"/>
      <c r="V2856">
        <v>5.6765866082886703E-2</v>
      </c>
      <c r="W2856">
        <v>1</v>
      </c>
      <c r="X2856">
        <v>68.556771639000004</v>
      </c>
      <c r="Y2856">
        <v>101</v>
      </c>
      <c r="Z2856">
        <v>7.6955663205540096E-3</v>
      </c>
      <c r="AA2856">
        <v>1</v>
      </c>
    </row>
    <row r="2857" spans="1:27" x14ac:dyDescent="0.2">
      <c r="A2857">
        <v>30</v>
      </c>
      <c r="B2857">
        <v>1</v>
      </c>
      <c r="C2857">
        <v>0.3</v>
      </c>
      <c r="D2857">
        <v>20</v>
      </c>
      <c r="E2857">
        <v>8.9782088942875996E-2</v>
      </c>
      <c r="F2857">
        <v>1</v>
      </c>
      <c r="G2857">
        <v>35.165810108999999</v>
      </c>
      <c r="H2857">
        <v>0.113741239425242</v>
      </c>
      <c r="I2857">
        <v>1</v>
      </c>
      <c r="J2857">
        <v>0.20919090800000001</v>
      </c>
      <c r="P2857"/>
      <c r="V2857">
        <v>8.6034304791732394E-2</v>
      </c>
      <c r="W2857">
        <v>1</v>
      </c>
      <c r="X2857">
        <v>357.76849174900002</v>
      </c>
      <c r="Y2857">
        <v>1483</v>
      </c>
      <c r="Z2857">
        <v>8.3785802289462197E-3</v>
      </c>
      <c r="AA2857">
        <v>100</v>
      </c>
    </row>
    <row r="2858" spans="1:27" x14ac:dyDescent="0.2">
      <c r="A2858">
        <v>30</v>
      </c>
      <c r="B2858">
        <v>1</v>
      </c>
      <c r="C2858">
        <v>0.4</v>
      </c>
      <c r="D2858">
        <v>20</v>
      </c>
      <c r="E2858">
        <v>5.3655735542086698E-2</v>
      </c>
      <c r="F2858">
        <v>1</v>
      </c>
      <c r="G2858">
        <v>31.139399826999998</v>
      </c>
      <c r="H2858">
        <v>5.8032537256492801E-2</v>
      </c>
      <c r="I2858">
        <v>1</v>
      </c>
      <c r="J2858">
        <v>0.13335657400000001</v>
      </c>
      <c r="P2858"/>
      <c r="V2858">
        <v>3.3657222279343299E-2</v>
      </c>
      <c r="W2858">
        <v>1</v>
      </c>
      <c r="X2858">
        <v>83.365541389000001</v>
      </c>
      <c r="Y2858">
        <v>179</v>
      </c>
      <c r="Z2858">
        <v>1.26670995497235E-4</v>
      </c>
      <c r="AA2858">
        <v>27</v>
      </c>
    </row>
    <row r="2859" spans="1:27" x14ac:dyDescent="0.2">
      <c r="A2859">
        <v>30</v>
      </c>
      <c r="B2859">
        <v>1</v>
      </c>
      <c r="C2859">
        <v>0.4</v>
      </c>
      <c r="D2859">
        <v>20</v>
      </c>
      <c r="E2859">
        <v>5.1723879286304099E-2</v>
      </c>
      <c r="F2859">
        <v>1</v>
      </c>
      <c r="G2859">
        <v>32.629017628</v>
      </c>
      <c r="H2859">
        <v>7.0164012539243606E-2</v>
      </c>
      <c r="I2859">
        <v>1</v>
      </c>
      <c r="J2859">
        <v>0.196563872</v>
      </c>
      <c r="P2859"/>
      <c r="V2859">
        <v>5.0656322939183901E-2</v>
      </c>
      <c r="W2859">
        <v>1</v>
      </c>
      <c r="X2859">
        <v>65.040936055000003</v>
      </c>
      <c r="Y2859">
        <v>259</v>
      </c>
      <c r="Z2859">
        <v>4.8517106657541798E-4</v>
      </c>
      <c r="AA2859">
        <v>1</v>
      </c>
    </row>
    <row r="2860" spans="1:27" x14ac:dyDescent="0.2">
      <c r="A2860">
        <v>30</v>
      </c>
      <c r="B2860">
        <v>1</v>
      </c>
      <c r="C2860">
        <v>0.3</v>
      </c>
      <c r="D2860">
        <v>20</v>
      </c>
      <c r="E2860">
        <v>7.2399672033572296E-2</v>
      </c>
      <c r="F2860">
        <v>1</v>
      </c>
      <c r="G2860">
        <v>31.831623678</v>
      </c>
      <c r="H2860">
        <v>9.0429631965266599E-2</v>
      </c>
      <c r="I2860">
        <v>1</v>
      </c>
      <c r="J2860">
        <v>0.27288427399999998</v>
      </c>
      <c r="P2860"/>
      <c r="V2860">
        <v>6.2674436576348497E-2</v>
      </c>
      <c r="W2860">
        <v>1</v>
      </c>
      <c r="X2860">
        <v>545.43331791399999</v>
      </c>
      <c r="Y2860">
        <v>2788</v>
      </c>
      <c r="Z2860">
        <v>8.0162050490590799E-3</v>
      </c>
      <c r="AA2860">
        <v>57</v>
      </c>
    </row>
    <row r="2861" spans="1:27" x14ac:dyDescent="0.2">
      <c r="A2861">
        <v>30</v>
      </c>
      <c r="B2861">
        <v>1</v>
      </c>
      <c r="C2861">
        <v>0.3</v>
      </c>
      <c r="D2861">
        <v>20</v>
      </c>
      <c r="E2861">
        <v>4.8877386021390301E-2</v>
      </c>
      <c r="F2861">
        <v>1</v>
      </c>
      <c r="G2861">
        <v>34.962224673999998</v>
      </c>
      <c r="H2861">
        <v>7.7376711100179699E-2</v>
      </c>
      <c r="I2861">
        <v>1</v>
      </c>
      <c r="J2861">
        <v>0.27566065000000001</v>
      </c>
      <c r="P2861"/>
      <c r="V2861">
        <v>6.0126466250633497E-2</v>
      </c>
      <c r="W2861">
        <v>1</v>
      </c>
      <c r="X2861">
        <v>37097.386624416999</v>
      </c>
      <c r="Y2861">
        <v>156804</v>
      </c>
      <c r="Z2861">
        <v>9.4370679449653494E-3</v>
      </c>
      <c r="AA2861">
        <v>69</v>
      </c>
    </row>
    <row r="2862" spans="1:27" x14ac:dyDescent="0.2">
      <c r="A2862">
        <v>30</v>
      </c>
      <c r="B2862">
        <v>1</v>
      </c>
      <c r="C2862">
        <v>0.4</v>
      </c>
      <c r="D2862">
        <v>20</v>
      </c>
      <c r="E2862">
        <v>0.112089680502254</v>
      </c>
      <c r="F2862">
        <v>1</v>
      </c>
      <c r="G2862">
        <v>31.692445728999999</v>
      </c>
      <c r="H2862">
        <v>0.110247590928946</v>
      </c>
      <c r="I2862">
        <v>1</v>
      </c>
      <c r="J2862">
        <v>0.275028724</v>
      </c>
      <c r="P2862"/>
      <c r="V2862">
        <v>8.8126437858953202E-2</v>
      </c>
      <c r="W2862">
        <v>1</v>
      </c>
      <c r="X2862">
        <v>72153.943092275003</v>
      </c>
      <c r="Y2862">
        <v>189567</v>
      </c>
      <c r="Z2862">
        <v>6.4732566022319901E-2</v>
      </c>
      <c r="AA2862">
        <v>100</v>
      </c>
    </row>
    <row r="2863" spans="1:27" x14ac:dyDescent="0.2">
      <c r="A2863">
        <v>30</v>
      </c>
      <c r="B2863">
        <v>1</v>
      </c>
      <c r="C2863">
        <v>0.2</v>
      </c>
      <c r="D2863">
        <v>20</v>
      </c>
      <c r="E2863">
        <v>0.33126843457435301</v>
      </c>
      <c r="F2863">
        <v>1</v>
      </c>
      <c r="G2863">
        <v>30.808273294999999</v>
      </c>
      <c r="H2863">
        <v>0.24593612227637099</v>
      </c>
      <c r="I2863">
        <v>1</v>
      </c>
      <c r="J2863">
        <v>0.34347408200000001</v>
      </c>
      <c r="P2863"/>
      <c r="V2863">
        <v>0.234037288649869</v>
      </c>
      <c r="W2863">
        <v>1</v>
      </c>
      <c r="X2863">
        <v>73082.300624110998</v>
      </c>
      <c r="Y2863">
        <v>99154</v>
      </c>
      <c r="Z2863">
        <v>1.4961559429412999E-2</v>
      </c>
      <c r="AA2863">
        <v>100</v>
      </c>
    </row>
    <row r="2864" spans="1:27" x14ac:dyDescent="0.2">
      <c r="A2864">
        <v>30</v>
      </c>
      <c r="B2864">
        <v>1</v>
      </c>
      <c r="C2864">
        <v>0.2</v>
      </c>
      <c r="D2864">
        <v>20</v>
      </c>
      <c r="E2864">
        <v>8.64435645777753E-2</v>
      </c>
      <c r="F2864">
        <v>1</v>
      </c>
      <c r="G2864">
        <v>30.653761649</v>
      </c>
      <c r="H2864">
        <v>0.122031556363947</v>
      </c>
      <c r="I2864">
        <v>1</v>
      </c>
      <c r="J2864">
        <v>0.30598017300000002</v>
      </c>
      <c r="P2864"/>
      <c r="V2864">
        <v>0.10162412512068</v>
      </c>
      <c r="W2864">
        <v>1</v>
      </c>
      <c r="X2864">
        <v>72891.382776245999</v>
      </c>
      <c r="Y2864">
        <v>131674</v>
      </c>
      <c r="Z2864">
        <v>1.5441839910725799E-2</v>
      </c>
      <c r="AA2864">
        <v>100</v>
      </c>
    </row>
    <row r="2865" spans="1:27" x14ac:dyDescent="0.2">
      <c r="A2865">
        <v>30</v>
      </c>
      <c r="B2865">
        <v>1</v>
      </c>
      <c r="C2865">
        <v>0.4</v>
      </c>
      <c r="D2865">
        <v>20</v>
      </c>
      <c r="E2865">
        <v>6.1753236242921297E-2</v>
      </c>
      <c r="F2865">
        <v>1</v>
      </c>
      <c r="G2865">
        <v>32.178169877000002</v>
      </c>
      <c r="H2865">
        <v>8.5754889489489103E-2</v>
      </c>
      <c r="I2865">
        <v>1</v>
      </c>
      <c r="J2865">
        <v>0.32606036700000002</v>
      </c>
      <c r="P2865"/>
      <c r="V2865">
        <v>6.2133707036419898E-2</v>
      </c>
      <c r="W2865">
        <v>1</v>
      </c>
      <c r="X2865">
        <v>72972.688115539</v>
      </c>
      <c r="Y2865">
        <v>222949</v>
      </c>
      <c r="Z2865">
        <v>4.6627498612921502E-2</v>
      </c>
      <c r="AA2865">
        <v>100</v>
      </c>
    </row>
    <row r="2866" spans="1:27" x14ac:dyDescent="0.2">
      <c r="A2866">
        <v>30</v>
      </c>
      <c r="B2866">
        <v>1</v>
      </c>
      <c r="C2866">
        <v>0.3</v>
      </c>
      <c r="D2866">
        <v>20</v>
      </c>
      <c r="E2866">
        <v>8.13934670175471E-2</v>
      </c>
      <c r="F2866">
        <v>1</v>
      </c>
      <c r="G2866">
        <v>30.92535801</v>
      </c>
      <c r="H2866">
        <v>9.4558692865394894E-2</v>
      </c>
      <c r="I2866">
        <v>1</v>
      </c>
      <c r="J2866">
        <v>0.20298240200000001</v>
      </c>
      <c r="P2866"/>
      <c r="V2866">
        <v>7.7959430278954397E-2</v>
      </c>
      <c r="W2866">
        <v>1</v>
      </c>
      <c r="X2866">
        <v>74736.312262904001</v>
      </c>
      <c r="Y2866">
        <v>182651</v>
      </c>
      <c r="Z2866">
        <v>4.8373167903109797E-2</v>
      </c>
      <c r="AA2866">
        <v>100</v>
      </c>
    </row>
    <row r="2867" spans="1:27" x14ac:dyDescent="0.2">
      <c r="A2867">
        <v>30</v>
      </c>
      <c r="B2867">
        <v>1</v>
      </c>
      <c r="C2867">
        <v>0.1</v>
      </c>
      <c r="D2867">
        <v>20</v>
      </c>
      <c r="E2867">
        <v>0.54492622803178503</v>
      </c>
      <c r="F2867">
        <v>1</v>
      </c>
      <c r="G2867">
        <v>32.832801689999997</v>
      </c>
      <c r="H2867">
        <v>0.51240437206273304</v>
      </c>
      <c r="I2867">
        <v>1</v>
      </c>
      <c r="J2867">
        <v>0.84738699500000003</v>
      </c>
      <c r="P2867"/>
      <c r="V2867">
        <v>0.50281102122155796</v>
      </c>
      <c r="W2867">
        <v>1</v>
      </c>
      <c r="X2867">
        <v>75044.435307570995</v>
      </c>
      <c r="Y2867">
        <v>25383</v>
      </c>
      <c r="Z2867">
        <v>1.99061263494173E-2</v>
      </c>
      <c r="AA2867">
        <v>100</v>
      </c>
    </row>
    <row r="2868" spans="1:27" x14ac:dyDescent="0.2">
      <c r="A2868">
        <v>30</v>
      </c>
      <c r="B2868">
        <v>1</v>
      </c>
      <c r="C2868">
        <v>0.1</v>
      </c>
      <c r="D2868">
        <v>20</v>
      </c>
      <c r="E2868">
        <v>0.41104271932383801</v>
      </c>
      <c r="F2868">
        <v>1</v>
      </c>
      <c r="G2868">
        <v>38.687036370999998</v>
      </c>
      <c r="H2868">
        <v>0.42163100473446202</v>
      </c>
      <c r="I2868">
        <v>1</v>
      </c>
      <c r="J2868">
        <v>0.29447820699999999</v>
      </c>
      <c r="P2868"/>
      <c r="V2868">
        <v>0.40870539505614401</v>
      </c>
      <c r="W2868">
        <v>1</v>
      </c>
      <c r="X2868">
        <v>74932.987287341995</v>
      </c>
      <c r="Y2868">
        <v>68501</v>
      </c>
      <c r="Z2868">
        <v>7.2920426364291302E-3</v>
      </c>
      <c r="AA2868">
        <v>100</v>
      </c>
    </row>
    <row r="2869" spans="1:27" x14ac:dyDescent="0.2">
      <c r="A2869">
        <v>30</v>
      </c>
      <c r="B2869">
        <v>1</v>
      </c>
      <c r="C2869">
        <v>0.3</v>
      </c>
      <c r="D2869">
        <v>20</v>
      </c>
      <c r="E2869">
        <v>0.114856127395308</v>
      </c>
      <c r="F2869">
        <v>1</v>
      </c>
      <c r="G2869">
        <v>31.451195797</v>
      </c>
      <c r="H2869">
        <v>0.126950813663847</v>
      </c>
      <c r="I2869">
        <v>1</v>
      </c>
      <c r="J2869">
        <v>0.167960164</v>
      </c>
      <c r="P2869"/>
      <c r="V2869">
        <v>0.100341768270462</v>
      </c>
      <c r="W2869">
        <v>1</v>
      </c>
      <c r="X2869">
        <v>75017.088207819994</v>
      </c>
      <c r="Y2869">
        <v>107202</v>
      </c>
      <c r="Z2869">
        <v>2.42052885785142E-2</v>
      </c>
      <c r="AA2869">
        <v>100</v>
      </c>
    </row>
    <row r="2870" spans="1:27" x14ac:dyDescent="0.2">
      <c r="A2870">
        <v>30</v>
      </c>
      <c r="B2870">
        <v>1</v>
      </c>
      <c r="C2870">
        <v>0.1</v>
      </c>
      <c r="D2870">
        <v>20</v>
      </c>
      <c r="E2870">
        <v>0.56235715206481196</v>
      </c>
      <c r="F2870">
        <v>1</v>
      </c>
      <c r="G2870">
        <v>32.622490597999999</v>
      </c>
      <c r="H2870">
        <v>0.444176900168674</v>
      </c>
      <c r="I2870">
        <v>1</v>
      </c>
      <c r="J2870">
        <v>0.37482727300000002</v>
      </c>
      <c r="P2870"/>
      <c r="V2870">
        <v>0.43122413155632799</v>
      </c>
      <c r="W2870">
        <v>1</v>
      </c>
      <c r="X2870">
        <v>75188.759177354004</v>
      </c>
      <c r="Y2870">
        <v>22399</v>
      </c>
      <c r="Z2870">
        <v>1.5442290756535901E-2</v>
      </c>
      <c r="AA2870">
        <v>100</v>
      </c>
    </row>
    <row r="2871" spans="1:27" x14ac:dyDescent="0.2">
      <c r="A2871">
        <v>30</v>
      </c>
      <c r="B2871">
        <v>1</v>
      </c>
      <c r="C2871">
        <v>0.2</v>
      </c>
      <c r="D2871">
        <v>20</v>
      </c>
      <c r="E2871">
        <v>0.29932225605193602</v>
      </c>
      <c r="F2871">
        <v>1</v>
      </c>
      <c r="G2871">
        <v>35.591717385000003</v>
      </c>
      <c r="H2871">
        <v>0.18967150693246901</v>
      </c>
      <c r="I2871">
        <v>1</v>
      </c>
      <c r="J2871">
        <v>0.27660305200000002</v>
      </c>
      <c r="P2871"/>
      <c r="V2871">
        <v>0.15740486682107899</v>
      </c>
      <c r="W2871">
        <v>1</v>
      </c>
      <c r="X2871">
        <v>75696.677869995998</v>
      </c>
      <c r="Y2871">
        <v>50539</v>
      </c>
      <c r="Z2871">
        <v>2.4951966462416E-2</v>
      </c>
      <c r="AA2871">
        <v>100</v>
      </c>
    </row>
    <row r="2872" spans="1:27" x14ac:dyDescent="0.2">
      <c r="A2872">
        <v>30</v>
      </c>
      <c r="B2872">
        <v>1</v>
      </c>
      <c r="C2872">
        <v>0.2</v>
      </c>
      <c r="D2872">
        <v>20</v>
      </c>
      <c r="E2872">
        <v>0.31521565108995397</v>
      </c>
      <c r="F2872">
        <v>1</v>
      </c>
      <c r="G2872">
        <v>32.828353855000003</v>
      </c>
      <c r="H2872">
        <v>0.31136777194002901</v>
      </c>
      <c r="I2872">
        <v>1</v>
      </c>
      <c r="J2872">
        <v>0.17550129</v>
      </c>
      <c r="P2872"/>
      <c r="V2872">
        <v>0.29549201326231</v>
      </c>
      <c r="W2872">
        <v>1</v>
      </c>
      <c r="X2872">
        <v>75146.388412171</v>
      </c>
      <c r="Y2872">
        <v>80473</v>
      </c>
      <c r="Z2872">
        <v>1.90534100068613E-2</v>
      </c>
      <c r="AA2872">
        <v>100</v>
      </c>
    </row>
    <row r="2873" spans="1:27" x14ac:dyDescent="0.2">
      <c r="A2873">
        <v>30</v>
      </c>
      <c r="B2873">
        <v>1</v>
      </c>
      <c r="C2873">
        <v>0.3</v>
      </c>
      <c r="D2873">
        <v>20</v>
      </c>
      <c r="E2873">
        <v>0.151473729616696</v>
      </c>
      <c r="F2873">
        <v>1</v>
      </c>
      <c r="G2873">
        <v>29.826238318000001</v>
      </c>
      <c r="H2873">
        <v>0.139698067284627</v>
      </c>
      <c r="I2873">
        <v>1</v>
      </c>
      <c r="J2873">
        <v>0.33155342500000001</v>
      </c>
      <c r="P2873"/>
      <c r="V2873">
        <v>0.11381792844482</v>
      </c>
      <c r="W2873">
        <v>1</v>
      </c>
      <c r="X2873">
        <v>75257.430388053996</v>
      </c>
      <c r="Y2873">
        <v>106799</v>
      </c>
      <c r="Z2873">
        <v>4.6746825303133101E-2</v>
      </c>
      <c r="AA2873">
        <v>100</v>
      </c>
    </row>
    <row r="2874" spans="1:27" x14ac:dyDescent="0.2">
      <c r="A2874">
        <v>30</v>
      </c>
      <c r="B2874">
        <v>1</v>
      </c>
      <c r="C2874">
        <v>0.3</v>
      </c>
      <c r="D2874">
        <v>20</v>
      </c>
      <c r="E2874">
        <v>0.159898898119578</v>
      </c>
      <c r="F2874">
        <v>1</v>
      </c>
      <c r="G2874">
        <v>32.087961579999998</v>
      </c>
      <c r="H2874">
        <v>0.13617067841140201</v>
      </c>
      <c r="I2874">
        <v>1</v>
      </c>
      <c r="J2874">
        <v>0.276032373</v>
      </c>
      <c r="P2874"/>
      <c r="V2874">
        <v>0.11932809220525301</v>
      </c>
      <c r="W2874">
        <v>1</v>
      </c>
      <c r="X2874">
        <v>75400.609543740007</v>
      </c>
      <c r="Y2874">
        <v>77129</v>
      </c>
      <c r="Z2874">
        <v>5.8675294240064298E-2</v>
      </c>
      <c r="AA2874">
        <v>100</v>
      </c>
    </row>
    <row r="2875" spans="1:27" x14ac:dyDescent="0.2">
      <c r="A2875">
        <v>30</v>
      </c>
      <c r="B2875">
        <v>1</v>
      </c>
      <c r="C2875">
        <v>0.1</v>
      </c>
      <c r="D2875">
        <v>20</v>
      </c>
      <c r="E2875">
        <v>0.475577522345911</v>
      </c>
      <c r="F2875">
        <v>1</v>
      </c>
      <c r="G2875">
        <v>33.468198145000002</v>
      </c>
      <c r="H2875">
        <v>0.434111589785876</v>
      </c>
      <c r="I2875">
        <v>1</v>
      </c>
      <c r="J2875">
        <v>0.14783285199999999</v>
      </c>
      <c r="P2875"/>
      <c r="V2875">
        <v>0.374449458855863</v>
      </c>
      <c r="W2875">
        <v>1</v>
      </c>
      <c r="X2875">
        <v>76014.591773648994</v>
      </c>
      <c r="Y2875">
        <v>45676</v>
      </c>
      <c r="Z2875">
        <v>5.5813108762304796E-3</v>
      </c>
      <c r="AA2875">
        <v>100</v>
      </c>
    </row>
    <row r="2876" spans="1:27" x14ac:dyDescent="0.2">
      <c r="A2876">
        <v>30</v>
      </c>
      <c r="B2876">
        <v>1</v>
      </c>
      <c r="C2876">
        <v>0.3</v>
      </c>
      <c r="D2876">
        <v>20</v>
      </c>
      <c r="E2876">
        <v>0.22486001939839501</v>
      </c>
      <c r="F2876">
        <v>1</v>
      </c>
      <c r="G2876">
        <v>31.502451074</v>
      </c>
      <c r="H2876">
        <v>0.15922426231251399</v>
      </c>
      <c r="I2876">
        <v>1</v>
      </c>
      <c r="J2876">
        <v>0.48479223599999999</v>
      </c>
      <c r="P2876"/>
      <c r="V2876">
        <v>0.142924777104421</v>
      </c>
      <c r="W2876">
        <v>1</v>
      </c>
      <c r="X2876">
        <v>75611.773900223998</v>
      </c>
      <c r="Y2876">
        <v>6281</v>
      </c>
      <c r="Z2876">
        <v>5.1487154219129701E-2</v>
      </c>
      <c r="AA2876">
        <v>100</v>
      </c>
    </row>
    <row r="2877" spans="1:27" x14ac:dyDescent="0.2">
      <c r="A2877">
        <v>30</v>
      </c>
      <c r="B2877">
        <v>1</v>
      </c>
      <c r="C2877">
        <v>0.3</v>
      </c>
      <c r="D2877">
        <v>20</v>
      </c>
      <c r="E2877">
        <v>0.131433699762075</v>
      </c>
      <c r="F2877">
        <v>1</v>
      </c>
      <c r="G2877">
        <v>35.713106971000002</v>
      </c>
      <c r="H2877">
        <v>0.15403720937284199</v>
      </c>
      <c r="I2877">
        <v>1</v>
      </c>
      <c r="J2877">
        <v>0.235506355</v>
      </c>
      <c r="P2877"/>
      <c r="V2877">
        <v>0.113706156326162</v>
      </c>
      <c r="W2877">
        <v>1</v>
      </c>
      <c r="X2877">
        <v>75944.226960996006</v>
      </c>
      <c r="Y2877">
        <v>115697</v>
      </c>
      <c r="Z2877">
        <v>1.3826506087088099E-2</v>
      </c>
      <c r="AA2877">
        <v>100</v>
      </c>
    </row>
    <row r="2878" spans="1:27" x14ac:dyDescent="0.2">
      <c r="A2878">
        <v>30</v>
      </c>
      <c r="B2878">
        <v>1</v>
      </c>
      <c r="C2878">
        <v>0.1</v>
      </c>
      <c r="D2878">
        <v>20</v>
      </c>
      <c r="E2878">
        <v>0.483322620896391</v>
      </c>
      <c r="F2878">
        <v>1</v>
      </c>
      <c r="G2878">
        <v>29.350831378999999</v>
      </c>
      <c r="H2878">
        <v>0.47920901012195699</v>
      </c>
      <c r="I2878">
        <v>1</v>
      </c>
      <c r="J2878">
        <v>0.30946996700000001</v>
      </c>
      <c r="P2878"/>
      <c r="V2878">
        <v>0.311999172379404</v>
      </c>
      <c r="W2878">
        <v>1</v>
      </c>
      <c r="X2878">
        <v>76275.113882883001</v>
      </c>
      <c r="Y2878">
        <v>35659</v>
      </c>
      <c r="Z2878">
        <v>1.6714775958665599E-2</v>
      </c>
      <c r="AA2878">
        <v>100</v>
      </c>
    </row>
    <row r="2879" spans="1:27" x14ac:dyDescent="0.2">
      <c r="A2879">
        <v>30</v>
      </c>
      <c r="B2879">
        <v>1</v>
      </c>
      <c r="C2879">
        <v>0.1</v>
      </c>
      <c r="D2879">
        <v>20</v>
      </c>
      <c r="E2879">
        <v>0.61715296433251499</v>
      </c>
      <c r="F2879">
        <v>1</v>
      </c>
      <c r="G2879">
        <v>33.047726646000001</v>
      </c>
      <c r="H2879">
        <v>0.60864918074488294</v>
      </c>
      <c r="I2879">
        <v>1</v>
      </c>
      <c r="J2879">
        <v>0.43458457</v>
      </c>
      <c r="P2879"/>
      <c r="V2879">
        <v>0.600142775192959</v>
      </c>
      <c r="W2879">
        <v>1</v>
      </c>
      <c r="X2879">
        <v>75968.402278042005</v>
      </c>
      <c r="Y2879">
        <v>22111</v>
      </c>
      <c r="Z2879">
        <v>2.7027576305161501E-2</v>
      </c>
      <c r="AA2879">
        <v>100</v>
      </c>
    </row>
    <row r="2880" spans="1:27" x14ac:dyDescent="0.2">
      <c r="A2880">
        <v>30</v>
      </c>
      <c r="B2880">
        <v>1</v>
      </c>
      <c r="C2880">
        <v>0.1</v>
      </c>
      <c r="D2880">
        <v>20</v>
      </c>
      <c r="E2880">
        <v>0.40650025124310502</v>
      </c>
      <c r="F2880">
        <v>1</v>
      </c>
      <c r="G2880">
        <v>36.907322649999998</v>
      </c>
      <c r="H2880">
        <v>0.39245265580006</v>
      </c>
      <c r="I2880">
        <v>1</v>
      </c>
      <c r="J2880">
        <v>0.87163980900000004</v>
      </c>
      <c r="P2880"/>
      <c r="V2880">
        <v>0.36007338937973599</v>
      </c>
      <c r="W2880">
        <v>1</v>
      </c>
      <c r="X2880">
        <v>75891.793734837993</v>
      </c>
      <c r="Y2880">
        <v>5255</v>
      </c>
      <c r="Z2880">
        <v>1.43372509102399E-2</v>
      </c>
      <c r="AA2880">
        <v>100</v>
      </c>
    </row>
    <row r="2881" spans="1:27" x14ac:dyDescent="0.2">
      <c r="A2881">
        <v>30</v>
      </c>
      <c r="B2881">
        <v>1</v>
      </c>
      <c r="C2881">
        <v>0.2</v>
      </c>
      <c r="D2881">
        <v>20</v>
      </c>
      <c r="E2881">
        <v>0.164080124221442</v>
      </c>
      <c r="F2881">
        <v>1</v>
      </c>
      <c r="G2881">
        <v>32.830106555</v>
      </c>
      <c r="H2881">
        <v>0.15518963670002001</v>
      </c>
      <c r="I2881">
        <v>1</v>
      </c>
      <c r="J2881">
        <v>0.33054092600000001</v>
      </c>
      <c r="P2881"/>
      <c r="V2881">
        <v>0.115757152805019</v>
      </c>
      <c r="W2881">
        <v>1</v>
      </c>
      <c r="X2881">
        <v>76284.724957590006</v>
      </c>
      <c r="Y2881">
        <v>70417</v>
      </c>
      <c r="Z2881">
        <v>2.5750017412295101E-2</v>
      </c>
      <c r="AA2881">
        <v>100</v>
      </c>
    </row>
    <row r="2882" spans="1:27" x14ac:dyDescent="0.2">
      <c r="A2882">
        <v>30</v>
      </c>
      <c r="B2882">
        <v>1</v>
      </c>
      <c r="C2882">
        <v>0.2</v>
      </c>
      <c r="D2882">
        <v>20</v>
      </c>
      <c r="E2882">
        <v>0.115102662292366</v>
      </c>
      <c r="F2882">
        <v>1</v>
      </c>
      <c r="G2882">
        <v>32.647056386999999</v>
      </c>
      <c r="H2882">
        <v>0.12989801214340799</v>
      </c>
      <c r="I2882">
        <v>1</v>
      </c>
      <c r="J2882">
        <v>0.20043544299999999</v>
      </c>
      <c r="P2882"/>
      <c r="V2882">
        <v>9.6937941896540203E-2</v>
      </c>
      <c r="W2882">
        <v>1</v>
      </c>
      <c r="X2882">
        <v>76214.664762511995</v>
      </c>
      <c r="Y2882">
        <v>2075</v>
      </c>
      <c r="Z2882">
        <v>0.119209115462291</v>
      </c>
      <c r="AA2882">
        <v>100</v>
      </c>
    </row>
    <row r="2883" spans="1:27" x14ac:dyDescent="0.2">
      <c r="A2883">
        <v>30</v>
      </c>
      <c r="B2883">
        <v>1</v>
      </c>
      <c r="C2883">
        <v>0.1</v>
      </c>
      <c r="D2883">
        <v>20</v>
      </c>
      <c r="E2883">
        <v>0.72273722056435097</v>
      </c>
      <c r="F2883">
        <v>1</v>
      </c>
      <c r="G2883">
        <v>33.069602785999997</v>
      </c>
      <c r="H2883">
        <v>0.68159759766664796</v>
      </c>
      <c r="I2883">
        <v>1</v>
      </c>
      <c r="J2883">
        <v>0.57773260000000004</v>
      </c>
      <c r="P2883"/>
      <c r="V2883">
        <v>0.876256158483112</v>
      </c>
      <c r="W2883">
        <v>1</v>
      </c>
      <c r="X2883">
        <v>76447.043882554004</v>
      </c>
      <c r="Y2883">
        <v>190642</v>
      </c>
      <c r="Z2883">
        <v>1.46258553466807E-2</v>
      </c>
      <c r="AA2883">
        <v>100</v>
      </c>
    </row>
    <row r="2884" spans="1:27" x14ac:dyDescent="0.2">
      <c r="A2884">
        <v>30</v>
      </c>
      <c r="B2884">
        <v>1</v>
      </c>
      <c r="C2884">
        <v>0.1</v>
      </c>
      <c r="D2884">
        <v>20</v>
      </c>
      <c r="E2884">
        <v>0.593358905500741</v>
      </c>
      <c r="F2884">
        <v>1</v>
      </c>
      <c r="G2884">
        <v>31.904893611999999</v>
      </c>
      <c r="H2884">
        <v>0.493828355684516</v>
      </c>
      <c r="I2884">
        <v>1</v>
      </c>
      <c r="J2884">
        <v>0.45286710600000002</v>
      </c>
      <c r="P2884"/>
      <c r="V2884">
        <v>0.47581051297370902</v>
      </c>
      <c r="W2884">
        <v>1</v>
      </c>
      <c r="X2884">
        <v>76389.654045919</v>
      </c>
      <c r="Y2884">
        <v>1981</v>
      </c>
      <c r="Z2884">
        <v>2.6705420773771998E-2</v>
      </c>
      <c r="AA2884">
        <v>100</v>
      </c>
    </row>
    <row r="2885" spans="1:27" x14ac:dyDescent="0.2">
      <c r="A2885">
        <v>30</v>
      </c>
      <c r="B2885">
        <v>1</v>
      </c>
      <c r="C2885">
        <v>0.2</v>
      </c>
      <c r="D2885">
        <v>20</v>
      </c>
      <c r="E2885">
        <v>0.200983738976759</v>
      </c>
      <c r="F2885">
        <v>1</v>
      </c>
      <c r="G2885">
        <v>31.819258417</v>
      </c>
      <c r="H2885">
        <v>0.192913644915605</v>
      </c>
      <c r="I2885">
        <v>1</v>
      </c>
      <c r="J2885">
        <v>0.34792805999999998</v>
      </c>
      <c r="P2885"/>
      <c r="V2885">
        <v>0.166456990979058</v>
      </c>
      <c r="W2885">
        <v>1</v>
      </c>
      <c r="X2885">
        <v>76574.649691893996</v>
      </c>
      <c r="Y2885">
        <v>56403</v>
      </c>
      <c r="Z2885">
        <v>5.7453825931588598E-2</v>
      </c>
      <c r="AA2885">
        <v>100</v>
      </c>
    </row>
    <row r="2886" spans="1:27" x14ac:dyDescent="0.2">
      <c r="A2886">
        <v>30</v>
      </c>
      <c r="B2886">
        <v>1</v>
      </c>
      <c r="C2886">
        <v>0.1</v>
      </c>
      <c r="D2886">
        <v>20</v>
      </c>
      <c r="E2886">
        <v>0.48681652849269103</v>
      </c>
      <c r="F2886">
        <v>1</v>
      </c>
      <c r="G2886">
        <v>31.331609972999999</v>
      </c>
      <c r="H2886">
        <v>0.39743630052522999</v>
      </c>
      <c r="I2886">
        <v>1</v>
      </c>
      <c r="J2886">
        <v>0.33013272199999999</v>
      </c>
      <c r="P2886"/>
      <c r="V2886">
        <v>0.37693711197944102</v>
      </c>
      <c r="W2886">
        <v>1</v>
      </c>
      <c r="X2886">
        <v>76291.273701045997</v>
      </c>
      <c r="Y2886">
        <v>2318</v>
      </c>
      <c r="Z2886">
        <v>1.55895115252893E-2</v>
      </c>
      <c r="AA2886">
        <v>100</v>
      </c>
    </row>
    <row r="2887" spans="1:27" x14ac:dyDescent="0.2">
      <c r="A2887">
        <v>30</v>
      </c>
      <c r="B2887">
        <v>1</v>
      </c>
      <c r="C2887">
        <v>0.2</v>
      </c>
      <c r="D2887">
        <v>20</v>
      </c>
      <c r="E2887">
        <v>0.24188538451765401</v>
      </c>
      <c r="F2887">
        <v>1</v>
      </c>
      <c r="G2887">
        <v>33.952224244999996</v>
      </c>
      <c r="H2887">
        <v>0.16164439844522199</v>
      </c>
      <c r="I2887">
        <v>1</v>
      </c>
      <c r="J2887">
        <v>0.39171130399999998</v>
      </c>
      <c r="P2887"/>
      <c r="V2887">
        <v>0.13914139830708799</v>
      </c>
      <c r="W2887">
        <v>1</v>
      </c>
      <c r="X2887">
        <v>76630.075418759006</v>
      </c>
      <c r="Y2887">
        <v>1496</v>
      </c>
      <c r="Z2887">
        <v>9.34739223460474E-2</v>
      </c>
      <c r="AA2887">
        <v>100</v>
      </c>
    </row>
    <row r="2888" spans="1:27" x14ac:dyDescent="0.2">
      <c r="A2888">
        <v>30</v>
      </c>
      <c r="B2888">
        <v>1</v>
      </c>
      <c r="C2888">
        <v>0.4</v>
      </c>
      <c r="D2888">
        <v>20</v>
      </c>
      <c r="E2888">
        <v>5.4572047615061597E-2</v>
      </c>
      <c r="F2888">
        <v>1</v>
      </c>
      <c r="G2888">
        <v>39.722226067999998</v>
      </c>
      <c r="H2888">
        <v>9.3028417597959906E-2</v>
      </c>
      <c r="I2888">
        <v>1</v>
      </c>
      <c r="J2888">
        <v>0.27867537599999997</v>
      </c>
      <c r="P2888"/>
      <c r="V2888">
        <v>7.4956526386820294E-2</v>
      </c>
      <c r="W2888">
        <v>1</v>
      </c>
      <c r="X2888">
        <v>76788.778560767998</v>
      </c>
      <c r="Y2888">
        <v>154235</v>
      </c>
      <c r="Z2888">
        <v>5.6982251011845599E-2</v>
      </c>
      <c r="AA2888">
        <v>100</v>
      </c>
    </row>
    <row r="2889" spans="1:27" x14ac:dyDescent="0.2">
      <c r="A2889">
        <v>30</v>
      </c>
      <c r="B2889">
        <v>1</v>
      </c>
      <c r="C2889">
        <v>0.4</v>
      </c>
      <c r="D2889">
        <v>20</v>
      </c>
      <c r="E2889">
        <v>0.172218701583331</v>
      </c>
      <c r="F2889">
        <v>1</v>
      </c>
      <c r="G2889">
        <v>31.315031678</v>
      </c>
      <c r="H2889">
        <v>0.14846927773558</v>
      </c>
      <c r="I2889">
        <v>1</v>
      </c>
      <c r="J2889">
        <v>0.22123463500000001</v>
      </c>
      <c r="P2889"/>
      <c r="V2889">
        <v>0.121673618094328</v>
      </c>
      <c r="W2889">
        <v>1</v>
      </c>
      <c r="X2889">
        <v>76542.470520732997</v>
      </c>
      <c r="Y2889">
        <v>125076</v>
      </c>
      <c r="Z2889">
        <v>5.6014797181997901E-2</v>
      </c>
      <c r="AA2889">
        <v>100</v>
      </c>
    </row>
    <row r="2890" spans="1:27" x14ac:dyDescent="0.2">
      <c r="A2890">
        <v>30</v>
      </c>
      <c r="B2890">
        <v>1</v>
      </c>
      <c r="C2890">
        <v>0.3</v>
      </c>
      <c r="D2890">
        <v>20</v>
      </c>
      <c r="E2890">
        <v>0.20486069346768601</v>
      </c>
      <c r="F2890">
        <v>1</v>
      </c>
      <c r="G2890">
        <v>35.697813724</v>
      </c>
      <c r="H2890">
        <v>0.205946968520306</v>
      </c>
      <c r="I2890">
        <v>1</v>
      </c>
      <c r="J2890">
        <v>0.251288279</v>
      </c>
      <c r="P2890"/>
      <c r="V2890">
        <v>0.182002160389478</v>
      </c>
      <c r="W2890">
        <v>1</v>
      </c>
      <c r="X2890">
        <v>76836.541140571004</v>
      </c>
      <c r="Y2890">
        <v>76316</v>
      </c>
      <c r="Z2890">
        <v>4.7077496424831701E-2</v>
      </c>
      <c r="AA2890">
        <v>100</v>
      </c>
    </row>
    <row r="2891" spans="1:27" x14ac:dyDescent="0.2">
      <c r="A2891">
        <v>30</v>
      </c>
      <c r="B2891">
        <v>1</v>
      </c>
      <c r="C2891">
        <v>0.2</v>
      </c>
      <c r="D2891">
        <v>20</v>
      </c>
      <c r="E2891">
        <v>0.30203041706093497</v>
      </c>
      <c r="F2891">
        <v>1</v>
      </c>
      <c r="G2891">
        <v>25.391156770999999</v>
      </c>
      <c r="H2891">
        <v>0.27764191138177302</v>
      </c>
      <c r="I2891">
        <v>1</v>
      </c>
      <c r="J2891">
        <v>0.24698046700000001</v>
      </c>
      <c r="P2891"/>
      <c r="V2891">
        <v>0.25003113603205501</v>
      </c>
      <c r="W2891">
        <v>1</v>
      </c>
      <c r="X2891">
        <v>78293.366832222004</v>
      </c>
      <c r="Y2891">
        <v>2027</v>
      </c>
      <c r="Z2891">
        <v>5.50788330495239E-2</v>
      </c>
      <c r="AA2891">
        <v>100</v>
      </c>
    </row>
    <row r="2892" spans="1:27" x14ac:dyDescent="0.2">
      <c r="A2892">
        <v>30</v>
      </c>
      <c r="B2892">
        <v>2</v>
      </c>
      <c r="C2892">
        <v>0.4</v>
      </c>
      <c r="D2892">
        <v>100</v>
      </c>
      <c r="E2892">
        <v>2.7823668968981301E-2</v>
      </c>
      <c r="F2892">
        <v>2</v>
      </c>
      <c r="G2892">
        <v>43.005175180000002</v>
      </c>
      <c r="H2892">
        <v>2.6074058382874899E-2</v>
      </c>
      <c r="I2892">
        <v>2</v>
      </c>
      <c r="J2892">
        <v>0.25866001799999999</v>
      </c>
      <c r="P2892"/>
      <c r="V2892">
        <v>1.9480664357069299E-2</v>
      </c>
      <c r="W2892">
        <v>2</v>
      </c>
      <c r="X2892">
        <v>75330.266549476</v>
      </c>
      <c r="Y2892">
        <v>26354</v>
      </c>
      <c r="Z2892">
        <v>1.3945620959112299</v>
      </c>
      <c r="AA2892">
        <v>100</v>
      </c>
    </row>
    <row r="2893" spans="1:27" x14ac:dyDescent="0.2">
      <c r="A2893">
        <v>30</v>
      </c>
      <c r="B2893">
        <v>2</v>
      </c>
      <c r="C2893">
        <v>0.1</v>
      </c>
      <c r="D2893">
        <v>100</v>
      </c>
      <c r="E2893">
        <v>0.73104779838137801</v>
      </c>
      <c r="F2893">
        <v>2</v>
      </c>
      <c r="G2893">
        <v>42.898206135000002</v>
      </c>
      <c r="H2893">
        <v>0.59890903850556299</v>
      </c>
      <c r="I2893">
        <v>2</v>
      </c>
      <c r="J2893">
        <v>1.717822577</v>
      </c>
      <c r="P2893"/>
      <c r="V2893">
        <v>0.60008368964364001</v>
      </c>
      <c r="W2893">
        <v>2</v>
      </c>
      <c r="X2893">
        <v>75757.728000408999</v>
      </c>
      <c r="Y2893">
        <v>18779</v>
      </c>
      <c r="Z2893">
        <v>6.2945041915920596E-2</v>
      </c>
      <c r="AA2893">
        <v>100</v>
      </c>
    </row>
    <row r="2894" spans="1:27" x14ac:dyDescent="0.2">
      <c r="A2894">
        <v>30</v>
      </c>
      <c r="B2894">
        <v>2</v>
      </c>
      <c r="C2894">
        <v>0.3</v>
      </c>
      <c r="D2894">
        <v>100</v>
      </c>
      <c r="E2894">
        <v>0.25973577167395301</v>
      </c>
      <c r="F2894">
        <v>2</v>
      </c>
      <c r="G2894">
        <v>42.255224613999999</v>
      </c>
      <c r="H2894">
        <v>5.8720279608492701E-2</v>
      </c>
      <c r="I2894">
        <v>2</v>
      </c>
      <c r="J2894">
        <v>0.53491571199999999</v>
      </c>
      <c r="P2894"/>
      <c r="V2894">
        <v>5.5393289020161503E-2</v>
      </c>
      <c r="W2894">
        <v>2</v>
      </c>
      <c r="X2894">
        <v>75774.218376142002</v>
      </c>
      <c r="Y2894">
        <v>17459</v>
      </c>
      <c r="Z2894">
        <v>0.88691568700050905</v>
      </c>
      <c r="AA2894">
        <v>100</v>
      </c>
    </row>
    <row r="2895" spans="1:27" x14ac:dyDescent="0.2">
      <c r="A2895">
        <v>30</v>
      </c>
      <c r="B2895">
        <v>2</v>
      </c>
      <c r="C2895">
        <v>0.1</v>
      </c>
      <c r="D2895">
        <v>100</v>
      </c>
      <c r="E2895">
        <v>1.2045210668378299</v>
      </c>
      <c r="F2895">
        <v>2</v>
      </c>
      <c r="G2895">
        <v>35.513700075000003</v>
      </c>
      <c r="H2895">
        <v>0.969319606247664</v>
      </c>
      <c r="I2895">
        <v>2</v>
      </c>
      <c r="J2895">
        <v>1.4584309959999999</v>
      </c>
      <c r="P2895"/>
      <c r="V2895">
        <v>0.97306798148915297</v>
      </c>
      <c r="W2895">
        <v>2</v>
      </c>
      <c r="X2895">
        <v>75804.379763012999</v>
      </c>
      <c r="Y2895">
        <v>56154</v>
      </c>
      <c r="Z2895">
        <v>7.0679265413605794E-2</v>
      </c>
      <c r="AA2895">
        <v>100</v>
      </c>
    </row>
    <row r="2896" spans="1:27" x14ac:dyDescent="0.2">
      <c r="A2896">
        <v>30</v>
      </c>
      <c r="B2896">
        <v>2</v>
      </c>
      <c r="C2896">
        <v>0.3</v>
      </c>
      <c r="D2896">
        <v>100</v>
      </c>
      <c r="E2896">
        <v>0.13834062072881401</v>
      </c>
      <c r="F2896">
        <v>2</v>
      </c>
      <c r="G2896">
        <v>29.198438118999999</v>
      </c>
      <c r="H2896">
        <v>6.0604610811630502E-2</v>
      </c>
      <c r="I2896">
        <v>2</v>
      </c>
      <c r="J2896">
        <v>0.38127102899999998</v>
      </c>
      <c r="P2896"/>
      <c r="V2896">
        <v>4.17630179614953E-2</v>
      </c>
      <c r="W2896">
        <v>2</v>
      </c>
      <c r="X2896">
        <v>75530.389254130001</v>
      </c>
      <c r="Y2896">
        <v>25857</v>
      </c>
      <c r="Z2896">
        <v>0.79782307610184899</v>
      </c>
      <c r="AA2896">
        <v>100</v>
      </c>
    </row>
    <row r="2897" spans="1:27" x14ac:dyDescent="0.2">
      <c r="A2897">
        <v>30</v>
      </c>
      <c r="B2897">
        <v>2</v>
      </c>
      <c r="C2897">
        <v>0.1</v>
      </c>
      <c r="D2897">
        <v>100</v>
      </c>
      <c r="E2897">
        <v>1.01327206886405</v>
      </c>
      <c r="F2897">
        <v>2</v>
      </c>
      <c r="G2897">
        <v>31.390334333999999</v>
      </c>
      <c r="H2897">
        <v>0.98870510083587804</v>
      </c>
      <c r="I2897">
        <v>2</v>
      </c>
      <c r="J2897">
        <v>1.3679909459999999</v>
      </c>
      <c r="P2897"/>
      <c r="V2897">
        <v>0.99064445442632698</v>
      </c>
      <c r="W2897">
        <v>2</v>
      </c>
      <c r="X2897">
        <v>75698.929721116001</v>
      </c>
      <c r="Y2897">
        <v>35579</v>
      </c>
      <c r="Z2897">
        <v>4.4015048873711798E-2</v>
      </c>
      <c r="AA2897">
        <v>100</v>
      </c>
    </row>
    <row r="2898" spans="1:27" x14ac:dyDescent="0.2">
      <c r="A2898">
        <v>30</v>
      </c>
      <c r="B2898">
        <v>2</v>
      </c>
      <c r="C2898">
        <v>0.1</v>
      </c>
      <c r="D2898">
        <v>100</v>
      </c>
      <c r="E2898">
        <v>0.88770635937144904</v>
      </c>
      <c r="F2898">
        <v>2</v>
      </c>
      <c r="G2898">
        <v>36.872456839000002</v>
      </c>
      <c r="H2898">
        <v>0.80384048621471904</v>
      </c>
      <c r="I2898">
        <v>2</v>
      </c>
      <c r="J2898">
        <v>1.4731046560000001</v>
      </c>
      <c r="P2898"/>
      <c r="V2898">
        <v>0.80203053282807302</v>
      </c>
      <c r="W2898">
        <v>2</v>
      </c>
      <c r="X2898">
        <v>75752.911631701005</v>
      </c>
      <c r="Y2898">
        <v>36511</v>
      </c>
      <c r="Z2898">
        <v>1.8266302908880899E-2</v>
      </c>
      <c r="AA2898">
        <v>100</v>
      </c>
    </row>
    <row r="2899" spans="1:27" x14ac:dyDescent="0.2">
      <c r="A2899">
        <v>30</v>
      </c>
      <c r="B2899">
        <v>2</v>
      </c>
      <c r="C2899">
        <v>0.4</v>
      </c>
      <c r="D2899">
        <v>100</v>
      </c>
      <c r="E2899">
        <v>2.72256467914593E-2</v>
      </c>
      <c r="F2899">
        <v>2</v>
      </c>
      <c r="G2899">
        <v>34.450787841</v>
      </c>
      <c r="H2899">
        <v>2.6478452398280301E-2</v>
      </c>
      <c r="I2899">
        <v>2</v>
      </c>
      <c r="J2899">
        <v>0.224530125</v>
      </c>
      <c r="P2899"/>
      <c r="V2899">
        <v>2.0529800241279799E-2</v>
      </c>
      <c r="W2899">
        <v>2</v>
      </c>
      <c r="X2899">
        <v>76344.639245707993</v>
      </c>
      <c r="Y2899">
        <v>2336</v>
      </c>
      <c r="Z2899">
        <v>1.3597526279991099</v>
      </c>
      <c r="AA2899">
        <v>100</v>
      </c>
    </row>
    <row r="2900" spans="1:27" x14ac:dyDescent="0.2">
      <c r="A2900">
        <v>30</v>
      </c>
      <c r="B2900">
        <v>2</v>
      </c>
      <c r="C2900">
        <v>0.1</v>
      </c>
      <c r="D2900">
        <v>100</v>
      </c>
      <c r="E2900">
        <v>0.60381152966473295</v>
      </c>
      <c r="F2900">
        <v>2</v>
      </c>
      <c r="G2900">
        <v>37.358920978999997</v>
      </c>
      <c r="H2900">
        <v>0.54742937127892899</v>
      </c>
      <c r="I2900">
        <v>2</v>
      </c>
      <c r="J2900">
        <v>1.5712994650000001</v>
      </c>
      <c r="P2900"/>
      <c r="V2900">
        <v>0.54644685481474298</v>
      </c>
      <c r="W2900">
        <v>2</v>
      </c>
      <c r="X2900">
        <v>75888.558974970001</v>
      </c>
      <c r="Y2900">
        <v>24976</v>
      </c>
      <c r="Z2900">
        <v>9.5279121697997599E-2</v>
      </c>
      <c r="AA2900">
        <v>100</v>
      </c>
    </row>
    <row r="2901" spans="1:27" x14ac:dyDescent="0.2">
      <c r="A2901">
        <v>30</v>
      </c>
      <c r="B2901">
        <v>2</v>
      </c>
      <c r="C2901">
        <v>0.3</v>
      </c>
      <c r="D2901">
        <v>100</v>
      </c>
      <c r="E2901">
        <v>0.12782099812669601</v>
      </c>
      <c r="F2901">
        <v>2</v>
      </c>
      <c r="G2901">
        <v>38.201343520999998</v>
      </c>
      <c r="H2901">
        <v>4.1051712784598599E-2</v>
      </c>
      <c r="I2901">
        <v>2</v>
      </c>
      <c r="J2901">
        <v>0.52059407000000002</v>
      </c>
      <c r="P2901"/>
      <c r="V2901">
        <v>3.3889683191845002E-2</v>
      </c>
      <c r="W2901">
        <v>2</v>
      </c>
      <c r="X2901">
        <v>76348.384116116998</v>
      </c>
      <c r="Y2901">
        <v>21262</v>
      </c>
      <c r="Z2901">
        <v>2.0153855385669801</v>
      </c>
      <c r="AA2901">
        <v>100</v>
      </c>
    </row>
    <row r="2902" spans="1:27" x14ac:dyDescent="0.2">
      <c r="A2902">
        <v>30</v>
      </c>
      <c r="B2902">
        <v>2</v>
      </c>
      <c r="C2902">
        <v>0.2</v>
      </c>
      <c r="D2902">
        <v>100</v>
      </c>
      <c r="E2902">
        <v>0.31428673538551399</v>
      </c>
      <c r="F2902">
        <v>2</v>
      </c>
      <c r="G2902">
        <v>26.528032334999999</v>
      </c>
      <c r="H2902">
        <v>0.239577674836043</v>
      </c>
      <c r="I2902">
        <v>2</v>
      </c>
      <c r="J2902">
        <v>0.62254123800000005</v>
      </c>
      <c r="P2902"/>
      <c r="V2902">
        <v>0.23493621796924399</v>
      </c>
      <c r="W2902">
        <v>2</v>
      </c>
      <c r="X2902">
        <v>76086.102533452999</v>
      </c>
      <c r="Y2902">
        <v>27688</v>
      </c>
      <c r="Z2902">
        <v>0.89184063118199897</v>
      </c>
      <c r="AA2902">
        <v>100</v>
      </c>
    </row>
    <row r="2903" spans="1:27" x14ac:dyDescent="0.2">
      <c r="A2903">
        <v>30</v>
      </c>
      <c r="B2903">
        <v>2</v>
      </c>
      <c r="C2903">
        <v>0.4</v>
      </c>
      <c r="D2903">
        <v>100</v>
      </c>
      <c r="E2903">
        <v>4.8605257803204398E-2</v>
      </c>
      <c r="F2903">
        <v>2</v>
      </c>
      <c r="G2903">
        <v>35.693591685999998</v>
      </c>
      <c r="H2903">
        <v>4.0236808626640301E-2</v>
      </c>
      <c r="I2903">
        <v>2</v>
      </c>
      <c r="J2903">
        <v>0.251205236</v>
      </c>
      <c r="P2903"/>
      <c r="V2903">
        <v>3.1029908192232399E-2</v>
      </c>
      <c r="W2903">
        <v>2</v>
      </c>
      <c r="X2903">
        <v>76033.876224969004</v>
      </c>
      <c r="Y2903">
        <v>24787</v>
      </c>
      <c r="Z2903">
        <v>0.62142387912899699</v>
      </c>
      <c r="AA2903">
        <v>100</v>
      </c>
    </row>
    <row r="2904" spans="1:27" x14ac:dyDescent="0.2">
      <c r="A2904">
        <v>30</v>
      </c>
      <c r="B2904">
        <v>2</v>
      </c>
      <c r="C2904">
        <v>0.1</v>
      </c>
      <c r="D2904">
        <v>100</v>
      </c>
      <c r="E2904">
        <v>0.86320447166678504</v>
      </c>
      <c r="F2904">
        <v>2</v>
      </c>
      <c r="G2904">
        <v>24.627835480000002</v>
      </c>
      <c r="H2904">
        <v>0.84717446808018104</v>
      </c>
      <c r="I2904">
        <v>2</v>
      </c>
      <c r="J2904">
        <v>1.070354716</v>
      </c>
      <c r="P2904"/>
      <c r="V2904">
        <v>0.84749765278975997</v>
      </c>
      <c r="W2904">
        <v>2</v>
      </c>
      <c r="X2904">
        <v>76008.925700401</v>
      </c>
      <c r="Y2904">
        <v>32451</v>
      </c>
      <c r="Z2904">
        <v>8.96340781407656E-2</v>
      </c>
      <c r="AA2904">
        <v>100</v>
      </c>
    </row>
    <row r="2905" spans="1:27" x14ac:dyDescent="0.2">
      <c r="A2905">
        <v>30</v>
      </c>
      <c r="B2905">
        <v>2</v>
      </c>
      <c r="C2905">
        <v>0.4</v>
      </c>
      <c r="D2905">
        <v>100</v>
      </c>
      <c r="E2905">
        <v>1.6945242206652101E-2</v>
      </c>
      <c r="F2905">
        <v>2</v>
      </c>
      <c r="G2905">
        <v>36.466572407000001</v>
      </c>
      <c r="H2905">
        <v>1.8781556644960899E-2</v>
      </c>
      <c r="I2905">
        <v>2</v>
      </c>
      <c r="J2905">
        <v>0.20155690100000001</v>
      </c>
      <c r="P2905"/>
      <c r="V2905">
        <v>1.2440474952828399E-2</v>
      </c>
      <c r="W2905">
        <v>2</v>
      </c>
      <c r="X2905">
        <v>76327.669445193998</v>
      </c>
      <c r="Y2905">
        <v>2496</v>
      </c>
      <c r="Z2905">
        <v>1.78332144091837</v>
      </c>
      <c r="AA2905">
        <v>100</v>
      </c>
    </row>
    <row r="2906" spans="1:27" x14ac:dyDescent="0.2">
      <c r="A2906">
        <v>30</v>
      </c>
      <c r="B2906">
        <v>2</v>
      </c>
      <c r="C2906">
        <v>0.2</v>
      </c>
      <c r="D2906">
        <v>100</v>
      </c>
      <c r="E2906">
        <v>0.521738828826801</v>
      </c>
      <c r="F2906">
        <v>2</v>
      </c>
      <c r="G2906">
        <v>49.040859458</v>
      </c>
      <c r="H2906">
        <v>0.38964126347448202</v>
      </c>
      <c r="I2906">
        <v>2</v>
      </c>
      <c r="J2906">
        <v>1.616006898</v>
      </c>
      <c r="P2906"/>
      <c r="V2906">
        <v>0.39009980065969502</v>
      </c>
      <c r="W2906">
        <v>2</v>
      </c>
      <c r="X2906">
        <v>76796.987469674001</v>
      </c>
      <c r="Y2906">
        <v>2822</v>
      </c>
      <c r="Z2906">
        <v>1.0000178966220099</v>
      </c>
      <c r="AA2906">
        <v>100</v>
      </c>
    </row>
    <row r="2907" spans="1:27" x14ac:dyDescent="0.2">
      <c r="A2907">
        <v>30</v>
      </c>
      <c r="B2907">
        <v>2</v>
      </c>
      <c r="C2907">
        <v>0.2</v>
      </c>
      <c r="D2907">
        <v>100</v>
      </c>
      <c r="E2907">
        <v>0.55608340473555296</v>
      </c>
      <c r="F2907">
        <v>2</v>
      </c>
      <c r="G2907">
        <v>40.79065052</v>
      </c>
      <c r="H2907">
        <v>0.28217081905157498</v>
      </c>
      <c r="I2907">
        <v>2</v>
      </c>
      <c r="J2907">
        <v>1.3025086829999999</v>
      </c>
      <c r="P2907"/>
      <c r="V2907">
        <v>0.27788654416508901</v>
      </c>
      <c r="W2907">
        <v>2</v>
      </c>
      <c r="X2907">
        <v>78198.265857986</v>
      </c>
      <c r="Y2907">
        <v>4300</v>
      </c>
      <c r="Z2907">
        <v>0.86273696544439404</v>
      </c>
      <c r="AA2907">
        <v>100</v>
      </c>
    </row>
    <row r="2908" spans="1:27" x14ac:dyDescent="0.2">
      <c r="A2908">
        <v>30</v>
      </c>
      <c r="B2908">
        <v>2</v>
      </c>
      <c r="C2908">
        <v>0.1</v>
      </c>
      <c r="D2908">
        <v>100</v>
      </c>
      <c r="E2908">
        <v>0.83833679742498501</v>
      </c>
      <c r="F2908">
        <v>2</v>
      </c>
      <c r="G2908">
        <v>43.215781083000003</v>
      </c>
      <c r="H2908">
        <v>0.74962010857510397</v>
      </c>
      <c r="I2908">
        <v>2</v>
      </c>
      <c r="J2908">
        <v>1.7376938239999999</v>
      </c>
      <c r="P2908"/>
      <c r="V2908">
        <v>0.74342754306248704</v>
      </c>
      <c r="W2908">
        <v>2</v>
      </c>
      <c r="X2908">
        <v>76449.243871925995</v>
      </c>
      <c r="Y2908">
        <v>37533</v>
      </c>
      <c r="Z2908">
        <v>4.1657759334456299E-2</v>
      </c>
      <c r="AA2908">
        <v>100</v>
      </c>
    </row>
    <row r="2909" spans="1:27" x14ac:dyDescent="0.2">
      <c r="A2909">
        <v>30</v>
      </c>
      <c r="B2909">
        <v>2</v>
      </c>
      <c r="C2909">
        <v>0.1</v>
      </c>
      <c r="D2909">
        <v>100</v>
      </c>
      <c r="E2909">
        <v>1.00738304775202</v>
      </c>
      <c r="F2909">
        <v>2</v>
      </c>
      <c r="G2909">
        <v>36.896320009999997</v>
      </c>
      <c r="H2909">
        <v>0.95203777514979004</v>
      </c>
      <c r="I2909">
        <v>2</v>
      </c>
      <c r="J2909">
        <v>1.5208853520000001</v>
      </c>
      <c r="P2909"/>
      <c r="V2909">
        <v>0.95253638955308495</v>
      </c>
      <c r="W2909">
        <v>2</v>
      </c>
      <c r="X2909">
        <v>77021.863137923996</v>
      </c>
      <c r="Y2909">
        <v>39751</v>
      </c>
      <c r="Z2909">
        <v>6.2318573226904102E-2</v>
      </c>
      <c r="AA2909">
        <v>100</v>
      </c>
    </row>
    <row r="2910" spans="1:27" x14ac:dyDescent="0.2">
      <c r="A2910">
        <v>30</v>
      </c>
      <c r="B2910">
        <v>2</v>
      </c>
      <c r="C2910">
        <v>0.1</v>
      </c>
      <c r="D2910">
        <v>100</v>
      </c>
      <c r="E2910">
        <v>0.917443267812726</v>
      </c>
      <c r="F2910">
        <v>2</v>
      </c>
      <c r="G2910">
        <v>36.562919909999998</v>
      </c>
      <c r="H2910">
        <v>0.96296792822437405</v>
      </c>
      <c r="I2910">
        <v>2</v>
      </c>
      <c r="J2910">
        <v>1.532290105</v>
      </c>
      <c r="P2910"/>
      <c r="V2910">
        <v>0.96416576599185699</v>
      </c>
      <c r="W2910">
        <v>2</v>
      </c>
      <c r="X2910">
        <v>76971.952528551003</v>
      </c>
      <c r="Y2910">
        <v>27098</v>
      </c>
      <c r="Z2910">
        <v>8.0884923104643E-2</v>
      </c>
      <c r="AA2910">
        <v>100</v>
      </c>
    </row>
    <row r="2911" spans="1:27" x14ac:dyDescent="0.2">
      <c r="A2911">
        <v>30</v>
      </c>
      <c r="B2911">
        <v>2</v>
      </c>
      <c r="C2911">
        <v>0.2</v>
      </c>
      <c r="D2911">
        <v>100</v>
      </c>
      <c r="E2911">
        <v>0.42029431486781699</v>
      </c>
      <c r="F2911">
        <v>2</v>
      </c>
      <c r="G2911">
        <v>36.867543462999997</v>
      </c>
      <c r="H2911">
        <v>0.217960274245697</v>
      </c>
      <c r="I2911">
        <v>2</v>
      </c>
      <c r="J2911">
        <v>0.83550442999999996</v>
      </c>
      <c r="P2911"/>
      <c r="V2911">
        <v>0.21390661608506401</v>
      </c>
      <c r="W2911">
        <v>2</v>
      </c>
      <c r="X2911">
        <v>76986.238194568999</v>
      </c>
      <c r="Y2911">
        <v>2749</v>
      </c>
      <c r="Z2911">
        <v>0.74395456575636199</v>
      </c>
      <c r="AA2911">
        <v>100</v>
      </c>
    </row>
    <row r="2912" spans="1:27" x14ac:dyDescent="0.2">
      <c r="A2912">
        <v>30</v>
      </c>
      <c r="B2912">
        <v>2</v>
      </c>
      <c r="C2912">
        <v>0.4</v>
      </c>
      <c r="D2912">
        <v>100</v>
      </c>
      <c r="E2912">
        <v>3.4312998272707798E-2</v>
      </c>
      <c r="F2912">
        <v>2</v>
      </c>
      <c r="G2912">
        <v>36.155690542999999</v>
      </c>
      <c r="H2912">
        <v>3.2842495754395101E-2</v>
      </c>
      <c r="I2912">
        <v>2</v>
      </c>
      <c r="J2912">
        <v>0.16648095600000001</v>
      </c>
      <c r="P2912"/>
      <c r="V2912">
        <v>2.75619763996224E-2</v>
      </c>
      <c r="W2912">
        <v>2</v>
      </c>
      <c r="X2912">
        <v>77204.216066833003</v>
      </c>
      <c r="Y2912">
        <v>2866</v>
      </c>
      <c r="Z2912">
        <v>1.3112844225708</v>
      </c>
      <c r="AA2912">
        <v>100</v>
      </c>
    </row>
    <row r="2913" spans="1:27" x14ac:dyDescent="0.2">
      <c r="A2913">
        <v>30</v>
      </c>
      <c r="B2913">
        <v>2</v>
      </c>
      <c r="C2913">
        <v>0.4</v>
      </c>
      <c r="D2913">
        <v>100</v>
      </c>
      <c r="E2913">
        <v>7.2593241365549802E-2</v>
      </c>
      <c r="F2913">
        <v>2</v>
      </c>
      <c r="G2913">
        <v>25.226695291999999</v>
      </c>
      <c r="H2913">
        <v>2.17840595306481E-2</v>
      </c>
      <c r="I2913">
        <v>2</v>
      </c>
      <c r="J2913">
        <v>0.216319548</v>
      </c>
      <c r="P2913"/>
      <c r="V2913">
        <v>1.6241425667664101E-2</v>
      </c>
      <c r="W2913">
        <v>2</v>
      </c>
      <c r="X2913">
        <v>77280.244657798001</v>
      </c>
      <c r="Y2913">
        <v>28332</v>
      </c>
      <c r="Z2913">
        <v>0.78484960704008699</v>
      </c>
      <c r="AA2913">
        <v>100</v>
      </c>
    </row>
    <row r="2914" spans="1:27" x14ac:dyDescent="0.2">
      <c r="A2914">
        <v>30</v>
      </c>
      <c r="B2914">
        <v>2</v>
      </c>
      <c r="C2914">
        <v>0.2</v>
      </c>
      <c r="D2914">
        <v>100</v>
      </c>
      <c r="E2914">
        <v>0.69383599604451596</v>
      </c>
      <c r="F2914">
        <v>2</v>
      </c>
      <c r="G2914">
        <v>22.494031506999999</v>
      </c>
      <c r="H2914">
        <v>0.47399029717000801</v>
      </c>
      <c r="I2914">
        <v>2</v>
      </c>
      <c r="J2914">
        <v>1.0191894450000001</v>
      </c>
      <c r="P2914"/>
      <c r="V2914">
        <v>0.47372352173140397</v>
      </c>
      <c r="W2914">
        <v>2</v>
      </c>
      <c r="X2914">
        <v>77780.398792385007</v>
      </c>
      <c r="Y2914">
        <v>2616</v>
      </c>
      <c r="Z2914">
        <v>0.58626028906785899</v>
      </c>
      <c r="AA2914">
        <v>100</v>
      </c>
    </row>
    <row r="2915" spans="1:27" x14ac:dyDescent="0.2">
      <c r="A2915">
        <v>30</v>
      </c>
      <c r="B2915">
        <v>2</v>
      </c>
      <c r="C2915">
        <v>0.1</v>
      </c>
      <c r="D2915">
        <v>100</v>
      </c>
      <c r="E2915">
        <v>1.0553247395047101</v>
      </c>
      <c r="F2915">
        <v>2</v>
      </c>
      <c r="G2915">
        <v>36.263379792999999</v>
      </c>
      <c r="H2915">
        <v>0.78771371734949802</v>
      </c>
      <c r="I2915">
        <v>2</v>
      </c>
      <c r="J2915">
        <v>1.5157911509999999</v>
      </c>
      <c r="P2915"/>
      <c r="V2915">
        <v>0.78814661710702705</v>
      </c>
      <c r="W2915">
        <v>2</v>
      </c>
      <c r="X2915">
        <v>77597.204045773004</v>
      </c>
      <c r="Y2915">
        <v>37449</v>
      </c>
      <c r="Z2915">
        <v>3.9091621160255698E-2</v>
      </c>
      <c r="AA2915">
        <v>100</v>
      </c>
    </row>
    <row r="2916" spans="1:27" x14ac:dyDescent="0.2">
      <c r="A2916">
        <v>30</v>
      </c>
      <c r="B2916">
        <v>2</v>
      </c>
      <c r="C2916">
        <v>0.4</v>
      </c>
      <c r="D2916">
        <v>100</v>
      </c>
      <c r="E2916">
        <v>6.4707693195386995E-2</v>
      </c>
      <c r="F2916">
        <v>2</v>
      </c>
      <c r="G2916">
        <v>28.880472446999999</v>
      </c>
      <c r="H2916">
        <v>2.5175469467118301E-2</v>
      </c>
      <c r="I2916">
        <v>2</v>
      </c>
      <c r="J2916">
        <v>0.36907439600000003</v>
      </c>
      <c r="P2916"/>
      <c r="V2916">
        <v>1.9695770018397299E-2</v>
      </c>
      <c r="W2916">
        <v>2</v>
      </c>
      <c r="X2916">
        <v>78308.478716361002</v>
      </c>
      <c r="Y2916">
        <v>2481</v>
      </c>
      <c r="Z2916">
        <v>1.5954391251289</v>
      </c>
      <c r="AA2916">
        <v>100</v>
      </c>
    </row>
    <row r="2917" spans="1:27" x14ac:dyDescent="0.2">
      <c r="A2917">
        <v>30</v>
      </c>
      <c r="B2917">
        <v>2</v>
      </c>
      <c r="C2917">
        <v>0.2</v>
      </c>
      <c r="D2917">
        <v>100</v>
      </c>
      <c r="E2917">
        <v>0.38829539951178699</v>
      </c>
      <c r="F2917">
        <v>2</v>
      </c>
      <c r="G2917">
        <v>31.341541040999999</v>
      </c>
      <c r="H2917">
        <v>0.15486271588093101</v>
      </c>
      <c r="I2917">
        <v>2</v>
      </c>
      <c r="J2917">
        <v>0.99363074699999998</v>
      </c>
      <c r="P2917"/>
      <c r="V2917">
        <v>0.146790777703554</v>
      </c>
      <c r="W2917">
        <v>2</v>
      </c>
      <c r="X2917">
        <v>77962.555675722004</v>
      </c>
      <c r="Y2917">
        <v>3587</v>
      </c>
      <c r="Z2917">
        <v>1.1338077446956301</v>
      </c>
      <c r="AA2917">
        <v>100</v>
      </c>
    </row>
    <row r="2918" spans="1:27" x14ac:dyDescent="0.2">
      <c r="A2918">
        <v>30</v>
      </c>
      <c r="B2918">
        <v>2</v>
      </c>
      <c r="C2918">
        <v>0.3</v>
      </c>
      <c r="D2918">
        <v>100</v>
      </c>
      <c r="E2918">
        <v>0.11543155359814899</v>
      </c>
      <c r="F2918">
        <v>2</v>
      </c>
      <c r="G2918">
        <v>37.646156185000002</v>
      </c>
      <c r="H2918">
        <v>3.0287279097890502E-2</v>
      </c>
      <c r="I2918">
        <v>2</v>
      </c>
      <c r="J2918">
        <v>0.49197553500000002</v>
      </c>
      <c r="P2918"/>
      <c r="V2918">
        <v>2.4712280013040201E-2</v>
      </c>
      <c r="W2918">
        <v>2</v>
      </c>
      <c r="X2918">
        <v>78364.585164232005</v>
      </c>
      <c r="Y2918">
        <v>3790</v>
      </c>
      <c r="Z2918">
        <v>0.57679076016546105</v>
      </c>
      <c r="AA2918">
        <v>100</v>
      </c>
    </row>
    <row r="2919" spans="1:27" x14ac:dyDescent="0.2">
      <c r="A2919">
        <v>30</v>
      </c>
      <c r="B2919">
        <v>2</v>
      </c>
      <c r="C2919">
        <v>0.3</v>
      </c>
      <c r="D2919">
        <v>100</v>
      </c>
      <c r="E2919">
        <v>0.11061335687316801</v>
      </c>
      <c r="F2919">
        <v>2</v>
      </c>
      <c r="G2919">
        <v>38.512075506000002</v>
      </c>
      <c r="H2919">
        <v>3.7628116455291301E-2</v>
      </c>
      <c r="I2919">
        <v>2</v>
      </c>
      <c r="J2919">
        <v>0.43659542299999998</v>
      </c>
      <c r="P2919"/>
      <c r="V2919">
        <v>3.3246627812833503E-2</v>
      </c>
      <c r="W2919">
        <v>2</v>
      </c>
      <c r="X2919">
        <v>78318.412976231994</v>
      </c>
      <c r="Y2919">
        <v>2427</v>
      </c>
      <c r="Z2919">
        <v>1.5457360951841099</v>
      </c>
      <c r="AA2919">
        <v>100</v>
      </c>
    </row>
    <row r="2920" spans="1:27" x14ac:dyDescent="0.2">
      <c r="A2920">
        <v>30</v>
      </c>
      <c r="B2920">
        <v>2</v>
      </c>
      <c r="C2920">
        <v>0.3</v>
      </c>
      <c r="D2920">
        <v>100</v>
      </c>
      <c r="E2920">
        <v>0.15796183158766799</v>
      </c>
      <c r="F2920">
        <v>2</v>
      </c>
      <c r="G2920">
        <v>36.191105434000001</v>
      </c>
      <c r="H2920">
        <v>5.3961561589646503E-2</v>
      </c>
      <c r="I2920">
        <v>2</v>
      </c>
      <c r="J2920">
        <v>0.45062197500000001</v>
      </c>
      <c r="P2920"/>
      <c r="V2920">
        <v>4.8465848025127198E-2</v>
      </c>
      <c r="W2920">
        <v>2</v>
      </c>
      <c r="X2920">
        <v>78102.539033907</v>
      </c>
      <c r="Y2920">
        <v>2981</v>
      </c>
      <c r="Z2920">
        <v>1.02717674318682</v>
      </c>
      <c r="AA2920">
        <v>100</v>
      </c>
    </row>
    <row r="2921" spans="1:27" x14ac:dyDescent="0.2">
      <c r="A2921">
        <v>30</v>
      </c>
      <c r="B2921">
        <v>2</v>
      </c>
      <c r="C2921">
        <v>0.2</v>
      </c>
      <c r="D2921">
        <v>100</v>
      </c>
      <c r="E2921">
        <v>0.290036774461641</v>
      </c>
      <c r="F2921">
        <v>2</v>
      </c>
      <c r="G2921">
        <v>35.308472295000001</v>
      </c>
      <c r="H2921">
        <v>0.13326476970947501</v>
      </c>
      <c r="I2921">
        <v>2</v>
      </c>
      <c r="J2921">
        <v>1.0434812309999999</v>
      </c>
      <c r="P2921"/>
      <c r="V2921">
        <v>0.12607483124473301</v>
      </c>
      <c r="W2921">
        <v>2</v>
      </c>
      <c r="X2921">
        <v>77977.021195570007</v>
      </c>
      <c r="Y2921">
        <v>4137</v>
      </c>
      <c r="Z2921">
        <v>0.59614991678245099</v>
      </c>
      <c r="AA2921">
        <v>100</v>
      </c>
    </row>
    <row r="2922" spans="1:27" x14ac:dyDescent="0.2">
      <c r="A2922">
        <v>30</v>
      </c>
      <c r="B2922">
        <v>2</v>
      </c>
      <c r="C2922">
        <v>0.2</v>
      </c>
      <c r="D2922">
        <v>100</v>
      </c>
      <c r="E2922">
        <v>0.32414640619638002</v>
      </c>
      <c r="F2922">
        <v>2</v>
      </c>
      <c r="G2922">
        <v>40.192467811999997</v>
      </c>
      <c r="H2922">
        <v>0.165828444156534</v>
      </c>
      <c r="I2922">
        <v>2</v>
      </c>
      <c r="J2922">
        <v>1.2437573420000001</v>
      </c>
      <c r="P2922"/>
      <c r="V2922">
        <v>0.14921248283064301</v>
      </c>
      <c r="W2922">
        <v>2</v>
      </c>
      <c r="X2922">
        <v>78075.863648671002</v>
      </c>
      <c r="Y2922">
        <v>2727</v>
      </c>
      <c r="Z2922">
        <v>0.45291774553958802</v>
      </c>
      <c r="AA2922">
        <v>100</v>
      </c>
    </row>
    <row r="2923" spans="1:27" x14ac:dyDescent="0.2">
      <c r="A2923">
        <v>30</v>
      </c>
      <c r="B2923">
        <v>2</v>
      </c>
      <c r="C2923">
        <v>0.4</v>
      </c>
      <c r="D2923">
        <v>100</v>
      </c>
      <c r="E2923">
        <v>8.9030309612451106E-2</v>
      </c>
      <c r="F2923">
        <v>2</v>
      </c>
      <c r="G2923">
        <v>42.445025393999998</v>
      </c>
      <c r="H2923">
        <v>2.8228416820665601E-2</v>
      </c>
      <c r="I2923">
        <v>2</v>
      </c>
      <c r="J2923">
        <v>0.304918197</v>
      </c>
      <c r="P2923"/>
      <c r="V2923">
        <v>2.2886093865319701E-2</v>
      </c>
      <c r="W2923">
        <v>2</v>
      </c>
      <c r="X2923">
        <v>78766.748585926995</v>
      </c>
      <c r="Y2923">
        <v>2380</v>
      </c>
      <c r="Z2923">
        <v>1.7092931292845599</v>
      </c>
      <c r="AA2923">
        <v>100</v>
      </c>
    </row>
    <row r="2924" spans="1:27" x14ac:dyDescent="0.2">
      <c r="A2924">
        <v>30</v>
      </c>
      <c r="B2924">
        <v>2</v>
      </c>
      <c r="C2924">
        <v>0.2</v>
      </c>
      <c r="D2924">
        <v>100</v>
      </c>
      <c r="E2924">
        <v>0.54924016097929396</v>
      </c>
      <c r="F2924">
        <v>2</v>
      </c>
      <c r="G2924">
        <v>37.645222629999999</v>
      </c>
      <c r="H2924">
        <v>0.26584784950451601</v>
      </c>
      <c r="I2924">
        <v>2</v>
      </c>
      <c r="J2924">
        <v>1.3187748450000001</v>
      </c>
      <c r="P2924"/>
      <c r="V2924">
        <v>0.25130714938667498</v>
      </c>
      <c r="W2924">
        <v>2</v>
      </c>
      <c r="X2924">
        <v>78839.488179127002</v>
      </c>
      <c r="Y2924">
        <v>2448</v>
      </c>
      <c r="Z2924">
        <v>0.75379907468959495</v>
      </c>
      <c r="AA2924">
        <v>100</v>
      </c>
    </row>
    <row r="2925" spans="1:27" x14ac:dyDescent="0.2">
      <c r="A2925">
        <v>30</v>
      </c>
      <c r="B2925">
        <v>2</v>
      </c>
      <c r="C2925">
        <v>0.3</v>
      </c>
      <c r="D2925">
        <v>100</v>
      </c>
      <c r="E2925">
        <v>0.20328972223532801</v>
      </c>
      <c r="F2925">
        <v>2</v>
      </c>
      <c r="G2925">
        <v>33.839790721999996</v>
      </c>
      <c r="H2925">
        <v>0.107570677402479</v>
      </c>
      <c r="I2925">
        <v>2</v>
      </c>
      <c r="J2925">
        <v>0.369052571</v>
      </c>
      <c r="P2925"/>
      <c r="V2925">
        <v>0.105203624184563</v>
      </c>
      <c r="W2925">
        <v>2</v>
      </c>
      <c r="X2925">
        <v>78444.537272941001</v>
      </c>
      <c r="Y2925">
        <v>3342</v>
      </c>
      <c r="Z2925">
        <v>1.2858499794765501</v>
      </c>
      <c r="AA2925">
        <v>100</v>
      </c>
    </row>
    <row r="2926" spans="1:27" x14ac:dyDescent="0.2">
      <c r="A2926">
        <v>30</v>
      </c>
      <c r="B2926">
        <v>2</v>
      </c>
      <c r="C2926">
        <v>0.2</v>
      </c>
      <c r="D2926">
        <v>100</v>
      </c>
      <c r="E2926">
        <v>0.287840348094766</v>
      </c>
      <c r="F2926">
        <v>2</v>
      </c>
      <c r="G2926">
        <v>30.644139963000001</v>
      </c>
      <c r="H2926">
        <v>0.35123381709603602</v>
      </c>
      <c r="I2926">
        <v>2</v>
      </c>
      <c r="J2926">
        <v>0.87041590700000004</v>
      </c>
      <c r="P2926"/>
      <c r="V2926">
        <v>0.35405907711115397</v>
      </c>
      <c r="W2926">
        <v>2</v>
      </c>
      <c r="X2926">
        <v>78773.077151685997</v>
      </c>
      <c r="Y2926">
        <v>2456</v>
      </c>
      <c r="Z2926">
        <v>0.64495894864414505</v>
      </c>
      <c r="AA2926">
        <v>100</v>
      </c>
    </row>
    <row r="2927" spans="1:27" x14ac:dyDescent="0.2">
      <c r="A2927">
        <v>30</v>
      </c>
      <c r="B2927">
        <v>2</v>
      </c>
      <c r="C2927">
        <v>0.4</v>
      </c>
      <c r="D2927">
        <v>100</v>
      </c>
      <c r="E2927">
        <v>1.1697899878660999E-2</v>
      </c>
      <c r="F2927">
        <v>2</v>
      </c>
      <c r="G2927">
        <v>37.268594708000002</v>
      </c>
      <c r="H2927">
        <v>1.4541606362140601E-2</v>
      </c>
      <c r="I2927">
        <v>2</v>
      </c>
      <c r="J2927">
        <v>0.21605903600000001</v>
      </c>
      <c r="P2927"/>
      <c r="V2927">
        <v>9.5529419987582104E-3</v>
      </c>
      <c r="W2927">
        <v>2</v>
      </c>
      <c r="X2927">
        <v>78824.081083308003</v>
      </c>
      <c r="Y2927">
        <v>2420</v>
      </c>
      <c r="Z2927">
        <v>1.0929461466075701</v>
      </c>
      <c r="AA2927">
        <v>100</v>
      </c>
    </row>
    <row r="2928" spans="1:27" x14ac:dyDescent="0.2">
      <c r="A2928">
        <v>30</v>
      </c>
      <c r="B2928">
        <v>2</v>
      </c>
      <c r="C2928">
        <v>0.3</v>
      </c>
      <c r="D2928">
        <v>100</v>
      </c>
      <c r="E2928">
        <v>0.153153675477364</v>
      </c>
      <c r="F2928">
        <v>2</v>
      </c>
      <c r="G2928">
        <v>41.378427549000001</v>
      </c>
      <c r="H2928">
        <v>6.0518496527618398E-2</v>
      </c>
      <c r="I2928">
        <v>2</v>
      </c>
      <c r="J2928">
        <v>0.77514959299999997</v>
      </c>
      <c r="P2928"/>
      <c r="V2928">
        <v>5.32138018030359E-2</v>
      </c>
      <c r="W2928">
        <v>2</v>
      </c>
      <c r="X2928">
        <v>78419.437346631006</v>
      </c>
      <c r="Y2928">
        <v>2485</v>
      </c>
      <c r="Z2928">
        <v>2.7424732810977699</v>
      </c>
      <c r="AA2928">
        <v>100</v>
      </c>
    </row>
    <row r="2929" spans="1:27" x14ac:dyDescent="0.2">
      <c r="A2929">
        <v>30</v>
      </c>
      <c r="B2929">
        <v>2</v>
      </c>
      <c r="C2929">
        <v>0.2</v>
      </c>
      <c r="D2929">
        <v>100</v>
      </c>
      <c r="E2929">
        <v>0.27964224190165299</v>
      </c>
      <c r="F2929">
        <v>2</v>
      </c>
      <c r="G2929">
        <v>35.48983131</v>
      </c>
      <c r="H2929">
        <v>0.14216525261163199</v>
      </c>
      <c r="I2929">
        <v>2</v>
      </c>
      <c r="J2929">
        <v>0.89321326599999995</v>
      </c>
      <c r="P2929"/>
      <c r="V2929">
        <v>0.12625264919877299</v>
      </c>
      <c r="W2929">
        <v>2</v>
      </c>
      <c r="X2929">
        <v>78621.298419544997</v>
      </c>
      <c r="Y2929">
        <v>2518</v>
      </c>
      <c r="Z2929">
        <v>1.50004873984471</v>
      </c>
      <c r="AA2929">
        <v>100</v>
      </c>
    </row>
    <row r="2930" spans="1:27" x14ac:dyDescent="0.2">
      <c r="A2930">
        <v>30</v>
      </c>
      <c r="B2930">
        <v>2</v>
      </c>
      <c r="C2930">
        <v>0.4</v>
      </c>
      <c r="D2930">
        <v>100</v>
      </c>
      <c r="E2930">
        <v>3.2799370001763001E-2</v>
      </c>
      <c r="F2930">
        <v>2</v>
      </c>
      <c r="G2930">
        <v>33.104310589999997</v>
      </c>
      <c r="H2930">
        <v>2.1850925021932199E-2</v>
      </c>
      <c r="I2930">
        <v>2</v>
      </c>
      <c r="J2930">
        <v>0.31259932200000001</v>
      </c>
      <c r="P2930"/>
      <c r="V2930">
        <v>1.5569091720560301E-2</v>
      </c>
      <c r="W2930">
        <v>2</v>
      </c>
      <c r="X2930">
        <v>78464.999082269002</v>
      </c>
      <c r="Y2930">
        <v>2367</v>
      </c>
      <c r="Z2930">
        <v>1.5788037359179701</v>
      </c>
      <c r="AA2930">
        <v>100</v>
      </c>
    </row>
    <row r="2931" spans="1:27" x14ac:dyDescent="0.2">
      <c r="A2931">
        <v>30</v>
      </c>
      <c r="B2931">
        <v>2</v>
      </c>
      <c r="C2931">
        <v>0.3</v>
      </c>
      <c r="D2931">
        <v>100</v>
      </c>
      <c r="E2931">
        <v>0.147475884459283</v>
      </c>
      <c r="F2931">
        <v>2</v>
      </c>
      <c r="G2931">
        <v>36.132246236999997</v>
      </c>
      <c r="H2931">
        <v>9.0064795602577297E-2</v>
      </c>
      <c r="I2931">
        <v>2</v>
      </c>
      <c r="J2931">
        <v>0.54535530799999998</v>
      </c>
      <c r="P2931"/>
      <c r="V2931">
        <v>8.1086667932781395E-2</v>
      </c>
      <c r="W2931">
        <v>2</v>
      </c>
      <c r="X2931">
        <v>78820.730856880007</v>
      </c>
      <c r="Y2931">
        <v>2448</v>
      </c>
      <c r="Z2931">
        <v>2.4581289034376801</v>
      </c>
      <c r="AA2931">
        <v>100</v>
      </c>
    </row>
    <row r="2932" spans="1:27" x14ac:dyDescent="0.2">
      <c r="A2932">
        <v>30</v>
      </c>
      <c r="B2932">
        <v>2</v>
      </c>
      <c r="C2932">
        <v>0.1</v>
      </c>
      <c r="D2932">
        <v>100</v>
      </c>
      <c r="E2932">
        <v>0.96691245833275796</v>
      </c>
      <c r="F2932">
        <v>2</v>
      </c>
      <c r="G2932">
        <v>26.491872782000002</v>
      </c>
      <c r="H2932">
        <v>0.81124535430558198</v>
      </c>
      <c r="I2932">
        <v>2</v>
      </c>
      <c r="J2932">
        <v>1.173923042</v>
      </c>
      <c r="P2932"/>
      <c r="V2932">
        <v>0.81321556657332605</v>
      </c>
      <c r="W2932">
        <v>2</v>
      </c>
      <c r="X2932">
        <v>78828.869507073003</v>
      </c>
      <c r="Y2932">
        <v>47262</v>
      </c>
      <c r="Z2932">
        <v>7.2719159924736404E-2</v>
      </c>
      <c r="AA2932">
        <v>100</v>
      </c>
    </row>
    <row r="2933" spans="1:27" x14ac:dyDescent="0.2">
      <c r="A2933">
        <v>30</v>
      </c>
      <c r="B2933">
        <v>2</v>
      </c>
      <c r="C2933">
        <v>0.4</v>
      </c>
      <c r="D2933">
        <v>100</v>
      </c>
      <c r="E2933">
        <v>9.6171654919158994E-2</v>
      </c>
      <c r="F2933">
        <v>2</v>
      </c>
      <c r="G2933">
        <v>40.014382689999998</v>
      </c>
      <c r="H2933">
        <v>3.3517362372592403E-2</v>
      </c>
      <c r="I2933">
        <v>2</v>
      </c>
      <c r="J2933">
        <v>0.37658576999999999</v>
      </c>
      <c r="P2933"/>
      <c r="V2933">
        <v>2.8165383646632899E-2</v>
      </c>
      <c r="W2933">
        <v>2</v>
      </c>
      <c r="X2933">
        <v>78818.555518221998</v>
      </c>
      <c r="Y2933">
        <v>2982</v>
      </c>
      <c r="Z2933">
        <v>1.3065441465479399</v>
      </c>
      <c r="AA2933">
        <v>100</v>
      </c>
    </row>
    <row r="2934" spans="1:27" x14ac:dyDescent="0.2">
      <c r="A2934">
        <v>30</v>
      </c>
      <c r="B2934">
        <v>2</v>
      </c>
      <c r="C2934">
        <v>0.4</v>
      </c>
      <c r="D2934">
        <v>100</v>
      </c>
      <c r="E2934">
        <v>2.5177943359822999E-2</v>
      </c>
      <c r="F2934">
        <v>2</v>
      </c>
      <c r="G2934">
        <v>35.900789066000002</v>
      </c>
      <c r="H2934">
        <v>2.04970303775831E-2</v>
      </c>
      <c r="I2934">
        <v>2</v>
      </c>
      <c r="J2934">
        <v>0.29725565799999998</v>
      </c>
      <c r="P2934"/>
      <c r="V2934">
        <v>1.49519156836273E-2</v>
      </c>
      <c r="W2934">
        <v>2</v>
      </c>
      <c r="X2934">
        <v>78588.587946158004</v>
      </c>
      <c r="Y2934">
        <v>2374</v>
      </c>
      <c r="Z2934">
        <v>0.91954621074182796</v>
      </c>
      <c r="AA2934">
        <v>100</v>
      </c>
    </row>
    <row r="2935" spans="1:27" x14ac:dyDescent="0.2">
      <c r="A2935">
        <v>30</v>
      </c>
      <c r="B2935">
        <v>2</v>
      </c>
      <c r="C2935">
        <v>0.3</v>
      </c>
      <c r="D2935">
        <v>100</v>
      </c>
      <c r="E2935">
        <v>0.18634552602950399</v>
      </c>
      <c r="F2935">
        <v>2</v>
      </c>
      <c r="G2935">
        <v>30.905244709000002</v>
      </c>
      <c r="H2935">
        <v>5.4812350678331498E-2</v>
      </c>
      <c r="I2935">
        <v>2</v>
      </c>
      <c r="J2935">
        <v>0.485399635</v>
      </c>
      <c r="P2935"/>
      <c r="V2935">
        <v>4.4007931038633999E-2</v>
      </c>
      <c r="W2935">
        <v>2</v>
      </c>
      <c r="X2935">
        <v>79120.707736980999</v>
      </c>
      <c r="Y2935">
        <v>2987</v>
      </c>
      <c r="Z2935">
        <v>1.8708712184889</v>
      </c>
      <c r="AA2935">
        <v>100</v>
      </c>
    </row>
    <row r="2936" spans="1:27" x14ac:dyDescent="0.2">
      <c r="A2936">
        <v>30</v>
      </c>
      <c r="B2936">
        <v>2</v>
      </c>
      <c r="C2936">
        <v>0.2</v>
      </c>
      <c r="D2936">
        <v>100</v>
      </c>
      <c r="E2936">
        <v>0.47551352585442902</v>
      </c>
      <c r="F2936">
        <v>2</v>
      </c>
      <c r="G2936">
        <v>23.314873631000001</v>
      </c>
      <c r="H2936">
        <v>0.30443428542067802</v>
      </c>
      <c r="I2936">
        <v>2</v>
      </c>
      <c r="J2936">
        <v>1.0264558850000001</v>
      </c>
      <c r="P2936"/>
      <c r="V2936">
        <v>0.30114067786733001</v>
      </c>
      <c r="W2936">
        <v>2</v>
      </c>
      <c r="X2936">
        <v>79541.414111050006</v>
      </c>
      <c r="Y2936">
        <v>4228</v>
      </c>
      <c r="Z2936">
        <v>1.0538202093812199</v>
      </c>
      <c r="AA2936">
        <v>100</v>
      </c>
    </row>
    <row r="2937" spans="1:27" x14ac:dyDescent="0.2">
      <c r="A2937">
        <v>30</v>
      </c>
      <c r="B2937">
        <v>2</v>
      </c>
      <c r="C2937">
        <v>0.3</v>
      </c>
      <c r="D2937">
        <v>100</v>
      </c>
      <c r="E2937">
        <v>0.188467514810572</v>
      </c>
      <c r="F2937">
        <v>2</v>
      </c>
      <c r="G2937">
        <v>35.377906191000001</v>
      </c>
      <c r="H2937">
        <v>3.50757079956266E-2</v>
      </c>
      <c r="I2937">
        <v>2</v>
      </c>
      <c r="J2937">
        <v>0.62452964799999999</v>
      </c>
      <c r="P2937"/>
      <c r="V2937">
        <v>2.90810186032298E-2</v>
      </c>
      <c r="W2937">
        <v>2</v>
      </c>
      <c r="X2937">
        <v>79361.030614945994</v>
      </c>
      <c r="Y2937">
        <v>2433</v>
      </c>
      <c r="Z2937">
        <v>1.10908639492117</v>
      </c>
      <c r="AA2937">
        <v>100</v>
      </c>
    </row>
    <row r="2938" spans="1:27" x14ac:dyDescent="0.2">
      <c r="A2938">
        <v>30</v>
      </c>
      <c r="B2938">
        <v>2</v>
      </c>
      <c r="C2938">
        <v>0.3</v>
      </c>
      <c r="D2938">
        <v>100</v>
      </c>
      <c r="E2938">
        <v>0.19778364310923799</v>
      </c>
      <c r="F2938">
        <v>2</v>
      </c>
      <c r="G2938">
        <v>36.012724016999996</v>
      </c>
      <c r="H2938">
        <v>8.5813193727775794E-2</v>
      </c>
      <c r="I2938">
        <v>2</v>
      </c>
      <c r="J2938">
        <v>0.504568554</v>
      </c>
      <c r="P2938"/>
      <c r="V2938">
        <v>7.0254471120496306E-2</v>
      </c>
      <c r="W2938">
        <v>2</v>
      </c>
      <c r="X2938">
        <v>79947.865142836003</v>
      </c>
      <c r="Y2938">
        <v>2395</v>
      </c>
      <c r="Z2938">
        <v>1.5876351719325601</v>
      </c>
      <c r="AA2938">
        <v>100</v>
      </c>
    </row>
    <row r="2939" spans="1:27" x14ac:dyDescent="0.2">
      <c r="A2939" s="4">
        <v>20</v>
      </c>
      <c r="B2939" s="4">
        <v>3</v>
      </c>
      <c r="C2939" s="4">
        <v>0.1</v>
      </c>
      <c r="D2939" s="4">
        <v>100</v>
      </c>
      <c r="E2939" s="4">
        <v>1.04202058</v>
      </c>
      <c r="F2939" s="4">
        <v>3</v>
      </c>
      <c r="G2939" s="4">
        <v>33.844579799999998</v>
      </c>
      <c r="H2939" s="4">
        <v>0.93335641000000003</v>
      </c>
      <c r="I2939" s="4">
        <v>3</v>
      </c>
      <c r="J2939" s="4">
        <v>0.98987703999999999</v>
      </c>
      <c r="K2939" s="4"/>
      <c r="L2939" s="4"/>
      <c r="M2939" s="4"/>
      <c r="N2939" s="4"/>
      <c r="O2939" s="4"/>
      <c r="P2939" s="4"/>
      <c r="Q2939" s="4"/>
      <c r="R2939" s="4"/>
      <c r="S2939" s="4"/>
      <c r="T2939" s="4"/>
      <c r="U2939" s="4"/>
      <c r="V2939" s="4">
        <v>0.93353624999999996</v>
      </c>
      <c r="W2939" s="4">
        <v>3</v>
      </c>
      <c r="X2939" s="4">
        <v>1959.8353199999999</v>
      </c>
      <c r="Y2939" s="4">
        <v>3763</v>
      </c>
      <c r="Z2939" s="4">
        <v>3.4322599999999999E-3</v>
      </c>
      <c r="AA2939" s="4">
        <v>7</v>
      </c>
    </row>
    <row r="2940" spans="1:27" x14ac:dyDescent="0.2">
      <c r="A2940" s="4">
        <v>20</v>
      </c>
      <c r="B2940" s="4">
        <v>3</v>
      </c>
      <c r="C2940" s="4">
        <v>0.1</v>
      </c>
      <c r="D2940" s="4">
        <v>100</v>
      </c>
      <c r="E2940" s="4">
        <v>1.4009929699999999</v>
      </c>
      <c r="F2940" s="4">
        <v>3</v>
      </c>
      <c r="G2940" s="4">
        <v>31.948750700000002</v>
      </c>
      <c r="H2940" s="4">
        <v>1.0041771799999999</v>
      </c>
      <c r="I2940" s="4">
        <v>3</v>
      </c>
      <c r="J2940" s="4">
        <v>0.97164896999999995</v>
      </c>
      <c r="K2940" s="4"/>
      <c r="L2940" s="4"/>
      <c r="M2940" s="4"/>
      <c r="N2940" s="4"/>
      <c r="O2940" s="4"/>
      <c r="P2940" s="4"/>
      <c r="Q2940" s="4"/>
      <c r="R2940" s="4"/>
      <c r="S2940" s="4"/>
      <c r="T2940" s="4"/>
      <c r="U2940" s="4"/>
      <c r="V2940" s="4">
        <v>1.0051813599999999</v>
      </c>
      <c r="W2940" s="4">
        <v>3</v>
      </c>
      <c r="X2940" s="4">
        <v>75075.438500000004</v>
      </c>
      <c r="Y2940" s="4">
        <v>231135</v>
      </c>
      <c r="Z2940" s="4">
        <v>4.235995E-2</v>
      </c>
      <c r="AA2940" s="4">
        <v>100</v>
      </c>
    </row>
    <row r="2941" spans="1:27" x14ac:dyDescent="0.2">
      <c r="A2941" s="4">
        <v>20</v>
      </c>
      <c r="B2941" s="4">
        <v>3</v>
      </c>
      <c r="C2941" s="4">
        <v>0.3</v>
      </c>
      <c r="D2941" s="4">
        <v>100</v>
      </c>
      <c r="E2941" s="4">
        <v>0.52104693000000002</v>
      </c>
      <c r="F2941" s="4">
        <v>3</v>
      </c>
      <c r="G2941" s="4">
        <v>32.206822299999999</v>
      </c>
      <c r="H2941" s="4">
        <v>0.35450945</v>
      </c>
      <c r="I2941" s="4">
        <v>3</v>
      </c>
      <c r="J2941" s="4">
        <v>0.90136709000000004</v>
      </c>
      <c r="K2941" s="4"/>
      <c r="L2941" s="4"/>
      <c r="M2941" s="4"/>
      <c r="N2941" s="4"/>
      <c r="O2941" s="4"/>
      <c r="P2941" s="4"/>
      <c r="Q2941" s="4"/>
      <c r="R2941" s="4"/>
      <c r="S2941" s="4"/>
      <c r="T2941" s="4"/>
      <c r="U2941" s="4"/>
      <c r="V2941" s="4">
        <v>0.35018987000000001</v>
      </c>
      <c r="W2941" s="4">
        <v>3</v>
      </c>
      <c r="X2941" s="4">
        <v>75170.378100000002</v>
      </c>
      <c r="Y2941" s="4">
        <v>129226</v>
      </c>
      <c r="Z2941" s="4">
        <v>0.37513119</v>
      </c>
      <c r="AA2941" s="4">
        <v>100</v>
      </c>
    </row>
    <row r="2942" spans="1:27" x14ac:dyDescent="0.2">
      <c r="A2942" s="4">
        <v>20</v>
      </c>
      <c r="B2942" s="4">
        <v>3</v>
      </c>
      <c r="C2942" s="4">
        <v>0.1</v>
      </c>
      <c r="D2942" s="4">
        <v>100</v>
      </c>
      <c r="E2942" s="4">
        <v>0.97240028000000001</v>
      </c>
      <c r="F2942" s="4">
        <v>3</v>
      </c>
      <c r="G2942" s="4">
        <v>32.938024499999997</v>
      </c>
      <c r="H2942" s="4">
        <v>0.94927276000000005</v>
      </c>
      <c r="I2942" s="4">
        <v>3</v>
      </c>
      <c r="J2942" s="4">
        <v>0.73407336999999995</v>
      </c>
      <c r="K2942" s="4"/>
      <c r="L2942" s="4"/>
      <c r="M2942" s="4"/>
      <c r="N2942" s="4"/>
      <c r="O2942" s="4"/>
      <c r="P2942" s="4"/>
      <c r="Q2942" s="4"/>
      <c r="R2942" s="4"/>
      <c r="S2942" s="4"/>
      <c r="T2942" s="4"/>
      <c r="U2942" s="4"/>
      <c r="V2942" s="4">
        <v>1.0337042299999999</v>
      </c>
      <c r="W2942" s="4">
        <v>3</v>
      </c>
      <c r="X2942" s="4">
        <v>75390.398199999996</v>
      </c>
      <c r="Y2942" s="4">
        <v>48349</v>
      </c>
      <c r="Z2942" s="4">
        <v>3.97124E-3</v>
      </c>
      <c r="AA2942" s="4">
        <v>100</v>
      </c>
    </row>
    <row r="2943" spans="1:27" x14ac:dyDescent="0.2">
      <c r="A2943" s="4">
        <v>20</v>
      </c>
      <c r="B2943" s="4">
        <v>3</v>
      </c>
      <c r="C2943" s="4">
        <v>0.3</v>
      </c>
      <c r="D2943" s="4">
        <v>100</v>
      </c>
      <c r="E2943" s="4">
        <v>0.48913463000000001</v>
      </c>
      <c r="F2943" s="4">
        <v>3</v>
      </c>
      <c r="G2943" s="4">
        <v>31.590485600000001</v>
      </c>
      <c r="H2943" s="4">
        <v>0.27299096</v>
      </c>
      <c r="I2943" s="4">
        <v>3</v>
      </c>
      <c r="J2943" s="4">
        <v>1.0347549300000001</v>
      </c>
      <c r="K2943" s="4"/>
      <c r="L2943" s="4"/>
      <c r="M2943" s="4"/>
      <c r="N2943" s="4"/>
      <c r="O2943" s="4"/>
      <c r="P2943" s="4"/>
      <c r="Q2943" s="4"/>
      <c r="R2943" s="4"/>
      <c r="S2943" s="4"/>
      <c r="T2943" s="4"/>
      <c r="U2943" s="4"/>
      <c r="V2943" s="4">
        <v>0.27003989</v>
      </c>
      <c r="W2943" s="4">
        <v>3</v>
      </c>
      <c r="X2943" s="4">
        <v>75422.0916</v>
      </c>
      <c r="Y2943" s="4">
        <v>8437</v>
      </c>
      <c r="Z2943" s="4">
        <v>0.63182636000000003</v>
      </c>
      <c r="AA2943" s="4">
        <v>100</v>
      </c>
    </row>
    <row r="2944" spans="1:27" x14ac:dyDescent="0.2">
      <c r="A2944" s="4">
        <v>20</v>
      </c>
      <c r="B2944" s="4">
        <v>3</v>
      </c>
      <c r="C2944" s="4">
        <v>0.2</v>
      </c>
      <c r="D2944" s="4">
        <v>100</v>
      </c>
      <c r="E2944" s="4">
        <v>0.84405235000000001</v>
      </c>
      <c r="F2944" s="4">
        <v>3</v>
      </c>
      <c r="G2944" s="4">
        <v>35.305320600000002</v>
      </c>
      <c r="H2944" s="4">
        <v>0.84570677999999999</v>
      </c>
      <c r="I2944" s="4">
        <v>3</v>
      </c>
      <c r="J2944" s="4">
        <v>1.07575154</v>
      </c>
      <c r="K2944" s="4"/>
      <c r="L2944" s="4"/>
      <c r="M2944" s="4"/>
      <c r="N2944" s="4"/>
      <c r="O2944" s="4"/>
      <c r="P2944" s="4"/>
      <c r="Q2944" s="4"/>
      <c r="R2944" s="4"/>
      <c r="S2944" s="4"/>
      <c r="T2944" s="4"/>
      <c r="U2944" s="4"/>
      <c r="V2944" s="4">
        <v>0.84863310999999997</v>
      </c>
      <c r="W2944" s="4">
        <v>3</v>
      </c>
      <c r="X2944" s="4">
        <v>75440.123099999997</v>
      </c>
      <c r="Y2944" s="4">
        <v>7629</v>
      </c>
      <c r="Z2944" s="4">
        <v>0.14108551</v>
      </c>
      <c r="AA2944" s="4">
        <v>100</v>
      </c>
    </row>
    <row r="2945" spans="1:27" x14ac:dyDescent="0.2">
      <c r="A2945" s="4">
        <v>20</v>
      </c>
      <c r="B2945" s="4">
        <v>3</v>
      </c>
      <c r="C2945" s="4">
        <v>0.1</v>
      </c>
      <c r="D2945" s="4">
        <v>100</v>
      </c>
      <c r="E2945" s="4">
        <v>1.01373566</v>
      </c>
      <c r="F2945" s="4">
        <v>3</v>
      </c>
      <c r="G2945" s="4">
        <v>34.297180400000002</v>
      </c>
      <c r="H2945" s="4">
        <v>0.99146142000000004</v>
      </c>
      <c r="I2945" s="4">
        <v>3</v>
      </c>
      <c r="J2945" s="4">
        <v>0.47729032999999998</v>
      </c>
      <c r="K2945" s="4"/>
      <c r="L2945" s="4"/>
      <c r="M2945" s="4"/>
      <c r="N2945" s="4"/>
      <c r="O2945" s="4"/>
      <c r="P2945" s="4"/>
      <c r="Q2945" s="4"/>
      <c r="R2945" s="4"/>
      <c r="S2945" s="4"/>
      <c r="T2945" s="4"/>
      <c r="U2945" s="4"/>
      <c r="V2945" s="4">
        <v>1.0455608000000001</v>
      </c>
      <c r="W2945" s="4">
        <v>3</v>
      </c>
      <c r="X2945" s="4">
        <v>75565.878400000001</v>
      </c>
      <c r="Y2945" s="4">
        <v>52470</v>
      </c>
      <c r="Z2945" s="4">
        <v>5.9679199999999998E-3</v>
      </c>
      <c r="AA2945" s="4">
        <v>100</v>
      </c>
    </row>
    <row r="2946" spans="1:27" x14ac:dyDescent="0.2">
      <c r="A2946" s="4">
        <v>20</v>
      </c>
      <c r="B2946" s="4">
        <v>3</v>
      </c>
      <c r="C2946" s="4">
        <v>0.4</v>
      </c>
      <c r="D2946" s="4">
        <v>100</v>
      </c>
      <c r="E2946" s="4">
        <v>0.32259064999999998</v>
      </c>
      <c r="F2946" s="4">
        <v>3</v>
      </c>
      <c r="G2946" s="4">
        <v>28.1303041</v>
      </c>
      <c r="H2946" s="4">
        <v>0.18705082000000001</v>
      </c>
      <c r="I2946" s="4">
        <v>3</v>
      </c>
      <c r="J2946" s="4">
        <v>0.67540469000000003</v>
      </c>
      <c r="K2946" s="4"/>
      <c r="L2946" s="4"/>
      <c r="M2946" s="4"/>
      <c r="N2946" s="4"/>
      <c r="O2946" s="4"/>
      <c r="P2946" s="4"/>
      <c r="Q2946" s="4"/>
      <c r="R2946" s="4"/>
      <c r="S2946" s="4"/>
      <c r="T2946" s="4"/>
      <c r="U2946" s="4"/>
      <c r="V2946" s="4">
        <v>0.18495186999999999</v>
      </c>
      <c r="W2946" s="4">
        <v>3</v>
      </c>
      <c r="X2946" s="4">
        <v>75750.0144</v>
      </c>
      <c r="Y2946" s="4">
        <v>122127</v>
      </c>
      <c r="Z2946" s="4">
        <v>0.25874580000000003</v>
      </c>
      <c r="AA2946" s="4">
        <v>100</v>
      </c>
    </row>
    <row r="2947" spans="1:27" x14ac:dyDescent="0.2">
      <c r="A2947" s="4">
        <v>20</v>
      </c>
      <c r="B2947" s="4">
        <v>3</v>
      </c>
      <c r="C2947" s="4">
        <v>0.4</v>
      </c>
      <c r="D2947" s="4">
        <v>100</v>
      </c>
      <c r="E2947" s="4">
        <v>0.27328363999999999</v>
      </c>
      <c r="F2947" s="4">
        <v>3</v>
      </c>
      <c r="G2947" s="4">
        <v>32.506024799999999</v>
      </c>
      <c r="H2947" s="4">
        <v>0.11659435999999999</v>
      </c>
      <c r="I2947" s="4">
        <v>3</v>
      </c>
      <c r="J2947" s="4">
        <v>0.48987646000000001</v>
      </c>
      <c r="K2947" s="4"/>
      <c r="L2947" s="4"/>
      <c r="M2947" s="4"/>
      <c r="N2947" s="4"/>
      <c r="O2947" s="4"/>
      <c r="P2947" s="4"/>
      <c r="Q2947" s="4"/>
      <c r="R2947" s="4"/>
      <c r="S2947" s="4"/>
      <c r="T2947" s="4"/>
      <c r="U2947" s="4"/>
      <c r="V2947" s="4">
        <v>0.10000928000000001</v>
      </c>
      <c r="W2947" s="4">
        <v>3</v>
      </c>
      <c r="X2947" s="4">
        <v>75633.377699999997</v>
      </c>
      <c r="Y2947" s="4">
        <v>5102</v>
      </c>
      <c r="Z2947" s="4">
        <v>0.74144114999999999</v>
      </c>
      <c r="AA2947" s="4">
        <v>100</v>
      </c>
    </row>
    <row r="2948" spans="1:27" x14ac:dyDescent="0.2">
      <c r="A2948" s="4">
        <v>20</v>
      </c>
      <c r="B2948" s="4">
        <v>3</v>
      </c>
      <c r="C2948" s="4">
        <v>0.2</v>
      </c>
      <c r="D2948" s="4">
        <v>100</v>
      </c>
      <c r="E2948" s="4">
        <v>0.89114081000000001</v>
      </c>
      <c r="F2948" s="4">
        <v>3</v>
      </c>
      <c r="G2948" s="4">
        <v>37.158848200000001</v>
      </c>
      <c r="H2948" s="4">
        <v>0.81479882999999997</v>
      </c>
      <c r="I2948" s="4">
        <v>3</v>
      </c>
      <c r="J2948" s="4">
        <v>1.0966499700000001</v>
      </c>
      <c r="K2948" s="4"/>
      <c r="L2948" s="4"/>
      <c r="M2948" s="4"/>
      <c r="N2948" s="4"/>
      <c r="O2948" s="4"/>
      <c r="P2948" s="4"/>
      <c r="Q2948" s="4"/>
      <c r="R2948" s="4"/>
      <c r="S2948" s="4"/>
      <c r="T2948" s="4"/>
      <c r="U2948" s="4"/>
      <c r="V2948" s="4">
        <v>0.81513619000000004</v>
      </c>
      <c r="W2948" s="4">
        <v>3</v>
      </c>
      <c r="X2948" s="4">
        <v>75544.414300000004</v>
      </c>
      <c r="Y2948" s="4">
        <v>77484</v>
      </c>
      <c r="Z2948" s="4">
        <v>0.11160328</v>
      </c>
      <c r="AA2948" s="4">
        <v>100</v>
      </c>
    </row>
    <row r="2949" spans="1:27" x14ac:dyDescent="0.2">
      <c r="A2949" s="4">
        <v>20</v>
      </c>
      <c r="B2949" s="4">
        <v>3</v>
      </c>
      <c r="C2949" s="4">
        <v>0.4</v>
      </c>
      <c r="D2949" s="4">
        <v>100</v>
      </c>
      <c r="E2949" s="4">
        <v>0.32826191999999998</v>
      </c>
      <c r="F2949" s="4">
        <v>3</v>
      </c>
      <c r="G2949" s="4">
        <v>33.873122100000003</v>
      </c>
      <c r="H2949" s="4">
        <v>0.1846776</v>
      </c>
      <c r="I2949" s="4">
        <v>3</v>
      </c>
      <c r="J2949" s="4">
        <v>0.57862771999999996</v>
      </c>
      <c r="K2949" s="4"/>
      <c r="L2949" s="4"/>
      <c r="M2949" s="4"/>
      <c r="N2949" s="4"/>
      <c r="O2949" s="4"/>
      <c r="P2949" s="4"/>
      <c r="Q2949" s="4"/>
      <c r="R2949" s="4"/>
      <c r="S2949" s="4"/>
      <c r="T2949" s="4"/>
      <c r="U2949" s="4"/>
      <c r="V2949" s="4">
        <v>0.14674887</v>
      </c>
      <c r="W2949" s="4">
        <v>3</v>
      </c>
      <c r="X2949" s="4">
        <v>75726.546799999996</v>
      </c>
      <c r="Y2949" s="4">
        <v>69836</v>
      </c>
      <c r="Z2949" s="4">
        <v>0.26082528999999999</v>
      </c>
      <c r="AA2949" s="4">
        <v>100</v>
      </c>
    </row>
    <row r="2950" spans="1:27" x14ac:dyDescent="0.2">
      <c r="A2950" s="4">
        <v>20</v>
      </c>
      <c r="B2950" s="4">
        <v>3</v>
      </c>
      <c r="C2950" s="4">
        <v>0.2</v>
      </c>
      <c r="D2950" s="4">
        <v>100</v>
      </c>
      <c r="E2950" s="4">
        <v>0.98042218999999997</v>
      </c>
      <c r="F2950" s="4">
        <v>3</v>
      </c>
      <c r="G2950" s="4">
        <v>31.131195900000002</v>
      </c>
      <c r="H2950" s="4">
        <v>0.92025049999999997</v>
      </c>
      <c r="I2950" s="4">
        <v>3</v>
      </c>
      <c r="J2950" s="4">
        <v>0.77674893</v>
      </c>
      <c r="K2950" s="4"/>
      <c r="L2950" s="4"/>
      <c r="M2950" s="4"/>
      <c r="N2950" s="4"/>
      <c r="O2950" s="4"/>
      <c r="P2950" s="4"/>
      <c r="Q2950" s="4"/>
      <c r="R2950" s="4"/>
      <c r="S2950" s="4"/>
      <c r="T2950" s="4"/>
      <c r="U2950" s="4"/>
      <c r="V2950" s="4">
        <v>0.92148483000000003</v>
      </c>
      <c r="W2950" s="4">
        <v>3</v>
      </c>
      <c r="X2950" s="4">
        <v>75933.149999999994</v>
      </c>
      <c r="Y2950" s="4">
        <v>3751</v>
      </c>
      <c r="Z2950" s="4">
        <v>0.13102303000000001</v>
      </c>
      <c r="AA2950" s="4">
        <v>100</v>
      </c>
    </row>
    <row r="2951" spans="1:27" x14ac:dyDescent="0.2">
      <c r="A2951" s="4">
        <v>20</v>
      </c>
      <c r="B2951" s="4">
        <v>3</v>
      </c>
      <c r="C2951" s="4">
        <v>0.1</v>
      </c>
      <c r="D2951" s="4">
        <v>100</v>
      </c>
      <c r="E2951" s="4">
        <v>1.6955926699999999</v>
      </c>
      <c r="F2951" s="4">
        <v>3</v>
      </c>
      <c r="G2951" s="4">
        <v>36.9748576</v>
      </c>
      <c r="H2951" s="4">
        <v>0.96746385999999995</v>
      </c>
      <c r="I2951" s="4">
        <v>3</v>
      </c>
      <c r="J2951" s="4">
        <v>1.0550987300000001</v>
      </c>
      <c r="K2951" s="4"/>
      <c r="L2951" s="4"/>
      <c r="M2951" s="4"/>
      <c r="N2951" s="4"/>
      <c r="O2951" s="4"/>
      <c r="P2951" s="4"/>
      <c r="Q2951" s="4"/>
      <c r="R2951" s="4"/>
      <c r="S2951" s="4"/>
      <c r="T2951" s="4"/>
      <c r="U2951" s="4"/>
      <c r="V2951" s="4">
        <v>0.96760029000000003</v>
      </c>
      <c r="W2951" s="4">
        <v>3</v>
      </c>
      <c r="X2951" s="4">
        <v>75891.187000000005</v>
      </c>
      <c r="Y2951" s="4">
        <v>103396</v>
      </c>
      <c r="Z2951" s="4">
        <v>2.496874E-2</v>
      </c>
      <c r="AA2951" s="4">
        <v>100</v>
      </c>
    </row>
    <row r="2952" spans="1:27" x14ac:dyDescent="0.2">
      <c r="A2952" s="4">
        <v>20</v>
      </c>
      <c r="B2952" s="4">
        <v>3</v>
      </c>
      <c r="C2952" s="4">
        <v>0.2</v>
      </c>
      <c r="D2952" s="4">
        <v>100</v>
      </c>
      <c r="E2952" s="4">
        <v>0.95713877000000003</v>
      </c>
      <c r="F2952" s="4">
        <v>3</v>
      </c>
      <c r="G2952" s="4">
        <v>32.044269</v>
      </c>
      <c r="H2952" s="4">
        <v>0.87716170999999998</v>
      </c>
      <c r="I2952" s="4">
        <v>3</v>
      </c>
      <c r="J2952" s="4">
        <v>1.0018108100000001</v>
      </c>
      <c r="K2952" s="4"/>
      <c r="L2952" s="4"/>
      <c r="M2952" s="4"/>
      <c r="N2952" s="4"/>
      <c r="O2952" s="4"/>
      <c r="P2952" s="4"/>
      <c r="Q2952" s="4"/>
      <c r="R2952" s="4"/>
      <c r="S2952" s="4"/>
      <c r="T2952" s="4"/>
      <c r="U2952" s="4"/>
      <c r="V2952" s="4">
        <v>0.87879923999999998</v>
      </c>
      <c r="W2952" s="4">
        <v>3</v>
      </c>
      <c r="X2952" s="4">
        <v>76272.363500000007</v>
      </c>
      <c r="Y2952" s="4">
        <v>3643</v>
      </c>
      <c r="Z2952" s="4">
        <v>0.20528719000000001</v>
      </c>
      <c r="AA2952" s="4">
        <v>100</v>
      </c>
    </row>
    <row r="2953" spans="1:27" x14ac:dyDescent="0.2">
      <c r="A2953" s="4">
        <v>20</v>
      </c>
      <c r="B2953" s="4">
        <v>3</v>
      </c>
      <c r="C2953" s="4">
        <v>0.2</v>
      </c>
      <c r="D2953" s="4">
        <v>100</v>
      </c>
      <c r="E2953" s="4">
        <v>0.86777115999999999</v>
      </c>
      <c r="F2953" s="4">
        <v>3</v>
      </c>
      <c r="G2953" s="4">
        <v>32.675695599999997</v>
      </c>
      <c r="H2953" s="4">
        <v>0.83558792000000004</v>
      </c>
      <c r="I2953" s="4">
        <v>3</v>
      </c>
      <c r="J2953" s="4">
        <v>1.0210214200000001</v>
      </c>
      <c r="K2953" s="4"/>
      <c r="L2953" s="4"/>
      <c r="M2953" s="4"/>
      <c r="N2953" s="4"/>
      <c r="O2953" s="4"/>
      <c r="P2953" s="4"/>
      <c r="Q2953" s="4"/>
      <c r="R2953" s="4"/>
      <c r="S2953" s="4"/>
      <c r="T2953" s="4"/>
      <c r="U2953" s="4"/>
      <c r="V2953" s="4">
        <v>0.83694776000000004</v>
      </c>
      <c r="W2953" s="4">
        <v>3</v>
      </c>
      <c r="X2953" s="4">
        <v>75991.581200000001</v>
      </c>
      <c r="Y2953" s="4">
        <v>3898</v>
      </c>
      <c r="Z2953" s="4">
        <v>0.13332628999999999</v>
      </c>
      <c r="AA2953" s="4">
        <v>100</v>
      </c>
    </row>
    <row r="2954" spans="1:27" x14ac:dyDescent="0.2">
      <c r="A2954" s="4">
        <v>20</v>
      </c>
      <c r="B2954" s="4">
        <v>3</v>
      </c>
      <c r="C2954" s="4">
        <v>0.3</v>
      </c>
      <c r="D2954" s="4">
        <v>100</v>
      </c>
      <c r="E2954" s="4">
        <v>0.59728548999999997</v>
      </c>
      <c r="F2954" s="4">
        <v>3</v>
      </c>
      <c r="G2954" s="4">
        <v>32.163183099999998</v>
      </c>
      <c r="H2954" s="4">
        <v>0.35522006</v>
      </c>
      <c r="I2954" s="4">
        <v>3</v>
      </c>
      <c r="J2954" s="4">
        <v>1.03002978</v>
      </c>
      <c r="K2954" s="4"/>
      <c r="L2954" s="4"/>
      <c r="M2954" s="4"/>
      <c r="N2954" s="4"/>
      <c r="O2954" s="4"/>
      <c r="P2954" s="4"/>
      <c r="Q2954" s="4"/>
      <c r="R2954" s="4"/>
      <c r="S2954" s="4"/>
      <c r="T2954" s="4"/>
      <c r="U2954" s="4"/>
      <c r="V2954" s="4">
        <v>0.34145681999999999</v>
      </c>
      <c r="W2954" s="4">
        <v>3</v>
      </c>
      <c r="X2954" s="4">
        <v>76022.276100000003</v>
      </c>
      <c r="Y2954" s="4">
        <v>3824</v>
      </c>
      <c r="Z2954" s="4">
        <v>0.42010593000000002</v>
      </c>
      <c r="AA2954" s="4">
        <v>100</v>
      </c>
    </row>
    <row r="2955" spans="1:27" x14ac:dyDescent="0.2">
      <c r="A2955" s="4">
        <v>20</v>
      </c>
      <c r="B2955" s="4">
        <v>3</v>
      </c>
      <c r="C2955" s="4">
        <v>0.3</v>
      </c>
      <c r="D2955" s="4">
        <v>100</v>
      </c>
      <c r="E2955" s="4">
        <v>0.57534706999999996</v>
      </c>
      <c r="F2955" s="4">
        <v>3</v>
      </c>
      <c r="G2955" s="4">
        <v>33.541485799999997</v>
      </c>
      <c r="H2955" s="4">
        <v>0.46930491000000002</v>
      </c>
      <c r="I2955" s="4">
        <v>3</v>
      </c>
      <c r="J2955" s="4">
        <v>0.91966700000000001</v>
      </c>
      <c r="K2955" s="4"/>
      <c r="L2955" s="4"/>
      <c r="M2955" s="4"/>
      <c r="N2955" s="4"/>
      <c r="O2955" s="4"/>
      <c r="P2955" s="4"/>
      <c r="Q2955" s="4"/>
      <c r="R2955" s="4"/>
      <c r="S2955" s="4"/>
      <c r="T2955" s="4"/>
      <c r="U2955" s="4"/>
      <c r="V2955" s="4">
        <v>0.4649508</v>
      </c>
      <c r="W2955" s="4">
        <v>3</v>
      </c>
      <c r="X2955" s="4">
        <v>76254.615300000005</v>
      </c>
      <c r="Y2955" s="4">
        <v>142530</v>
      </c>
      <c r="Z2955" s="4">
        <v>0.16459957</v>
      </c>
      <c r="AA2955" s="4">
        <v>100</v>
      </c>
    </row>
    <row r="2956" spans="1:27" x14ac:dyDescent="0.2">
      <c r="A2956" s="4">
        <v>20</v>
      </c>
      <c r="B2956" s="4">
        <v>3</v>
      </c>
      <c r="C2956" s="4">
        <v>0.3</v>
      </c>
      <c r="D2956" s="4">
        <v>100</v>
      </c>
      <c r="E2956" s="4">
        <v>0.71899933000000005</v>
      </c>
      <c r="F2956" s="4">
        <v>3</v>
      </c>
      <c r="G2956" s="4">
        <v>32.481526600000002</v>
      </c>
      <c r="H2956" s="4">
        <v>0.71507527999999998</v>
      </c>
      <c r="I2956" s="4">
        <v>3</v>
      </c>
      <c r="J2956" s="4">
        <v>1.1035951399999999</v>
      </c>
      <c r="K2956" s="4"/>
      <c r="L2956" s="4"/>
      <c r="M2956" s="4"/>
      <c r="N2956" s="4"/>
      <c r="O2956" s="4"/>
      <c r="P2956" s="4"/>
      <c r="Q2956" s="4"/>
      <c r="R2956" s="4"/>
      <c r="S2956" s="4"/>
      <c r="T2956" s="4"/>
      <c r="U2956" s="4"/>
      <c r="V2956" s="4">
        <v>0.72114173999999998</v>
      </c>
      <c r="W2956" s="4">
        <v>3</v>
      </c>
      <c r="X2956" s="4">
        <v>76630.544800000003</v>
      </c>
      <c r="Y2956" s="4">
        <v>116149</v>
      </c>
      <c r="Z2956" s="4">
        <v>0.29285130999999998</v>
      </c>
      <c r="AA2956" s="4">
        <v>100</v>
      </c>
    </row>
    <row r="2957" spans="1:27" x14ac:dyDescent="0.2">
      <c r="A2957" s="4">
        <v>20</v>
      </c>
      <c r="B2957" s="4">
        <v>3</v>
      </c>
      <c r="C2957" s="4">
        <v>0.4</v>
      </c>
      <c r="D2957" s="4">
        <v>100</v>
      </c>
      <c r="E2957" s="4">
        <v>0.17844909</v>
      </c>
      <c r="F2957" s="4">
        <v>3</v>
      </c>
      <c r="G2957" s="4">
        <v>34.762165600000003</v>
      </c>
      <c r="H2957" s="4">
        <v>5.7232579999999998E-2</v>
      </c>
      <c r="I2957" s="4">
        <v>3</v>
      </c>
      <c r="J2957" s="4">
        <v>0.63958201000000003</v>
      </c>
      <c r="K2957" s="4"/>
      <c r="L2957" s="4"/>
      <c r="M2957" s="4"/>
      <c r="N2957" s="4"/>
      <c r="O2957" s="4"/>
      <c r="P2957" s="4"/>
      <c r="Q2957" s="4"/>
      <c r="R2957" s="4"/>
      <c r="S2957" s="4"/>
      <c r="T2957" s="4"/>
      <c r="U2957" s="4"/>
      <c r="V2957" s="4">
        <v>5.3049079999999998E-2</v>
      </c>
      <c r="W2957" s="4">
        <v>3</v>
      </c>
      <c r="X2957" s="4">
        <v>76332.548800000004</v>
      </c>
      <c r="Y2957" s="4">
        <v>5297</v>
      </c>
      <c r="Z2957" s="4">
        <v>0.84027563000000005</v>
      </c>
      <c r="AA2957" s="4">
        <v>100</v>
      </c>
    </row>
    <row r="2958" spans="1:27" x14ac:dyDescent="0.2">
      <c r="A2958" s="4">
        <v>20</v>
      </c>
      <c r="B2958" s="4">
        <v>3</v>
      </c>
      <c r="C2958" s="4">
        <v>0.4</v>
      </c>
      <c r="D2958" s="4">
        <v>100</v>
      </c>
      <c r="E2958" s="4">
        <v>0.26151622000000002</v>
      </c>
      <c r="F2958" s="4">
        <v>3</v>
      </c>
      <c r="G2958" s="4">
        <v>32.858796099999999</v>
      </c>
      <c r="H2958" s="4">
        <v>7.9228789999999993E-2</v>
      </c>
      <c r="I2958" s="4">
        <v>3</v>
      </c>
      <c r="J2958" s="4">
        <v>0.56730837999999995</v>
      </c>
      <c r="K2958" s="4"/>
      <c r="L2958" s="4"/>
      <c r="M2958" s="4"/>
      <c r="N2958" s="4"/>
      <c r="O2958" s="4"/>
      <c r="P2958" s="4"/>
      <c r="Q2958" s="4"/>
      <c r="R2958" s="4"/>
      <c r="S2958" s="4"/>
      <c r="T2958" s="4"/>
      <c r="U2958" s="4"/>
      <c r="V2958" s="4">
        <v>7.1698689999999995E-2</v>
      </c>
      <c r="W2958" s="4">
        <v>3</v>
      </c>
      <c r="X2958" s="4">
        <v>76362.668000000005</v>
      </c>
      <c r="Y2958" s="4">
        <v>3488</v>
      </c>
      <c r="Z2958" s="4">
        <v>0.92978928000000005</v>
      </c>
      <c r="AA2958" s="4">
        <v>100</v>
      </c>
    </row>
    <row r="2959" spans="1:27" x14ac:dyDescent="0.2">
      <c r="A2959" s="4">
        <v>20</v>
      </c>
      <c r="B2959" s="4">
        <v>3</v>
      </c>
      <c r="C2959" s="4">
        <v>0.1</v>
      </c>
      <c r="D2959" s="4">
        <v>100</v>
      </c>
      <c r="E2959" s="4">
        <v>0.94016584000000003</v>
      </c>
      <c r="F2959" s="4">
        <v>3</v>
      </c>
      <c r="G2959" s="4">
        <v>28.838914899999999</v>
      </c>
      <c r="H2959" s="4">
        <v>0.94507711999999999</v>
      </c>
      <c r="I2959" s="4">
        <v>3</v>
      </c>
      <c r="J2959" s="4">
        <v>0.16000225000000001</v>
      </c>
      <c r="K2959" s="4"/>
      <c r="L2959" s="4"/>
      <c r="M2959" s="4"/>
      <c r="N2959" s="4"/>
      <c r="O2959" s="4"/>
      <c r="P2959" s="4"/>
      <c r="Q2959" s="4"/>
      <c r="R2959" s="4"/>
      <c r="S2959" s="4"/>
      <c r="T2959" s="4"/>
      <c r="U2959" s="4"/>
      <c r="V2959" s="4">
        <v>0.94642316000000004</v>
      </c>
      <c r="W2959" s="4">
        <v>3</v>
      </c>
      <c r="X2959" s="4">
        <v>1244.1395299999999</v>
      </c>
      <c r="Y2959" s="4">
        <v>13108</v>
      </c>
      <c r="Z2959" s="4">
        <v>4.7445100000000004E-3</v>
      </c>
      <c r="AA2959" s="4">
        <v>1</v>
      </c>
    </row>
    <row r="2960" spans="1:27" x14ac:dyDescent="0.2">
      <c r="A2960" s="4">
        <v>20</v>
      </c>
      <c r="B2960" s="4">
        <v>3</v>
      </c>
      <c r="C2960" s="4">
        <v>0.1</v>
      </c>
      <c r="D2960" s="4">
        <v>100</v>
      </c>
      <c r="E2960" s="4">
        <v>1.06585917</v>
      </c>
      <c r="F2960" s="4">
        <v>3</v>
      </c>
      <c r="G2960" s="4">
        <v>36.656398000000003</v>
      </c>
      <c r="H2960" s="4">
        <v>0.95298543000000002</v>
      </c>
      <c r="I2960" s="4">
        <v>3</v>
      </c>
      <c r="J2960" s="4">
        <v>1.1117666399999999</v>
      </c>
      <c r="K2960" s="4"/>
      <c r="L2960" s="4"/>
      <c r="M2960" s="4"/>
      <c r="N2960" s="4"/>
      <c r="O2960" s="4"/>
      <c r="P2960" s="4"/>
      <c r="Q2960" s="4"/>
      <c r="R2960" s="4"/>
      <c r="S2960" s="4"/>
      <c r="T2960" s="4"/>
      <c r="U2960" s="4"/>
      <c r="V2960" s="4">
        <v>0.95310331000000004</v>
      </c>
      <c r="W2960" s="4">
        <v>3</v>
      </c>
      <c r="X2960" s="4">
        <v>75592.919299999994</v>
      </c>
      <c r="Y2960" s="4">
        <v>60207</v>
      </c>
      <c r="Z2960" s="4">
        <v>2.4532399999999999E-2</v>
      </c>
      <c r="AA2960" s="4">
        <v>100</v>
      </c>
    </row>
    <row r="2961" spans="1:27" x14ac:dyDescent="0.2">
      <c r="A2961" s="4">
        <v>20</v>
      </c>
      <c r="B2961" s="4">
        <v>3</v>
      </c>
      <c r="C2961" s="4">
        <v>0.2</v>
      </c>
      <c r="D2961" s="4">
        <v>100</v>
      </c>
      <c r="E2961" s="4">
        <v>0.86748194999999995</v>
      </c>
      <c r="F2961" s="4">
        <v>3</v>
      </c>
      <c r="G2961" s="4">
        <v>41.602857800000002</v>
      </c>
      <c r="H2961" s="4">
        <v>0.86896766999999997</v>
      </c>
      <c r="I2961" s="4">
        <v>3</v>
      </c>
      <c r="J2961" s="4">
        <v>1.19053516</v>
      </c>
      <c r="K2961" s="4"/>
      <c r="L2961" s="4"/>
      <c r="M2961" s="4"/>
      <c r="N2961" s="4"/>
      <c r="O2961" s="4"/>
      <c r="P2961" s="4"/>
      <c r="Q2961" s="4"/>
      <c r="R2961" s="4"/>
      <c r="S2961" s="4"/>
      <c r="T2961" s="4"/>
      <c r="U2961" s="4"/>
      <c r="V2961" s="4">
        <v>0.86819022000000001</v>
      </c>
      <c r="W2961" s="4">
        <v>3</v>
      </c>
      <c r="X2961" s="4">
        <v>75816.676000000007</v>
      </c>
      <c r="Y2961" s="4">
        <v>3764</v>
      </c>
      <c r="Z2961" s="4">
        <v>0.16357684</v>
      </c>
      <c r="AA2961" s="4">
        <v>100</v>
      </c>
    </row>
    <row r="2962" spans="1:27" x14ac:dyDescent="0.2">
      <c r="A2962" s="4">
        <v>20</v>
      </c>
      <c r="B2962" s="4">
        <v>3</v>
      </c>
      <c r="C2962" s="4">
        <v>0.3</v>
      </c>
      <c r="D2962" s="4">
        <v>100</v>
      </c>
      <c r="E2962" s="4">
        <v>0.73168685</v>
      </c>
      <c r="F2962" s="4">
        <v>3</v>
      </c>
      <c r="G2962" s="4">
        <v>35.656853699999999</v>
      </c>
      <c r="H2962" s="4">
        <v>0.88956740999999995</v>
      </c>
      <c r="I2962" s="4">
        <v>3</v>
      </c>
      <c r="J2962" s="4">
        <v>1.12685627</v>
      </c>
      <c r="K2962" s="4"/>
      <c r="L2962" s="4"/>
      <c r="M2962" s="4"/>
      <c r="N2962" s="4"/>
      <c r="O2962" s="4"/>
      <c r="P2962" s="4"/>
      <c r="Q2962" s="4"/>
      <c r="R2962" s="4"/>
      <c r="S2962" s="4"/>
      <c r="T2962" s="4"/>
      <c r="U2962" s="4"/>
      <c r="V2962" s="4">
        <v>0.89561928000000002</v>
      </c>
      <c r="W2962" s="4">
        <v>3</v>
      </c>
      <c r="X2962" s="4">
        <v>78717.833299999998</v>
      </c>
      <c r="Y2962" s="4">
        <v>97753</v>
      </c>
      <c r="Z2962" s="4">
        <v>0.26723260999999998</v>
      </c>
      <c r="AA2962" s="4">
        <v>100</v>
      </c>
    </row>
    <row r="2963" spans="1:27" x14ac:dyDescent="0.2">
      <c r="A2963" s="4">
        <v>20</v>
      </c>
      <c r="B2963" s="4">
        <v>3</v>
      </c>
      <c r="C2963" s="4">
        <v>0.1</v>
      </c>
      <c r="D2963" s="4">
        <v>100</v>
      </c>
      <c r="E2963" s="4">
        <v>0.99124188999999996</v>
      </c>
      <c r="F2963" s="4">
        <v>3</v>
      </c>
      <c r="G2963" s="4">
        <v>33.807588600000003</v>
      </c>
      <c r="H2963" s="4">
        <v>0.96914071000000002</v>
      </c>
      <c r="I2963" s="4">
        <v>3</v>
      </c>
      <c r="J2963" s="4">
        <v>0.74781262999999998</v>
      </c>
      <c r="K2963" s="4"/>
      <c r="L2963" s="4"/>
      <c r="M2963" s="4"/>
      <c r="N2963" s="4"/>
      <c r="O2963" s="4"/>
      <c r="P2963" s="4"/>
      <c r="Q2963" s="4"/>
      <c r="R2963" s="4"/>
      <c r="S2963" s="4"/>
      <c r="T2963" s="4"/>
      <c r="U2963" s="4"/>
      <c r="V2963" s="4">
        <v>1.03684906</v>
      </c>
      <c r="W2963" s="4">
        <v>3</v>
      </c>
      <c r="X2963" s="4">
        <v>74989.979800000001</v>
      </c>
      <c r="Y2963" s="4">
        <v>148400</v>
      </c>
      <c r="Z2963" s="4">
        <v>2.37564E-3</v>
      </c>
      <c r="AA2963" s="4">
        <v>100</v>
      </c>
    </row>
    <row r="2964" spans="1:27" x14ac:dyDescent="0.2">
      <c r="A2964" s="4">
        <v>20</v>
      </c>
      <c r="B2964" s="4">
        <v>3</v>
      </c>
      <c r="C2964" s="4">
        <v>0.4</v>
      </c>
      <c r="D2964" s="4">
        <v>100</v>
      </c>
      <c r="E2964" s="4">
        <v>0.25331754000000001</v>
      </c>
      <c r="F2964" s="4">
        <v>3</v>
      </c>
      <c r="G2964" s="4">
        <v>38.057896300000003</v>
      </c>
      <c r="H2964" s="4">
        <v>0.10035168</v>
      </c>
      <c r="I2964" s="4">
        <v>3</v>
      </c>
      <c r="J2964" s="4">
        <v>0.67541262000000002</v>
      </c>
      <c r="K2964" s="4"/>
      <c r="L2964" s="4"/>
      <c r="M2964" s="4"/>
      <c r="N2964" s="4"/>
      <c r="O2964" s="4"/>
      <c r="P2964" s="4"/>
      <c r="Q2964" s="4"/>
      <c r="R2964" s="4"/>
      <c r="S2964" s="4"/>
      <c r="T2964" s="4"/>
      <c r="U2964" s="4"/>
      <c r="V2964" s="4">
        <v>9.3331810000000001E-2</v>
      </c>
      <c r="W2964" s="4">
        <v>3</v>
      </c>
      <c r="X2964" s="4">
        <v>76159.564499999993</v>
      </c>
      <c r="Y2964" s="4">
        <v>121336</v>
      </c>
      <c r="Z2964" s="4">
        <v>0.76442441999999999</v>
      </c>
      <c r="AA2964" s="4">
        <v>100</v>
      </c>
    </row>
    <row r="2965" spans="1:27" x14ac:dyDescent="0.2">
      <c r="A2965" s="4">
        <v>20</v>
      </c>
      <c r="B2965" s="4">
        <v>3</v>
      </c>
      <c r="C2965" s="4">
        <v>0.2</v>
      </c>
      <c r="D2965" s="4">
        <v>100</v>
      </c>
      <c r="E2965" s="4">
        <v>0.82635170999999996</v>
      </c>
      <c r="F2965" s="4">
        <v>3</v>
      </c>
      <c r="G2965" s="4">
        <v>33.342533899999999</v>
      </c>
      <c r="H2965" s="4">
        <v>0.81788733999999996</v>
      </c>
      <c r="I2965" s="4">
        <v>3</v>
      </c>
      <c r="J2965" s="4">
        <v>0.59345930999999996</v>
      </c>
      <c r="K2965" s="4"/>
      <c r="L2965" s="4"/>
      <c r="M2965" s="4"/>
      <c r="N2965" s="4"/>
      <c r="O2965" s="4"/>
      <c r="P2965" s="4"/>
      <c r="Q2965" s="4"/>
      <c r="R2965" s="4"/>
      <c r="S2965" s="4"/>
      <c r="T2965" s="4"/>
      <c r="U2965" s="4"/>
      <c r="V2965" s="4">
        <v>0.81845780000000001</v>
      </c>
      <c r="W2965" s="4">
        <v>3</v>
      </c>
      <c r="X2965" s="4">
        <v>75947.794200000004</v>
      </c>
      <c r="Y2965" s="4">
        <v>114819</v>
      </c>
      <c r="Z2965" s="4">
        <v>3.9402079999999999E-2</v>
      </c>
      <c r="AA2965" s="4">
        <v>100</v>
      </c>
    </row>
    <row r="2966" spans="1:27" x14ac:dyDescent="0.2">
      <c r="A2966" s="4">
        <v>20</v>
      </c>
      <c r="B2966" s="4">
        <v>3</v>
      </c>
      <c r="C2966" s="4">
        <v>0.1</v>
      </c>
      <c r="D2966" s="4">
        <v>100</v>
      </c>
      <c r="E2966" s="4">
        <v>0.94282305</v>
      </c>
      <c r="F2966" s="4">
        <v>3</v>
      </c>
      <c r="G2966" s="4">
        <v>30.465746200000002</v>
      </c>
      <c r="H2966" s="4">
        <v>0.93377516000000005</v>
      </c>
      <c r="I2966" s="4">
        <v>3</v>
      </c>
      <c r="J2966" s="4">
        <v>0.60703510999999999</v>
      </c>
      <c r="K2966" s="4"/>
      <c r="L2966" s="4"/>
      <c r="M2966" s="4"/>
      <c r="N2966" s="4"/>
      <c r="O2966" s="4"/>
      <c r="P2966" s="4"/>
      <c r="Q2966" s="4"/>
      <c r="R2966" s="4"/>
      <c r="S2966" s="4"/>
      <c r="T2966" s="4"/>
      <c r="U2966" s="4"/>
      <c r="V2966" s="4">
        <v>1.1155686300000001</v>
      </c>
      <c r="W2966" s="4">
        <v>3</v>
      </c>
      <c r="X2966" s="4">
        <v>75695.550399999993</v>
      </c>
      <c r="Y2966" s="4">
        <v>63074</v>
      </c>
      <c r="Z2966" s="4">
        <v>8.8103899999999995E-3</v>
      </c>
      <c r="AA2966" s="4">
        <v>100</v>
      </c>
    </row>
    <row r="2967" spans="1:27" x14ac:dyDescent="0.2">
      <c r="A2967" s="4">
        <v>20</v>
      </c>
      <c r="B2967" s="4">
        <v>3</v>
      </c>
      <c r="C2967" s="4">
        <v>0.2</v>
      </c>
      <c r="D2967" s="4">
        <v>100</v>
      </c>
      <c r="E2967" s="4">
        <v>0.89439511999999999</v>
      </c>
      <c r="F2967" s="4">
        <v>3</v>
      </c>
      <c r="G2967" s="4">
        <v>25.388989899999999</v>
      </c>
      <c r="H2967" s="4">
        <v>0.89418653999999997</v>
      </c>
      <c r="I2967" s="4">
        <v>3</v>
      </c>
      <c r="J2967" s="4">
        <v>0.76965823</v>
      </c>
      <c r="K2967" s="4"/>
      <c r="L2967" s="4"/>
      <c r="M2967" s="4"/>
      <c r="N2967" s="4"/>
      <c r="O2967" s="4"/>
      <c r="P2967" s="4"/>
      <c r="Q2967" s="4"/>
      <c r="R2967" s="4"/>
      <c r="S2967" s="4"/>
      <c r="T2967" s="4"/>
      <c r="U2967" s="4"/>
      <c r="V2967" s="4">
        <v>0.89556511999999999</v>
      </c>
      <c r="W2967" s="4">
        <v>3</v>
      </c>
      <c r="X2967" s="4">
        <v>75645.761299999998</v>
      </c>
      <c r="Y2967" s="4">
        <v>78879</v>
      </c>
      <c r="Z2967" s="4">
        <v>4.8660429999999998E-2</v>
      </c>
      <c r="AA2967" s="4">
        <v>100</v>
      </c>
    </row>
    <row r="2968" spans="1:27" x14ac:dyDescent="0.2">
      <c r="A2968" s="4">
        <v>20</v>
      </c>
      <c r="B2968" s="4">
        <v>3</v>
      </c>
      <c r="C2968" s="4">
        <v>0.3</v>
      </c>
      <c r="D2968" s="4">
        <v>100</v>
      </c>
      <c r="E2968" s="4">
        <v>0.71654315999999996</v>
      </c>
      <c r="F2968" s="4">
        <v>3</v>
      </c>
      <c r="G2968" s="4">
        <v>30.199566300000001</v>
      </c>
      <c r="H2968" s="4">
        <v>0.81519867999999995</v>
      </c>
      <c r="I2968" s="4">
        <v>3</v>
      </c>
      <c r="J2968" s="4">
        <v>0.98205838999999995</v>
      </c>
      <c r="K2968" s="4"/>
      <c r="L2968" s="4"/>
      <c r="M2968" s="4"/>
      <c r="N2968" s="4"/>
      <c r="O2968" s="4"/>
      <c r="P2968" s="4"/>
      <c r="Q2968" s="4"/>
      <c r="R2968" s="4"/>
      <c r="S2968" s="4"/>
      <c r="T2968" s="4"/>
      <c r="U2968" s="4"/>
      <c r="V2968" s="4">
        <v>0.82923289</v>
      </c>
      <c r="W2968" s="4">
        <v>3</v>
      </c>
      <c r="X2968" s="4">
        <v>76482.575400000002</v>
      </c>
      <c r="Y2968" s="4">
        <v>101291</v>
      </c>
      <c r="Z2968" s="4">
        <v>0.94087268000000002</v>
      </c>
      <c r="AA2968" s="4">
        <v>100</v>
      </c>
    </row>
    <row r="2969" spans="1:27" x14ac:dyDescent="0.2">
      <c r="A2969" s="4">
        <v>20</v>
      </c>
      <c r="B2969" s="4">
        <v>3</v>
      </c>
      <c r="C2969" s="4">
        <v>0.4</v>
      </c>
      <c r="D2969" s="4">
        <v>100</v>
      </c>
      <c r="E2969" s="4">
        <v>0.41532419999999998</v>
      </c>
      <c r="F2969" s="4">
        <v>3</v>
      </c>
      <c r="G2969" s="4">
        <v>27.2885898</v>
      </c>
      <c r="H2969" s="4">
        <v>0.13433392999999999</v>
      </c>
      <c r="I2969" s="4">
        <v>3</v>
      </c>
      <c r="J2969" s="4">
        <v>0.55167794000000003</v>
      </c>
      <c r="K2969" s="4"/>
      <c r="L2969" s="4"/>
      <c r="M2969" s="4"/>
      <c r="N2969" s="4"/>
      <c r="O2969" s="4"/>
      <c r="P2969" s="4"/>
      <c r="Q2969" s="4"/>
      <c r="R2969" s="4"/>
      <c r="S2969" s="4"/>
      <c r="T2969" s="4"/>
      <c r="U2969" s="4"/>
      <c r="V2969" s="4">
        <v>0.12285057000000001</v>
      </c>
      <c r="W2969" s="4">
        <v>3</v>
      </c>
      <c r="X2969" s="4">
        <v>76114.719299999997</v>
      </c>
      <c r="Y2969" s="4">
        <v>3812</v>
      </c>
      <c r="Z2969" s="4">
        <v>1.48309717</v>
      </c>
      <c r="AA2969" s="4">
        <v>100</v>
      </c>
    </row>
    <row r="2970" spans="1:27" x14ac:dyDescent="0.2">
      <c r="A2970" s="4">
        <v>20</v>
      </c>
      <c r="B2970" s="4">
        <v>3</v>
      </c>
      <c r="C2970" s="4">
        <v>0.1</v>
      </c>
      <c r="D2970" s="4">
        <v>100</v>
      </c>
      <c r="E2970" s="4">
        <v>1.02788455</v>
      </c>
      <c r="F2970" s="4">
        <v>3</v>
      </c>
      <c r="G2970" s="4">
        <v>25.4429175</v>
      </c>
      <c r="H2970" s="4">
        <v>0.96451050999999999</v>
      </c>
      <c r="I2970" s="4">
        <v>3</v>
      </c>
      <c r="J2970" s="4">
        <v>0.75345384999999998</v>
      </c>
      <c r="K2970" s="4"/>
      <c r="L2970" s="4"/>
      <c r="M2970" s="4"/>
      <c r="N2970" s="4"/>
      <c r="O2970" s="4"/>
      <c r="P2970" s="4"/>
      <c r="Q2970" s="4"/>
      <c r="R2970" s="4"/>
      <c r="S2970" s="4"/>
      <c r="T2970" s="4"/>
      <c r="U2970" s="4"/>
      <c r="V2970" s="4">
        <v>1.1479896599999999</v>
      </c>
      <c r="W2970" s="4">
        <v>3</v>
      </c>
      <c r="X2970" s="4">
        <v>75553.469299999997</v>
      </c>
      <c r="Y2970" s="4">
        <v>108407</v>
      </c>
      <c r="Z2970" s="4">
        <v>1.079194E-2</v>
      </c>
      <c r="AA2970" s="4">
        <v>100</v>
      </c>
    </row>
    <row r="2971" spans="1:27" x14ac:dyDescent="0.2">
      <c r="A2971" s="4">
        <v>20</v>
      </c>
      <c r="B2971" s="4">
        <v>3</v>
      </c>
      <c r="C2971" s="4">
        <v>0.2</v>
      </c>
      <c r="D2971" s="4">
        <v>100</v>
      </c>
      <c r="E2971" s="4">
        <v>1.0194549799999999</v>
      </c>
      <c r="F2971" s="4">
        <v>3</v>
      </c>
      <c r="G2971" s="4">
        <v>28.131209399999999</v>
      </c>
      <c r="H2971" s="4">
        <v>0.88580643999999997</v>
      </c>
      <c r="I2971" s="4">
        <v>3</v>
      </c>
      <c r="J2971" s="4">
        <v>0.87725251999999998</v>
      </c>
      <c r="K2971" s="4"/>
      <c r="L2971" s="4"/>
      <c r="M2971" s="4"/>
      <c r="N2971" s="4"/>
      <c r="O2971" s="4"/>
      <c r="P2971" s="4"/>
      <c r="Q2971" s="4"/>
      <c r="R2971" s="4"/>
      <c r="S2971" s="4"/>
      <c r="T2971" s="4"/>
      <c r="U2971" s="4"/>
      <c r="V2971" s="4">
        <v>0.88694218000000002</v>
      </c>
      <c r="W2971" s="4">
        <v>3</v>
      </c>
      <c r="X2971" s="4">
        <v>75668.649699999994</v>
      </c>
      <c r="Y2971" s="4">
        <v>4477</v>
      </c>
      <c r="Z2971" s="4">
        <v>0.1196067</v>
      </c>
      <c r="AA2971" s="4">
        <v>100</v>
      </c>
    </row>
    <row r="2972" spans="1:27" x14ac:dyDescent="0.2">
      <c r="A2972" s="4">
        <v>20</v>
      </c>
      <c r="B2972" s="4">
        <v>3</v>
      </c>
      <c r="C2972" s="4">
        <v>0.1</v>
      </c>
      <c r="D2972" s="4">
        <v>100</v>
      </c>
      <c r="E2972" s="4">
        <v>1.0402222699999999</v>
      </c>
      <c r="F2972" s="4">
        <v>3</v>
      </c>
      <c r="G2972" s="4">
        <v>28.684613500000001</v>
      </c>
      <c r="H2972" s="4">
        <v>1.0064965400000001</v>
      </c>
      <c r="I2972" s="4">
        <v>3</v>
      </c>
      <c r="J2972" s="4">
        <v>0.64885221000000004</v>
      </c>
      <c r="K2972" s="4"/>
      <c r="L2972" s="4"/>
      <c r="M2972" s="4"/>
      <c r="N2972" s="4"/>
      <c r="O2972" s="4"/>
      <c r="P2972" s="4"/>
      <c r="Q2972" s="4"/>
      <c r="R2972" s="4"/>
      <c r="S2972" s="4"/>
      <c r="T2972" s="4"/>
      <c r="U2972" s="4"/>
      <c r="V2972" s="4">
        <v>1.10564127</v>
      </c>
      <c r="W2972" s="4">
        <v>3</v>
      </c>
      <c r="X2972" s="4">
        <v>73802.116299999994</v>
      </c>
      <c r="Y2972" s="4">
        <v>256347</v>
      </c>
      <c r="Z2972" s="4">
        <v>2.1575499999999998E-3</v>
      </c>
      <c r="AA2972" s="4">
        <v>100</v>
      </c>
    </row>
    <row r="2973" spans="1:27" x14ac:dyDescent="0.2">
      <c r="A2973" s="4">
        <v>20</v>
      </c>
      <c r="B2973" s="4">
        <v>3</v>
      </c>
      <c r="C2973" s="4">
        <v>0.1</v>
      </c>
      <c r="D2973" s="4">
        <v>100</v>
      </c>
      <c r="E2973" s="4">
        <v>0.95424357000000004</v>
      </c>
      <c r="F2973" s="4">
        <v>3</v>
      </c>
      <c r="G2973" s="4">
        <v>25.575468699999998</v>
      </c>
      <c r="H2973" s="4">
        <v>0.97047357999999995</v>
      </c>
      <c r="I2973" s="4">
        <v>3</v>
      </c>
      <c r="J2973" s="4">
        <v>0.23337822999999999</v>
      </c>
      <c r="K2973" s="4"/>
      <c r="L2973" s="4"/>
      <c r="M2973" s="4"/>
      <c r="N2973" s="4"/>
      <c r="O2973" s="4"/>
      <c r="P2973" s="4"/>
      <c r="Q2973" s="4"/>
      <c r="R2973" s="4"/>
      <c r="S2973" s="4"/>
      <c r="T2973" s="4"/>
      <c r="U2973" s="4"/>
      <c r="V2973" s="4">
        <v>1.14138333</v>
      </c>
      <c r="W2973" s="4">
        <v>3</v>
      </c>
      <c r="X2973" s="4">
        <v>75768.915999999997</v>
      </c>
      <c r="Y2973" s="4">
        <v>107315</v>
      </c>
      <c r="Z2973" s="4">
        <v>3.8339899999999998E-3</v>
      </c>
      <c r="AA2973" s="4">
        <v>100</v>
      </c>
    </row>
    <row r="2974" spans="1:27" x14ac:dyDescent="0.2">
      <c r="A2974" s="4">
        <v>20</v>
      </c>
      <c r="B2974" s="4">
        <v>3</v>
      </c>
      <c r="C2974" s="4">
        <v>0.1</v>
      </c>
      <c r="D2974" s="4">
        <v>100</v>
      </c>
      <c r="E2974" s="4">
        <v>1.0358441300000001</v>
      </c>
      <c r="F2974" s="4">
        <v>3</v>
      </c>
      <c r="G2974" s="4">
        <v>34.569346400000001</v>
      </c>
      <c r="H2974" s="4">
        <v>1.02932676</v>
      </c>
      <c r="I2974" s="4">
        <v>3</v>
      </c>
      <c r="J2974" s="4">
        <v>0.97428004000000001</v>
      </c>
      <c r="K2974" s="4"/>
      <c r="L2974" s="4"/>
      <c r="M2974" s="4"/>
      <c r="N2974" s="4"/>
      <c r="O2974" s="4"/>
      <c r="P2974" s="4"/>
      <c r="Q2974" s="4"/>
      <c r="R2974" s="4"/>
      <c r="S2974" s="4"/>
      <c r="T2974" s="4"/>
      <c r="U2974" s="4"/>
      <c r="V2974" s="4">
        <v>1.0295924700000001</v>
      </c>
      <c r="W2974" s="4">
        <v>3</v>
      </c>
      <c r="X2974" s="4">
        <v>75188.665900000007</v>
      </c>
      <c r="Y2974" s="4">
        <v>160481</v>
      </c>
      <c r="Z2974" s="4">
        <v>7.51266E-3</v>
      </c>
      <c r="AA2974" s="4">
        <v>100</v>
      </c>
    </row>
    <row r="2975" spans="1:27" x14ac:dyDescent="0.2">
      <c r="A2975" s="4">
        <v>20</v>
      </c>
      <c r="B2975" s="4">
        <v>3</v>
      </c>
      <c r="C2975" s="4">
        <v>0.4</v>
      </c>
      <c r="D2975" s="4">
        <v>100</v>
      </c>
      <c r="E2975" s="4">
        <v>0.39523720000000001</v>
      </c>
      <c r="F2975" s="4">
        <v>3</v>
      </c>
      <c r="G2975" s="4">
        <v>36.882689499999998</v>
      </c>
      <c r="H2975" s="4">
        <v>0.14411735000000001</v>
      </c>
      <c r="I2975" s="4">
        <v>3</v>
      </c>
      <c r="J2975" s="4">
        <v>0.95490900000000001</v>
      </c>
      <c r="K2975" s="4"/>
      <c r="L2975" s="4"/>
      <c r="M2975" s="4"/>
      <c r="N2975" s="4"/>
      <c r="O2975" s="4"/>
      <c r="P2975" s="4"/>
      <c r="Q2975" s="4"/>
      <c r="R2975" s="4"/>
      <c r="S2975" s="4"/>
      <c r="T2975" s="4"/>
      <c r="U2975" s="4"/>
      <c r="V2975" s="4">
        <v>0.13982384</v>
      </c>
      <c r="W2975" s="4">
        <v>3</v>
      </c>
      <c r="X2975" s="4">
        <v>75248.209700000007</v>
      </c>
      <c r="Y2975" s="4">
        <v>111230</v>
      </c>
      <c r="Z2975" s="4">
        <v>0.63778703000000003</v>
      </c>
      <c r="AA2975" s="4">
        <v>100</v>
      </c>
    </row>
    <row r="2976" spans="1:27" x14ac:dyDescent="0.2">
      <c r="A2976" s="4">
        <v>20</v>
      </c>
      <c r="B2976" s="4">
        <v>3</v>
      </c>
      <c r="C2976" s="4">
        <v>0.3</v>
      </c>
      <c r="D2976" s="4">
        <v>100</v>
      </c>
      <c r="E2976" s="4">
        <v>0.40863969</v>
      </c>
      <c r="F2976" s="4">
        <v>3</v>
      </c>
      <c r="G2976" s="4">
        <v>23.922742800000002</v>
      </c>
      <c r="H2976" s="4">
        <v>0.31084605999999998</v>
      </c>
      <c r="I2976" s="4">
        <v>3</v>
      </c>
      <c r="J2976" s="4">
        <v>0.47525908</v>
      </c>
      <c r="K2976" s="4"/>
      <c r="L2976" s="4"/>
      <c r="M2976" s="4"/>
      <c r="N2976" s="4"/>
      <c r="O2976" s="4"/>
      <c r="P2976" s="4"/>
      <c r="Q2976" s="4"/>
      <c r="R2976" s="4"/>
      <c r="S2976" s="4"/>
      <c r="T2976" s="4"/>
      <c r="U2976" s="4"/>
      <c r="V2976" s="4">
        <v>0.30920635000000002</v>
      </c>
      <c r="W2976" s="4">
        <v>3</v>
      </c>
      <c r="X2976" s="4">
        <v>75608.817299999995</v>
      </c>
      <c r="Y2976" s="4">
        <v>81388</v>
      </c>
      <c r="Z2976" s="4">
        <v>0.25994591</v>
      </c>
      <c r="AA2976" s="4">
        <v>100</v>
      </c>
    </row>
    <row r="2977" spans="1:27" x14ac:dyDescent="0.2">
      <c r="A2977" s="4">
        <v>20</v>
      </c>
      <c r="B2977" s="4">
        <v>3</v>
      </c>
      <c r="C2977" s="4">
        <v>0.2</v>
      </c>
      <c r="D2977" s="4">
        <v>100</v>
      </c>
      <c r="E2977" s="4">
        <v>0.83514829999999995</v>
      </c>
      <c r="F2977" s="4">
        <v>3</v>
      </c>
      <c r="G2977" s="4">
        <v>32.349157900000002</v>
      </c>
      <c r="H2977" s="4">
        <v>0.80510234999999997</v>
      </c>
      <c r="I2977" s="4">
        <v>3</v>
      </c>
      <c r="J2977" s="4">
        <v>1.0347653400000001</v>
      </c>
      <c r="K2977" s="4"/>
      <c r="L2977" s="4"/>
      <c r="M2977" s="4"/>
      <c r="N2977" s="4"/>
      <c r="O2977" s="4"/>
      <c r="P2977" s="4"/>
      <c r="Q2977" s="4"/>
      <c r="R2977" s="4"/>
      <c r="S2977" s="4"/>
      <c r="T2977" s="4"/>
      <c r="U2977" s="4"/>
      <c r="V2977" s="4">
        <v>0.80610603999999997</v>
      </c>
      <c r="W2977" s="4">
        <v>3</v>
      </c>
      <c r="X2977" s="4">
        <v>75222.670199999993</v>
      </c>
      <c r="Y2977" s="4">
        <v>133999</v>
      </c>
      <c r="Z2977" s="4">
        <v>0.2105186</v>
      </c>
      <c r="AA2977" s="4">
        <v>100</v>
      </c>
    </row>
    <row r="2978" spans="1:27" x14ac:dyDescent="0.2">
      <c r="A2978" s="4">
        <v>20</v>
      </c>
      <c r="B2978" s="4">
        <v>3</v>
      </c>
      <c r="C2978" s="4">
        <v>0.1</v>
      </c>
      <c r="D2978" s="4">
        <v>100</v>
      </c>
      <c r="E2978" s="4">
        <v>0.96965294999999996</v>
      </c>
      <c r="F2978" s="4">
        <v>3</v>
      </c>
      <c r="G2978" s="4">
        <v>28.085068499999998</v>
      </c>
      <c r="H2978" s="4">
        <v>0.97404137999999996</v>
      </c>
      <c r="I2978" s="4">
        <v>3</v>
      </c>
      <c r="J2978" s="4">
        <v>0.12203112000000001</v>
      </c>
      <c r="K2978" s="4"/>
      <c r="L2978" s="4"/>
      <c r="M2978" s="4"/>
      <c r="N2978" s="4"/>
      <c r="O2978" s="4"/>
      <c r="P2978" s="4"/>
      <c r="Q2978" s="4"/>
      <c r="R2978" s="4"/>
      <c r="S2978" s="4"/>
      <c r="T2978" s="4"/>
      <c r="U2978" s="4"/>
      <c r="V2978" s="4">
        <v>1.11199615</v>
      </c>
      <c r="W2978" s="4">
        <v>3</v>
      </c>
      <c r="X2978" s="4">
        <v>75379.8698</v>
      </c>
      <c r="Y2978" s="4">
        <v>259822</v>
      </c>
      <c r="Z2978" s="4">
        <v>5.8956599999999996E-3</v>
      </c>
      <c r="AA2978" s="4">
        <v>100</v>
      </c>
    </row>
    <row r="2979" spans="1:27" x14ac:dyDescent="0.2">
      <c r="A2979" s="4">
        <v>20</v>
      </c>
      <c r="B2979" s="4">
        <v>3</v>
      </c>
      <c r="C2979" s="4">
        <v>0.4</v>
      </c>
      <c r="D2979" s="4">
        <v>100</v>
      </c>
      <c r="E2979" s="4">
        <v>0.31697656000000002</v>
      </c>
      <c r="F2979" s="4">
        <v>3</v>
      </c>
      <c r="G2979" s="4">
        <v>29.3792756</v>
      </c>
      <c r="H2979" s="4">
        <v>0.1195372</v>
      </c>
      <c r="I2979" s="4">
        <v>3</v>
      </c>
      <c r="J2979" s="4">
        <v>0.54400331000000002</v>
      </c>
      <c r="K2979" s="4"/>
      <c r="L2979" s="4"/>
      <c r="M2979" s="4"/>
      <c r="N2979" s="4"/>
      <c r="O2979" s="4"/>
      <c r="P2979" s="4"/>
      <c r="Q2979" s="4"/>
      <c r="R2979" s="4"/>
      <c r="S2979" s="4"/>
      <c r="T2979" s="4"/>
      <c r="U2979" s="4"/>
      <c r="V2979" s="4">
        <v>0.11350852</v>
      </c>
      <c r="W2979" s="4">
        <v>3</v>
      </c>
      <c r="X2979" s="4">
        <v>76469.491599999994</v>
      </c>
      <c r="Y2979" s="4">
        <v>3577</v>
      </c>
      <c r="Z2979" s="4">
        <v>0.70555741000000005</v>
      </c>
      <c r="AA2979" s="4">
        <v>100</v>
      </c>
    </row>
    <row r="2980" spans="1:27" x14ac:dyDescent="0.2">
      <c r="A2980" s="4">
        <v>20</v>
      </c>
      <c r="B2980" s="4">
        <v>3</v>
      </c>
      <c r="C2980" s="4">
        <v>0.3</v>
      </c>
      <c r="D2980" s="4">
        <v>100</v>
      </c>
      <c r="E2980" s="4">
        <v>0.47447270000000002</v>
      </c>
      <c r="F2980" s="4">
        <v>3</v>
      </c>
      <c r="G2980" s="4">
        <v>33.750921099999999</v>
      </c>
      <c r="H2980" s="4">
        <v>0.26238225999999998</v>
      </c>
      <c r="I2980" s="4">
        <v>3</v>
      </c>
      <c r="J2980" s="4">
        <v>1.07845959</v>
      </c>
      <c r="K2980" s="4"/>
      <c r="L2980" s="4"/>
      <c r="M2980" s="4"/>
      <c r="N2980" s="4"/>
      <c r="O2980" s="4"/>
      <c r="P2980" s="4"/>
      <c r="Q2980" s="4"/>
      <c r="R2980" s="4"/>
      <c r="S2980" s="4"/>
      <c r="T2980" s="4"/>
      <c r="U2980" s="4"/>
      <c r="V2980" s="4">
        <v>0.26012963</v>
      </c>
      <c r="W2980" s="4">
        <v>3</v>
      </c>
      <c r="X2980" s="4">
        <v>75661.373399999997</v>
      </c>
      <c r="Y2980" s="4">
        <v>69384</v>
      </c>
      <c r="Z2980" s="4">
        <v>0.51839754000000005</v>
      </c>
      <c r="AA2980" s="4">
        <v>100</v>
      </c>
    </row>
    <row r="2981" spans="1:27" x14ac:dyDescent="0.2">
      <c r="A2981" s="4">
        <v>20</v>
      </c>
      <c r="B2981" s="4">
        <v>3</v>
      </c>
      <c r="C2981" s="4">
        <v>0.3</v>
      </c>
      <c r="D2981" s="4">
        <v>100</v>
      </c>
      <c r="E2981" s="4">
        <v>0.64058744000000001</v>
      </c>
      <c r="F2981" s="4">
        <v>3</v>
      </c>
      <c r="G2981" s="4">
        <v>26.264110500000001</v>
      </c>
      <c r="H2981" s="4">
        <v>0.39813340000000003</v>
      </c>
      <c r="I2981" s="4">
        <v>3</v>
      </c>
      <c r="J2981" s="4">
        <v>0.99700407999999996</v>
      </c>
      <c r="K2981" s="4"/>
      <c r="L2981" s="4"/>
      <c r="M2981" s="4"/>
      <c r="N2981" s="4"/>
      <c r="O2981" s="4"/>
      <c r="P2981" s="4"/>
      <c r="Q2981" s="4"/>
      <c r="R2981" s="4"/>
      <c r="S2981" s="4"/>
      <c r="T2981" s="4"/>
      <c r="U2981" s="4"/>
      <c r="V2981" s="4">
        <v>0.39220150999999998</v>
      </c>
      <c r="W2981" s="4">
        <v>3</v>
      </c>
      <c r="X2981" s="4">
        <v>77081.919800000003</v>
      </c>
      <c r="Y2981" s="4">
        <v>141817</v>
      </c>
      <c r="Z2981" s="4">
        <v>0.23598231</v>
      </c>
      <c r="AA2981" s="4">
        <v>100</v>
      </c>
    </row>
    <row r="2982" spans="1:27" x14ac:dyDescent="0.2">
      <c r="A2982" s="4">
        <v>20</v>
      </c>
      <c r="B2982" s="4">
        <v>3</v>
      </c>
      <c r="C2982" s="4">
        <v>0.4</v>
      </c>
      <c r="D2982" s="4">
        <v>100</v>
      </c>
      <c r="E2982" s="4">
        <v>0.39131486999999998</v>
      </c>
      <c r="F2982" s="4">
        <v>3</v>
      </c>
      <c r="G2982" s="4">
        <v>31.4204814</v>
      </c>
      <c r="H2982" s="4">
        <v>9.3158149999999995E-2</v>
      </c>
      <c r="I2982" s="4">
        <v>3</v>
      </c>
      <c r="J2982" s="4">
        <v>0.54901188999999995</v>
      </c>
      <c r="K2982" s="4"/>
      <c r="L2982" s="4"/>
      <c r="M2982" s="4"/>
      <c r="N2982" s="4"/>
      <c r="O2982" s="4"/>
      <c r="P2982" s="4"/>
      <c r="Q2982" s="4"/>
      <c r="R2982" s="4"/>
      <c r="S2982" s="4"/>
      <c r="T2982" s="4"/>
      <c r="U2982" s="4"/>
      <c r="V2982" s="4">
        <v>8.7355119999999994E-2</v>
      </c>
      <c r="W2982" s="4">
        <v>3</v>
      </c>
      <c r="X2982" s="4">
        <v>75142.443400000004</v>
      </c>
      <c r="Y2982" s="4">
        <v>168955</v>
      </c>
      <c r="Z2982" s="4">
        <v>0.76383984999999999</v>
      </c>
      <c r="AA2982" s="4">
        <v>100</v>
      </c>
    </row>
    <row r="2983" spans="1:27" x14ac:dyDescent="0.2">
      <c r="A2983" s="4">
        <v>20</v>
      </c>
      <c r="B2983" s="4">
        <v>3</v>
      </c>
      <c r="C2983" s="4">
        <v>0.3</v>
      </c>
      <c r="D2983" s="4">
        <v>100</v>
      </c>
      <c r="E2983" s="4">
        <v>0.69957153999999999</v>
      </c>
      <c r="F2983" s="4">
        <v>3</v>
      </c>
      <c r="G2983" s="4">
        <v>32.450087099999998</v>
      </c>
      <c r="H2983" s="4">
        <v>0.30468862000000002</v>
      </c>
      <c r="I2983" s="4">
        <v>3</v>
      </c>
      <c r="J2983" s="4">
        <v>1.0501959999999999</v>
      </c>
      <c r="K2983" s="4"/>
      <c r="L2983" s="4"/>
      <c r="M2983" s="4"/>
      <c r="N2983" s="4"/>
      <c r="O2983" s="4"/>
      <c r="P2983" s="4"/>
      <c r="Q2983" s="4"/>
      <c r="R2983" s="4"/>
      <c r="S2983" s="4"/>
      <c r="T2983" s="4"/>
      <c r="U2983" s="4"/>
      <c r="V2983" s="4">
        <v>0.30277036000000002</v>
      </c>
      <c r="W2983" s="4">
        <v>3</v>
      </c>
      <c r="X2983" s="4">
        <v>75395.513900000005</v>
      </c>
      <c r="Y2983" s="4">
        <v>9643</v>
      </c>
      <c r="Z2983" s="4">
        <v>0.35239168999999998</v>
      </c>
      <c r="AA2983" s="4">
        <v>100</v>
      </c>
    </row>
    <row r="2984" spans="1:27" x14ac:dyDescent="0.2">
      <c r="A2984" s="4">
        <v>20</v>
      </c>
      <c r="B2984" s="4">
        <v>3</v>
      </c>
      <c r="C2984" s="4">
        <v>0.2</v>
      </c>
      <c r="D2984" s="4">
        <v>100</v>
      </c>
      <c r="E2984" s="4">
        <v>0.85836349999999995</v>
      </c>
      <c r="F2984" s="4">
        <v>3</v>
      </c>
      <c r="G2984" s="4">
        <v>26.179981000000002</v>
      </c>
      <c r="H2984" s="4">
        <v>0.81473872000000003</v>
      </c>
      <c r="I2984" s="4">
        <v>3</v>
      </c>
      <c r="J2984" s="4">
        <v>0.69644159000000005</v>
      </c>
      <c r="K2984" s="4"/>
      <c r="L2984" s="4"/>
      <c r="M2984" s="4"/>
      <c r="N2984" s="4"/>
      <c r="O2984" s="4"/>
      <c r="P2984" s="4"/>
      <c r="Q2984" s="4"/>
      <c r="R2984" s="4"/>
      <c r="S2984" s="4"/>
      <c r="T2984" s="4"/>
      <c r="U2984" s="4"/>
      <c r="V2984" s="4">
        <v>0.81590684999999996</v>
      </c>
      <c r="W2984" s="4">
        <v>3</v>
      </c>
      <c r="X2984" s="4">
        <v>75593.297600000005</v>
      </c>
      <c r="Y2984" s="4">
        <v>64087</v>
      </c>
      <c r="Z2984" s="4">
        <v>3.422526E-2</v>
      </c>
      <c r="AA2984" s="4">
        <v>100</v>
      </c>
    </row>
    <row r="2985" spans="1:27" x14ac:dyDescent="0.2">
      <c r="A2985" s="4">
        <v>20</v>
      </c>
      <c r="B2985" s="4">
        <v>3</v>
      </c>
      <c r="C2985" s="4">
        <v>0.3</v>
      </c>
      <c r="D2985" s="4">
        <v>100</v>
      </c>
      <c r="E2985" s="4">
        <v>0.53886318</v>
      </c>
      <c r="F2985" s="4">
        <v>3</v>
      </c>
      <c r="G2985" s="4">
        <v>26.654936599999999</v>
      </c>
      <c r="H2985" s="4">
        <v>0.29358176000000002</v>
      </c>
      <c r="I2985" s="4">
        <v>3</v>
      </c>
      <c r="J2985" s="4">
        <v>0.75391253000000003</v>
      </c>
      <c r="K2985" s="4"/>
      <c r="L2985" s="4"/>
      <c r="M2985" s="4"/>
      <c r="N2985" s="4"/>
      <c r="O2985" s="4"/>
      <c r="P2985" s="4"/>
      <c r="Q2985" s="4"/>
      <c r="R2985" s="4"/>
      <c r="S2985" s="4"/>
      <c r="T2985" s="4"/>
      <c r="U2985" s="4"/>
      <c r="V2985" s="4">
        <v>0.28965780000000002</v>
      </c>
      <c r="W2985" s="4">
        <v>3</v>
      </c>
      <c r="X2985" s="4">
        <v>75532.348599999998</v>
      </c>
      <c r="Y2985" s="4">
        <v>6384</v>
      </c>
      <c r="Z2985" s="4">
        <v>0.46636659000000003</v>
      </c>
      <c r="AA2985" s="4">
        <v>100</v>
      </c>
    </row>
    <row r="2986" spans="1:27" x14ac:dyDescent="0.2">
      <c r="A2986" s="4">
        <v>20</v>
      </c>
      <c r="B2986" s="4">
        <v>3</v>
      </c>
      <c r="C2986" s="4">
        <v>0.1</v>
      </c>
      <c r="D2986" s="4">
        <v>100</v>
      </c>
      <c r="E2986" s="4">
        <v>1.28044432</v>
      </c>
      <c r="F2986" s="4">
        <v>3</v>
      </c>
      <c r="G2986" s="4">
        <v>37.613399399999999</v>
      </c>
      <c r="H2986" s="4">
        <v>0.98948407000000005</v>
      </c>
      <c r="I2986" s="4">
        <v>3</v>
      </c>
      <c r="J2986" s="4">
        <v>1.1239853399999999</v>
      </c>
      <c r="K2986" s="4"/>
      <c r="L2986" s="4"/>
      <c r="M2986" s="4"/>
      <c r="N2986" s="4"/>
      <c r="O2986" s="4"/>
      <c r="P2986" s="4"/>
      <c r="Q2986" s="4"/>
      <c r="R2986" s="4"/>
      <c r="S2986" s="4"/>
      <c r="T2986" s="4"/>
      <c r="U2986" s="4"/>
      <c r="V2986" s="4">
        <v>1.0391082700000001</v>
      </c>
      <c r="W2986" s="4">
        <v>3</v>
      </c>
      <c r="X2986" s="4">
        <v>75603.598599999998</v>
      </c>
      <c r="Y2986" s="4">
        <v>106523</v>
      </c>
      <c r="Z2986" s="4">
        <v>3.3793299999999998E-3</v>
      </c>
      <c r="AA2986" s="4">
        <v>100</v>
      </c>
    </row>
    <row r="2987" spans="1:27" x14ac:dyDescent="0.2">
      <c r="A2987" s="4">
        <v>20</v>
      </c>
      <c r="B2987" s="4">
        <v>3</v>
      </c>
      <c r="C2987" s="4">
        <v>0.3</v>
      </c>
      <c r="D2987" s="4">
        <v>100</v>
      </c>
      <c r="E2987" s="4">
        <v>0.61064311999999998</v>
      </c>
      <c r="F2987" s="4">
        <v>3</v>
      </c>
      <c r="G2987" s="4">
        <v>31.420481500000001</v>
      </c>
      <c r="H2987" s="4">
        <v>0.35327698000000002</v>
      </c>
      <c r="I2987" s="4">
        <v>3</v>
      </c>
      <c r="J2987" s="4">
        <v>1.0272128599999999</v>
      </c>
      <c r="K2987" s="4"/>
      <c r="L2987" s="4"/>
      <c r="M2987" s="4"/>
      <c r="N2987" s="4"/>
      <c r="O2987" s="4"/>
      <c r="P2987" s="4"/>
      <c r="Q2987" s="4"/>
      <c r="R2987" s="4"/>
      <c r="S2987" s="4"/>
      <c r="T2987" s="4"/>
      <c r="U2987" s="4"/>
      <c r="V2987" s="4">
        <v>0.34954963</v>
      </c>
      <c r="W2987" s="4">
        <v>3</v>
      </c>
      <c r="X2987" s="4">
        <v>75421.741200000004</v>
      </c>
      <c r="Y2987" s="4">
        <v>172482</v>
      </c>
      <c r="Z2987" s="4">
        <v>0.34099997999999998</v>
      </c>
      <c r="AA2987" s="4">
        <v>100</v>
      </c>
    </row>
    <row r="2988" spans="1:27" x14ac:dyDescent="0.2">
      <c r="A2988" s="4">
        <v>20</v>
      </c>
      <c r="B2988" s="4">
        <v>3</v>
      </c>
      <c r="C2988" s="4">
        <v>0.2</v>
      </c>
      <c r="D2988" s="4">
        <v>100</v>
      </c>
      <c r="E2988" s="4">
        <v>0.76115615000000003</v>
      </c>
      <c r="F2988" s="4">
        <v>3</v>
      </c>
      <c r="G2988" s="4">
        <v>24.029509900000001</v>
      </c>
      <c r="H2988" s="4">
        <v>0.85250336000000004</v>
      </c>
      <c r="I2988" s="4">
        <v>3</v>
      </c>
      <c r="J2988" s="4">
        <v>0.87637182999999996</v>
      </c>
      <c r="K2988" s="4"/>
      <c r="L2988" s="4"/>
      <c r="M2988" s="4"/>
      <c r="N2988" s="4"/>
      <c r="O2988" s="4"/>
      <c r="P2988" s="4"/>
      <c r="Q2988" s="4"/>
      <c r="R2988" s="4"/>
      <c r="S2988" s="4"/>
      <c r="T2988" s="4"/>
      <c r="U2988" s="4"/>
      <c r="V2988" s="4">
        <v>0.85469163000000004</v>
      </c>
      <c r="W2988" s="4">
        <v>3</v>
      </c>
      <c r="X2988" s="4">
        <v>76786.739499999996</v>
      </c>
      <c r="Y2988" s="4">
        <v>123950</v>
      </c>
      <c r="Z2988" s="4">
        <v>0.10826545</v>
      </c>
      <c r="AA2988" s="4">
        <v>100</v>
      </c>
    </row>
    <row r="2989" spans="1:27" x14ac:dyDescent="0.2">
      <c r="A2989" s="4">
        <v>20</v>
      </c>
      <c r="B2989" s="4">
        <v>3</v>
      </c>
      <c r="C2989" s="4">
        <v>0.2</v>
      </c>
      <c r="D2989" s="4">
        <v>100</v>
      </c>
      <c r="E2989" s="4">
        <v>0.80495421</v>
      </c>
      <c r="F2989" s="4">
        <v>3</v>
      </c>
      <c r="G2989" s="4">
        <v>31.992946100000001</v>
      </c>
      <c r="H2989" s="4">
        <v>0.84433864999999997</v>
      </c>
      <c r="I2989" s="4">
        <v>3</v>
      </c>
      <c r="J2989" s="4">
        <v>0.87876675000000004</v>
      </c>
      <c r="K2989" s="4"/>
      <c r="L2989" s="4"/>
      <c r="M2989" s="4"/>
      <c r="N2989" s="4"/>
      <c r="O2989" s="4"/>
      <c r="P2989" s="4"/>
      <c r="Q2989" s="4"/>
      <c r="R2989" s="4"/>
      <c r="S2989" s="4"/>
      <c r="T2989" s="4"/>
      <c r="U2989" s="4"/>
      <c r="V2989" s="4">
        <v>0.84513037000000002</v>
      </c>
      <c r="W2989" s="4">
        <v>3</v>
      </c>
      <c r="X2989" s="4">
        <v>75742.992499999993</v>
      </c>
      <c r="Y2989" s="4">
        <v>6914</v>
      </c>
      <c r="Z2989" s="4">
        <v>4.0418339999999997E-2</v>
      </c>
      <c r="AA2989" s="4">
        <v>100</v>
      </c>
    </row>
    <row r="2990" spans="1:27" x14ac:dyDescent="0.2">
      <c r="A2990" s="4">
        <v>20</v>
      </c>
      <c r="B2990" s="4">
        <v>3</v>
      </c>
      <c r="C2990" s="4">
        <v>0.2</v>
      </c>
      <c r="D2990" s="4">
        <v>100</v>
      </c>
      <c r="E2990" s="4">
        <v>0.86775363000000005</v>
      </c>
      <c r="F2990" s="4">
        <v>3</v>
      </c>
      <c r="G2990" s="4">
        <v>28.558798100000001</v>
      </c>
      <c r="H2990" s="4">
        <v>0.80088610999999998</v>
      </c>
      <c r="I2990" s="4">
        <v>3</v>
      </c>
      <c r="J2990" s="4">
        <v>0.88254062</v>
      </c>
      <c r="K2990" s="4"/>
      <c r="L2990" s="4"/>
      <c r="M2990" s="4"/>
      <c r="N2990" s="4"/>
      <c r="O2990" s="4"/>
      <c r="P2990" s="4"/>
      <c r="Q2990" s="4"/>
      <c r="R2990" s="4"/>
      <c r="S2990" s="4"/>
      <c r="T2990" s="4"/>
      <c r="U2990" s="4"/>
      <c r="V2990" s="4">
        <v>0.80026834000000002</v>
      </c>
      <c r="W2990" s="4">
        <v>3</v>
      </c>
      <c r="X2990" s="4">
        <v>75872.130799999999</v>
      </c>
      <c r="Y2990" s="4">
        <v>3968</v>
      </c>
      <c r="Z2990" s="4">
        <v>0.16345009999999999</v>
      </c>
      <c r="AA2990" s="4">
        <v>100</v>
      </c>
    </row>
    <row r="2991" spans="1:27" x14ac:dyDescent="0.2">
      <c r="A2991" s="4">
        <v>20</v>
      </c>
      <c r="B2991" s="4">
        <v>3</v>
      </c>
      <c r="C2991" s="4">
        <v>0.3</v>
      </c>
      <c r="D2991" s="4">
        <v>100</v>
      </c>
      <c r="E2991" s="4">
        <v>0.43806216999999997</v>
      </c>
      <c r="F2991" s="4">
        <v>3</v>
      </c>
      <c r="G2991" s="4">
        <v>28.903763699999999</v>
      </c>
      <c r="H2991" s="4">
        <v>0.25448203000000003</v>
      </c>
      <c r="I2991" s="4">
        <v>3</v>
      </c>
      <c r="J2991" s="4">
        <v>0.74979487</v>
      </c>
      <c r="K2991" s="4"/>
      <c r="L2991" s="4"/>
      <c r="M2991" s="4"/>
      <c r="N2991" s="4"/>
      <c r="O2991" s="4"/>
      <c r="P2991" s="4"/>
      <c r="Q2991" s="4"/>
      <c r="R2991" s="4"/>
      <c r="S2991" s="4"/>
      <c r="T2991" s="4"/>
      <c r="U2991" s="4"/>
      <c r="V2991" s="4">
        <v>0.25138875999999999</v>
      </c>
      <c r="W2991" s="4">
        <v>3</v>
      </c>
      <c r="X2991" s="4">
        <v>75246.177500000005</v>
      </c>
      <c r="Y2991" s="4">
        <v>68039</v>
      </c>
      <c r="Z2991" s="4">
        <v>0.62145543000000003</v>
      </c>
      <c r="AA2991" s="4">
        <v>100</v>
      </c>
    </row>
    <row r="2992" spans="1:27" x14ac:dyDescent="0.2">
      <c r="A2992" s="4">
        <v>20</v>
      </c>
      <c r="B2992" s="4">
        <v>3</v>
      </c>
      <c r="C2992" s="4">
        <v>0.1</v>
      </c>
      <c r="D2992" s="4">
        <v>100</v>
      </c>
      <c r="E2992" s="4">
        <v>1.14572037</v>
      </c>
      <c r="F2992" s="4">
        <v>3</v>
      </c>
      <c r="G2992" s="4">
        <v>23.093216399999999</v>
      </c>
      <c r="H2992" s="4">
        <v>1.00649239</v>
      </c>
      <c r="I2992" s="4">
        <v>3</v>
      </c>
      <c r="J2992" s="4">
        <v>0.71069937000000005</v>
      </c>
      <c r="K2992" s="4"/>
      <c r="L2992" s="4"/>
      <c r="M2992" s="4"/>
      <c r="N2992" s="4"/>
      <c r="O2992" s="4"/>
      <c r="P2992" s="4"/>
      <c r="Q2992" s="4"/>
      <c r="R2992" s="4"/>
      <c r="S2992" s="4"/>
      <c r="T2992" s="4"/>
      <c r="U2992" s="4"/>
      <c r="V2992" s="4">
        <v>1.00690718</v>
      </c>
      <c r="W2992" s="4">
        <v>3</v>
      </c>
      <c r="X2992" s="4">
        <v>75242.656700000007</v>
      </c>
      <c r="Y2992" s="4">
        <v>174323</v>
      </c>
      <c r="Z2992" s="4">
        <v>5.3904000000000001E-3</v>
      </c>
      <c r="AA2992" s="4">
        <v>100</v>
      </c>
    </row>
    <row r="2993" spans="1:27" x14ac:dyDescent="0.2">
      <c r="A2993" s="4">
        <v>20</v>
      </c>
      <c r="B2993" s="4">
        <v>3</v>
      </c>
      <c r="C2993" s="4">
        <v>0.2</v>
      </c>
      <c r="D2993" s="4">
        <v>100</v>
      </c>
      <c r="E2993" s="4">
        <v>0.85747397999999997</v>
      </c>
      <c r="F2993" s="4">
        <v>3</v>
      </c>
      <c r="G2993" s="4">
        <v>32.210314500000003</v>
      </c>
      <c r="H2993" s="4">
        <v>0.82408694000000005</v>
      </c>
      <c r="I2993" s="4">
        <v>3</v>
      </c>
      <c r="J2993" s="4">
        <v>1.01302165</v>
      </c>
      <c r="K2993" s="4"/>
      <c r="L2993" s="4"/>
      <c r="M2993" s="4"/>
      <c r="N2993" s="4"/>
      <c r="O2993" s="4"/>
      <c r="P2993" s="4"/>
      <c r="Q2993" s="4"/>
      <c r="R2993" s="4"/>
      <c r="S2993" s="4"/>
      <c r="T2993" s="4"/>
      <c r="U2993" s="4"/>
      <c r="V2993" s="4">
        <v>0.82535811999999997</v>
      </c>
      <c r="W2993" s="4">
        <v>3</v>
      </c>
      <c r="X2993" s="4">
        <v>75903.015100000004</v>
      </c>
      <c r="Y2993" s="4">
        <v>5425</v>
      </c>
      <c r="Z2993" s="4">
        <v>0.22011722</v>
      </c>
      <c r="AA2993" s="4">
        <v>100</v>
      </c>
    </row>
    <row r="2994" spans="1:27" x14ac:dyDescent="0.2">
      <c r="A2994" s="4">
        <v>20</v>
      </c>
      <c r="B2994" s="4">
        <v>3</v>
      </c>
      <c r="C2994" s="4">
        <v>0.1</v>
      </c>
      <c r="D2994" s="4">
        <v>100</v>
      </c>
      <c r="E2994" s="4">
        <v>1.4314685599999999</v>
      </c>
      <c r="F2994" s="4">
        <v>3</v>
      </c>
      <c r="G2994" s="4">
        <v>32.230429399999998</v>
      </c>
      <c r="H2994" s="4">
        <v>0.97198815999999999</v>
      </c>
      <c r="I2994" s="4">
        <v>3</v>
      </c>
      <c r="J2994" s="4">
        <v>0.98698627000000005</v>
      </c>
      <c r="K2994" s="4"/>
      <c r="L2994" s="4"/>
      <c r="M2994" s="4"/>
      <c r="N2994" s="4"/>
      <c r="O2994" s="4"/>
      <c r="P2994" s="4"/>
      <c r="Q2994" s="4"/>
      <c r="R2994" s="4"/>
      <c r="S2994" s="4"/>
      <c r="T2994" s="4"/>
      <c r="U2994" s="4"/>
      <c r="V2994" s="4">
        <v>1.0791378300000001</v>
      </c>
      <c r="W2994" s="4">
        <v>3</v>
      </c>
      <c r="X2994" s="4">
        <v>76074.140599999999</v>
      </c>
      <c r="Y2994" s="4">
        <v>83718</v>
      </c>
      <c r="Z2994" s="4">
        <v>2.85929E-3</v>
      </c>
      <c r="AA2994" s="4">
        <v>100</v>
      </c>
    </row>
    <row r="2995" spans="1:27" x14ac:dyDescent="0.2">
      <c r="A2995" s="4">
        <v>20</v>
      </c>
      <c r="B2995" s="4">
        <v>3</v>
      </c>
      <c r="C2995" s="4">
        <v>0.4</v>
      </c>
      <c r="D2995" s="4">
        <v>100</v>
      </c>
      <c r="E2995" s="4">
        <v>0.28639344</v>
      </c>
      <c r="F2995" s="4">
        <v>3</v>
      </c>
      <c r="G2995" s="4">
        <v>28.7358437</v>
      </c>
      <c r="H2995" s="4">
        <v>8.0613089999999998E-2</v>
      </c>
      <c r="I2995" s="4">
        <v>3</v>
      </c>
      <c r="J2995" s="4">
        <v>0.47889997000000001</v>
      </c>
      <c r="K2995" s="4"/>
      <c r="L2995" s="4"/>
      <c r="M2995" s="4"/>
      <c r="N2995" s="4"/>
      <c r="O2995" s="4"/>
      <c r="P2995" s="4"/>
      <c r="Q2995" s="4"/>
      <c r="R2995" s="4"/>
      <c r="S2995" s="4"/>
      <c r="T2995" s="4"/>
      <c r="U2995" s="4"/>
      <c r="V2995" s="4">
        <v>7.710351E-2</v>
      </c>
      <c r="W2995" s="4">
        <v>3</v>
      </c>
      <c r="X2995" s="4">
        <v>75788.063999999998</v>
      </c>
      <c r="Y2995" s="4">
        <v>5304</v>
      </c>
      <c r="Z2995" s="4">
        <v>1.1465748200000001</v>
      </c>
      <c r="AA2995" s="4">
        <v>100</v>
      </c>
    </row>
    <row r="2996" spans="1:27" x14ac:dyDescent="0.2">
      <c r="A2996" s="4">
        <v>20</v>
      </c>
      <c r="B2996" s="4">
        <v>3</v>
      </c>
      <c r="C2996" s="4">
        <v>0.4</v>
      </c>
      <c r="D2996" s="4">
        <v>100</v>
      </c>
      <c r="E2996" s="4">
        <v>0.37334477999999999</v>
      </c>
      <c r="F2996" s="4">
        <v>3</v>
      </c>
      <c r="G2996" s="4">
        <v>23.314979699999999</v>
      </c>
      <c r="H2996" s="4">
        <v>7.4905509999999995E-2</v>
      </c>
      <c r="I2996" s="4">
        <v>3</v>
      </c>
      <c r="J2996" s="4">
        <v>0.57111873999999996</v>
      </c>
      <c r="K2996" s="4"/>
      <c r="L2996" s="4"/>
      <c r="M2996" s="4"/>
      <c r="N2996" s="4"/>
      <c r="O2996" s="4"/>
      <c r="P2996" s="4"/>
      <c r="Q2996" s="4"/>
      <c r="R2996" s="4"/>
      <c r="S2996" s="4"/>
      <c r="T2996" s="4"/>
      <c r="U2996" s="4"/>
      <c r="V2996" s="4">
        <v>6.9332329999999998E-2</v>
      </c>
      <c r="W2996" s="4">
        <v>3</v>
      </c>
      <c r="X2996" s="4">
        <v>75651.568599999999</v>
      </c>
      <c r="Y2996" s="4">
        <v>92559</v>
      </c>
      <c r="Z2996" s="4">
        <v>0.64198113000000001</v>
      </c>
      <c r="AA2996" s="4">
        <v>100</v>
      </c>
    </row>
    <row r="2997" spans="1:27" x14ac:dyDescent="0.2">
      <c r="A2997" s="4">
        <v>20</v>
      </c>
      <c r="B2997" s="4">
        <v>3</v>
      </c>
      <c r="C2997" s="4">
        <v>0.4</v>
      </c>
      <c r="D2997" s="4">
        <v>100</v>
      </c>
      <c r="E2997" s="4">
        <v>0.24042997999999999</v>
      </c>
      <c r="F2997" s="4">
        <v>3</v>
      </c>
      <c r="G2997" s="4">
        <v>31.8041239</v>
      </c>
      <c r="H2997" s="4">
        <v>6.2439990000000001E-2</v>
      </c>
      <c r="I2997" s="4">
        <v>3</v>
      </c>
      <c r="J2997" s="4">
        <v>0.62817710999999998</v>
      </c>
      <c r="K2997" s="4"/>
      <c r="L2997" s="4"/>
      <c r="M2997" s="4"/>
      <c r="N2997" s="4"/>
      <c r="O2997" s="4"/>
      <c r="P2997" s="4"/>
      <c r="Q2997" s="4"/>
      <c r="R2997" s="4"/>
      <c r="S2997" s="4"/>
      <c r="T2997" s="4"/>
      <c r="U2997" s="4"/>
      <c r="V2997" s="4">
        <v>5.6483770000000003E-2</v>
      </c>
      <c r="W2997" s="4">
        <v>3</v>
      </c>
      <c r="X2997" s="4">
        <v>76777.490699999995</v>
      </c>
      <c r="Y2997" s="4">
        <v>3670</v>
      </c>
      <c r="Z2997" s="4">
        <v>0.52678409999999998</v>
      </c>
      <c r="AA2997" s="4">
        <v>100</v>
      </c>
    </row>
    <row r="2998" spans="1:27" x14ac:dyDescent="0.2">
      <c r="A2998" s="4">
        <v>20</v>
      </c>
      <c r="B2998" s="4">
        <v>3</v>
      </c>
      <c r="C2998" s="4">
        <v>0.2</v>
      </c>
      <c r="D2998" s="4">
        <v>100</v>
      </c>
      <c r="E2998" s="4">
        <v>1.0456376199999999</v>
      </c>
      <c r="F2998" s="4">
        <v>3</v>
      </c>
      <c r="G2998" s="4">
        <v>37.213559600000004</v>
      </c>
      <c r="H2998" s="4">
        <v>0.88038848999999997</v>
      </c>
      <c r="I2998" s="4">
        <v>3</v>
      </c>
      <c r="J2998" s="4">
        <v>1.1256303599999999</v>
      </c>
      <c r="K2998" s="4"/>
      <c r="L2998" s="4"/>
      <c r="M2998" s="4"/>
      <c r="N2998" s="4"/>
      <c r="O2998" s="4"/>
      <c r="P2998" s="4"/>
      <c r="Q2998" s="4"/>
      <c r="R2998" s="4"/>
      <c r="S2998" s="4"/>
      <c r="T2998" s="4"/>
      <c r="U2998" s="4"/>
      <c r="V2998" s="4">
        <v>0.88123362999999999</v>
      </c>
      <c r="W2998" s="4">
        <v>3</v>
      </c>
      <c r="X2998" s="4">
        <v>75937.194600000003</v>
      </c>
      <c r="Y2998" s="4">
        <v>3855</v>
      </c>
      <c r="Z2998" s="4">
        <v>0.11047870999999999</v>
      </c>
      <c r="AA2998" s="4">
        <v>100</v>
      </c>
    </row>
    <row r="2999" spans="1:27" x14ac:dyDescent="0.2">
      <c r="A2999" s="4">
        <v>20</v>
      </c>
      <c r="B2999" s="4">
        <v>3</v>
      </c>
      <c r="C2999" s="4">
        <v>0.4</v>
      </c>
      <c r="D2999" s="4">
        <v>100</v>
      </c>
      <c r="E2999" s="4">
        <v>0.24850705000000001</v>
      </c>
      <c r="F2999" s="4">
        <v>3</v>
      </c>
      <c r="G2999" s="4">
        <v>27.303770400000001</v>
      </c>
      <c r="H2999" s="4">
        <v>8.9222640000000006E-2</v>
      </c>
      <c r="I2999" s="4">
        <v>3</v>
      </c>
      <c r="J2999" s="4">
        <v>0.41463335000000001</v>
      </c>
      <c r="K2999" s="4"/>
      <c r="L2999" s="4"/>
      <c r="M2999" s="4"/>
      <c r="N2999" s="4"/>
      <c r="O2999" s="4"/>
      <c r="P2999" s="4"/>
      <c r="Q2999" s="4"/>
      <c r="R2999" s="4"/>
      <c r="S2999" s="4"/>
      <c r="T2999" s="4"/>
      <c r="U2999" s="4"/>
      <c r="V2999" s="4">
        <v>7.3766999999999999E-2</v>
      </c>
      <c r="W2999" s="4">
        <v>3</v>
      </c>
      <c r="X2999" s="4">
        <v>75294.054499999998</v>
      </c>
      <c r="Y2999" s="4">
        <v>72752</v>
      </c>
      <c r="Z2999" s="4">
        <v>0.64782200000000001</v>
      </c>
      <c r="AA2999" s="4">
        <v>100</v>
      </c>
    </row>
    <row r="3000" spans="1:27" x14ac:dyDescent="0.2">
      <c r="A3000" s="4">
        <v>20</v>
      </c>
      <c r="B3000" s="4">
        <v>3</v>
      </c>
      <c r="C3000" s="4">
        <v>0.3</v>
      </c>
      <c r="D3000" s="4">
        <v>100</v>
      </c>
      <c r="E3000" s="4">
        <v>0.57795403999999995</v>
      </c>
      <c r="F3000" s="4">
        <v>3</v>
      </c>
      <c r="G3000" s="4">
        <v>34.9183369</v>
      </c>
      <c r="H3000" s="4">
        <v>0.35053367000000002</v>
      </c>
      <c r="I3000" s="4">
        <v>3</v>
      </c>
      <c r="J3000" s="4">
        <v>1.14755388</v>
      </c>
      <c r="K3000" s="4"/>
      <c r="L3000" s="4"/>
      <c r="M3000" s="4"/>
      <c r="N3000" s="4"/>
      <c r="O3000" s="4"/>
      <c r="P3000" s="4"/>
      <c r="Q3000" s="4"/>
      <c r="R3000" s="4"/>
      <c r="S3000" s="4"/>
      <c r="T3000" s="4"/>
      <c r="U3000" s="4"/>
      <c r="V3000" s="4">
        <v>0.34979504</v>
      </c>
      <c r="W3000" s="4">
        <v>3</v>
      </c>
      <c r="X3000" s="4">
        <v>75888.790699999998</v>
      </c>
      <c r="Y3000" s="4">
        <v>5211</v>
      </c>
      <c r="Z3000" s="4">
        <v>0.58139094000000002</v>
      </c>
      <c r="AA3000" s="4">
        <v>100</v>
      </c>
    </row>
    <row r="3001" spans="1:27" x14ac:dyDescent="0.2">
      <c r="A3001" s="4">
        <v>20</v>
      </c>
      <c r="B3001" s="4">
        <v>3</v>
      </c>
      <c r="C3001" s="4">
        <v>0.2</v>
      </c>
      <c r="D3001" s="4">
        <v>100</v>
      </c>
      <c r="E3001" s="4">
        <v>1.1670686400000001</v>
      </c>
      <c r="F3001" s="4">
        <v>3</v>
      </c>
      <c r="G3001" s="4">
        <v>36.075838099999999</v>
      </c>
      <c r="H3001" s="4">
        <v>1.03447819</v>
      </c>
      <c r="I3001" s="4">
        <v>3</v>
      </c>
      <c r="J3001" s="4">
        <v>1.0935600599999999</v>
      </c>
      <c r="K3001" s="4"/>
      <c r="L3001" s="4"/>
      <c r="M3001" s="4"/>
      <c r="N3001" s="4"/>
      <c r="O3001" s="4"/>
      <c r="P3001" s="4"/>
      <c r="Q3001" s="4"/>
      <c r="R3001" s="4"/>
      <c r="S3001" s="4"/>
      <c r="T3001" s="4"/>
      <c r="U3001" s="4"/>
      <c r="V3001" s="4">
        <v>1.0360592900000001</v>
      </c>
      <c r="W3001" s="4">
        <v>3</v>
      </c>
      <c r="X3001" s="4">
        <v>75968.666899999997</v>
      </c>
      <c r="Y3001" s="4">
        <v>3765</v>
      </c>
      <c r="Z3001" s="4">
        <v>0.14294678999999999</v>
      </c>
      <c r="AA3001" s="4">
        <v>100</v>
      </c>
    </row>
    <row r="3002" spans="1:27" x14ac:dyDescent="0.2">
      <c r="A3002" s="4">
        <v>20</v>
      </c>
      <c r="B3002" s="4">
        <v>3</v>
      </c>
      <c r="C3002" s="4">
        <v>0.4</v>
      </c>
      <c r="D3002" s="4">
        <v>100</v>
      </c>
      <c r="E3002" s="4">
        <v>0.53064736000000001</v>
      </c>
      <c r="F3002" s="4">
        <v>3</v>
      </c>
      <c r="G3002" s="4">
        <v>28.395539200000002</v>
      </c>
      <c r="H3002" s="4">
        <v>0.37140015999999998</v>
      </c>
      <c r="I3002" s="4">
        <v>3</v>
      </c>
      <c r="J3002" s="4">
        <v>0.43233063999999999</v>
      </c>
      <c r="K3002" s="4"/>
      <c r="L3002" s="4"/>
      <c r="M3002" s="4"/>
      <c r="N3002" s="4"/>
      <c r="O3002" s="4"/>
      <c r="P3002" s="4"/>
      <c r="Q3002" s="4"/>
      <c r="R3002" s="4"/>
      <c r="S3002" s="4"/>
      <c r="T3002" s="4"/>
      <c r="U3002" s="4"/>
      <c r="V3002" s="4">
        <v>0.36011563000000002</v>
      </c>
      <c r="W3002" s="4">
        <v>3</v>
      </c>
      <c r="X3002" s="4">
        <v>77627.821800000005</v>
      </c>
      <c r="Y3002" s="4">
        <v>110159</v>
      </c>
      <c r="Z3002" s="4">
        <v>0.33778386999999999</v>
      </c>
      <c r="AA3002" s="4">
        <v>100</v>
      </c>
    </row>
    <row r="3003" spans="1:27" x14ac:dyDescent="0.2">
      <c r="A3003" s="4">
        <v>20</v>
      </c>
      <c r="B3003" s="4">
        <v>3</v>
      </c>
      <c r="C3003" s="4">
        <v>0.1</v>
      </c>
      <c r="D3003" s="4">
        <v>100</v>
      </c>
      <c r="E3003" s="4">
        <v>1.1216766300000001</v>
      </c>
      <c r="F3003" s="4">
        <v>3</v>
      </c>
      <c r="G3003" s="4">
        <v>28.225222800000001</v>
      </c>
      <c r="H3003" s="4">
        <v>1.0429083800000001</v>
      </c>
      <c r="I3003" s="4">
        <v>3</v>
      </c>
      <c r="J3003" s="4">
        <v>0.85197367999999996</v>
      </c>
      <c r="K3003" s="4"/>
      <c r="L3003" s="4"/>
      <c r="M3003" s="4"/>
      <c r="N3003" s="4"/>
      <c r="O3003" s="4"/>
      <c r="P3003" s="4"/>
      <c r="Q3003" s="4"/>
      <c r="R3003" s="4"/>
      <c r="S3003" s="4"/>
      <c r="T3003" s="4"/>
      <c r="U3003" s="4"/>
      <c r="V3003" s="4">
        <v>1.05982427</v>
      </c>
      <c r="W3003" s="4">
        <v>3</v>
      </c>
      <c r="X3003" s="4">
        <v>75550.811799999996</v>
      </c>
      <c r="Y3003" s="4">
        <v>100180</v>
      </c>
      <c r="Z3003" s="4">
        <v>2.9308200000000002E-3</v>
      </c>
      <c r="AA3003" s="4">
        <v>100</v>
      </c>
    </row>
    <row r="3004" spans="1:27" x14ac:dyDescent="0.2">
      <c r="A3004" s="4">
        <v>20</v>
      </c>
      <c r="B3004" s="4">
        <v>3</v>
      </c>
      <c r="C3004" s="4">
        <v>0.4</v>
      </c>
      <c r="D3004" s="4">
        <v>100</v>
      </c>
      <c r="E3004" s="4">
        <v>0.26267164999999998</v>
      </c>
      <c r="F3004" s="4">
        <v>3</v>
      </c>
      <c r="G3004" s="4">
        <v>39.619328600000003</v>
      </c>
      <c r="H3004" s="4">
        <v>0.11042799</v>
      </c>
      <c r="I3004" s="4">
        <v>3</v>
      </c>
      <c r="J3004" s="4">
        <v>0.53695283000000005</v>
      </c>
      <c r="K3004" s="4"/>
      <c r="L3004" s="4"/>
      <c r="M3004" s="4"/>
      <c r="N3004" s="4"/>
      <c r="O3004" s="4"/>
      <c r="P3004" s="4"/>
      <c r="Q3004" s="4"/>
      <c r="R3004" s="4"/>
      <c r="S3004" s="4"/>
      <c r="T3004" s="4"/>
      <c r="U3004" s="4"/>
      <c r="V3004" s="4">
        <v>0.10572911</v>
      </c>
      <c r="W3004" s="4">
        <v>3</v>
      </c>
      <c r="X3004" s="4">
        <v>77278.005900000004</v>
      </c>
      <c r="Y3004" s="4">
        <v>119984</v>
      </c>
      <c r="Z3004" s="4">
        <v>0.34506490000000001</v>
      </c>
      <c r="AA3004" s="4">
        <v>100</v>
      </c>
    </row>
    <row r="3005" spans="1:27" x14ac:dyDescent="0.2">
      <c r="A3005" s="4">
        <v>20</v>
      </c>
      <c r="B3005" s="4">
        <v>3</v>
      </c>
      <c r="C3005" s="4">
        <v>0.2</v>
      </c>
      <c r="D3005" s="4">
        <v>100</v>
      </c>
      <c r="E3005" s="4">
        <v>0.83334724999999998</v>
      </c>
      <c r="F3005" s="4">
        <v>3</v>
      </c>
      <c r="G3005" s="4">
        <v>40.058313699999999</v>
      </c>
      <c r="H3005" s="4">
        <v>0.81821646000000003</v>
      </c>
      <c r="I3005" s="4">
        <v>3</v>
      </c>
      <c r="J3005" s="4">
        <v>1.15973821</v>
      </c>
      <c r="K3005" s="4"/>
      <c r="L3005" s="4"/>
      <c r="M3005" s="4"/>
      <c r="N3005" s="4"/>
      <c r="O3005" s="4"/>
      <c r="P3005" s="4"/>
      <c r="Q3005" s="4"/>
      <c r="R3005" s="4"/>
      <c r="S3005" s="4"/>
      <c r="T3005" s="4"/>
      <c r="U3005" s="4"/>
      <c r="V3005" s="4">
        <v>0.81856340999999999</v>
      </c>
      <c r="W3005" s="4">
        <v>3</v>
      </c>
      <c r="X3005" s="4">
        <v>75354.982300000003</v>
      </c>
      <c r="Y3005" s="4">
        <v>170003</v>
      </c>
      <c r="Z3005" s="4">
        <v>8.115878E-2</v>
      </c>
      <c r="AA3005" s="4">
        <v>100</v>
      </c>
    </row>
    <row r="3006" spans="1:27" x14ac:dyDescent="0.2">
      <c r="A3006" s="4">
        <v>20</v>
      </c>
      <c r="B3006" s="4">
        <v>3</v>
      </c>
      <c r="C3006" s="4">
        <v>0.3</v>
      </c>
      <c r="D3006" s="4">
        <v>100</v>
      </c>
      <c r="E3006" s="4">
        <v>0.50365864000000005</v>
      </c>
      <c r="F3006" s="4">
        <v>3</v>
      </c>
      <c r="G3006" s="4">
        <v>37.135395500000001</v>
      </c>
      <c r="H3006" s="4">
        <v>0.38923595999999999</v>
      </c>
      <c r="I3006" s="4">
        <v>3</v>
      </c>
      <c r="J3006" s="4">
        <v>1.16066895</v>
      </c>
      <c r="K3006" s="4"/>
      <c r="L3006" s="4"/>
      <c r="M3006" s="4"/>
      <c r="N3006" s="4"/>
      <c r="O3006" s="4"/>
      <c r="P3006" s="4"/>
      <c r="Q3006" s="4"/>
      <c r="R3006" s="4"/>
      <c r="S3006" s="4"/>
      <c r="T3006" s="4"/>
      <c r="U3006" s="4"/>
      <c r="V3006" s="4">
        <v>0.37363253000000002</v>
      </c>
      <c r="W3006" s="4">
        <v>3</v>
      </c>
      <c r="X3006" s="4">
        <v>76503.863299999997</v>
      </c>
      <c r="Y3006" s="4">
        <v>3734</v>
      </c>
      <c r="Z3006" s="4">
        <v>0.41967954000000002</v>
      </c>
      <c r="AA3006" s="4">
        <v>100</v>
      </c>
    </row>
    <row r="3007" spans="1:27" x14ac:dyDescent="0.2">
      <c r="A3007" s="4">
        <v>20</v>
      </c>
      <c r="B3007" s="4">
        <v>3</v>
      </c>
      <c r="C3007" s="4">
        <v>0.4</v>
      </c>
      <c r="D3007" s="4">
        <v>100</v>
      </c>
      <c r="E3007" s="4">
        <v>0.34581058999999997</v>
      </c>
      <c r="F3007" s="4">
        <v>3</v>
      </c>
      <c r="G3007" s="4">
        <v>29.9347675</v>
      </c>
      <c r="H3007" s="4">
        <v>0.26261563999999998</v>
      </c>
      <c r="I3007" s="4">
        <v>3</v>
      </c>
      <c r="J3007" s="4">
        <v>0.49060466000000003</v>
      </c>
      <c r="K3007" s="4"/>
      <c r="L3007" s="4"/>
      <c r="M3007" s="4"/>
      <c r="N3007" s="4"/>
      <c r="O3007" s="4"/>
      <c r="P3007" s="4"/>
      <c r="Q3007" s="4"/>
      <c r="R3007" s="4"/>
      <c r="S3007" s="4"/>
      <c r="T3007" s="4"/>
      <c r="U3007" s="4"/>
      <c r="V3007" s="4">
        <v>0.26118701</v>
      </c>
      <c r="W3007" s="4">
        <v>3</v>
      </c>
      <c r="X3007" s="4">
        <v>75480.856199999995</v>
      </c>
      <c r="Y3007" s="4">
        <v>8497</v>
      </c>
      <c r="Z3007" s="4">
        <v>0.72546107999999998</v>
      </c>
      <c r="AA3007" s="4">
        <v>100</v>
      </c>
    </row>
    <row r="3008" spans="1:27" x14ac:dyDescent="0.2">
      <c r="A3008" s="4">
        <v>20</v>
      </c>
      <c r="B3008" s="4">
        <v>3</v>
      </c>
      <c r="C3008" s="4">
        <v>0.2</v>
      </c>
      <c r="D3008" s="4">
        <v>100</v>
      </c>
      <c r="E3008" s="4">
        <v>0.73628130999999997</v>
      </c>
      <c r="F3008" s="4">
        <v>3</v>
      </c>
      <c r="G3008" s="4">
        <v>31.520857500000002</v>
      </c>
      <c r="H3008" s="4">
        <v>0.70618338999999997</v>
      </c>
      <c r="I3008" s="4">
        <v>3</v>
      </c>
      <c r="J3008" s="4">
        <v>0.77170534000000002</v>
      </c>
      <c r="K3008" s="4"/>
      <c r="L3008" s="4"/>
      <c r="M3008" s="4"/>
      <c r="N3008" s="4"/>
      <c r="O3008" s="4"/>
      <c r="P3008" s="4"/>
      <c r="Q3008" s="4"/>
      <c r="R3008" s="4"/>
      <c r="S3008" s="4"/>
      <c r="T3008" s="4"/>
      <c r="U3008" s="4"/>
      <c r="V3008" s="4">
        <v>0.70680752999999996</v>
      </c>
      <c r="W3008" s="4">
        <v>3</v>
      </c>
      <c r="X3008" s="4">
        <v>75498.102700000003</v>
      </c>
      <c r="Y3008" s="4">
        <v>5719</v>
      </c>
      <c r="Z3008" s="4">
        <v>0.11111529000000001</v>
      </c>
      <c r="AA3008" s="4">
        <v>100</v>
      </c>
    </row>
    <row r="3009" spans="1:27" x14ac:dyDescent="0.2">
      <c r="A3009" s="4">
        <v>20</v>
      </c>
      <c r="B3009" s="4">
        <v>3</v>
      </c>
      <c r="C3009" s="4">
        <v>0.3</v>
      </c>
      <c r="D3009" s="4">
        <v>100</v>
      </c>
      <c r="E3009" s="4">
        <v>0.52637858000000004</v>
      </c>
      <c r="F3009" s="4">
        <v>3</v>
      </c>
      <c r="G3009" s="4">
        <v>27.851120300000002</v>
      </c>
      <c r="H3009" s="4">
        <v>0.34971613000000001</v>
      </c>
      <c r="I3009" s="4">
        <v>3</v>
      </c>
      <c r="J3009" s="4">
        <v>0.78961165</v>
      </c>
      <c r="K3009" s="4"/>
      <c r="L3009" s="4"/>
      <c r="M3009" s="4"/>
      <c r="N3009" s="4"/>
      <c r="O3009" s="4"/>
      <c r="P3009" s="4"/>
      <c r="Q3009" s="4"/>
      <c r="R3009" s="4"/>
      <c r="S3009" s="4"/>
      <c r="T3009" s="4"/>
      <c r="U3009" s="4"/>
      <c r="V3009" s="4">
        <v>0.35141721999999997</v>
      </c>
      <c r="W3009" s="4">
        <v>3</v>
      </c>
      <c r="X3009" s="4">
        <v>75970.8992</v>
      </c>
      <c r="Y3009" s="4">
        <v>3786</v>
      </c>
      <c r="Z3009" s="4">
        <v>0.42715058</v>
      </c>
      <c r="AA3009" s="4">
        <v>100</v>
      </c>
    </row>
    <row r="3010" spans="1:27" x14ac:dyDescent="0.2">
      <c r="A3010" s="4">
        <v>20</v>
      </c>
      <c r="B3010" s="4">
        <v>3</v>
      </c>
      <c r="C3010" s="4">
        <v>0.1</v>
      </c>
      <c r="D3010" s="4">
        <v>100</v>
      </c>
      <c r="E3010" s="4">
        <v>1.01756406</v>
      </c>
      <c r="F3010" s="4">
        <v>3</v>
      </c>
      <c r="G3010" s="4">
        <v>31.3041509</v>
      </c>
      <c r="H3010" s="4">
        <v>0.96519858999999997</v>
      </c>
      <c r="I3010" s="4">
        <v>3</v>
      </c>
      <c r="J3010" s="4">
        <v>0.7320487</v>
      </c>
      <c r="K3010" s="4"/>
      <c r="L3010" s="4"/>
      <c r="M3010" s="4"/>
      <c r="N3010" s="4"/>
      <c r="O3010" s="4"/>
      <c r="P3010" s="4"/>
      <c r="Q3010" s="4"/>
      <c r="R3010" s="4"/>
      <c r="S3010" s="4"/>
      <c r="T3010" s="4"/>
      <c r="U3010" s="4"/>
      <c r="V3010" s="4">
        <v>1.11552395</v>
      </c>
      <c r="W3010" s="4">
        <v>3</v>
      </c>
      <c r="X3010" s="4">
        <v>75668.143899999995</v>
      </c>
      <c r="Y3010" s="4">
        <v>61080</v>
      </c>
      <c r="Z3010" s="4">
        <v>1.8051879999999999E-2</v>
      </c>
      <c r="AA3010" s="4">
        <v>100</v>
      </c>
    </row>
    <row r="3011" spans="1:27" x14ac:dyDescent="0.2">
      <c r="A3011" s="4">
        <v>20</v>
      </c>
      <c r="B3011" s="4">
        <v>3</v>
      </c>
      <c r="C3011" s="4">
        <v>0.4</v>
      </c>
      <c r="D3011" s="4">
        <v>100</v>
      </c>
      <c r="E3011" s="4">
        <v>0.35759954999999999</v>
      </c>
      <c r="F3011" s="4">
        <v>3</v>
      </c>
      <c r="G3011" s="4">
        <v>23.200299000000001</v>
      </c>
      <c r="H3011" s="4">
        <v>0.14602039999999999</v>
      </c>
      <c r="I3011" s="4">
        <v>3</v>
      </c>
      <c r="J3011" s="4">
        <v>0.55242714999999998</v>
      </c>
      <c r="K3011" s="4"/>
      <c r="L3011" s="4"/>
      <c r="M3011" s="4"/>
      <c r="N3011" s="4"/>
      <c r="O3011" s="4"/>
      <c r="P3011" s="4"/>
      <c r="Q3011" s="4"/>
      <c r="R3011" s="4"/>
      <c r="S3011" s="4"/>
      <c r="T3011" s="4"/>
      <c r="U3011" s="4"/>
      <c r="V3011" s="4">
        <v>0.13762594</v>
      </c>
      <c r="W3011" s="4">
        <v>3</v>
      </c>
      <c r="X3011" s="4">
        <v>75644.666200000007</v>
      </c>
      <c r="Y3011" s="4">
        <v>77374</v>
      </c>
      <c r="Z3011" s="4">
        <v>1.7640011200000001</v>
      </c>
      <c r="AA3011" s="4">
        <v>100</v>
      </c>
    </row>
    <row r="3012" spans="1:27" x14ac:dyDescent="0.2">
      <c r="A3012" s="4">
        <v>20</v>
      </c>
      <c r="B3012" s="4">
        <v>3</v>
      </c>
      <c r="C3012" s="4">
        <v>0.3</v>
      </c>
      <c r="D3012" s="4">
        <v>100</v>
      </c>
      <c r="E3012" s="4">
        <v>0.57191068</v>
      </c>
      <c r="F3012" s="4">
        <v>3</v>
      </c>
      <c r="G3012" s="4">
        <v>31.7155755</v>
      </c>
      <c r="H3012" s="4">
        <v>0.48008788000000002</v>
      </c>
      <c r="I3012" s="4">
        <v>3</v>
      </c>
      <c r="J3012" s="4">
        <v>1.00516611</v>
      </c>
      <c r="K3012" s="4"/>
      <c r="L3012" s="4"/>
      <c r="M3012" s="4"/>
      <c r="N3012" s="4"/>
      <c r="O3012" s="4"/>
      <c r="P3012" s="4"/>
      <c r="Q3012" s="4"/>
      <c r="R3012" s="4"/>
      <c r="S3012" s="4"/>
      <c r="T3012" s="4"/>
      <c r="U3012" s="4"/>
      <c r="V3012" s="4">
        <v>0.47925983</v>
      </c>
      <c r="W3012" s="4">
        <v>3</v>
      </c>
      <c r="X3012" s="4">
        <v>75485.475699999995</v>
      </c>
      <c r="Y3012" s="4">
        <v>7252</v>
      </c>
      <c r="Z3012" s="4">
        <v>0.43075961000000001</v>
      </c>
      <c r="AA3012" s="4">
        <v>100</v>
      </c>
    </row>
    <row r="3013" spans="1:27" x14ac:dyDescent="0.2">
      <c r="A3013" s="4">
        <v>20</v>
      </c>
      <c r="B3013" s="4">
        <v>3</v>
      </c>
      <c r="C3013" s="4">
        <v>0.1</v>
      </c>
      <c r="D3013" s="4">
        <v>100</v>
      </c>
      <c r="E3013" s="4">
        <v>1.24282257</v>
      </c>
      <c r="F3013" s="4">
        <v>3</v>
      </c>
      <c r="G3013" s="4">
        <v>33.029834299999997</v>
      </c>
      <c r="H3013" s="4">
        <v>1.03548358</v>
      </c>
      <c r="I3013" s="4">
        <v>3</v>
      </c>
      <c r="J3013" s="4">
        <v>1.0035165399999999</v>
      </c>
      <c r="K3013" s="4"/>
      <c r="L3013" s="4"/>
      <c r="M3013" s="4"/>
      <c r="N3013" s="4"/>
      <c r="O3013" s="4"/>
      <c r="P3013" s="4"/>
      <c r="Q3013" s="4"/>
      <c r="R3013" s="4"/>
      <c r="S3013" s="4"/>
      <c r="T3013" s="4"/>
      <c r="U3013" s="4"/>
      <c r="V3013" s="4">
        <v>1.03575332</v>
      </c>
      <c r="W3013" s="4">
        <v>3</v>
      </c>
      <c r="X3013" s="4">
        <v>75272.776899999997</v>
      </c>
      <c r="Y3013" s="4">
        <v>63063</v>
      </c>
      <c r="Z3013" s="4">
        <v>6.1487E-3</v>
      </c>
      <c r="AA3013" s="4">
        <v>100</v>
      </c>
    </row>
    <row r="3014" spans="1:27" x14ac:dyDescent="0.2">
      <c r="A3014" s="4">
        <v>20</v>
      </c>
      <c r="B3014" s="4">
        <v>3</v>
      </c>
      <c r="C3014" s="4">
        <v>0.1</v>
      </c>
      <c r="D3014" s="4">
        <v>100</v>
      </c>
      <c r="E3014" s="4">
        <v>0.95749320999999998</v>
      </c>
      <c r="F3014" s="4">
        <v>3</v>
      </c>
      <c r="G3014" s="4">
        <v>42.059252700000002</v>
      </c>
      <c r="H3014" s="4">
        <v>0.94775682999999999</v>
      </c>
      <c r="I3014" s="4">
        <v>3</v>
      </c>
      <c r="J3014" s="4">
        <v>0.47708263000000001</v>
      </c>
      <c r="K3014" s="4"/>
      <c r="L3014" s="4"/>
      <c r="M3014" s="4"/>
      <c r="N3014" s="4"/>
      <c r="O3014" s="4"/>
      <c r="P3014" s="4"/>
      <c r="Q3014" s="4"/>
      <c r="R3014" s="4"/>
      <c r="S3014" s="4"/>
      <c r="T3014" s="4"/>
      <c r="U3014" s="4"/>
      <c r="V3014" s="4">
        <v>1.03053679</v>
      </c>
      <c r="W3014" s="4">
        <v>3</v>
      </c>
      <c r="X3014" s="4">
        <v>76061.945500000002</v>
      </c>
      <c r="Y3014" s="4">
        <v>93131</v>
      </c>
      <c r="Z3014" s="4">
        <v>3.701496E-2</v>
      </c>
      <c r="AA3014" s="4">
        <v>100</v>
      </c>
    </row>
    <row r="3015" spans="1:27" x14ac:dyDescent="0.2">
      <c r="A3015" s="4">
        <v>20</v>
      </c>
      <c r="B3015" s="4">
        <v>3</v>
      </c>
      <c r="C3015" s="4">
        <v>0.1</v>
      </c>
      <c r="D3015" s="4">
        <v>100</v>
      </c>
      <c r="E3015" s="4">
        <v>0.99890383000000005</v>
      </c>
      <c r="F3015" s="4">
        <v>3</v>
      </c>
      <c r="G3015" s="4">
        <v>27.987656999999999</v>
      </c>
      <c r="H3015" s="4">
        <v>0.98577247999999995</v>
      </c>
      <c r="I3015" s="4">
        <v>3</v>
      </c>
      <c r="J3015" s="4">
        <v>0.55743781999999997</v>
      </c>
      <c r="K3015" s="4"/>
      <c r="L3015" s="4"/>
      <c r="M3015" s="4"/>
      <c r="N3015" s="4"/>
      <c r="O3015" s="4"/>
      <c r="P3015" s="4"/>
      <c r="Q3015" s="4"/>
      <c r="R3015" s="4"/>
      <c r="S3015" s="4"/>
      <c r="T3015" s="4"/>
      <c r="U3015" s="4"/>
      <c r="V3015" s="4">
        <v>1.0978068999999999</v>
      </c>
      <c r="W3015" s="4">
        <v>3</v>
      </c>
      <c r="X3015" s="4">
        <v>75530.826799999995</v>
      </c>
      <c r="Y3015" s="4">
        <v>118290</v>
      </c>
      <c r="Z3015" s="4">
        <v>1.029771E-2</v>
      </c>
      <c r="AA3015" s="4">
        <v>100</v>
      </c>
    </row>
    <row r="3016" spans="1:27" x14ac:dyDescent="0.2">
      <c r="A3016" s="4">
        <v>20</v>
      </c>
      <c r="B3016" s="4">
        <v>3</v>
      </c>
      <c r="C3016" s="4">
        <v>0.2</v>
      </c>
      <c r="D3016" s="4">
        <v>100</v>
      </c>
      <c r="E3016" s="4">
        <v>0.89872680000000005</v>
      </c>
      <c r="F3016" s="4">
        <v>3</v>
      </c>
      <c r="G3016" s="4">
        <v>35.233940500000003</v>
      </c>
      <c r="H3016" s="4">
        <v>0.88401057000000005</v>
      </c>
      <c r="I3016" s="4">
        <v>3</v>
      </c>
      <c r="J3016" s="4">
        <v>1.13254264</v>
      </c>
      <c r="K3016" s="4"/>
      <c r="L3016" s="4"/>
      <c r="M3016" s="4"/>
      <c r="N3016" s="4"/>
      <c r="O3016" s="4"/>
      <c r="P3016" s="4"/>
      <c r="Q3016" s="4"/>
      <c r="R3016" s="4"/>
      <c r="S3016" s="4"/>
      <c r="T3016" s="4"/>
      <c r="U3016" s="4"/>
      <c r="V3016" s="4">
        <v>0.88654105000000005</v>
      </c>
      <c r="W3016" s="4">
        <v>3</v>
      </c>
      <c r="X3016" s="4">
        <v>76300.461899999995</v>
      </c>
      <c r="Y3016" s="4">
        <v>3910</v>
      </c>
      <c r="Z3016" s="4">
        <v>0.13747885000000001</v>
      </c>
      <c r="AA3016" s="4">
        <v>100</v>
      </c>
    </row>
    <row r="3017" spans="1:27" x14ac:dyDescent="0.2">
      <c r="A3017" s="4">
        <v>20</v>
      </c>
      <c r="B3017" s="4">
        <v>3</v>
      </c>
      <c r="C3017" s="4">
        <v>0.2</v>
      </c>
      <c r="D3017" s="4">
        <v>100</v>
      </c>
      <c r="E3017" s="4">
        <v>0.83589314000000003</v>
      </c>
      <c r="F3017" s="4">
        <v>3</v>
      </c>
      <c r="G3017" s="4">
        <v>36.527499499999998</v>
      </c>
      <c r="H3017" s="4">
        <v>0.82971090000000003</v>
      </c>
      <c r="I3017" s="4">
        <v>3</v>
      </c>
      <c r="J3017" s="4">
        <v>1.14400579</v>
      </c>
      <c r="K3017" s="4"/>
      <c r="L3017" s="4"/>
      <c r="M3017" s="4"/>
      <c r="N3017" s="4"/>
      <c r="O3017" s="4"/>
      <c r="P3017" s="4"/>
      <c r="Q3017" s="4"/>
      <c r="R3017" s="4"/>
      <c r="S3017" s="4"/>
      <c r="T3017" s="4"/>
      <c r="U3017" s="4"/>
      <c r="V3017" s="4">
        <v>0.83116303000000002</v>
      </c>
      <c r="W3017" s="4">
        <v>3</v>
      </c>
      <c r="X3017" s="4">
        <v>75827.033100000001</v>
      </c>
      <c r="Y3017" s="4">
        <v>7173</v>
      </c>
      <c r="Z3017" s="4">
        <v>0.19175498999999999</v>
      </c>
      <c r="AA3017" s="4">
        <v>100</v>
      </c>
    </row>
    <row r="3018" spans="1:27" x14ac:dyDescent="0.2">
      <c r="A3018" s="4">
        <v>20</v>
      </c>
      <c r="B3018" s="4">
        <v>3</v>
      </c>
      <c r="C3018" s="4">
        <v>0.3</v>
      </c>
      <c r="D3018" s="4">
        <v>100</v>
      </c>
      <c r="E3018" s="4">
        <v>0.63220367</v>
      </c>
      <c r="F3018" s="4">
        <v>3</v>
      </c>
      <c r="G3018" s="4">
        <v>36.946188100000001</v>
      </c>
      <c r="H3018" s="4">
        <v>0.36398486000000002</v>
      </c>
      <c r="I3018" s="4">
        <v>3</v>
      </c>
      <c r="J3018" s="4">
        <v>1.1479839599999999</v>
      </c>
      <c r="K3018" s="4"/>
      <c r="L3018" s="4"/>
      <c r="M3018" s="4"/>
      <c r="N3018" s="4"/>
      <c r="O3018" s="4"/>
      <c r="P3018" s="4"/>
      <c r="Q3018" s="4"/>
      <c r="R3018" s="4"/>
      <c r="S3018" s="4"/>
      <c r="T3018" s="4"/>
      <c r="U3018" s="4"/>
      <c r="V3018" s="4">
        <v>0.35841784999999998</v>
      </c>
      <c r="W3018" s="4">
        <v>3</v>
      </c>
      <c r="X3018" s="4">
        <v>75883.142099999997</v>
      </c>
      <c r="Y3018" s="4">
        <v>8890</v>
      </c>
      <c r="Z3018" s="4">
        <v>0.50743640000000001</v>
      </c>
      <c r="AA3018" s="4">
        <v>100</v>
      </c>
    </row>
    <row r="3019" spans="1:27" x14ac:dyDescent="0.2">
      <c r="A3019" s="4">
        <v>20</v>
      </c>
      <c r="B3019" s="4">
        <v>3</v>
      </c>
      <c r="C3019" s="4">
        <v>0.3</v>
      </c>
      <c r="D3019" s="4">
        <v>100</v>
      </c>
      <c r="E3019" s="4">
        <v>0.38331715</v>
      </c>
      <c r="F3019" s="4">
        <v>3</v>
      </c>
      <c r="G3019" s="4">
        <v>23.186403800000001</v>
      </c>
      <c r="H3019" s="4">
        <v>0.23684651000000001</v>
      </c>
      <c r="I3019" s="4">
        <v>3</v>
      </c>
      <c r="J3019" s="4">
        <v>0.52571772000000005</v>
      </c>
      <c r="K3019" s="4"/>
      <c r="L3019" s="4"/>
      <c r="M3019" s="4"/>
      <c r="N3019" s="4"/>
      <c r="O3019" s="4"/>
      <c r="P3019" s="4"/>
      <c r="Q3019" s="4"/>
      <c r="R3019" s="4"/>
      <c r="S3019" s="4"/>
      <c r="T3019" s="4"/>
      <c r="U3019" s="4"/>
      <c r="V3019" s="4">
        <v>0.22526672</v>
      </c>
      <c r="W3019" s="4">
        <v>3</v>
      </c>
      <c r="X3019" s="4">
        <v>76717.834400000007</v>
      </c>
      <c r="Y3019" s="4">
        <v>3171</v>
      </c>
      <c r="Z3019" s="4">
        <v>0.58134001999999996</v>
      </c>
      <c r="AA3019" s="4">
        <v>100</v>
      </c>
    </row>
    <row r="3020" spans="1:27" x14ac:dyDescent="0.2">
      <c r="A3020" s="4">
        <v>20</v>
      </c>
      <c r="B3020" s="4">
        <v>3</v>
      </c>
      <c r="C3020" s="4">
        <v>0.4</v>
      </c>
      <c r="D3020" s="4">
        <v>100</v>
      </c>
      <c r="E3020" s="4">
        <v>0.23967332999999999</v>
      </c>
      <c r="F3020" s="4">
        <v>3</v>
      </c>
      <c r="G3020" s="4">
        <v>33.122277500000003</v>
      </c>
      <c r="H3020" s="4">
        <v>0.10372916</v>
      </c>
      <c r="I3020" s="4">
        <v>3</v>
      </c>
      <c r="J3020" s="4">
        <v>0.55585998999999997</v>
      </c>
      <c r="K3020" s="4"/>
      <c r="L3020" s="4"/>
      <c r="M3020" s="4"/>
      <c r="N3020" s="4"/>
      <c r="O3020" s="4"/>
      <c r="P3020" s="4"/>
      <c r="Q3020" s="4"/>
      <c r="R3020" s="4"/>
      <c r="S3020" s="4"/>
      <c r="T3020" s="4"/>
      <c r="U3020" s="4"/>
      <c r="V3020" s="4">
        <v>0.10089708999999999</v>
      </c>
      <c r="W3020" s="4">
        <v>3</v>
      </c>
      <c r="X3020" s="4">
        <v>76475.4035</v>
      </c>
      <c r="Y3020" s="4">
        <v>3357</v>
      </c>
      <c r="Z3020" s="4">
        <v>0.60995228999999995</v>
      </c>
      <c r="AA3020" s="4">
        <v>100</v>
      </c>
    </row>
    <row r="3021" spans="1:27" x14ac:dyDescent="0.2">
      <c r="A3021" s="4">
        <v>20</v>
      </c>
      <c r="B3021" s="4">
        <v>3</v>
      </c>
      <c r="C3021" s="4">
        <v>0.4</v>
      </c>
      <c r="D3021" s="4">
        <v>100</v>
      </c>
      <c r="E3021" s="4">
        <v>0.24576178000000001</v>
      </c>
      <c r="F3021" s="4">
        <v>3</v>
      </c>
      <c r="G3021" s="4">
        <v>27.972498099999999</v>
      </c>
      <c r="H3021" s="4">
        <v>4.6530269999999999E-2</v>
      </c>
      <c r="I3021" s="4">
        <v>3</v>
      </c>
      <c r="J3021" s="4">
        <v>0.55130168000000002</v>
      </c>
      <c r="K3021" s="4"/>
      <c r="L3021" s="4"/>
      <c r="M3021" s="4"/>
      <c r="N3021" s="4"/>
      <c r="O3021" s="4"/>
      <c r="P3021" s="4"/>
      <c r="Q3021" s="4"/>
      <c r="R3021" s="4"/>
      <c r="S3021" s="4"/>
      <c r="T3021" s="4"/>
      <c r="U3021" s="4"/>
      <c r="V3021" s="4">
        <v>4.0567529999999997E-2</v>
      </c>
      <c r="W3021" s="4">
        <v>3</v>
      </c>
      <c r="X3021" s="4">
        <v>76269.787200000006</v>
      </c>
      <c r="Y3021" s="4">
        <v>3526</v>
      </c>
      <c r="Z3021" s="4">
        <v>0.77672638999999999</v>
      </c>
      <c r="AA3021" s="4">
        <v>100</v>
      </c>
    </row>
    <row r="3022" spans="1:27" x14ac:dyDescent="0.2">
      <c r="A3022" s="4">
        <v>20</v>
      </c>
      <c r="B3022" s="4">
        <v>3</v>
      </c>
      <c r="C3022" s="4">
        <v>0.3</v>
      </c>
      <c r="D3022" s="4">
        <v>100</v>
      </c>
      <c r="E3022" s="4">
        <v>0.58711827999999999</v>
      </c>
      <c r="F3022" s="4">
        <v>3</v>
      </c>
      <c r="G3022" s="4">
        <v>37.941090500000001</v>
      </c>
      <c r="H3022" s="4">
        <v>0.31403997</v>
      </c>
      <c r="I3022" s="4">
        <v>3</v>
      </c>
      <c r="J3022" s="4">
        <v>1.12459921</v>
      </c>
      <c r="K3022" s="4"/>
      <c r="L3022" s="4"/>
      <c r="M3022" s="4"/>
      <c r="N3022" s="4"/>
      <c r="O3022" s="4"/>
      <c r="P3022" s="4"/>
      <c r="Q3022" s="4"/>
      <c r="R3022" s="4"/>
      <c r="S3022" s="4"/>
      <c r="T3022" s="4"/>
      <c r="U3022" s="4"/>
      <c r="V3022" s="4">
        <v>0.31077588</v>
      </c>
      <c r="W3022" s="4">
        <v>3</v>
      </c>
      <c r="X3022" s="4">
        <v>75482.174499999994</v>
      </c>
      <c r="Y3022" s="4">
        <v>7938</v>
      </c>
      <c r="Z3022" s="4">
        <v>0.66031309000000005</v>
      </c>
      <c r="AA3022" s="4">
        <v>100</v>
      </c>
    </row>
    <row r="3023" spans="1:27" x14ac:dyDescent="0.2">
      <c r="A3023" s="4">
        <v>20</v>
      </c>
      <c r="B3023" s="4">
        <v>3</v>
      </c>
      <c r="C3023" s="4">
        <v>0.4</v>
      </c>
      <c r="D3023" s="4">
        <v>100</v>
      </c>
      <c r="E3023" s="4">
        <v>0.35610881999999999</v>
      </c>
      <c r="F3023" s="4">
        <v>3</v>
      </c>
      <c r="G3023" s="4">
        <v>40.251072800000003</v>
      </c>
      <c r="H3023" s="4">
        <v>0.16224371000000001</v>
      </c>
      <c r="I3023" s="4">
        <v>3</v>
      </c>
      <c r="J3023" s="4">
        <v>0.73717783999999997</v>
      </c>
      <c r="K3023" s="4"/>
      <c r="L3023" s="4"/>
      <c r="M3023" s="4"/>
      <c r="N3023" s="4"/>
      <c r="O3023" s="4"/>
      <c r="P3023" s="4"/>
      <c r="Q3023" s="4"/>
      <c r="R3023" s="4"/>
      <c r="S3023" s="4"/>
      <c r="T3023" s="4"/>
      <c r="U3023" s="4"/>
      <c r="V3023" s="4">
        <v>0.14612220000000001</v>
      </c>
      <c r="W3023" s="4">
        <v>3</v>
      </c>
      <c r="X3023" s="4">
        <v>75506.545499999993</v>
      </c>
      <c r="Y3023" s="4">
        <v>5673</v>
      </c>
      <c r="Z3023" s="4">
        <v>1.3855449</v>
      </c>
      <c r="AA3023" s="4">
        <v>100</v>
      </c>
    </row>
    <row r="3024" spans="1:27" x14ac:dyDescent="0.2">
      <c r="A3024" s="4">
        <v>20</v>
      </c>
      <c r="B3024" s="4">
        <v>3</v>
      </c>
      <c r="C3024" s="4">
        <v>0.1</v>
      </c>
      <c r="D3024" s="4">
        <v>100</v>
      </c>
      <c r="E3024" s="4">
        <v>1.0984572100000001</v>
      </c>
      <c r="F3024" s="4">
        <v>3</v>
      </c>
      <c r="G3024" s="4">
        <v>40.402034800000003</v>
      </c>
      <c r="H3024" s="4">
        <v>0.97509354000000004</v>
      </c>
      <c r="I3024" s="4">
        <v>3</v>
      </c>
      <c r="J3024" s="4">
        <v>1.15386346</v>
      </c>
      <c r="K3024" s="4"/>
      <c r="L3024" s="4"/>
      <c r="M3024" s="4"/>
      <c r="N3024" s="4"/>
      <c r="O3024" s="4"/>
      <c r="P3024" s="4"/>
      <c r="Q3024" s="4"/>
      <c r="R3024" s="4"/>
      <c r="S3024" s="4"/>
      <c r="T3024" s="4"/>
      <c r="U3024" s="4"/>
      <c r="V3024" s="4">
        <v>0.97505237</v>
      </c>
      <c r="W3024" s="4">
        <v>3</v>
      </c>
      <c r="X3024" s="4">
        <v>75329.453999999998</v>
      </c>
      <c r="Y3024" s="4">
        <v>77178</v>
      </c>
      <c r="Z3024" s="4">
        <v>8.5763200000000001E-3</v>
      </c>
      <c r="AA3024" s="4">
        <v>100</v>
      </c>
    </row>
    <row r="3025" spans="1:27" x14ac:dyDescent="0.2">
      <c r="A3025" s="4">
        <v>20</v>
      </c>
      <c r="B3025" s="4">
        <v>3</v>
      </c>
      <c r="C3025" s="4">
        <v>0.2</v>
      </c>
      <c r="D3025" s="4">
        <v>100</v>
      </c>
      <c r="E3025" s="4">
        <v>0.89144495999999995</v>
      </c>
      <c r="F3025" s="4">
        <v>3</v>
      </c>
      <c r="G3025" s="4">
        <v>39.6951125</v>
      </c>
      <c r="H3025" s="4">
        <v>0.80046989999999996</v>
      </c>
      <c r="I3025" s="4">
        <v>3</v>
      </c>
      <c r="J3025" s="4">
        <v>1.27165058</v>
      </c>
      <c r="K3025" s="4"/>
      <c r="L3025" s="4"/>
      <c r="M3025" s="4"/>
      <c r="N3025" s="4"/>
      <c r="O3025" s="4"/>
      <c r="P3025" s="4"/>
      <c r="Q3025" s="4"/>
      <c r="R3025" s="4"/>
      <c r="S3025" s="4"/>
      <c r="T3025" s="4"/>
      <c r="U3025" s="4"/>
      <c r="V3025" s="4">
        <v>0.80327630999999999</v>
      </c>
      <c r="W3025" s="4">
        <v>3</v>
      </c>
      <c r="X3025" s="4">
        <v>76258.755999999994</v>
      </c>
      <c r="Y3025" s="4">
        <v>3519</v>
      </c>
      <c r="Z3025" s="4">
        <v>0.20944245</v>
      </c>
      <c r="AA3025" s="4">
        <v>100</v>
      </c>
    </row>
    <row r="3026" spans="1:27" x14ac:dyDescent="0.2">
      <c r="A3026" s="4">
        <v>20</v>
      </c>
      <c r="B3026" s="4">
        <v>3</v>
      </c>
      <c r="C3026" s="4">
        <v>0.2</v>
      </c>
      <c r="D3026" s="4">
        <v>100</v>
      </c>
      <c r="E3026" s="4">
        <v>0.79913329</v>
      </c>
      <c r="F3026" s="4">
        <v>3</v>
      </c>
      <c r="G3026" s="4">
        <v>40.621839600000001</v>
      </c>
      <c r="H3026" s="4">
        <v>0.82042817999999995</v>
      </c>
      <c r="I3026" s="4">
        <v>3</v>
      </c>
      <c r="J3026" s="4">
        <v>1.1857299100000001</v>
      </c>
      <c r="K3026" s="4"/>
      <c r="L3026" s="4"/>
      <c r="M3026" s="4"/>
      <c r="N3026" s="4"/>
      <c r="O3026" s="4"/>
      <c r="P3026" s="4"/>
      <c r="Q3026" s="4"/>
      <c r="R3026" s="4"/>
      <c r="S3026" s="4"/>
      <c r="T3026" s="4"/>
      <c r="U3026" s="4"/>
      <c r="V3026" s="4">
        <v>0.82168596000000005</v>
      </c>
      <c r="W3026" s="4">
        <v>3</v>
      </c>
      <c r="X3026" s="4">
        <v>76047.747300000003</v>
      </c>
      <c r="Y3026" s="4">
        <v>3807</v>
      </c>
      <c r="Z3026" s="4">
        <v>0.11566777</v>
      </c>
      <c r="AA3026" s="4">
        <v>100</v>
      </c>
    </row>
    <row r="3027" spans="1:27" x14ac:dyDescent="0.2">
      <c r="A3027" s="4">
        <v>20</v>
      </c>
      <c r="B3027" s="4">
        <v>3</v>
      </c>
      <c r="C3027" s="4">
        <v>0.4</v>
      </c>
      <c r="D3027" s="4">
        <v>100</v>
      </c>
      <c r="E3027" s="4">
        <v>0.24021869000000001</v>
      </c>
      <c r="F3027" s="4">
        <v>3</v>
      </c>
      <c r="G3027" s="4">
        <v>34.136744</v>
      </c>
      <c r="H3027" s="4">
        <v>5.8037060000000001E-2</v>
      </c>
      <c r="I3027" s="4">
        <v>3</v>
      </c>
      <c r="J3027" s="4">
        <v>0.45925324000000001</v>
      </c>
      <c r="K3027" s="4"/>
      <c r="L3027" s="4"/>
      <c r="M3027" s="4"/>
      <c r="N3027" s="4"/>
      <c r="O3027" s="4"/>
      <c r="P3027" s="4"/>
      <c r="Q3027" s="4"/>
      <c r="R3027" s="4"/>
      <c r="S3027" s="4"/>
      <c r="T3027" s="4"/>
      <c r="U3027" s="4"/>
      <c r="V3027" s="4">
        <v>5.0445780000000003E-2</v>
      </c>
      <c r="W3027" s="4">
        <v>3</v>
      </c>
      <c r="X3027" s="4">
        <v>75474.199699999997</v>
      </c>
      <c r="Y3027" s="4">
        <v>92137</v>
      </c>
      <c r="Z3027" s="4">
        <v>0.35898756999999998</v>
      </c>
      <c r="AA3027" s="4">
        <v>100</v>
      </c>
    </row>
    <row r="3028" spans="1:27" x14ac:dyDescent="0.2">
      <c r="A3028" s="4">
        <v>20</v>
      </c>
      <c r="B3028" s="4">
        <v>3</v>
      </c>
      <c r="C3028" s="4">
        <v>0.1</v>
      </c>
      <c r="D3028" s="4">
        <v>100</v>
      </c>
      <c r="E3028" s="4">
        <v>0.96929177</v>
      </c>
      <c r="F3028" s="4">
        <v>3</v>
      </c>
      <c r="G3028" s="4">
        <v>37.491106899999998</v>
      </c>
      <c r="H3028" s="4">
        <v>0.97258098000000004</v>
      </c>
      <c r="I3028" s="4">
        <v>3</v>
      </c>
      <c r="J3028" s="4">
        <v>0.17053857</v>
      </c>
      <c r="K3028" s="4"/>
      <c r="L3028" s="4"/>
      <c r="M3028" s="4"/>
      <c r="N3028" s="4"/>
      <c r="O3028" s="4"/>
      <c r="P3028" s="4"/>
      <c r="Q3028" s="4"/>
      <c r="R3028" s="4"/>
      <c r="S3028" s="4"/>
      <c r="T3028" s="4"/>
      <c r="U3028" s="4"/>
      <c r="V3028" s="4">
        <v>1.0482421399999999</v>
      </c>
      <c r="W3028" s="4">
        <v>3</v>
      </c>
      <c r="X3028" s="4">
        <v>75456.406799999997</v>
      </c>
      <c r="Y3028" s="4">
        <v>168278</v>
      </c>
      <c r="Z3028" s="4">
        <v>4.58889E-3</v>
      </c>
      <c r="AA3028" s="4">
        <v>100</v>
      </c>
    </row>
    <row r="3029" spans="1:27" x14ac:dyDescent="0.2">
      <c r="A3029" s="4">
        <v>20</v>
      </c>
      <c r="B3029" s="4">
        <v>3</v>
      </c>
      <c r="C3029" s="4">
        <v>0.3</v>
      </c>
      <c r="D3029" s="4">
        <v>100</v>
      </c>
      <c r="E3029" s="4">
        <v>0.39049982</v>
      </c>
      <c r="F3029" s="4">
        <v>3</v>
      </c>
      <c r="G3029" s="4">
        <v>35.384793899999998</v>
      </c>
      <c r="H3029" s="4">
        <v>0.28931243000000001</v>
      </c>
      <c r="I3029" s="4">
        <v>3</v>
      </c>
      <c r="J3029" s="4">
        <v>0.71091948999999999</v>
      </c>
      <c r="K3029" s="4"/>
      <c r="L3029" s="4"/>
      <c r="M3029" s="4"/>
      <c r="N3029" s="4"/>
      <c r="O3029" s="4"/>
      <c r="P3029" s="4"/>
      <c r="Q3029" s="4"/>
      <c r="R3029" s="4"/>
      <c r="S3029" s="4"/>
      <c r="T3029" s="4"/>
      <c r="U3029" s="4"/>
      <c r="V3029" s="4">
        <v>0.28380024999999998</v>
      </c>
      <c r="W3029" s="4">
        <v>3</v>
      </c>
      <c r="X3029" s="4">
        <v>76642.852899999998</v>
      </c>
      <c r="Y3029" s="4">
        <v>3633</v>
      </c>
      <c r="Z3029" s="4">
        <v>0.23770078</v>
      </c>
      <c r="AA3029" s="4">
        <v>100</v>
      </c>
    </row>
    <row r="3030" spans="1:27" x14ac:dyDescent="0.2">
      <c r="A3030" s="4">
        <v>20</v>
      </c>
      <c r="B3030" s="4">
        <v>3</v>
      </c>
      <c r="C3030" s="4">
        <v>0.1</v>
      </c>
      <c r="D3030" s="4">
        <v>100</v>
      </c>
      <c r="E3030" s="4">
        <v>1.5610570399999999</v>
      </c>
      <c r="F3030" s="4">
        <v>3</v>
      </c>
      <c r="G3030" s="4">
        <v>29.341728199999999</v>
      </c>
      <c r="H3030" s="4">
        <v>1.05244413</v>
      </c>
      <c r="I3030" s="4">
        <v>3</v>
      </c>
      <c r="J3030" s="4">
        <v>1.0444949800000001</v>
      </c>
      <c r="K3030" s="4"/>
      <c r="L3030" s="4"/>
      <c r="M3030" s="4"/>
      <c r="N3030" s="4"/>
      <c r="O3030" s="4"/>
      <c r="P3030" s="4"/>
      <c r="Q3030" s="4"/>
      <c r="R3030" s="4"/>
      <c r="S3030" s="4"/>
      <c r="T3030" s="4"/>
      <c r="U3030" s="4"/>
      <c r="V3030" s="4">
        <v>1.05261972</v>
      </c>
      <c r="W3030" s="4">
        <v>3</v>
      </c>
      <c r="X3030" s="4">
        <v>75337.5815</v>
      </c>
      <c r="Y3030" s="4">
        <v>100171</v>
      </c>
      <c r="Z3030" s="4">
        <v>7.3176100000000004E-3</v>
      </c>
      <c r="AA3030" s="4">
        <v>100</v>
      </c>
    </row>
    <row r="3031" spans="1:27" x14ac:dyDescent="0.2">
      <c r="A3031" s="4">
        <v>20</v>
      </c>
      <c r="B3031" s="4">
        <v>3</v>
      </c>
      <c r="C3031" s="4">
        <v>0.2</v>
      </c>
      <c r="D3031" s="4">
        <v>100</v>
      </c>
      <c r="E3031" s="4">
        <v>0.97252985000000003</v>
      </c>
      <c r="F3031" s="4">
        <v>3</v>
      </c>
      <c r="G3031" s="4">
        <v>37.537031300000002</v>
      </c>
      <c r="H3031" s="4">
        <v>1.0049361800000001</v>
      </c>
      <c r="I3031" s="4">
        <v>3</v>
      </c>
      <c r="J3031" s="4">
        <v>1.1620111500000001</v>
      </c>
      <c r="K3031" s="4"/>
      <c r="L3031" s="4"/>
      <c r="M3031" s="4"/>
      <c r="N3031" s="4"/>
      <c r="O3031" s="4"/>
      <c r="P3031" s="4"/>
      <c r="Q3031" s="4"/>
      <c r="R3031" s="4"/>
      <c r="S3031" s="4"/>
      <c r="T3031" s="4"/>
      <c r="U3031" s="4"/>
      <c r="V3031" s="4">
        <v>1.00866368</v>
      </c>
      <c r="W3031" s="4">
        <v>3</v>
      </c>
      <c r="X3031" s="4">
        <v>75459.578999999998</v>
      </c>
      <c r="Y3031" s="4">
        <v>5334</v>
      </c>
      <c r="Z3031" s="4">
        <v>0.22175471999999999</v>
      </c>
      <c r="AA3031" s="4">
        <v>100</v>
      </c>
    </row>
    <row r="3032" spans="1:27" x14ac:dyDescent="0.2">
      <c r="A3032" s="4">
        <v>20</v>
      </c>
      <c r="B3032" s="4">
        <v>3</v>
      </c>
      <c r="C3032" s="4">
        <v>0.2</v>
      </c>
      <c r="D3032" s="4">
        <v>100</v>
      </c>
      <c r="E3032" s="4">
        <v>0.71155168999999996</v>
      </c>
      <c r="F3032" s="4">
        <v>3</v>
      </c>
      <c r="G3032" s="4">
        <v>33.879610300000003</v>
      </c>
      <c r="H3032" s="4">
        <v>0.74255702000000001</v>
      </c>
      <c r="I3032" s="4">
        <v>3</v>
      </c>
      <c r="J3032" s="4">
        <v>1.05429705</v>
      </c>
      <c r="K3032" s="4"/>
      <c r="L3032" s="4"/>
      <c r="M3032" s="4"/>
      <c r="N3032" s="4"/>
      <c r="O3032" s="4"/>
      <c r="P3032" s="4"/>
      <c r="Q3032" s="4"/>
      <c r="R3032" s="4"/>
      <c r="S3032" s="4"/>
      <c r="T3032" s="4"/>
      <c r="U3032" s="4"/>
      <c r="V3032" s="4">
        <v>0.74627653000000005</v>
      </c>
      <c r="W3032" s="4">
        <v>3</v>
      </c>
      <c r="X3032" s="4">
        <v>75842.648499999996</v>
      </c>
      <c r="Y3032" s="4">
        <v>3898</v>
      </c>
      <c r="Z3032" s="4">
        <v>0.13357905</v>
      </c>
      <c r="AA3032" s="4">
        <v>100</v>
      </c>
    </row>
    <row r="3033" spans="1:27" x14ac:dyDescent="0.2">
      <c r="A3033" s="4">
        <v>20</v>
      </c>
      <c r="B3033" s="4">
        <v>3</v>
      </c>
      <c r="C3033" s="4">
        <v>0.3</v>
      </c>
      <c r="D3033" s="4">
        <v>100</v>
      </c>
      <c r="E3033" s="4">
        <v>0.8259145</v>
      </c>
      <c r="F3033" s="4">
        <v>3</v>
      </c>
      <c r="G3033" s="4">
        <v>36.887329100000002</v>
      </c>
      <c r="H3033" s="4">
        <v>0.89497766999999995</v>
      </c>
      <c r="I3033" s="4">
        <v>3</v>
      </c>
      <c r="J3033" s="4">
        <v>1.1283289299999999</v>
      </c>
      <c r="K3033" s="4"/>
      <c r="L3033" s="4"/>
      <c r="M3033" s="4"/>
      <c r="N3033" s="4"/>
      <c r="O3033" s="4"/>
      <c r="P3033" s="4"/>
      <c r="Q3033" s="4"/>
      <c r="R3033" s="4"/>
      <c r="S3033" s="4"/>
      <c r="T3033" s="4"/>
      <c r="U3033" s="4"/>
      <c r="V3033" s="4">
        <v>0.91707585000000003</v>
      </c>
      <c r="W3033" s="4">
        <v>3</v>
      </c>
      <c r="X3033" s="4">
        <v>75885.951499999996</v>
      </c>
      <c r="Y3033" s="4">
        <v>4098</v>
      </c>
      <c r="Z3033" s="4">
        <v>0.39427532999999998</v>
      </c>
      <c r="AA3033" s="4">
        <v>100</v>
      </c>
    </row>
    <row r="3034" spans="1:27" x14ac:dyDescent="0.2">
      <c r="A3034" s="4">
        <v>20</v>
      </c>
      <c r="B3034" s="4">
        <v>3</v>
      </c>
      <c r="C3034" s="4">
        <v>0.3</v>
      </c>
      <c r="D3034" s="4">
        <v>100</v>
      </c>
      <c r="E3034" s="4">
        <v>0.8300459</v>
      </c>
      <c r="F3034" s="4">
        <v>3</v>
      </c>
      <c r="G3034" s="4">
        <v>32.2683471</v>
      </c>
      <c r="H3034" s="4">
        <v>0.97688397000000005</v>
      </c>
      <c r="I3034" s="4">
        <v>3</v>
      </c>
      <c r="J3034" s="4">
        <v>1.0393078600000001</v>
      </c>
      <c r="K3034" s="4"/>
      <c r="L3034" s="4"/>
      <c r="M3034" s="4"/>
      <c r="N3034" s="4"/>
      <c r="O3034" s="4"/>
      <c r="P3034" s="4"/>
      <c r="Q3034" s="4"/>
      <c r="R3034" s="4"/>
      <c r="S3034" s="4"/>
      <c r="T3034" s="4"/>
      <c r="U3034" s="4"/>
      <c r="V3034" s="4">
        <v>0.98364430000000003</v>
      </c>
      <c r="W3034" s="4">
        <v>3</v>
      </c>
      <c r="X3034" s="4">
        <v>75870.980899999995</v>
      </c>
      <c r="Y3034" s="4">
        <v>6694</v>
      </c>
      <c r="Z3034" s="4">
        <v>0.47988645000000002</v>
      </c>
      <c r="AA3034" s="4">
        <v>100</v>
      </c>
    </row>
    <row r="3035" spans="1:27" x14ac:dyDescent="0.2">
      <c r="A3035" s="4">
        <v>20</v>
      </c>
      <c r="B3035" s="4">
        <v>3</v>
      </c>
      <c r="C3035" s="4">
        <v>0.4</v>
      </c>
      <c r="D3035" s="4">
        <v>100</v>
      </c>
      <c r="E3035" s="4">
        <v>0.14596414999999999</v>
      </c>
      <c r="F3035" s="4">
        <v>3</v>
      </c>
      <c r="G3035" s="4">
        <v>29.588933399999998</v>
      </c>
      <c r="H3035" s="4">
        <v>3.7640310000000003E-2</v>
      </c>
      <c r="I3035" s="4">
        <v>3</v>
      </c>
      <c r="J3035" s="4">
        <v>0.38251554999999998</v>
      </c>
      <c r="K3035" s="4"/>
      <c r="L3035" s="4"/>
      <c r="M3035" s="4"/>
      <c r="N3035" s="4"/>
      <c r="O3035" s="4"/>
      <c r="P3035" s="4"/>
      <c r="Q3035" s="4"/>
      <c r="R3035" s="4"/>
      <c r="S3035" s="4"/>
      <c r="T3035" s="4"/>
      <c r="U3035" s="4"/>
      <c r="V3035" s="4">
        <v>3.2603500000000001E-2</v>
      </c>
      <c r="W3035" s="4">
        <v>3</v>
      </c>
      <c r="X3035" s="4">
        <v>77428.934899999993</v>
      </c>
      <c r="Y3035" s="4">
        <v>107819</v>
      </c>
      <c r="Z3035" s="4">
        <v>1.2583658900000001</v>
      </c>
      <c r="AA3035" s="4">
        <v>100</v>
      </c>
    </row>
    <row r="3036" spans="1:27" x14ac:dyDescent="0.2">
      <c r="A3036" s="4">
        <v>20</v>
      </c>
      <c r="B3036" s="4">
        <v>3</v>
      </c>
      <c r="C3036" s="4">
        <v>0.4</v>
      </c>
      <c r="D3036" s="4">
        <v>100</v>
      </c>
      <c r="E3036" s="4">
        <v>0.46011943999999999</v>
      </c>
      <c r="F3036" s="4">
        <v>3</v>
      </c>
      <c r="G3036" s="4">
        <v>32.3561981</v>
      </c>
      <c r="H3036" s="4">
        <v>0.17890892</v>
      </c>
      <c r="I3036" s="4">
        <v>3</v>
      </c>
      <c r="J3036" s="4">
        <v>0.48491422000000001</v>
      </c>
      <c r="K3036" s="4"/>
      <c r="L3036" s="4"/>
      <c r="M3036" s="4"/>
      <c r="N3036" s="4"/>
      <c r="O3036" s="4"/>
      <c r="P3036" s="4"/>
      <c r="Q3036" s="4"/>
      <c r="R3036" s="4"/>
      <c r="S3036" s="4"/>
      <c r="T3036" s="4"/>
      <c r="U3036" s="4"/>
      <c r="V3036" s="4">
        <v>0.17254928999999999</v>
      </c>
      <c r="W3036" s="4">
        <v>3</v>
      </c>
      <c r="X3036" s="4">
        <v>77509.200400000002</v>
      </c>
      <c r="Y3036" s="4">
        <v>112870</v>
      </c>
      <c r="Z3036" s="4">
        <v>0.50279591000000001</v>
      </c>
      <c r="AA3036" s="4">
        <v>100</v>
      </c>
    </row>
    <row r="3037" spans="1:27" x14ac:dyDescent="0.2">
      <c r="A3037" s="4">
        <v>20</v>
      </c>
      <c r="B3037" s="4">
        <v>3</v>
      </c>
      <c r="C3037" s="4">
        <v>0.3</v>
      </c>
      <c r="D3037" s="4">
        <v>100</v>
      </c>
      <c r="E3037" s="4">
        <v>0.54662719000000004</v>
      </c>
      <c r="F3037" s="4">
        <v>3</v>
      </c>
      <c r="G3037" s="4">
        <v>37.682975399999997</v>
      </c>
      <c r="H3037" s="4">
        <v>0.39117227999999998</v>
      </c>
      <c r="I3037" s="4">
        <v>3</v>
      </c>
      <c r="J3037" s="4">
        <v>1.1693809500000001</v>
      </c>
      <c r="K3037" s="4"/>
      <c r="L3037" s="4"/>
      <c r="M3037" s="4"/>
      <c r="N3037" s="4"/>
      <c r="O3037" s="4"/>
      <c r="P3037" s="4"/>
      <c r="Q3037" s="4"/>
      <c r="R3037" s="4"/>
      <c r="S3037" s="4"/>
      <c r="T3037" s="4"/>
      <c r="U3037" s="4"/>
      <c r="V3037" s="4">
        <v>0.38824611999999997</v>
      </c>
      <c r="W3037" s="4">
        <v>3</v>
      </c>
      <c r="X3037" s="4">
        <v>77035.467499999999</v>
      </c>
      <c r="Y3037" s="4">
        <v>126665</v>
      </c>
      <c r="Z3037" s="4">
        <v>0.35178380999999997</v>
      </c>
      <c r="AA3037" s="4">
        <v>100</v>
      </c>
    </row>
    <row r="3038" spans="1:27" x14ac:dyDescent="0.2">
      <c r="A3038" s="4">
        <v>20</v>
      </c>
      <c r="B3038" s="4">
        <v>3</v>
      </c>
      <c r="C3038" s="4">
        <v>0.4</v>
      </c>
      <c r="D3038" s="4">
        <v>100</v>
      </c>
      <c r="E3038" s="4">
        <v>0.31426501000000001</v>
      </c>
      <c r="F3038" s="4">
        <v>3</v>
      </c>
      <c r="G3038" s="4">
        <v>40.097633199999997</v>
      </c>
      <c r="H3038" s="4">
        <v>0.12335218000000001</v>
      </c>
      <c r="I3038" s="4">
        <v>3</v>
      </c>
      <c r="J3038" s="4">
        <v>0.78010961999999995</v>
      </c>
      <c r="K3038" s="4"/>
      <c r="L3038" s="4"/>
      <c r="M3038" s="4"/>
      <c r="N3038" s="4"/>
      <c r="O3038" s="4"/>
      <c r="P3038" s="4"/>
      <c r="Q3038" s="4"/>
      <c r="R3038" s="4"/>
      <c r="S3038" s="4"/>
      <c r="T3038" s="4"/>
      <c r="U3038" s="4"/>
      <c r="V3038" s="4">
        <v>0.11979597</v>
      </c>
      <c r="W3038" s="4">
        <v>3</v>
      </c>
      <c r="X3038" s="4">
        <v>75700.169099999999</v>
      </c>
      <c r="Y3038" s="4">
        <v>56712</v>
      </c>
      <c r="Z3038" s="4">
        <v>0.72614562999999999</v>
      </c>
      <c r="AA3038" s="4">
        <v>100</v>
      </c>
    </row>
    <row r="3039" spans="1:27" x14ac:dyDescent="0.2">
      <c r="A3039" s="4">
        <v>20</v>
      </c>
      <c r="B3039" s="4">
        <v>3</v>
      </c>
      <c r="C3039" s="4">
        <v>0.1</v>
      </c>
      <c r="D3039" s="4">
        <v>100</v>
      </c>
      <c r="E3039" s="4">
        <v>1.03410512</v>
      </c>
      <c r="F3039" s="4">
        <v>3</v>
      </c>
      <c r="G3039" s="4">
        <v>36.386166000000003</v>
      </c>
      <c r="H3039" s="4">
        <v>0.99421413000000003</v>
      </c>
      <c r="I3039" s="4">
        <v>3</v>
      </c>
      <c r="J3039" s="4">
        <v>1.02508979</v>
      </c>
      <c r="K3039" s="4"/>
      <c r="L3039" s="4"/>
      <c r="M3039" s="4"/>
      <c r="N3039" s="4"/>
      <c r="O3039" s="4"/>
      <c r="P3039" s="4"/>
      <c r="Q3039" s="4"/>
      <c r="R3039" s="4"/>
      <c r="S3039" s="4"/>
      <c r="T3039" s="4"/>
      <c r="U3039" s="4"/>
      <c r="V3039" s="4">
        <v>1.13823542</v>
      </c>
      <c r="W3039" s="4">
        <v>3</v>
      </c>
      <c r="X3039" s="4">
        <v>75511.203200000004</v>
      </c>
      <c r="Y3039" s="4">
        <v>105883</v>
      </c>
      <c r="Z3039" s="4">
        <v>7.52974E-3</v>
      </c>
      <c r="AA3039" s="4">
        <v>100</v>
      </c>
    </row>
    <row r="3040" spans="1:27" x14ac:dyDescent="0.2">
      <c r="A3040" s="4">
        <v>20</v>
      </c>
      <c r="B3040" s="4">
        <v>3</v>
      </c>
      <c r="C3040" s="4">
        <v>0.3</v>
      </c>
      <c r="D3040" s="4">
        <v>100</v>
      </c>
      <c r="E3040" s="4">
        <v>0.97844186</v>
      </c>
      <c r="F3040" s="4">
        <v>3</v>
      </c>
      <c r="G3040" s="4">
        <v>34.129117600000001</v>
      </c>
      <c r="H3040" s="4">
        <v>0.82063107000000002</v>
      </c>
      <c r="I3040" s="4">
        <v>3</v>
      </c>
      <c r="J3040" s="4">
        <v>1.1565414999999999</v>
      </c>
      <c r="K3040" s="4"/>
      <c r="L3040" s="4"/>
      <c r="M3040" s="4"/>
      <c r="N3040" s="4"/>
      <c r="O3040" s="4"/>
      <c r="P3040" s="4"/>
      <c r="Q3040" s="4"/>
      <c r="R3040" s="4"/>
      <c r="S3040" s="4"/>
      <c r="T3040" s="4"/>
      <c r="U3040" s="4"/>
      <c r="V3040" s="4">
        <v>0.83888982999999995</v>
      </c>
      <c r="W3040" s="4">
        <v>3</v>
      </c>
      <c r="X3040" s="4">
        <v>75198.608399999997</v>
      </c>
      <c r="Y3040" s="4">
        <v>147360</v>
      </c>
      <c r="Z3040" s="4">
        <v>0.35430133000000003</v>
      </c>
      <c r="AA3040" s="4">
        <v>100</v>
      </c>
    </row>
    <row r="3041" spans="1:27" x14ac:dyDescent="0.2">
      <c r="A3041" s="4">
        <v>20</v>
      </c>
      <c r="B3041" s="4">
        <v>3</v>
      </c>
      <c r="C3041" s="4">
        <v>0.2</v>
      </c>
      <c r="D3041" s="4">
        <v>100</v>
      </c>
      <c r="E3041" s="4">
        <v>1.0180277099999999</v>
      </c>
      <c r="F3041" s="4">
        <v>3</v>
      </c>
      <c r="G3041" s="4">
        <v>37.079099300000003</v>
      </c>
      <c r="H3041" s="4">
        <v>0.98044257000000001</v>
      </c>
      <c r="I3041" s="4">
        <v>3</v>
      </c>
      <c r="J3041" s="4">
        <v>1.12799173</v>
      </c>
      <c r="K3041" s="4"/>
      <c r="L3041" s="4"/>
      <c r="M3041" s="4"/>
      <c r="N3041" s="4"/>
      <c r="O3041" s="4"/>
      <c r="P3041" s="4"/>
      <c r="Q3041" s="4"/>
      <c r="R3041" s="4"/>
      <c r="S3041" s="4"/>
      <c r="T3041" s="4"/>
      <c r="U3041" s="4"/>
      <c r="V3041" s="4">
        <v>0.98312312999999996</v>
      </c>
      <c r="W3041" s="4">
        <v>3</v>
      </c>
      <c r="X3041" s="4">
        <v>75712.908299999996</v>
      </c>
      <c r="Y3041" s="4">
        <v>4340</v>
      </c>
      <c r="Z3041" s="4">
        <v>0.10667921</v>
      </c>
      <c r="AA3041" s="4">
        <v>100</v>
      </c>
    </row>
    <row r="3042" spans="1:27" x14ac:dyDescent="0.2">
      <c r="A3042" s="4">
        <v>20</v>
      </c>
      <c r="B3042" s="4">
        <v>3</v>
      </c>
      <c r="C3042" s="4">
        <v>0.4</v>
      </c>
      <c r="D3042" s="4">
        <v>100</v>
      </c>
      <c r="E3042" s="4">
        <v>0.33347144000000001</v>
      </c>
      <c r="F3042" s="4">
        <v>3</v>
      </c>
      <c r="G3042" s="4">
        <v>37.734887000000001</v>
      </c>
      <c r="H3042" s="4">
        <v>0.17561243000000001</v>
      </c>
      <c r="I3042" s="4">
        <v>3</v>
      </c>
      <c r="J3042" s="4">
        <v>0.58832793999999999</v>
      </c>
      <c r="K3042" s="4"/>
      <c r="L3042" s="4"/>
      <c r="M3042" s="4"/>
      <c r="N3042" s="4"/>
      <c r="O3042" s="4"/>
      <c r="P3042" s="4"/>
      <c r="Q3042" s="4"/>
      <c r="R3042" s="4"/>
      <c r="S3042" s="4"/>
      <c r="T3042" s="4"/>
      <c r="U3042" s="4"/>
      <c r="V3042" s="4">
        <v>0.17333783999999999</v>
      </c>
      <c r="W3042" s="4">
        <v>3</v>
      </c>
      <c r="X3042" s="4">
        <v>77146.372799999997</v>
      </c>
      <c r="Y3042" s="4">
        <v>127775</v>
      </c>
      <c r="Z3042" s="4">
        <v>0.31205347</v>
      </c>
      <c r="AA3042" s="4">
        <v>100</v>
      </c>
    </row>
    <row r="3043" spans="1:27" x14ac:dyDescent="0.2">
      <c r="A3043" s="4">
        <v>20</v>
      </c>
      <c r="B3043" s="4">
        <v>3</v>
      </c>
      <c r="C3043" s="4">
        <v>0.1</v>
      </c>
      <c r="D3043" s="4">
        <v>100</v>
      </c>
      <c r="E3043" s="4">
        <v>0.99363836999999999</v>
      </c>
      <c r="F3043" s="4">
        <v>3</v>
      </c>
      <c r="G3043" s="4">
        <v>37.128769599999998</v>
      </c>
      <c r="H3043" s="4">
        <v>0.98200591000000004</v>
      </c>
      <c r="I3043" s="4">
        <v>3</v>
      </c>
      <c r="J3043" s="4">
        <v>0.66219311000000003</v>
      </c>
      <c r="K3043" s="4"/>
      <c r="L3043" s="4"/>
      <c r="M3043" s="4"/>
      <c r="N3043" s="4"/>
      <c r="O3043" s="4"/>
      <c r="P3043" s="4"/>
      <c r="Q3043" s="4"/>
      <c r="R3043" s="4"/>
      <c r="S3043" s="4"/>
      <c r="T3043" s="4"/>
      <c r="U3043" s="4"/>
      <c r="V3043" s="4">
        <v>0.98205224999999996</v>
      </c>
      <c r="W3043" s="4">
        <v>3</v>
      </c>
      <c r="X3043" s="4">
        <v>75172.286300000007</v>
      </c>
      <c r="Y3043" s="4">
        <v>33137</v>
      </c>
      <c r="Z3043" s="4">
        <v>2.147686E-2</v>
      </c>
      <c r="AA3043" s="4">
        <v>100</v>
      </c>
    </row>
    <row r="3044" spans="1:27" x14ac:dyDescent="0.2">
      <c r="A3044" s="4">
        <v>20</v>
      </c>
      <c r="B3044" s="4">
        <v>3</v>
      </c>
      <c r="C3044" s="4">
        <v>0.2</v>
      </c>
      <c r="D3044" s="4">
        <v>100</v>
      </c>
      <c r="E3044" s="4">
        <v>0.79576796999999999</v>
      </c>
      <c r="F3044" s="4">
        <v>3</v>
      </c>
      <c r="G3044" s="4">
        <v>39.065614099999998</v>
      </c>
      <c r="H3044" s="4">
        <v>0.81429355000000003</v>
      </c>
      <c r="I3044" s="4">
        <v>3</v>
      </c>
      <c r="J3044" s="4">
        <v>1.1405997000000001</v>
      </c>
      <c r="K3044" s="4"/>
      <c r="L3044" s="4"/>
      <c r="M3044" s="4"/>
      <c r="N3044" s="4"/>
      <c r="O3044" s="4"/>
      <c r="P3044" s="4"/>
      <c r="Q3044" s="4"/>
      <c r="R3044" s="4"/>
      <c r="S3044" s="4"/>
      <c r="T3044" s="4"/>
      <c r="U3044" s="4"/>
      <c r="V3044" s="4">
        <v>0.81514180000000003</v>
      </c>
      <c r="W3044" s="4">
        <v>3</v>
      </c>
      <c r="X3044" s="4">
        <v>75484.1783</v>
      </c>
      <c r="Y3044" s="4">
        <v>6812</v>
      </c>
      <c r="Z3044" s="4">
        <v>0.13922496000000001</v>
      </c>
      <c r="AA3044" s="4">
        <v>100</v>
      </c>
    </row>
    <row r="3045" spans="1:27" x14ac:dyDescent="0.2">
      <c r="A3045" s="4">
        <v>20</v>
      </c>
      <c r="B3045" s="4">
        <v>3</v>
      </c>
      <c r="C3045" s="4">
        <v>0.3</v>
      </c>
      <c r="D3045" s="4">
        <v>100</v>
      </c>
      <c r="E3045" s="4">
        <v>0.45605757000000002</v>
      </c>
      <c r="F3045" s="4">
        <v>3</v>
      </c>
      <c r="G3045" s="4">
        <v>35.219898800000003</v>
      </c>
      <c r="H3045" s="4">
        <v>0.39678753999999999</v>
      </c>
      <c r="I3045" s="4">
        <v>3</v>
      </c>
      <c r="J3045" s="4">
        <v>1.0683462800000001</v>
      </c>
      <c r="K3045" s="4"/>
      <c r="L3045" s="4"/>
      <c r="M3045" s="4"/>
      <c r="N3045" s="4"/>
      <c r="O3045" s="4"/>
      <c r="P3045" s="4"/>
      <c r="Q3045" s="4"/>
      <c r="R3045" s="4"/>
      <c r="S3045" s="4"/>
      <c r="T3045" s="4"/>
      <c r="U3045" s="4"/>
      <c r="V3045" s="4">
        <v>0.39791833999999998</v>
      </c>
      <c r="W3045" s="4">
        <v>3</v>
      </c>
      <c r="X3045" s="4">
        <v>75511.779800000004</v>
      </c>
      <c r="Y3045" s="4">
        <v>70045</v>
      </c>
      <c r="Z3045" s="4">
        <v>0.47435658000000003</v>
      </c>
      <c r="AA3045" s="4">
        <v>100</v>
      </c>
    </row>
    <row r="3046" spans="1:27" x14ac:dyDescent="0.2">
      <c r="A3046" s="4">
        <v>20</v>
      </c>
      <c r="B3046" s="4">
        <v>3</v>
      </c>
      <c r="C3046" s="4">
        <v>0.1</v>
      </c>
      <c r="D3046" s="4">
        <v>100</v>
      </c>
      <c r="E3046" s="4">
        <v>1.02885103</v>
      </c>
      <c r="F3046" s="4">
        <v>3</v>
      </c>
      <c r="G3046" s="4">
        <v>33.710206800000002</v>
      </c>
      <c r="H3046" s="4">
        <v>1.00009861</v>
      </c>
      <c r="I3046" s="4">
        <v>3</v>
      </c>
      <c r="J3046" s="4">
        <v>0.68736209000000004</v>
      </c>
      <c r="K3046" s="4"/>
      <c r="L3046" s="4"/>
      <c r="M3046" s="4"/>
      <c r="N3046" s="4"/>
      <c r="O3046" s="4"/>
      <c r="P3046" s="4"/>
      <c r="Q3046" s="4"/>
      <c r="R3046" s="4"/>
      <c r="S3046" s="4"/>
      <c r="T3046" s="4"/>
      <c r="U3046" s="4"/>
      <c r="V3046" s="4">
        <v>1.0002132100000001</v>
      </c>
      <c r="W3046" s="4">
        <v>3</v>
      </c>
      <c r="X3046" s="4">
        <v>75224.834600000002</v>
      </c>
      <c r="Y3046" s="4">
        <v>42685</v>
      </c>
      <c r="Z3046" s="4">
        <v>2.8544099999999999E-3</v>
      </c>
      <c r="AA3046" s="4">
        <v>100</v>
      </c>
    </row>
    <row r="3047" spans="1:27" x14ac:dyDescent="0.2">
      <c r="A3047" s="4">
        <v>20</v>
      </c>
      <c r="B3047" s="4">
        <v>3</v>
      </c>
      <c r="C3047" s="4">
        <v>0.4</v>
      </c>
      <c r="D3047" s="4">
        <v>100</v>
      </c>
      <c r="E3047" s="4">
        <v>0.27389401000000002</v>
      </c>
      <c r="F3047" s="4">
        <v>3</v>
      </c>
      <c r="G3047" s="4">
        <v>34.434663</v>
      </c>
      <c r="H3047" s="4">
        <v>0.10683436</v>
      </c>
      <c r="I3047" s="4">
        <v>3</v>
      </c>
      <c r="J3047" s="4">
        <v>0.72588920000000001</v>
      </c>
      <c r="K3047" s="4"/>
      <c r="L3047" s="4"/>
      <c r="M3047" s="4"/>
      <c r="N3047" s="4"/>
      <c r="O3047" s="4"/>
      <c r="P3047" s="4"/>
      <c r="Q3047" s="4"/>
      <c r="R3047" s="4"/>
      <c r="S3047" s="4"/>
      <c r="T3047" s="4"/>
      <c r="U3047" s="4"/>
      <c r="V3047" s="4">
        <v>0.10126596</v>
      </c>
      <c r="W3047" s="4">
        <v>3</v>
      </c>
      <c r="X3047" s="4">
        <v>75525.251199999999</v>
      </c>
      <c r="Y3047" s="4">
        <v>5611</v>
      </c>
      <c r="Z3047" s="4">
        <v>0.81304094000000005</v>
      </c>
      <c r="AA3047" s="4">
        <v>100</v>
      </c>
    </row>
    <row r="3048" spans="1:27" x14ac:dyDescent="0.2">
      <c r="A3048" s="4">
        <v>20</v>
      </c>
      <c r="B3048" s="4">
        <v>3</v>
      </c>
      <c r="C3048" s="4">
        <v>0.2</v>
      </c>
      <c r="D3048" s="4">
        <v>100</v>
      </c>
      <c r="E3048" s="4">
        <v>0.82950265000000001</v>
      </c>
      <c r="F3048" s="4">
        <v>3</v>
      </c>
      <c r="G3048" s="4">
        <v>38.339262300000001</v>
      </c>
      <c r="H3048" s="4">
        <v>0.83028418000000004</v>
      </c>
      <c r="I3048" s="4">
        <v>3</v>
      </c>
      <c r="J3048" s="4">
        <v>1.14252866</v>
      </c>
      <c r="K3048" s="4"/>
      <c r="L3048" s="4"/>
      <c r="M3048" s="4"/>
      <c r="N3048" s="4"/>
      <c r="O3048" s="4"/>
      <c r="P3048" s="4"/>
      <c r="Q3048" s="4"/>
      <c r="R3048" s="4"/>
      <c r="S3048" s="4"/>
      <c r="T3048" s="4"/>
      <c r="U3048" s="4"/>
      <c r="V3048" s="4">
        <v>0.83046008999999998</v>
      </c>
      <c r="W3048" s="4">
        <v>3</v>
      </c>
      <c r="X3048" s="4">
        <v>77070.878500000006</v>
      </c>
      <c r="Y3048" s="4">
        <v>84667</v>
      </c>
      <c r="Z3048" s="4">
        <v>6.6370250000000006E-2</v>
      </c>
      <c r="AA3048" s="4">
        <v>100</v>
      </c>
    </row>
    <row r="3049" spans="1:27" x14ac:dyDescent="0.2">
      <c r="A3049" s="4">
        <v>20</v>
      </c>
      <c r="B3049" s="4">
        <v>3</v>
      </c>
      <c r="C3049" s="4">
        <v>0.3</v>
      </c>
      <c r="D3049" s="4">
        <v>100</v>
      </c>
      <c r="E3049" s="4">
        <v>0.59175471000000002</v>
      </c>
      <c r="F3049" s="4">
        <v>3</v>
      </c>
      <c r="G3049" s="4">
        <v>37.236720099999999</v>
      </c>
      <c r="H3049" s="4">
        <v>0.4716804</v>
      </c>
      <c r="I3049" s="4">
        <v>3</v>
      </c>
      <c r="J3049" s="4">
        <v>1.17287016</v>
      </c>
      <c r="K3049" s="4"/>
      <c r="L3049" s="4"/>
      <c r="M3049" s="4"/>
      <c r="N3049" s="4"/>
      <c r="O3049" s="4"/>
      <c r="P3049" s="4"/>
      <c r="Q3049" s="4"/>
      <c r="R3049" s="4"/>
      <c r="S3049" s="4"/>
      <c r="T3049" s="4"/>
      <c r="U3049" s="4"/>
      <c r="V3049" s="4">
        <v>0.47030861000000002</v>
      </c>
      <c r="W3049" s="4">
        <v>3</v>
      </c>
      <c r="X3049" s="4">
        <v>75482.258400000006</v>
      </c>
      <c r="Y3049" s="4">
        <v>7756</v>
      </c>
      <c r="Z3049" s="4">
        <v>0.39639963</v>
      </c>
      <c r="AA3049" s="4">
        <v>100</v>
      </c>
    </row>
    <row r="3050" spans="1:27" x14ac:dyDescent="0.2">
      <c r="A3050" s="4">
        <v>20</v>
      </c>
      <c r="B3050" s="4">
        <v>3</v>
      </c>
      <c r="C3050" s="4">
        <v>0.4</v>
      </c>
      <c r="D3050" s="4">
        <v>100</v>
      </c>
      <c r="E3050" s="4">
        <v>0.30946852000000002</v>
      </c>
      <c r="F3050" s="4">
        <v>3</v>
      </c>
      <c r="G3050" s="4">
        <v>38.893188700000003</v>
      </c>
      <c r="H3050" s="4">
        <v>9.1453110000000004E-2</v>
      </c>
      <c r="I3050" s="4">
        <v>3</v>
      </c>
      <c r="J3050" s="4">
        <v>0.67987129999999996</v>
      </c>
      <c r="K3050" s="4"/>
      <c r="L3050" s="4"/>
      <c r="M3050" s="4"/>
      <c r="N3050" s="4"/>
      <c r="O3050" s="4"/>
      <c r="P3050" s="4"/>
      <c r="Q3050" s="4"/>
      <c r="R3050" s="4"/>
      <c r="S3050" s="4"/>
      <c r="T3050" s="4"/>
      <c r="U3050" s="4"/>
      <c r="V3050" s="4">
        <v>8.7642570000000003E-2</v>
      </c>
      <c r="W3050" s="4">
        <v>3</v>
      </c>
      <c r="X3050" s="4">
        <v>75164.887600000002</v>
      </c>
      <c r="Y3050" s="4">
        <v>107816</v>
      </c>
      <c r="Z3050" s="4">
        <v>0.53919163000000003</v>
      </c>
      <c r="AA3050" s="4">
        <v>100</v>
      </c>
    </row>
    <row r="3051" spans="1:27" x14ac:dyDescent="0.2">
      <c r="A3051" s="4">
        <v>20</v>
      </c>
      <c r="B3051" s="4">
        <v>3</v>
      </c>
      <c r="C3051" s="4">
        <v>0.1</v>
      </c>
      <c r="D3051" s="4">
        <v>100</v>
      </c>
      <c r="E3051" s="4">
        <v>1.1555139999999999</v>
      </c>
      <c r="F3051" s="4">
        <v>3</v>
      </c>
      <c r="G3051" s="4">
        <v>37.110596100000002</v>
      </c>
      <c r="H3051" s="4">
        <v>0.94240678</v>
      </c>
      <c r="I3051" s="4">
        <v>3</v>
      </c>
      <c r="J3051" s="4">
        <v>1.0184477599999999</v>
      </c>
      <c r="K3051" s="4"/>
      <c r="L3051" s="4"/>
      <c r="M3051" s="4"/>
      <c r="N3051" s="4"/>
      <c r="O3051" s="4"/>
      <c r="P3051" s="4"/>
      <c r="Q3051" s="4"/>
      <c r="R3051" s="4"/>
      <c r="S3051" s="4"/>
      <c r="T3051" s="4"/>
      <c r="U3051" s="4"/>
      <c r="V3051" s="4">
        <v>0.94268132999999998</v>
      </c>
      <c r="W3051" s="4">
        <v>3</v>
      </c>
      <c r="X3051" s="4">
        <v>75154.057700000005</v>
      </c>
      <c r="Y3051" s="4">
        <v>149097</v>
      </c>
      <c r="Z3051" s="4">
        <v>2.1608140000000001E-2</v>
      </c>
      <c r="AA3051" s="4">
        <v>100</v>
      </c>
    </row>
    <row r="3052" spans="1:27" x14ac:dyDescent="0.2">
      <c r="A3052" s="4">
        <v>20</v>
      </c>
      <c r="B3052" s="4">
        <v>3</v>
      </c>
      <c r="C3052" s="4">
        <v>0.3</v>
      </c>
      <c r="D3052" s="4">
        <v>100</v>
      </c>
      <c r="E3052" s="4">
        <v>0.53287695000000002</v>
      </c>
      <c r="F3052" s="4">
        <v>3</v>
      </c>
      <c r="G3052" s="4">
        <v>33.297221</v>
      </c>
      <c r="H3052" s="4">
        <v>0.35291493000000002</v>
      </c>
      <c r="I3052" s="4">
        <v>3</v>
      </c>
      <c r="J3052" s="4">
        <v>0.79177454000000003</v>
      </c>
      <c r="K3052" s="4"/>
      <c r="L3052" s="4"/>
      <c r="M3052" s="4"/>
      <c r="N3052" s="4"/>
      <c r="O3052" s="4"/>
      <c r="P3052" s="4"/>
      <c r="Q3052" s="4"/>
      <c r="R3052" s="4"/>
      <c r="S3052" s="4"/>
      <c r="T3052" s="4"/>
      <c r="U3052" s="4"/>
      <c r="V3052" s="4">
        <v>0.34938277000000001</v>
      </c>
      <c r="W3052" s="4">
        <v>3</v>
      </c>
      <c r="X3052" s="4">
        <v>75137.9519</v>
      </c>
      <c r="Y3052" s="4">
        <v>186848</v>
      </c>
      <c r="Z3052" s="4">
        <v>0.22152685999999999</v>
      </c>
      <c r="AA3052" s="4">
        <v>100</v>
      </c>
    </row>
    <row r="3053" spans="1:27" x14ac:dyDescent="0.2">
      <c r="A3053" s="4">
        <v>20</v>
      </c>
      <c r="B3053" s="4">
        <v>3</v>
      </c>
      <c r="C3053" s="4">
        <v>0.2</v>
      </c>
      <c r="D3053" s="4">
        <v>100</v>
      </c>
      <c r="E3053" s="4">
        <v>1.0058333399999999</v>
      </c>
      <c r="F3053" s="4">
        <v>3</v>
      </c>
      <c r="G3053" s="4">
        <v>37.279405500000003</v>
      </c>
      <c r="H3053" s="4">
        <v>0.98378388000000005</v>
      </c>
      <c r="I3053" s="4">
        <v>3</v>
      </c>
      <c r="J3053" s="4">
        <v>1.1499926700000001</v>
      </c>
      <c r="K3053" s="4"/>
      <c r="L3053" s="4"/>
      <c r="M3053" s="4"/>
      <c r="N3053" s="4"/>
      <c r="O3053" s="4"/>
      <c r="P3053" s="4"/>
      <c r="Q3053" s="4"/>
      <c r="R3053" s="4"/>
      <c r="S3053" s="4"/>
      <c r="T3053" s="4"/>
      <c r="U3053" s="4"/>
      <c r="V3053" s="4">
        <v>0.98678865999999998</v>
      </c>
      <c r="W3053" s="4">
        <v>3</v>
      </c>
      <c r="X3053" s="4">
        <v>76187.907800000001</v>
      </c>
      <c r="Y3053" s="4">
        <v>3827</v>
      </c>
      <c r="Z3053" s="4">
        <v>0.12992876</v>
      </c>
      <c r="AA3053" s="4">
        <v>100</v>
      </c>
    </row>
    <row r="3054" spans="1:27" x14ac:dyDescent="0.2">
      <c r="A3054" s="4">
        <v>20</v>
      </c>
      <c r="B3054" s="4">
        <v>3</v>
      </c>
      <c r="C3054" s="4">
        <v>0.4</v>
      </c>
      <c r="D3054" s="4">
        <v>100</v>
      </c>
      <c r="E3054" s="4">
        <v>0.2356405</v>
      </c>
      <c r="F3054" s="4">
        <v>3</v>
      </c>
      <c r="G3054" s="4">
        <v>37.798561900000003</v>
      </c>
      <c r="H3054" s="4">
        <v>9.776965E-2</v>
      </c>
      <c r="I3054" s="4">
        <v>3</v>
      </c>
      <c r="J3054" s="4">
        <v>0.44274082999999997</v>
      </c>
      <c r="K3054" s="4"/>
      <c r="L3054" s="4"/>
      <c r="M3054" s="4"/>
      <c r="N3054" s="4"/>
      <c r="O3054" s="4"/>
      <c r="P3054" s="4"/>
      <c r="Q3054" s="4"/>
      <c r="R3054" s="4"/>
      <c r="S3054" s="4"/>
      <c r="T3054" s="4"/>
      <c r="U3054" s="4"/>
      <c r="V3054" s="4">
        <v>8.7218779999999996E-2</v>
      </c>
      <c r="W3054" s="4">
        <v>3</v>
      </c>
      <c r="X3054" s="4">
        <v>75769.257800000007</v>
      </c>
      <c r="Y3054" s="4">
        <v>109948</v>
      </c>
      <c r="Z3054" s="4">
        <v>1.01128233</v>
      </c>
      <c r="AA3054" s="4">
        <v>100</v>
      </c>
    </row>
    <row r="3055" spans="1:27" x14ac:dyDescent="0.2">
      <c r="A3055" s="4">
        <v>20</v>
      </c>
      <c r="B3055" s="4">
        <v>3</v>
      </c>
      <c r="C3055" s="4">
        <v>0.1</v>
      </c>
      <c r="D3055" s="4">
        <v>100</v>
      </c>
      <c r="E3055" s="4">
        <v>1.21206218</v>
      </c>
      <c r="F3055" s="4">
        <v>3</v>
      </c>
      <c r="G3055" s="4">
        <v>36.1299128</v>
      </c>
      <c r="H3055" s="4">
        <v>0.99606530000000004</v>
      </c>
      <c r="I3055" s="4">
        <v>3</v>
      </c>
      <c r="J3055" s="4">
        <v>1.0627990199999999</v>
      </c>
      <c r="K3055" s="4"/>
      <c r="L3055" s="4"/>
      <c r="M3055" s="4"/>
      <c r="N3055" s="4"/>
      <c r="O3055" s="4"/>
      <c r="P3055" s="4"/>
      <c r="Q3055" s="4"/>
      <c r="R3055" s="4"/>
      <c r="S3055" s="4"/>
      <c r="T3055" s="4"/>
      <c r="U3055" s="4"/>
      <c r="V3055" s="4">
        <v>0.99640996000000004</v>
      </c>
      <c r="W3055" s="4">
        <v>3</v>
      </c>
      <c r="X3055" s="4">
        <v>75186.3171</v>
      </c>
      <c r="Y3055" s="4">
        <v>196401</v>
      </c>
      <c r="Z3055" s="4">
        <v>5.2739500000000003E-3</v>
      </c>
      <c r="AA3055" s="4">
        <v>100</v>
      </c>
    </row>
    <row r="3056" spans="1:27" x14ac:dyDescent="0.2">
      <c r="A3056" s="4">
        <v>20</v>
      </c>
      <c r="B3056" s="4">
        <v>3</v>
      </c>
      <c r="C3056" s="4">
        <v>0.2</v>
      </c>
      <c r="D3056" s="4">
        <v>100</v>
      </c>
      <c r="E3056" s="4">
        <v>0.85052523999999996</v>
      </c>
      <c r="F3056" s="4">
        <v>3</v>
      </c>
      <c r="G3056" s="4">
        <v>34.538814799999997</v>
      </c>
      <c r="H3056" s="4">
        <v>0.81985001000000002</v>
      </c>
      <c r="I3056" s="4">
        <v>3</v>
      </c>
      <c r="J3056" s="4">
        <v>1.0671835300000001</v>
      </c>
      <c r="K3056" s="4"/>
      <c r="L3056" s="4"/>
      <c r="M3056" s="4"/>
      <c r="N3056" s="4"/>
      <c r="O3056" s="4"/>
      <c r="P3056" s="4"/>
      <c r="Q3056" s="4"/>
      <c r="R3056" s="4"/>
      <c r="S3056" s="4"/>
      <c r="T3056" s="4"/>
      <c r="U3056" s="4"/>
      <c r="V3056" s="4">
        <v>0.81999915000000001</v>
      </c>
      <c r="W3056" s="4">
        <v>3</v>
      </c>
      <c r="X3056" s="4">
        <v>77295.175199999998</v>
      </c>
      <c r="Y3056" s="4">
        <v>115043</v>
      </c>
      <c r="Z3056" s="4">
        <v>6.4728160000000007E-2</v>
      </c>
      <c r="AA3056" s="4">
        <v>100</v>
      </c>
    </row>
    <row r="3057" spans="1:27" x14ac:dyDescent="0.2">
      <c r="A3057" s="4">
        <v>20</v>
      </c>
      <c r="B3057" s="4">
        <v>3</v>
      </c>
      <c r="C3057" s="4">
        <v>0.3</v>
      </c>
      <c r="D3057" s="4">
        <v>100</v>
      </c>
      <c r="E3057" s="4">
        <v>0.66880835999999999</v>
      </c>
      <c r="F3057" s="4">
        <v>3</v>
      </c>
      <c r="G3057" s="4">
        <v>26.5656447</v>
      </c>
      <c r="H3057" s="4">
        <v>0.45419154</v>
      </c>
      <c r="I3057" s="4">
        <v>3</v>
      </c>
      <c r="J3057" s="4">
        <v>0.80010700999999995</v>
      </c>
      <c r="K3057" s="4"/>
      <c r="L3057" s="4"/>
      <c r="M3057" s="4"/>
      <c r="N3057" s="4"/>
      <c r="O3057" s="4"/>
      <c r="P3057" s="4"/>
      <c r="Q3057" s="4"/>
      <c r="R3057" s="4"/>
      <c r="S3057" s="4"/>
      <c r="T3057" s="4"/>
      <c r="U3057" s="4"/>
      <c r="V3057" s="4">
        <v>0.453818</v>
      </c>
      <c r="W3057" s="4">
        <v>3</v>
      </c>
      <c r="X3057" s="4">
        <v>75251.041299999997</v>
      </c>
      <c r="Y3057" s="4">
        <v>82971</v>
      </c>
      <c r="Z3057" s="4">
        <v>0.58893099999999998</v>
      </c>
      <c r="AA3057" s="4">
        <v>100</v>
      </c>
    </row>
    <row r="3058" spans="1:27" x14ac:dyDescent="0.2">
      <c r="A3058" s="4">
        <v>20</v>
      </c>
      <c r="B3058" s="4">
        <v>3</v>
      </c>
      <c r="C3058" s="4">
        <v>0.4</v>
      </c>
      <c r="D3058" s="4">
        <v>100</v>
      </c>
      <c r="E3058" s="4">
        <v>0.49174077999999999</v>
      </c>
      <c r="F3058" s="4">
        <v>3</v>
      </c>
      <c r="G3058" s="4">
        <v>30.2714669</v>
      </c>
      <c r="H3058" s="4">
        <v>0.14893943000000001</v>
      </c>
      <c r="I3058" s="4">
        <v>3</v>
      </c>
      <c r="J3058" s="4">
        <v>0.92917194999999997</v>
      </c>
      <c r="K3058" s="4"/>
      <c r="L3058" s="4"/>
      <c r="M3058" s="4"/>
      <c r="N3058" s="4"/>
      <c r="O3058" s="4"/>
      <c r="P3058" s="4"/>
      <c r="Q3058" s="4"/>
      <c r="R3058" s="4"/>
      <c r="S3058" s="4"/>
      <c r="T3058" s="4"/>
      <c r="U3058" s="4"/>
      <c r="V3058" s="4">
        <v>0.13708824</v>
      </c>
      <c r="W3058" s="4">
        <v>3</v>
      </c>
      <c r="X3058" s="4">
        <v>75121.959600000002</v>
      </c>
      <c r="Y3058" s="4">
        <v>151312</v>
      </c>
      <c r="Z3058" s="4">
        <v>0.54311827000000001</v>
      </c>
      <c r="AA3058" s="4">
        <v>100</v>
      </c>
    </row>
    <row r="3059" spans="1:27" x14ac:dyDescent="0.2">
      <c r="A3059" s="4">
        <v>20</v>
      </c>
      <c r="B3059" s="4">
        <v>3</v>
      </c>
      <c r="C3059" s="4">
        <v>0.2</v>
      </c>
      <c r="D3059" s="4">
        <v>100</v>
      </c>
      <c r="E3059" s="4">
        <v>0.96187098999999998</v>
      </c>
      <c r="F3059" s="4">
        <v>3</v>
      </c>
      <c r="G3059" s="4">
        <v>37.296974200000001</v>
      </c>
      <c r="H3059" s="4">
        <v>0.94273092000000003</v>
      </c>
      <c r="I3059" s="4">
        <v>3</v>
      </c>
      <c r="J3059" s="4">
        <v>1.19218555</v>
      </c>
      <c r="K3059" s="4"/>
      <c r="L3059" s="4"/>
      <c r="M3059" s="4"/>
      <c r="N3059" s="4"/>
      <c r="O3059" s="4"/>
      <c r="P3059" s="4"/>
      <c r="Q3059" s="4"/>
      <c r="R3059" s="4"/>
      <c r="S3059" s="4"/>
      <c r="T3059" s="4"/>
      <c r="U3059" s="4"/>
      <c r="V3059" s="4">
        <v>0.94430411999999997</v>
      </c>
      <c r="W3059" s="4">
        <v>3</v>
      </c>
      <c r="X3059" s="4">
        <v>75129.965800000005</v>
      </c>
      <c r="Y3059" s="4">
        <v>276644</v>
      </c>
      <c r="Z3059" s="4">
        <v>0.27837034999999999</v>
      </c>
      <c r="AA3059" s="4">
        <v>100</v>
      </c>
    </row>
    <row r="3060" spans="1:27" x14ac:dyDescent="0.2">
      <c r="A3060" s="4">
        <v>20</v>
      </c>
      <c r="B3060" s="4">
        <v>3</v>
      </c>
      <c r="C3060" s="4">
        <v>0.3</v>
      </c>
      <c r="D3060" s="4">
        <v>100</v>
      </c>
      <c r="E3060" s="4">
        <v>0.53659327000000001</v>
      </c>
      <c r="F3060" s="4">
        <v>3</v>
      </c>
      <c r="G3060" s="4">
        <v>37.0855313</v>
      </c>
      <c r="H3060" s="4">
        <v>0.33659467999999998</v>
      </c>
      <c r="I3060" s="4">
        <v>3</v>
      </c>
      <c r="J3060" s="4">
        <v>0.82962974</v>
      </c>
      <c r="K3060" s="4"/>
      <c r="L3060" s="4"/>
      <c r="M3060" s="4"/>
      <c r="N3060" s="4"/>
      <c r="O3060" s="4"/>
      <c r="P3060" s="4"/>
      <c r="Q3060" s="4"/>
      <c r="R3060" s="4"/>
      <c r="S3060" s="4"/>
      <c r="T3060" s="4"/>
      <c r="U3060" s="4"/>
      <c r="V3060" s="4">
        <v>0.33674036000000002</v>
      </c>
      <c r="W3060" s="4">
        <v>3</v>
      </c>
      <c r="X3060" s="4">
        <v>75151.721999999994</v>
      </c>
      <c r="Y3060" s="4">
        <v>174241</v>
      </c>
      <c r="Z3060" s="4">
        <v>0.50434016999999998</v>
      </c>
      <c r="AA3060" s="4">
        <v>100</v>
      </c>
    </row>
    <row r="3061" spans="1:27" x14ac:dyDescent="0.2">
      <c r="A3061" s="4">
        <v>20</v>
      </c>
      <c r="B3061" s="4">
        <v>3</v>
      </c>
      <c r="C3061" s="4">
        <v>0.4</v>
      </c>
      <c r="D3061" s="4">
        <v>100</v>
      </c>
      <c r="E3061" s="4">
        <v>0.28370828999999997</v>
      </c>
      <c r="F3061" s="4">
        <v>3</v>
      </c>
      <c r="G3061" s="4">
        <v>32.229880199999997</v>
      </c>
      <c r="H3061" s="4">
        <v>8.9608370000000007E-2</v>
      </c>
      <c r="I3061" s="4">
        <v>3</v>
      </c>
      <c r="J3061" s="4">
        <v>0.46294593000000001</v>
      </c>
      <c r="K3061" s="4"/>
      <c r="L3061" s="4"/>
      <c r="M3061" s="4"/>
      <c r="N3061" s="4"/>
      <c r="O3061" s="4"/>
      <c r="P3061" s="4"/>
      <c r="Q3061" s="4"/>
      <c r="R3061" s="4"/>
      <c r="S3061" s="4"/>
      <c r="T3061" s="4"/>
      <c r="U3061" s="4"/>
      <c r="V3061" s="4">
        <v>8.5481619999999994E-2</v>
      </c>
      <c r="W3061" s="4">
        <v>3</v>
      </c>
      <c r="X3061" s="4">
        <v>75507.511400000003</v>
      </c>
      <c r="Y3061" s="4">
        <v>168049</v>
      </c>
      <c r="Z3061" s="4">
        <v>0.57038007000000002</v>
      </c>
      <c r="AA3061" s="4">
        <v>100</v>
      </c>
    </row>
    <row r="3062" spans="1:27" x14ac:dyDescent="0.2">
      <c r="A3062" s="4">
        <v>20</v>
      </c>
      <c r="B3062" s="4">
        <v>3</v>
      </c>
      <c r="C3062" s="4">
        <v>0.2</v>
      </c>
      <c r="D3062" s="4">
        <v>100</v>
      </c>
      <c r="E3062" s="4">
        <v>0.97781565000000004</v>
      </c>
      <c r="F3062" s="4">
        <v>3</v>
      </c>
      <c r="G3062" s="4">
        <v>31.2997841</v>
      </c>
      <c r="H3062" s="4">
        <v>0.9982936</v>
      </c>
      <c r="I3062" s="4">
        <v>3</v>
      </c>
      <c r="J3062" s="4">
        <v>0.97001512000000001</v>
      </c>
      <c r="K3062" s="4"/>
      <c r="L3062" s="4"/>
      <c r="M3062" s="4"/>
      <c r="N3062" s="4"/>
      <c r="O3062" s="4"/>
      <c r="P3062" s="4"/>
      <c r="Q3062" s="4"/>
      <c r="R3062" s="4"/>
      <c r="S3062" s="4"/>
      <c r="T3062" s="4"/>
      <c r="U3062" s="4"/>
      <c r="V3062" s="4">
        <v>1.0000583300000001</v>
      </c>
      <c r="W3062" s="4">
        <v>3</v>
      </c>
      <c r="X3062" s="4">
        <v>76291.141000000003</v>
      </c>
      <c r="Y3062" s="4">
        <v>3599</v>
      </c>
      <c r="Z3062" s="4">
        <v>0.11336118000000001</v>
      </c>
      <c r="AA3062" s="4">
        <v>100</v>
      </c>
    </row>
    <row r="3063" spans="1:27" x14ac:dyDescent="0.2">
      <c r="A3063">
        <v>40</v>
      </c>
      <c r="B3063">
        <v>3</v>
      </c>
      <c r="C3063">
        <v>0.1</v>
      </c>
      <c r="D3063">
        <v>20</v>
      </c>
      <c r="E3063">
        <v>0.96081786036941597</v>
      </c>
      <c r="F3063">
        <v>3</v>
      </c>
      <c r="G3063">
        <v>32.656555916000002</v>
      </c>
      <c r="H3063">
        <v>0.97116222748327097</v>
      </c>
      <c r="I3063">
        <v>3</v>
      </c>
      <c r="J3063">
        <v>2.771771239</v>
      </c>
      <c r="P3063"/>
      <c r="V3063">
        <v>0.97667484886578004</v>
      </c>
      <c r="W3063">
        <v>3</v>
      </c>
      <c r="X3063">
        <v>18655.484033467001</v>
      </c>
      <c r="Y3063">
        <v>7455</v>
      </c>
      <c r="Z3063">
        <v>0</v>
      </c>
      <c r="AA3063">
        <v>50</v>
      </c>
    </row>
    <row r="3064" spans="1:27" x14ac:dyDescent="0.2">
      <c r="A3064">
        <v>40</v>
      </c>
      <c r="B3064">
        <v>3</v>
      </c>
      <c r="C3064">
        <v>0.1</v>
      </c>
      <c r="D3064">
        <v>20</v>
      </c>
      <c r="E3064">
        <v>0.891286732598075</v>
      </c>
      <c r="F3064">
        <v>3</v>
      </c>
      <c r="G3064">
        <v>35.179537142999997</v>
      </c>
      <c r="H3064">
        <v>0.93446696118926498</v>
      </c>
      <c r="I3064">
        <v>3</v>
      </c>
      <c r="J3064">
        <v>2.821487737</v>
      </c>
      <c r="P3064"/>
      <c r="V3064">
        <v>0.93651032986879001</v>
      </c>
      <c r="W3064">
        <v>3</v>
      </c>
      <c r="X3064">
        <v>94272.601512627007</v>
      </c>
      <c r="Y3064">
        <v>12177</v>
      </c>
      <c r="Z3064">
        <v>2.0018618515198399</v>
      </c>
      <c r="AA3064">
        <v>50</v>
      </c>
    </row>
    <row r="3065" spans="1:27" x14ac:dyDescent="0.2">
      <c r="A3065">
        <v>40</v>
      </c>
      <c r="B3065">
        <v>3</v>
      </c>
      <c r="C3065">
        <v>0.3</v>
      </c>
      <c r="D3065">
        <v>20</v>
      </c>
      <c r="E3065">
        <v>0.22580284680936499</v>
      </c>
      <c r="F3065">
        <v>3</v>
      </c>
      <c r="G3065">
        <v>37.294607106999997</v>
      </c>
      <c r="H3065">
        <v>0.184942275074054</v>
      </c>
      <c r="I3065">
        <v>3</v>
      </c>
      <c r="J3065">
        <v>1.2268306680000001</v>
      </c>
      <c r="P3065"/>
      <c r="V3065">
        <v>0.17183661365149899</v>
      </c>
      <c r="W3065">
        <v>3</v>
      </c>
      <c r="X3065">
        <v>94122.073317663002</v>
      </c>
      <c r="Y3065">
        <v>0</v>
      </c>
      <c r="Z3065" s="1">
        <v>1E+100</v>
      </c>
      <c r="AA3065">
        <v>50</v>
      </c>
    </row>
    <row r="3066" spans="1:27" x14ac:dyDescent="0.2">
      <c r="A3066">
        <v>40</v>
      </c>
      <c r="B3066">
        <v>3</v>
      </c>
      <c r="C3066">
        <v>0.4</v>
      </c>
      <c r="D3066">
        <v>20</v>
      </c>
      <c r="E3066">
        <v>9.6697586450451803E-2</v>
      </c>
      <c r="F3066">
        <v>3</v>
      </c>
      <c r="G3066">
        <v>38.806328112000003</v>
      </c>
      <c r="H3066">
        <v>9.7862608274054297E-2</v>
      </c>
      <c r="I3066">
        <v>3</v>
      </c>
      <c r="J3066">
        <v>0.83449472499999999</v>
      </c>
      <c r="P3066"/>
      <c r="V3066">
        <v>7.6532268937269499E-2</v>
      </c>
      <c r="W3066">
        <v>3</v>
      </c>
      <c r="X3066">
        <v>96644.191517714004</v>
      </c>
      <c r="Y3066">
        <v>21146</v>
      </c>
      <c r="Z3066">
        <v>20.443520922827702</v>
      </c>
      <c r="AA3066">
        <v>50</v>
      </c>
    </row>
    <row r="3067" spans="1:27" x14ac:dyDescent="0.2">
      <c r="A3067">
        <v>40</v>
      </c>
      <c r="B3067">
        <v>3</v>
      </c>
      <c r="C3067">
        <v>0.1</v>
      </c>
      <c r="D3067">
        <v>20</v>
      </c>
      <c r="E3067">
        <v>0.99757887463699402</v>
      </c>
      <c r="F3067">
        <v>3</v>
      </c>
      <c r="G3067">
        <v>37.815869874000001</v>
      </c>
      <c r="H3067">
        <v>1.03825218527027</v>
      </c>
      <c r="I3067">
        <v>3</v>
      </c>
      <c r="J3067">
        <v>2.8392005679999999</v>
      </c>
      <c r="P3067"/>
      <c r="V3067">
        <v>1.0420418218232701</v>
      </c>
      <c r="W3067">
        <v>3</v>
      </c>
      <c r="X3067">
        <v>97453.400977921003</v>
      </c>
      <c r="Y3067">
        <v>21240</v>
      </c>
      <c r="Z3067">
        <v>2.5120188005850999</v>
      </c>
      <c r="AA3067">
        <v>50</v>
      </c>
    </row>
    <row r="3068" spans="1:27" x14ac:dyDescent="0.2">
      <c r="A3068">
        <v>40</v>
      </c>
      <c r="B3068">
        <v>3</v>
      </c>
      <c r="C3068">
        <v>0.3</v>
      </c>
      <c r="D3068">
        <v>20</v>
      </c>
      <c r="E3068">
        <v>0.14879898747710299</v>
      </c>
      <c r="F3068">
        <v>3</v>
      </c>
      <c r="G3068">
        <v>29.537753827</v>
      </c>
      <c r="H3068">
        <v>0.13406655282455801</v>
      </c>
      <c r="I3068">
        <v>3</v>
      </c>
      <c r="J3068">
        <v>0.76341726099999996</v>
      </c>
      <c r="P3068"/>
      <c r="V3068">
        <v>0.110079401313754</v>
      </c>
      <c r="W3068">
        <v>3</v>
      </c>
      <c r="X3068">
        <v>96394.495071947007</v>
      </c>
      <c r="Y3068">
        <v>6698</v>
      </c>
      <c r="Z3068">
        <v>27.209067771495899</v>
      </c>
      <c r="AA3068">
        <v>50</v>
      </c>
    </row>
    <row r="3069" spans="1:27" x14ac:dyDescent="0.2">
      <c r="A3069">
        <v>40</v>
      </c>
      <c r="B3069">
        <v>3</v>
      </c>
      <c r="C3069">
        <v>0.2</v>
      </c>
      <c r="D3069">
        <v>20</v>
      </c>
      <c r="E3069">
        <v>0.44367052944958202</v>
      </c>
      <c r="F3069">
        <v>3</v>
      </c>
      <c r="G3069">
        <v>33.057417719</v>
      </c>
      <c r="H3069">
        <v>0.365539353931709</v>
      </c>
      <c r="I3069">
        <v>3</v>
      </c>
      <c r="J3069">
        <v>1.062212162</v>
      </c>
      <c r="P3069"/>
      <c r="V3069">
        <v>0.35236563825867201</v>
      </c>
      <c r="W3069">
        <v>3</v>
      </c>
      <c r="X3069">
        <v>94109.056594020003</v>
      </c>
      <c r="Y3069">
        <v>0</v>
      </c>
      <c r="Z3069" s="1">
        <v>1E+100</v>
      </c>
      <c r="AA3069">
        <v>50</v>
      </c>
    </row>
    <row r="3070" spans="1:27" x14ac:dyDescent="0.2">
      <c r="A3070">
        <v>40</v>
      </c>
      <c r="B3070">
        <v>3</v>
      </c>
      <c r="C3070">
        <v>0.2</v>
      </c>
      <c r="D3070">
        <v>20</v>
      </c>
      <c r="E3070">
        <v>0.373876452860957</v>
      </c>
      <c r="F3070">
        <v>3</v>
      </c>
      <c r="G3070">
        <v>39.301770423000001</v>
      </c>
      <c r="H3070">
        <v>0.28878080041405602</v>
      </c>
      <c r="I3070">
        <v>3</v>
      </c>
      <c r="J3070">
        <v>1.5013048470000001</v>
      </c>
      <c r="P3070"/>
      <c r="V3070">
        <v>0.26731476675615901</v>
      </c>
      <c r="W3070">
        <v>3</v>
      </c>
      <c r="X3070">
        <v>97578.488322696998</v>
      </c>
      <c r="Y3070">
        <v>8435</v>
      </c>
      <c r="Z3070">
        <v>8.5320008152238902</v>
      </c>
      <c r="AA3070">
        <v>50</v>
      </c>
    </row>
    <row r="3071" spans="1:27" x14ac:dyDescent="0.2">
      <c r="A3071">
        <v>40</v>
      </c>
      <c r="B3071">
        <v>3</v>
      </c>
      <c r="C3071">
        <v>0.3</v>
      </c>
      <c r="D3071">
        <v>20</v>
      </c>
      <c r="E3071">
        <v>0.14684425937012199</v>
      </c>
      <c r="F3071">
        <v>3</v>
      </c>
      <c r="G3071">
        <v>35.287247606999998</v>
      </c>
      <c r="H3071">
        <v>0.13784865485356601</v>
      </c>
      <c r="I3071">
        <v>3</v>
      </c>
      <c r="J3071">
        <v>0.90046555900000003</v>
      </c>
      <c r="P3071"/>
      <c r="V3071">
        <v>0.11153443028214299</v>
      </c>
      <c r="W3071">
        <v>3</v>
      </c>
      <c r="X3071">
        <v>97439.901853300995</v>
      </c>
      <c r="Y3071">
        <v>5289</v>
      </c>
      <c r="Z3071">
        <v>10022.647115468701</v>
      </c>
      <c r="AA3071">
        <v>50</v>
      </c>
    </row>
    <row r="3072" spans="1:27" x14ac:dyDescent="0.2">
      <c r="A3072">
        <v>40</v>
      </c>
      <c r="B3072">
        <v>3</v>
      </c>
      <c r="C3072">
        <v>0.3</v>
      </c>
      <c r="D3072">
        <v>20</v>
      </c>
      <c r="E3072">
        <v>0.25388901714489398</v>
      </c>
      <c r="F3072">
        <v>3</v>
      </c>
      <c r="G3072">
        <v>31.209086737</v>
      </c>
      <c r="H3072">
        <v>0.184148856956072</v>
      </c>
      <c r="I3072">
        <v>3</v>
      </c>
      <c r="J3072">
        <v>0.92570976900000002</v>
      </c>
      <c r="P3072"/>
      <c r="V3072">
        <v>0.17033468020802101</v>
      </c>
      <c r="W3072">
        <v>3</v>
      </c>
      <c r="X3072">
        <v>94530.719495220997</v>
      </c>
      <c r="Y3072">
        <v>41471</v>
      </c>
      <c r="Z3072">
        <v>31.104397551281199</v>
      </c>
      <c r="AA3072">
        <v>50</v>
      </c>
    </row>
    <row r="3073" spans="1:27" x14ac:dyDescent="0.2">
      <c r="A3073">
        <v>40</v>
      </c>
      <c r="B3073">
        <v>3</v>
      </c>
      <c r="C3073">
        <v>0.2</v>
      </c>
      <c r="D3073">
        <v>20</v>
      </c>
      <c r="E3073">
        <v>0.40324954104757899</v>
      </c>
      <c r="F3073">
        <v>3</v>
      </c>
      <c r="G3073">
        <v>29.676376456</v>
      </c>
      <c r="H3073">
        <v>0.26737986333374097</v>
      </c>
      <c r="I3073">
        <v>3</v>
      </c>
      <c r="J3073">
        <v>1.6035855029999999</v>
      </c>
      <c r="P3073"/>
      <c r="V3073">
        <v>0.23536421440725999</v>
      </c>
      <c r="W3073">
        <v>3</v>
      </c>
      <c r="X3073">
        <v>97384.601162470994</v>
      </c>
      <c r="Y3073">
        <v>12378</v>
      </c>
      <c r="Z3073">
        <v>21.6789680871738</v>
      </c>
      <c r="AA3073">
        <v>50</v>
      </c>
    </row>
    <row r="3074" spans="1:27" x14ac:dyDescent="0.2">
      <c r="A3074">
        <v>40</v>
      </c>
      <c r="B3074">
        <v>3</v>
      </c>
      <c r="C3074">
        <v>0.4</v>
      </c>
      <c r="D3074">
        <v>20</v>
      </c>
      <c r="E3074">
        <v>9.2208722476219807E-2</v>
      </c>
      <c r="F3074">
        <v>3</v>
      </c>
      <c r="G3074">
        <v>36.153008297</v>
      </c>
      <c r="H3074">
        <v>0.10214832076044</v>
      </c>
      <c r="I3074">
        <v>3</v>
      </c>
      <c r="J3074">
        <v>0.75799816600000003</v>
      </c>
      <c r="P3074"/>
      <c r="V3074">
        <v>7.7494524841216494E-2</v>
      </c>
      <c r="W3074">
        <v>3</v>
      </c>
      <c r="X3074">
        <v>96949.314504583002</v>
      </c>
      <c r="Y3074">
        <v>34818</v>
      </c>
      <c r="Z3074">
        <v>20.0057945988626</v>
      </c>
      <c r="AA3074">
        <v>50</v>
      </c>
    </row>
    <row r="3075" spans="1:27" x14ac:dyDescent="0.2">
      <c r="A3075">
        <v>40</v>
      </c>
      <c r="B3075">
        <v>3</v>
      </c>
      <c r="C3075">
        <v>0.3</v>
      </c>
      <c r="D3075">
        <v>20</v>
      </c>
      <c r="E3075">
        <v>0.200414986547575</v>
      </c>
      <c r="F3075">
        <v>3</v>
      </c>
      <c r="G3075">
        <v>30.414037655000001</v>
      </c>
      <c r="H3075">
        <v>0.15181554107063699</v>
      </c>
      <c r="I3075">
        <v>3</v>
      </c>
      <c r="J3075">
        <v>0.68075479800000005</v>
      </c>
      <c r="P3075"/>
      <c r="V3075">
        <v>0.137013271762088</v>
      </c>
      <c r="W3075">
        <v>3</v>
      </c>
      <c r="X3075">
        <v>96021.089534357001</v>
      </c>
      <c r="Y3075">
        <v>9277</v>
      </c>
      <c r="Z3075">
        <v>36.207408125383097</v>
      </c>
      <c r="AA3075">
        <v>50</v>
      </c>
    </row>
    <row r="3076" spans="1:27" x14ac:dyDescent="0.2">
      <c r="A3076">
        <v>40</v>
      </c>
      <c r="B3076">
        <v>3</v>
      </c>
      <c r="C3076">
        <v>0.1</v>
      </c>
      <c r="D3076">
        <v>20</v>
      </c>
      <c r="E3076">
        <v>0.97804178183034796</v>
      </c>
      <c r="F3076">
        <v>3</v>
      </c>
      <c r="G3076">
        <v>36.782533055000002</v>
      </c>
      <c r="H3076">
        <v>0.98191110419744698</v>
      </c>
      <c r="I3076">
        <v>3</v>
      </c>
      <c r="J3076">
        <v>3.163679455</v>
      </c>
      <c r="P3076"/>
      <c r="V3076">
        <v>0.98730210884540504</v>
      </c>
      <c r="W3076">
        <v>3</v>
      </c>
      <c r="X3076">
        <v>96253.147756605002</v>
      </c>
      <c r="Y3076">
        <v>21123</v>
      </c>
      <c r="Z3076">
        <v>2.1533320650237999</v>
      </c>
      <c r="AA3076">
        <v>50</v>
      </c>
    </row>
    <row r="3077" spans="1:27" x14ac:dyDescent="0.2">
      <c r="A3077">
        <v>40</v>
      </c>
      <c r="B3077">
        <v>3</v>
      </c>
      <c r="C3077">
        <v>0.4</v>
      </c>
      <c r="D3077">
        <v>20</v>
      </c>
      <c r="E3077">
        <v>7.4864768296580203E-2</v>
      </c>
      <c r="F3077">
        <v>3</v>
      </c>
      <c r="G3077">
        <v>37.617534032999998</v>
      </c>
      <c r="H3077">
        <v>9.1070746005396594E-2</v>
      </c>
      <c r="I3077">
        <v>3</v>
      </c>
      <c r="J3077">
        <v>0.69176384400000002</v>
      </c>
      <c r="P3077"/>
      <c r="V3077">
        <v>6.9732234863550999E-2</v>
      </c>
      <c r="W3077">
        <v>3</v>
      </c>
      <c r="X3077">
        <v>96676.045171456994</v>
      </c>
      <c r="Y3077">
        <v>21548</v>
      </c>
      <c r="Z3077">
        <v>17.878934809818301</v>
      </c>
      <c r="AA3077">
        <v>50</v>
      </c>
    </row>
    <row r="3078" spans="1:27" x14ac:dyDescent="0.2">
      <c r="A3078">
        <v>40</v>
      </c>
      <c r="B3078">
        <v>3</v>
      </c>
      <c r="C3078">
        <v>0.1</v>
      </c>
      <c r="D3078">
        <v>20</v>
      </c>
      <c r="E3078">
        <v>0.93739127330426997</v>
      </c>
      <c r="F3078">
        <v>3</v>
      </c>
      <c r="G3078">
        <v>30.531459833</v>
      </c>
      <c r="H3078">
        <v>0.90693471492588096</v>
      </c>
      <c r="I3078">
        <v>3</v>
      </c>
      <c r="J3078">
        <v>2.584281872</v>
      </c>
      <c r="P3078"/>
      <c r="V3078">
        <v>0.91334981860759701</v>
      </c>
      <c r="W3078">
        <v>3</v>
      </c>
      <c r="X3078">
        <v>96377.574905457004</v>
      </c>
      <c r="Y3078">
        <v>24652</v>
      </c>
      <c r="Z3078">
        <v>2.2727189193699999</v>
      </c>
      <c r="AA3078">
        <v>50</v>
      </c>
    </row>
    <row r="3079" spans="1:27" x14ac:dyDescent="0.2">
      <c r="A3079">
        <v>40</v>
      </c>
      <c r="B3079">
        <v>3</v>
      </c>
      <c r="C3079">
        <v>0.3</v>
      </c>
      <c r="D3079">
        <v>20</v>
      </c>
      <c r="E3079">
        <v>0.14107378454827499</v>
      </c>
      <c r="F3079">
        <v>3</v>
      </c>
      <c r="G3079">
        <v>32.736345458000002</v>
      </c>
      <c r="H3079">
        <v>0.128041945342147</v>
      </c>
      <c r="I3079">
        <v>3</v>
      </c>
      <c r="J3079">
        <v>0.637359381</v>
      </c>
      <c r="P3079"/>
      <c r="V3079">
        <v>0.102046790657274</v>
      </c>
      <c r="W3079">
        <v>3</v>
      </c>
      <c r="X3079">
        <v>96139.918717374996</v>
      </c>
      <c r="Y3079">
        <v>11944</v>
      </c>
      <c r="Z3079">
        <v>27.710801967797401</v>
      </c>
      <c r="AA3079">
        <v>50</v>
      </c>
    </row>
    <row r="3080" spans="1:27" x14ac:dyDescent="0.2">
      <c r="A3080">
        <v>40</v>
      </c>
      <c r="B3080">
        <v>3</v>
      </c>
      <c r="C3080">
        <v>0.4</v>
      </c>
      <c r="D3080">
        <v>20</v>
      </c>
      <c r="E3080">
        <v>7.6936765294966999E-2</v>
      </c>
      <c r="F3080">
        <v>3</v>
      </c>
      <c r="G3080">
        <v>30.985365387000002</v>
      </c>
      <c r="H3080">
        <v>9.4189192777474395E-2</v>
      </c>
      <c r="I3080">
        <v>3</v>
      </c>
      <c r="J3080">
        <v>0.69194333299999999</v>
      </c>
      <c r="P3080"/>
      <c r="V3080">
        <v>6.7655645245724594E-2</v>
      </c>
      <c r="W3080">
        <v>3</v>
      </c>
      <c r="X3080">
        <v>96756.919902262001</v>
      </c>
      <c r="Y3080">
        <v>25301</v>
      </c>
      <c r="Z3080">
        <v>16.803744355080699</v>
      </c>
      <c r="AA3080">
        <v>50</v>
      </c>
    </row>
    <row r="3081" spans="1:27" x14ac:dyDescent="0.2">
      <c r="A3081">
        <v>40</v>
      </c>
      <c r="B3081">
        <v>3</v>
      </c>
      <c r="C3081">
        <v>0.4</v>
      </c>
      <c r="D3081">
        <v>20</v>
      </c>
      <c r="E3081">
        <v>5.7208477061873701E-2</v>
      </c>
      <c r="F3081">
        <v>3</v>
      </c>
      <c r="G3081">
        <v>30.434694126</v>
      </c>
      <c r="H3081">
        <v>7.0133512934739101E-2</v>
      </c>
      <c r="I3081">
        <v>3</v>
      </c>
      <c r="J3081">
        <v>0.75028691300000006</v>
      </c>
      <c r="P3081"/>
      <c r="V3081">
        <v>4.8436869743428E-2</v>
      </c>
      <c r="W3081">
        <v>3</v>
      </c>
      <c r="X3081">
        <v>96774.614252325002</v>
      </c>
      <c r="Y3081">
        <v>21854</v>
      </c>
      <c r="Z3081">
        <v>19.981936826859901</v>
      </c>
      <c r="AA3081">
        <v>50</v>
      </c>
    </row>
    <row r="3082" spans="1:27" x14ac:dyDescent="0.2">
      <c r="A3082">
        <v>40</v>
      </c>
      <c r="B3082">
        <v>3</v>
      </c>
      <c r="C3082">
        <v>0.4</v>
      </c>
      <c r="D3082">
        <v>20</v>
      </c>
      <c r="E3082">
        <v>5.63249615775809E-2</v>
      </c>
      <c r="F3082">
        <v>3</v>
      </c>
      <c r="G3082">
        <v>38.047913082000001</v>
      </c>
      <c r="H3082">
        <v>8.4644584219991298E-2</v>
      </c>
      <c r="I3082">
        <v>3</v>
      </c>
      <c r="J3082">
        <v>0.72862842400000005</v>
      </c>
      <c r="P3082"/>
      <c r="V3082">
        <v>6.6971849904907899E-2</v>
      </c>
      <c r="W3082">
        <v>3</v>
      </c>
      <c r="X3082">
        <v>96700.365987495999</v>
      </c>
      <c r="Y3082">
        <v>20503</v>
      </c>
      <c r="Z3082">
        <v>17.832925285044599</v>
      </c>
      <c r="AA3082">
        <v>50</v>
      </c>
    </row>
    <row r="3083" spans="1:27" x14ac:dyDescent="0.2">
      <c r="A3083">
        <v>40</v>
      </c>
      <c r="B3083">
        <v>3</v>
      </c>
      <c r="C3083">
        <v>0.1</v>
      </c>
      <c r="D3083">
        <v>20</v>
      </c>
      <c r="E3083">
        <v>0.90421703546269006</v>
      </c>
      <c r="F3083">
        <v>3</v>
      </c>
      <c r="G3083">
        <v>35.448114811000003</v>
      </c>
      <c r="H3083">
        <v>0.95647441912086095</v>
      </c>
      <c r="I3083">
        <v>3</v>
      </c>
      <c r="J3083">
        <v>2.7279930339999998</v>
      </c>
      <c r="P3083"/>
      <c r="V3083">
        <v>0.96170807922719603</v>
      </c>
      <c r="W3083">
        <v>3</v>
      </c>
      <c r="X3083">
        <v>94361.966558999993</v>
      </c>
      <c r="Y3083">
        <v>107204</v>
      </c>
      <c r="Z3083">
        <v>1.82283230913951</v>
      </c>
      <c r="AA3083">
        <v>50</v>
      </c>
    </row>
    <row r="3084" spans="1:27" x14ac:dyDescent="0.2">
      <c r="A3084">
        <v>40</v>
      </c>
      <c r="B3084">
        <v>3</v>
      </c>
      <c r="C3084">
        <v>0.4</v>
      </c>
      <c r="D3084">
        <v>20</v>
      </c>
      <c r="E3084">
        <v>0.12211861522457899</v>
      </c>
      <c r="F3084">
        <v>3</v>
      </c>
      <c r="G3084">
        <v>32.250354215000002</v>
      </c>
      <c r="H3084">
        <v>0.11601232125205101</v>
      </c>
      <c r="I3084">
        <v>3</v>
      </c>
      <c r="J3084">
        <v>0.65446774500000005</v>
      </c>
      <c r="P3084"/>
      <c r="V3084">
        <v>9.0652734782501396E-2</v>
      </c>
      <c r="W3084">
        <v>3</v>
      </c>
      <c r="X3084">
        <v>94661.072039998995</v>
      </c>
      <c r="Y3084">
        <v>45475</v>
      </c>
      <c r="Z3084">
        <v>10049.4202296316</v>
      </c>
      <c r="AA3084">
        <v>50</v>
      </c>
    </row>
    <row r="3085" spans="1:27" x14ac:dyDescent="0.2">
      <c r="A3085">
        <v>40</v>
      </c>
      <c r="B3085">
        <v>3</v>
      </c>
      <c r="C3085">
        <v>0.4</v>
      </c>
      <c r="D3085">
        <v>20</v>
      </c>
      <c r="E3085">
        <v>0.123046318195816</v>
      </c>
      <c r="F3085">
        <v>3</v>
      </c>
      <c r="G3085">
        <v>32.933573054</v>
      </c>
      <c r="H3085">
        <v>0.12505776108241701</v>
      </c>
      <c r="I3085">
        <v>3</v>
      </c>
      <c r="J3085">
        <v>1.0050444080000001</v>
      </c>
      <c r="P3085"/>
      <c r="V3085">
        <v>9.8750633176040603E-2</v>
      </c>
      <c r="W3085">
        <v>3</v>
      </c>
      <c r="X3085">
        <v>96486.696041774005</v>
      </c>
      <c r="Y3085">
        <v>11416</v>
      </c>
      <c r="Z3085">
        <v>25.5933012747563</v>
      </c>
      <c r="AA3085">
        <v>50</v>
      </c>
    </row>
    <row r="3086" spans="1:27" x14ac:dyDescent="0.2">
      <c r="A3086">
        <v>40</v>
      </c>
      <c r="B3086">
        <v>3</v>
      </c>
      <c r="C3086">
        <v>0.1</v>
      </c>
      <c r="D3086">
        <v>20</v>
      </c>
      <c r="E3086">
        <v>0.95008682655435694</v>
      </c>
      <c r="F3086">
        <v>3</v>
      </c>
      <c r="G3086">
        <v>37.994329610000001</v>
      </c>
      <c r="H3086">
        <v>0.922998220435018</v>
      </c>
      <c r="I3086">
        <v>3</v>
      </c>
      <c r="J3086">
        <v>2.8839545009999998</v>
      </c>
      <c r="P3086"/>
      <c r="V3086">
        <v>0.92597155723658198</v>
      </c>
      <c r="W3086">
        <v>3</v>
      </c>
      <c r="X3086">
        <v>100277.70933524299</v>
      </c>
      <c r="Y3086">
        <v>9555</v>
      </c>
      <c r="Z3086">
        <v>1.73673750382995</v>
      </c>
      <c r="AA3086">
        <v>50</v>
      </c>
    </row>
    <row r="3087" spans="1:27" x14ac:dyDescent="0.2">
      <c r="A3087">
        <v>40</v>
      </c>
      <c r="B3087">
        <v>3</v>
      </c>
      <c r="C3087">
        <v>0.2</v>
      </c>
      <c r="D3087">
        <v>20</v>
      </c>
      <c r="E3087">
        <v>0.39873266554491299</v>
      </c>
      <c r="F3087">
        <v>3</v>
      </c>
      <c r="G3087">
        <v>35.913773442</v>
      </c>
      <c r="H3087">
        <v>0.28476030636725702</v>
      </c>
      <c r="I3087">
        <v>3</v>
      </c>
      <c r="J3087">
        <v>2.308285294</v>
      </c>
      <c r="P3087"/>
      <c r="V3087">
        <v>0.26844005352197198</v>
      </c>
      <c r="W3087">
        <v>3</v>
      </c>
      <c r="X3087">
        <v>98665.445361941005</v>
      </c>
      <c r="Y3087">
        <v>8261</v>
      </c>
      <c r="Z3087">
        <v>12.185372667109601</v>
      </c>
      <c r="AA3087">
        <v>50</v>
      </c>
    </row>
    <row r="3088" spans="1:27" x14ac:dyDescent="0.2">
      <c r="A3088">
        <v>40</v>
      </c>
      <c r="B3088">
        <v>3</v>
      </c>
      <c r="C3088">
        <v>0.3</v>
      </c>
      <c r="D3088">
        <v>20</v>
      </c>
      <c r="E3088">
        <v>0.11569162443865599</v>
      </c>
      <c r="F3088">
        <v>3</v>
      </c>
      <c r="G3088">
        <v>33.479636640000003</v>
      </c>
      <c r="H3088">
        <v>0.103429353003909</v>
      </c>
      <c r="I3088">
        <v>3</v>
      </c>
      <c r="J3088">
        <v>0.72372245800000001</v>
      </c>
      <c r="P3088"/>
      <c r="V3088">
        <v>8.2503635431587896E-2</v>
      </c>
      <c r="W3088">
        <v>3</v>
      </c>
      <c r="X3088">
        <v>97134.848164476003</v>
      </c>
      <c r="Y3088">
        <v>43319</v>
      </c>
      <c r="Z3088">
        <v>16.3763516121805</v>
      </c>
      <c r="AA3088">
        <v>50</v>
      </c>
    </row>
    <row r="3089" spans="1:27" x14ac:dyDescent="0.2">
      <c r="A3089">
        <v>40</v>
      </c>
      <c r="B3089">
        <v>3</v>
      </c>
      <c r="C3089">
        <v>0.2</v>
      </c>
      <c r="D3089">
        <v>20</v>
      </c>
      <c r="E3089">
        <v>0.38482510515236401</v>
      </c>
      <c r="F3089">
        <v>3</v>
      </c>
      <c r="G3089">
        <v>37.788120331000002</v>
      </c>
      <c r="H3089">
        <v>0.25929708052558698</v>
      </c>
      <c r="I3089">
        <v>3</v>
      </c>
      <c r="J3089">
        <v>1.818090725</v>
      </c>
      <c r="P3089"/>
      <c r="V3089">
        <v>0.23438094928592099</v>
      </c>
      <c r="W3089">
        <v>3</v>
      </c>
      <c r="X3089">
        <v>98678.392320166007</v>
      </c>
      <c r="Y3089">
        <v>8822</v>
      </c>
      <c r="Z3089">
        <v>9.4055697091757509</v>
      </c>
      <c r="AA3089">
        <v>50</v>
      </c>
    </row>
    <row r="3090" spans="1:27" x14ac:dyDescent="0.2">
      <c r="A3090">
        <v>40</v>
      </c>
      <c r="B3090">
        <v>3</v>
      </c>
      <c r="C3090">
        <v>0.3</v>
      </c>
      <c r="D3090">
        <v>20</v>
      </c>
      <c r="E3090">
        <v>0.21022504771776099</v>
      </c>
      <c r="F3090">
        <v>3</v>
      </c>
      <c r="G3090">
        <v>28.869040422000001</v>
      </c>
      <c r="H3090">
        <v>0.15571951791778799</v>
      </c>
      <c r="I3090">
        <v>3</v>
      </c>
      <c r="J3090">
        <v>1.021287185</v>
      </c>
      <c r="P3090"/>
      <c r="V3090">
        <v>0.13938761891048099</v>
      </c>
      <c r="W3090">
        <v>3</v>
      </c>
      <c r="X3090">
        <v>98676.208991224004</v>
      </c>
      <c r="Y3090">
        <v>15089</v>
      </c>
      <c r="Z3090">
        <v>10.0144525947067</v>
      </c>
      <c r="AA3090">
        <v>50</v>
      </c>
    </row>
    <row r="3091" spans="1:27" x14ac:dyDescent="0.2">
      <c r="A3091">
        <v>40</v>
      </c>
      <c r="B3091">
        <v>3</v>
      </c>
      <c r="C3091">
        <v>0.2</v>
      </c>
      <c r="D3091">
        <v>20</v>
      </c>
      <c r="E3091">
        <v>0.387795194407066</v>
      </c>
      <c r="F3091">
        <v>3</v>
      </c>
      <c r="G3091">
        <v>30.487945391</v>
      </c>
      <c r="H3091">
        <v>0.288004401657529</v>
      </c>
      <c r="I3091">
        <v>3</v>
      </c>
      <c r="J3091">
        <v>1.8844598480000001</v>
      </c>
      <c r="P3091"/>
      <c r="V3091">
        <v>0.269570269660728</v>
      </c>
      <c r="W3091">
        <v>3</v>
      </c>
      <c r="X3091">
        <v>99634.346762981993</v>
      </c>
      <c r="Y3091">
        <v>9019</v>
      </c>
      <c r="Z3091">
        <v>21.651253907801301</v>
      </c>
      <c r="AA3091">
        <v>50</v>
      </c>
    </row>
    <row r="3092" spans="1:27" x14ac:dyDescent="0.2">
      <c r="A3092">
        <v>40</v>
      </c>
      <c r="B3092">
        <v>3</v>
      </c>
      <c r="C3092">
        <v>0.1</v>
      </c>
      <c r="D3092">
        <v>20</v>
      </c>
      <c r="E3092">
        <v>0.96565721287530204</v>
      </c>
      <c r="F3092">
        <v>3</v>
      </c>
      <c r="G3092">
        <v>38.989947440000002</v>
      </c>
      <c r="H3092">
        <v>0.99169588926428598</v>
      </c>
      <c r="I3092">
        <v>3</v>
      </c>
      <c r="J3092">
        <v>2.8680974990000001</v>
      </c>
      <c r="P3092"/>
      <c r="V3092">
        <v>0.99722045026119899</v>
      </c>
      <c r="W3092">
        <v>3</v>
      </c>
      <c r="X3092">
        <v>99645.326293769001</v>
      </c>
      <c r="Y3092">
        <v>13624</v>
      </c>
      <c r="Z3092">
        <v>1.5588545723518299</v>
      </c>
      <c r="AA3092">
        <v>50</v>
      </c>
    </row>
    <row r="3093" spans="1:27" x14ac:dyDescent="0.2">
      <c r="A3093">
        <v>40</v>
      </c>
      <c r="B3093">
        <v>3</v>
      </c>
      <c r="C3093">
        <v>0.3</v>
      </c>
      <c r="D3093">
        <v>20</v>
      </c>
      <c r="E3093">
        <v>0.140222597123658</v>
      </c>
      <c r="F3093">
        <v>3</v>
      </c>
      <c r="G3093">
        <v>32.975023653000001</v>
      </c>
      <c r="H3093">
        <v>0.13856189749210601</v>
      </c>
      <c r="I3093">
        <v>3</v>
      </c>
      <c r="J3093">
        <v>0.92218251299999998</v>
      </c>
      <c r="P3093"/>
      <c r="V3093">
        <v>0.11134515890659701</v>
      </c>
      <c r="W3093">
        <v>3</v>
      </c>
      <c r="X3093">
        <v>96331.324929380004</v>
      </c>
      <c r="Y3093">
        <v>12510</v>
      </c>
      <c r="Z3093">
        <v>32.094583003642498</v>
      </c>
      <c r="AA3093">
        <v>50</v>
      </c>
    </row>
    <row r="3094" spans="1:27" x14ac:dyDescent="0.2">
      <c r="A3094">
        <v>40</v>
      </c>
      <c r="B3094">
        <v>3</v>
      </c>
      <c r="C3094">
        <v>0.2</v>
      </c>
      <c r="D3094">
        <v>20</v>
      </c>
      <c r="E3094">
        <v>0.38738387949070802</v>
      </c>
      <c r="F3094">
        <v>3</v>
      </c>
      <c r="G3094">
        <v>37.438432435999999</v>
      </c>
      <c r="H3094">
        <v>0.34063754362065701</v>
      </c>
      <c r="I3094">
        <v>3</v>
      </c>
      <c r="J3094">
        <v>2.0220318210000001</v>
      </c>
      <c r="P3094"/>
      <c r="V3094">
        <v>0.31565177773751601</v>
      </c>
      <c r="W3094">
        <v>3</v>
      </c>
      <c r="X3094">
        <v>99103.447163335994</v>
      </c>
      <c r="Y3094">
        <v>18622</v>
      </c>
      <c r="Z3094">
        <v>16.272408853378199</v>
      </c>
      <c r="AA3094">
        <v>50</v>
      </c>
    </row>
    <row r="3095" spans="1:27" x14ac:dyDescent="0.2">
      <c r="A3095">
        <v>40</v>
      </c>
      <c r="B3095">
        <v>3</v>
      </c>
      <c r="C3095">
        <v>0.4</v>
      </c>
      <c r="D3095">
        <v>20</v>
      </c>
      <c r="E3095">
        <v>8.5385995523120095E-2</v>
      </c>
      <c r="F3095">
        <v>3</v>
      </c>
      <c r="G3095">
        <v>38.459066360999998</v>
      </c>
      <c r="H3095">
        <v>9.2611461033223597E-2</v>
      </c>
      <c r="I3095">
        <v>3</v>
      </c>
      <c r="J3095">
        <v>0.80201395099999995</v>
      </c>
      <c r="P3095"/>
      <c r="V3095">
        <v>6.8367850367285696E-2</v>
      </c>
      <c r="W3095">
        <v>3</v>
      </c>
      <c r="X3095">
        <v>97006.382082759999</v>
      </c>
      <c r="Y3095">
        <v>5419</v>
      </c>
      <c r="Z3095">
        <v>10042.0562939306</v>
      </c>
      <c r="AA3095">
        <v>50</v>
      </c>
    </row>
    <row r="3096" spans="1:27" x14ac:dyDescent="0.2">
      <c r="A3096">
        <v>40</v>
      </c>
      <c r="B3096">
        <v>3</v>
      </c>
      <c r="C3096">
        <v>0.1</v>
      </c>
      <c r="D3096">
        <v>20</v>
      </c>
      <c r="E3096">
        <v>1.0316403996419701</v>
      </c>
      <c r="F3096">
        <v>3</v>
      </c>
      <c r="G3096">
        <v>37.854055314999997</v>
      </c>
      <c r="H3096">
        <v>1.0260464103454401</v>
      </c>
      <c r="I3096">
        <v>3</v>
      </c>
      <c r="J3096">
        <v>2.8871285840000001</v>
      </c>
      <c r="P3096"/>
      <c r="V3096">
        <v>1.03126121148408</v>
      </c>
      <c r="W3096">
        <v>3</v>
      </c>
      <c r="X3096">
        <v>100547.547637247</v>
      </c>
      <c r="Y3096">
        <v>7801</v>
      </c>
      <c r="Z3096">
        <v>1.2535425419269299</v>
      </c>
      <c r="AA3096">
        <v>50</v>
      </c>
    </row>
    <row r="3097" spans="1:27" x14ac:dyDescent="0.2">
      <c r="A3097">
        <v>40</v>
      </c>
      <c r="B3097">
        <v>3</v>
      </c>
      <c r="C3097">
        <v>0.1</v>
      </c>
      <c r="D3097">
        <v>20</v>
      </c>
      <c r="E3097">
        <v>0.95521789356793896</v>
      </c>
      <c r="F3097">
        <v>3</v>
      </c>
      <c r="G3097">
        <v>37.399342298000001</v>
      </c>
      <c r="H3097">
        <v>0.972043921314096</v>
      </c>
      <c r="I3097">
        <v>3</v>
      </c>
      <c r="J3097">
        <v>2.9225200670000002</v>
      </c>
      <c r="P3097"/>
      <c r="V3097">
        <v>0.97593319372780996</v>
      </c>
      <c r="W3097">
        <v>3</v>
      </c>
      <c r="X3097">
        <v>100405.24590049899</v>
      </c>
      <c r="Y3097">
        <v>9927</v>
      </c>
      <c r="Z3097">
        <v>1.28579945538697</v>
      </c>
      <c r="AA3097">
        <v>50</v>
      </c>
    </row>
    <row r="3098" spans="1:27" x14ac:dyDescent="0.2">
      <c r="A3098">
        <v>40</v>
      </c>
      <c r="B3098">
        <v>3</v>
      </c>
      <c r="C3098">
        <v>0.2</v>
      </c>
      <c r="D3098">
        <v>20</v>
      </c>
      <c r="E3098">
        <v>0.409468871956229</v>
      </c>
      <c r="F3098">
        <v>3</v>
      </c>
      <c r="G3098">
        <v>32.743048799999997</v>
      </c>
      <c r="H3098">
        <v>0.28133587979647701</v>
      </c>
      <c r="I3098">
        <v>3</v>
      </c>
      <c r="J3098">
        <v>1.4851150099999999</v>
      </c>
      <c r="P3098"/>
      <c r="V3098">
        <v>0.26335138025779598</v>
      </c>
      <c r="W3098">
        <v>3</v>
      </c>
      <c r="X3098">
        <v>98922.168155185995</v>
      </c>
      <c r="Y3098">
        <v>6993</v>
      </c>
      <c r="Z3098">
        <v>16.106974536131801</v>
      </c>
      <c r="AA3098">
        <v>50</v>
      </c>
    </row>
    <row r="3099" spans="1:27" x14ac:dyDescent="0.2">
      <c r="A3099">
        <v>40</v>
      </c>
      <c r="B3099">
        <v>3</v>
      </c>
      <c r="C3099">
        <v>0.4</v>
      </c>
      <c r="D3099">
        <v>20</v>
      </c>
      <c r="E3099">
        <v>0.12492827611004</v>
      </c>
      <c r="F3099">
        <v>3</v>
      </c>
      <c r="G3099">
        <v>37.943983271999997</v>
      </c>
      <c r="H3099">
        <v>0.13827243438505299</v>
      </c>
      <c r="I3099">
        <v>3</v>
      </c>
      <c r="J3099">
        <v>0.77497768899999997</v>
      </c>
      <c r="P3099"/>
      <c r="V3099">
        <v>0.109997170154757</v>
      </c>
      <c r="W3099">
        <v>3</v>
      </c>
      <c r="X3099">
        <v>94140.223266165995</v>
      </c>
      <c r="Y3099">
        <v>0</v>
      </c>
      <c r="Z3099" s="1">
        <v>1E+100</v>
      </c>
      <c r="AA3099">
        <v>50</v>
      </c>
    </row>
    <row r="3100" spans="1:27" x14ac:dyDescent="0.2">
      <c r="A3100">
        <v>40</v>
      </c>
      <c r="B3100">
        <v>3</v>
      </c>
      <c r="C3100">
        <v>0.3</v>
      </c>
      <c r="D3100">
        <v>20</v>
      </c>
      <c r="E3100">
        <v>0.18300737013623</v>
      </c>
      <c r="F3100">
        <v>3</v>
      </c>
      <c r="G3100">
        <v>29.108598632</v>
      </c>
      <c r="H3100">
        <v>0.15012016444679399</v>
      </c>
      <c r="I3100">
        <v>3</v>
      </c>
      <c r="J3100">
        <v>0.60047120300000001</v>
      </c>
      <c r="P3100"/>
      <c r="V3100">
        <v>0.12349463666796601</v>
      </c>
      <c r="W3100">
        <v>3</v>
      </c>
      <c r="X3100">
        <v>94094.354141251999</v>
      </c>
      <c r="Y3100">
        <v>0</v>
      </c>
      <c r="Z3100" s="1">
        <v>1E+100</v>
      </c>
      <c r="AA3100">
        <v>50</v>
      </c>
    </row>
    <row r="3101" spans="1:27" x14ac:dyDescent="0.2">
      <c r="A3101">
        <v>40</v>
      </c>
      <c r="B3101">
        <v>3</v>
      </c>
      <c r="C3101">
        <v>0.4</v>
      </c>
      <c r="D3101">
        <v>20</v>
      </c>
      <c r="E3101">
        <v>0.114676743464649</v>
      </c>
      <c r="F3101">
        <v>3</v>
      </c>
      <c r="G3101">
        <v>35.354955390000001</v>
      </c>
      <c r="H3101">
        <v>0.102167577071809</v>
      </c>
      <c r="I3101">
        <v>3</v>
      </c>
      <c r="J3101">
        <v>0.50995579700000004</v>
      </c>
      <c r="P3101"/>
      <c r="V3101">
        <v>7.7324232447537694E-2</v>
      </c>
      <c r="W3101">
        <v>3</v>
      </c>
      <c r="X3101">
        <v>94521.314064085993</v>
      </c>
      <c r="Y3101">
        <v>41362</v>
      </c>
      <c r="Z3101">
        <v>10039.218137370401</v>
      </c>
      <c r="AA3101">
        <v>50</v>
      </c>
    </row>
    <row r="3102" spans="1:27" x14ac:dyDescent="0.2">
      <c r="A3102">
        <v>40</v>
      </c>
      <c r="B3102">
        <v>3</v>
      </c>
      <c r="C3102">
        <v>0.2</v>
      </c>
      <c r="D3102">
        <v>20</v>
      </c>
      <c r="E3102">
        <v>0.34796728524480303</v>
      </c>
      <c r="F3102">
        <v>3</v>
      </c>
      <c r="G3102">
        <v>33.970883858999997</v>
      </c>
      <c r="H3102">
        <v>0.21867125378880301</v>
      </c>
      <c r="I3102">
        <v>3</v>
      </c>
      <c r="J3102">
        <v>1.6706124499999999</v>
      </c>
      <c r="P3102"/>
      <c r="V3102">
        <v>0.19737585707439501</v>
      </c>
      <c r="W3102">
        <v>3</v>
      </c>
      <c r="X3102">
        <v>103851.911529212</v>
      </c>
      <c r="Y3102">
        <v>8773</v>
      </c>
      <c r="Z3102">
        <v>14.3580555116451</v>
      </c>
      <c r="AA3102">
        <v>50</v>
      </c>
    </row>
    <row r="3103" spans="1:27" x14ac:dyDescent="0.2">
      <c r="A3103">
        <v>40</v>
      </c>
      <c r="B3103">
        <v>3</v>
      </c>
      <c r="C3103">
        <v>0.1</v>
      </c>
      <c r="D3103">
        <v>20</v>
      </c>
      <c r="E3103">
        <v>0.89085690293267406</v>
      </c>
      <c r="F3103">
        <v>3</v>
      </c>
      <c r="G3103">
        <v>38.521258662999998</v>
      </c>
      <c r="H3103">
        <v>0.92552195115014402</v>
      </c>
      <c r="I3103">
        <v>3</v>
      </c>
      <c r="J3103">
        <v>3.1003383000000002</v>
      </c>
      <c r="P3103"/>
      <c r="V3103">
        <v>0.92962250929572998</v>
      </c>
      <c r="W3103">
        <v>3</v>
      </c>
      <c r="X3103">
        <v>95457.337199720001</v>
      </c>
      <c r="Y3103">
        <v>23270</v>
      </c>
      <c r="Z3103">
        <v>1.4695404653108799</v>
      </c>
      <c r="AA3103">
        <v>50</v>
      </c>
    </row>
    <row r="3104" spans="1:27" x14ac:dyDescent="0.2">
      <c r="A3104">
        <v>40</v>
      </c>
      <c r="B3104">
        <v>3</v>
      </c>
      <c r="C3104">
        <v>0.2</v>
      </c>
      <c r="D3104">
        <v>20</v>
      </c>
      <c r="E3104">
        <v>0.40049863125287299</v>
      </c>
      <c r="F3104">
        <v>3</v>
      </c>
      <c r="G3104">
        <v>36.983806127999998</v>
      </c>
      <c r="H3104">
        <v>0.34499120827007501</v>
      </c>
      <c r="I3104">
        <v>3</v>
      </c>
      <c r="J3104">
        <v>1.2234441659999999</v>
      </c>
      <c r="P3104"/>
      <c r="V3104">
        <v>0.33363504729919402</v>
      </c>
      <c r="W3104">
        <v>3</v>
      </c>
      <c r="X3104">
        <v>99519.288490132007</v>
      </c>
      <c r="Y3104">
        <v>9986</v>
      </c>
      <c r="Z3104">
        <v>15.0410386750813</v>
      </c>
      <c r="AA3104">
        <v>50</v>
      </c>
    </row>
    <row r="3105" spans="1:27" x14ac:dyDescent="0.2">
      <c r="A3105">
        <v>40</v>
      </c>
      <c r="B3105">
        <v>3</v>
      </c>
      <c r="C3105">
        <v>0.3</v>
      </c>
      <c r="D3105">
        <v>20</v>
      </c>
      <c r="E3105">
        <v>0.20819690197052801</v>
      </c>
      <c r="F3105">
        <v>3</v>
      </c>
      <c r="G3105">
        <v>34.721179898999999</v>
      </c>
      <c r="H3105">
        <v>0.172777401453762</v>
      </c>
      <c r="I3105">
        <v>3</v>
      </c>
      <c r="J3105">
        <v>1.0902651109999999</v>
      </c>
      <c r="P3105"/>
      <c r="V3105">
        <v>0.15487722822317501</v>
      </c>
      <c r="W3105">
        <v>3</v>
      </c>
      <c r="X3105">
        <v>95922.087858952</v>
      </c>
      <c r="Y3105">
        <v>24796</v>
      </c>
      <c r="Z3105">
        <v>11.423118047574301</v>
      </c>
      <c r="AA3105">
        <v>50</v>
      </c>
    </row>
    <row r="3106" spans="1:27" x14ac:dyDescent="0.2">
      <c r="A3106">
        <v>40</v>
      </c>
      <c r="B3106">
        <v>3</v>
      </c>
      <c r="C3106">
        <v>0.4</v>
      </c>
      <c r="D3106">
        <v>20</v>
      </c>
      <c r="E3106">
        <v>6.8497904497523895E-2</v>
      </c>
      <c r="F3106">
        <v>3</v>
      </c>
      <c r="G3106">
        <v>32.270094583999999</v>
      </c>
      <c r="H3106">
        <v>9.7517293030474503E-2</v>
      </c>
      <c r="I3106">
        <v>3</v>
      </c>
      <c r="J3106">
        <v>0.70214041699999996</v>
      </c>
      <c r="P3106"/>
      <c r="V3106">
        <v>7.5042228571395198E-2</v>
      </c>
      <c r="W3106">
        <v>3</v>
      </c>
      <c r="X3106">
        <v>94464.890772864004</v>
      </c>
      <c r="Y3106">
        <v>84444</v>
      </c>
      <c r="Z3106">
        <v>31.4164778131797</v>
      </c>
      <c r="AA3106">
        <v>50</v>
      </c>
    </row>
    <row r="3107" spans="1:27" x14ac:dyDescent="0.2">
      <c r="A3107">
        <v>40</v>
      </c>
      <c r="B3107">
        <v>3</v>
      </c>
      <c r="C3107">
        <v>0.3</v>
      </c>
      <c r="D3107">
        <v>20</v>
      </c>
      <c r="E3107">
        <v>0.21772556506204299</v>
      </c>
      <c r="F3107">
        <v>3</v>
      </c>
      <c r="G3107">
        <v>33.832924061999996</v>
      </c>
      <c r="H3107">
        <v>0.18860336844463199</v>
      </c>
      <c r="I3107">
        <v>3</v>
      </c>
      <c r="J3107">
        <v>1.0443826700000001</v>
      </c>
      <c r="P3107"/>
      <c r="V3107">
        <v>0.15972197329495399</v>
      </c>
      <c r="W3107">
        <v>3</v>
      </c>
      <c r="X3107">
        <v>100387.526556325</v>
      </c>
      <c r="Y3107">
        <v>9282</v>
      </c>
      <c r="Z3107">
        <v>17.783356287664301</v>
      </c>
      <c r="AA3107">
        <v>50</v>
      </c>
    </row>
    <row r="3108" spans="1:27" x14ac:dyDescent="0.2">
      <c r="A3108">
        <v>40</v>
      </c>
      <c r="B3108">
        <v>3</v>
      </c>
      <c r="C3108">
        <v>0.3</v>
      </c>
      <c r="D3108">
        <v>20</v>
      </c>
      <c r="E3108">
        <v>0.18105958482802401</v>
      </c>
      <c r="F3108">
        <v>3</v>
      </c>
      <c r="G3108">
        <v>33.766190151000004</v>
      </c>
      <c r="H3108">
        <v>0.13311314295250101</v>
      </c>
      <c r="I3108">
        <v>3</v>
      </c>
      <c r="J3108">
        <v>0.84585714599999995</v>
      </c>
      <c r="P3108"/>
      <c r="V3108">
        <v>0.110820025295306</v>
      </c>
      <c r="W3108">
        <v>3</v>
      </c>
      <c r="X3108">
        <v>96389.817839737007</v>
      </c>
      <c r="Y3108">
        <v>8463</v>
      </c>
      <c r="Z3108">
        <v>24.092566000948501</v>
      </c>
      <c r="AA3108">
        <v>50</v>
      </c>
    </row>
    <row r="3109" spans="1:27" x14ac:dyDescent="0.2">
      <c r="A3109">
        <v>40</v>
      </c>
      <c r="B3109">
        <v>3</v>
      </c>
      <c r="C3109">
        <v>0.4</v>
      </c>
      <c r="D3109">
        <v>20</v>
      </c>
      <c r="E3109">
        <v>7.4055217537407E-2</v>
      </c>
      <c r="F3109">
        <v>3</v>
      </c>
      <c r="G3109">
        <v>40.440764686000001</v>
      </c>
      <c r="H3109">
        <v>9.4480937286314695E-2</v>
      </c>
      <c r="I3109">
        <v>3</v>
      </c>
      <c r="J3109">
        <v>1.133792323</v>
      </c>
      <c r="P3109"/>
      <c r="V3109">
        <v>6.9392767396880203E-2</v>
      </c>
      <c r="W3109">
        <v>3</v>
      </c>
      <c r="X3109">
        <v>96861.247052145001</v>
      </c>
      <c r="Y3109">
        <v>9160</v>
      </c>
      <c r="Z3109">
        <v>23.867807757485501</v>
      </c>
      <c r="AA3109">
        <v>50</v>
      </c>
    </row>
    <row r="3110" spans="1:27" x14ac:dyDescent="0.2">
      <c r="A3110">
        <v>40</v>
      </c>
      <c r="B3110">
        <v>3</v>
      </c>
      <c r="C3110">
        <v>0.3</v>
      </c>
      <c r="D3110">
        <v>20</v>
      </c>
      <c r="E3110">
        <v>0.20034206868902099</v>
      </c>
      <c r="F3110">
        <v>3</v>
      </c>
      <c r="G3110">
        <v>34.805220339000002</v>
      </c>
      <c r="H3110">
        <v>0.14813081953234</v>
      </c>
      <c r="I3110">
        <v>3</v>
      </c>
      <c r="J3110">
        <v>1.0484971279999999</v>
      </c>
      <c r="P3110"/>
      <c r="V3110">
        <v>0.127757826914634</v>
      </c>
      <c r="W3110">
        <v>3</v>
      </c>
      <c r="X3110">
        <v>94156.898576156003</v>
      </c>
      <c r="Y3110">
        <v>0</v>
      </c>
      <c r="Z3110" s="1">
        <v>1E+100</v>
      </c>
      <c r="AA3110">
        <v>50</v>
      </c>
    </row>
    <row r="3111" spans="1:27" x14ac:dyDescent="0.2">
      <c r="A3111">
        <v>40</v>
      </c>
      <c r="B3111">
        <v>3</v>
      </c>
      <c r="C3111">
        <v>0.1</v>
      </c>
      <c r="D3111">
        <v>20</v>
      </c>
      <c r="E3111">
        <v>0.95655487046941401</v>
      </c>
      <c r="F3111">
        <v>3</v>
      </c>
      <c r="G3111">
        <v>32.861993933000001</v>
      </c>
      <c r="H3111">
        <v>0.99012048086424898</v>
      </c>
      <c r="I3111">
        <v>3</v>
      </c>
      <c r="J3111">
        <v>3.3047800820000002</v>
      </c>
      <c r="P3111"/>
      <c r="V3111">
        <v>0.99832373335709401</v>
      </c>
      <c r="W3111">
        <v>3</v>
      </c>
      <c r="X3111">
        <v>97522.487461066004</v>
      </c>
      <c r="Y3111">
        <v>17239</v>
      </c>
      <c r="Z3111">
        <v>2.7440266715569899</v>
      </c>
      <c r="AA3111">
        <v>50</v>
      </c>
    </row>
    <row r="3112" spans="1:27" x14ac:dyDescent="0.2">
      <c r="A3112">
        <v>40</v>
      </c>
      <c r="B3112">
        <v>3</v>
      </c>
      <c r="C3112">
        <v>0.3</v>
      </c>
      <c r="D3112">
        <v>20</v>
      </c>
      <c r="E3112">
        <v>0.122815184348341</v>
      </c>
      <c r="F3112">
        <v>3</v>
      </c>
      <c r="G3112">
        <v>32.834829419999998</v>
      </c>
      <c r="H3112">
        <v>0.13376466416933</v>
      </c>
      <c r="I3112">
        <v>3</v>
      </c>
      <c r="J3112">
        <v>0.88634745999999998</v>
      </c>
      <c r="P3112"/>
      <c r="V3112">
        <v>0.110811062490733</v>
      </c>
      <c r="W3112">
        <v>3</v>
      </c>
      <c r="X3112">
        <v>96749.419369611001</v>
      </c>
      <c r="Y3112">
        <v>17481</v>
      </c>
      <c r="Z3112">
        <v>18.385037473528001</v>
      </c>
      <c r="AA3112">
        <v>50</v>
      </c>
    </row>
    <row r="3113" spans="1:27" x14ac:dyDescent="0.2">
      <c r="A3113">
        <v>40</v>
      </c>
      <c r="B3113">
        <v>3</v>
      </c>
      <c r="C3113">
        <v>0.2</v>
      </c>
      <c r="D3113">
        <v>20</v>
      </c>
      <c r="E3113">
        <v>0.48012894283322</v>
      </c>
      <c r="F3113">
        <v>3</v>
      </c>
      <c r="G3113">
        <v>33.068261931000002</v>
      </c>
      <c r="H3113">
        <v>0.36816463760962098</v>
      </c>
      <c r="I3113">
        <v>3</v>
      </c>
      <c r="J3113">
        <v>2.508459014</v>
      </c>
      <c r="P3113"/>
      <c r="V3113">
        <v>0.36631291182373499</v>
      </c>
      <c r="W3113">
        <v>3</v>
      </c>
      <c r="X3113">
        <v>99228.765346581</v>
      </c>
      <c r="Y3113">
        <v>9054</v>
      </c>
      <c r="Z3113">
        <v>17.1003199685989</v>
      </c>
      <c r="AA3113">
        <v>50</v>
      </c>
    </row>
    <row r="3114" spans="1:27" x14ac:dyDescent="0.2">
      <c r="A3114">
        <v>40</v>
      </c>
      <c r="B3114">
        <v>3</v>
      </c>
      <c r="C3114">
        <v>0.1</v>
      </c>
      <c r="D3114">
        <v>20</v>
      </c>
      <c r="E3114">
        <v>1.01916452098141</v>
      </c>
      <c r="F3114">
        <v>3</v>
      </c>
      <c r="G3114">
        <v>31.543408330999998</v>
      </c>
      <c r="H3114">
        <v>1.02994603957048</v>
      </c>
      <c r="I3114">
        <v>3</v>
      </c>
      <c r="J3114">
        <v>2.7691714950000001</v>
      </c>
      <c r="P3114"/>
      <c r="V3114">
        <v>1.0372970043287799</v>
      </c>
      <c r="W3114">
        <v>3</v>
      </c>
      <c r="X3114">
        <v>97289.181684473006</v>
      </c>
      <c r="Y3114">
        <v>10639</v>
      </c>
      <c r="Z3114">
        <v>1.6076904462937001</v>
      </c>
      <c r="AA3114">
        <v>50</v>
      </c>
    </row>
    <row r="3115" spans="1:27" x14ac:dyDescent="0.2">
      <c r="A3115">
        <v>40</v>
      </c>
      <c r="B3115">
        <v>3</v>
      </c>
      <c r="C3115">
        <v>0.2</v>
      </c>
      <c r="D3115">
        <v>20</v>
      </c>
      <c r="E3115">
        <v>0.40867028227622898</v>
      </c>
      <c r="F3115">
        <v>3</v>
      </c>
      <c r="G3115">
        <v>38.333469454000003</v>
      </c>
      <c r="H3115">
        <v>0.26035222919002499</v>
      </c>
      <c r="I3115">
        <v>3</v>
      </c>
      <c r="J3115">
        <v>1.6862084100000001</v>
      </c>
      <c r="P3115"/>
      <c r="V3115">
        <v>0.241560241444294</v>
      </c>
      <c r="W3115">
        <v>3</v>
      </c>
      <c r="X3115">
        <v>98207.233853522994</v>
      </c>
      <c r="Y3115">
        <v>16656</v>
      </c>
      <c r="Z3115">
        <v>16.8135596927692</v>
      </c>
      <c r="AA3115">
        <v>50</v>
      </c>
    </row>
    <row r="3116" spans="1:27" x14ac:dyDescent="0.2">
      <c r="A3116">
        <v>40</v>
      </c>
      <c r="B3116">
        <v>3</v>
      </c>
      <c r="C3116">
        <v>0.2</v>
      </c>
      <c r="D3116">
        <v>20</v>
      </c>
      <c r="E3116">
        <v>0.49414325912535401</v>
      </c>
      <c r="F3116">
        <v>3</v>
      </c>
      <c r="G3116">
        <v>33.650970459</v>
      </c>
      <c r="H3116">
        <v>0.31032142240279198</v>
      </c>
      <c r="I3116">
        <v>3</v>
      </c>
      <c r="J3116">
        <v>2.4261694110000001</v>
      </c>
      <c r="P3116"/>
      <c r="V3116">
        <v>0.293528104664668</v>
      </c>
      <c r="W3116">
        <v>3</v>
      </c>
      <c r="X3116">
        <v>99307.378108328994</v>
      </c>
      <c r="Y3116">
        <v>8907</v>
      </c>
      <c r="Z3116">
        <v>10.5432892408139</v>
      </c>
      <c r="AA3116">
        <v>50</v>
      </c>
    </row>
    <row r="3117" spans="1:27" x14ac:dyDescent="0.2">
      <c r="A3117">
        <v>40</v>
      </c>
      <c r="B3117">
        <v>3</v>
      </c>
      <c r="C3117">
        <v>0.4</v>
      </c>
      <c r="D3117">
        <v>20</v>
      </c>
      <c r="E3117">
        <v>8.8115517148473294E-2</v>
      </c>
      <c r="F3117">
        <v>3</v>
      </c>
      <c r="G3117">
        <v>34.890798001999997</v>
      </c>
      <c r="H3117">
        <v>8.8049018361669798E-2</v>
      </c>
      <c r="I3117">
        <v>3</v>
      </c>
      <c r="J3117">
        <v>0.80134849699999999</v>
      </c>
      <c r="P3117"/>
      <c r="V3117">
        <v>6.6991220429916995E-2</v>
      </c>
      <c r="W3117">
        <v>3</v>
      </c>
      <c r="X3117">
        <v>96540.781576768</v>
      </c>
      <c r="Y3117">
        <v>5525</v>
      </c>
      <c r="Z3117">
        <v>15.6185200935238</v>
      </c>
      <c r="AA3117">
        <v>50</v>
      </c>
    </row>
    <row r="3118" spans="1:27" x14ac:dyDescent="0.2">
      <c r="A3118">
        <v>40</v>
      </c>
      <c r="B3118">
        <v>3</v>
      </c>
      <c r="C3118">
        <v>0.2</v>
      </c>
      <c r="D3118">
        <v>20</v>
      </c>
      <c r="E3118">
        <v>0.39942657585939401</v>
      </c>
      <c r="F3118">
        <v>3</v>
      </c>
      <c r="G3118">
        <v>31.852261896000002</v>
      </c>
      <c r="H3118">
        <v>0.28726227921408698</v>
      </c>
      <c r="I3118">
        <v>3</v>
      </c>
      <c r="J3118">
        <v>1.301548505</v>
      </c>
      <c r="P3118"/>
      <c r="V3118">
        <v>0.27245265236545602</v>
      </c>
      <c r="W3118">
        <v>3</v>
      </c>
      <c r="X3118">
        <v>99011.032553419995</v>
      </c>
      <c r="Y3118">
        <v>5286</v>
      </c>
      <c r="Z3118">
        <v>16.926205676849602</v>
      </c>
      <c r="AA3118">
        <v>50</v>
      </c>
    </row>
    <row r="3119" spans="1:27" x14ac:dyDescent="0.2">
      <c r="A3119">
        <v>40</v>
      </c>
      <c r="B3119">
        <v>3</v>
      </c>
      <c r="C3119">
        <v>0.2</v>
      </c>
      <c r="D3119">
        <v>20</v>
      </c>
      <c r="E3119">
        <v>0.35268370738599297</v>
      </c>
      <c r="F3119">
        <v>3</v>
      </c>
      <c r="G3119">
        <v>37.128945404</v>
      </c>
      <c r="H3119">
        <v>0.25632479807622999</v>
      </c>
      <c r="I3119">
        <v>3</v>
      </c>
      <c r="J3119">
        <v>1.993977025</v>
      </c>
      <c r="P3119"/>
      <c r="V3119">
        <v>0.232351553958942</v>
      </c>
      <c r="W3119">
        <v>3</v>
      </c>
      <c r="X3119">
        <v>96479.917168683998</v>
      </c>
      <c r="Y3119">
        <v>6228</v>
      </c>
      <c r="Z3119">
        <v>12.689121863250699</v>
      </c>
      <c r="AA3119">
        <v>50</v>
      </c>
    </row>
    <row r="3120" spans="1:27" x14ac:dyDescent="0.2">
      <c r="A3120">
        <v>40</v>
      </c>
      <c r="B3120">
        <v>3</v>
      </c>
      <c r="C3120">
        <v>0.1</v>
      </c>
      <c r="D3120">
        <v>20</v>
      </c>
      <c r="E3120">
        <v>0.95567668283861096</v>
      </c>
      <c r="F3120">
        <v>3</v>
      </c>
      <c r="G3120">
        <v>31.149819320999999</v>
      </c>
      <c r="H3120">
        <v>0.862075405441034</v>
      </c>
      <c r="I3120">
        <v>3</v>
      </c>
      <c r="J3120">
        <v>2.5245665110000002</v>
      </c>
      <c r="P3120"/>
      <c r="V3120">
        <v>0.86539865429374896</v>
      </c>
      <c r="W3120">
        <v>3</v>
      </c>
      <c r="X3120">
        <v>106892.936404306</v>
      </c>
      <c r="Y3120">
        <v>6191</v>
      </c>
      <c r="Z3120">
        <v>1.2102728971944501</v>
      </c>
      <c r="AA3120">
        <v>50</v>
      </c>
    </row>
    <row r="3121" spans="1:27" x14ac:dyDescent="0.2">
      <c r="A3121">
        <v>40</v>
      </c>
      <c r="B3121">
        <v>3</v>
      </c>
      <c r="C3121">
        <v>0.1</v>
      </c>
      <c r="D3121">
        <v>20</v>
      </c>
      <c r="E3121">
        <v>0.95246623167828903</v>
      </c>
      <c r="F3121">
        <v>3</v>
      </c>
      <c r="G3121">
        <v>35.357921701999999</v>
      </c>
      <c r="H3121">
        <v>1.00364642972174</v>
      </c>
      <c r="I3121">
        <v>3</v>
      </c>
      <c r="J3121">
        <v>2.7095330419999999</v>
      </c>
      <c r="P3121"/>
      <c r="V3121">
        <v>1.01070824878568</v>
      </c>
      <c r="W3121">
        <v>3</v>
      </c>
      <c r="X3121">
        <v>99497.194757988997</v>
      </c>
      <c r="Y3121">
        <v>9651</v>
      </c>
      <c r="Z3121">
        <v>1.4350618658474501</v>
      </c>
      <c r="AA3121">
        <v>50</v>
      </c>
    </row>
    <row r="3122" spans="1:27" x14ac:dyDescent="0.2">
      <c r="A3122">
        <v>40</v>
      </c>
      <c r="B3122">
        <v>3</v>
      </c>
      <c r="C3122">
        <v>0.4</v>
      </c>
      <c r="D3122">
        <v>20</v>
      </c>
      <c r="E3122">
        <v>0.119432718693817</v>
      </c>
      <c r="F3122">
        <v>3</v>
      </c>
      <c r="G3122">
        <v>40.865684207999998</v>
      </c>
      <c r="H3122">
        <v>0.106171044243431</v>
      </c>
      <c r="I3122">
        <v>3</v>
      </c>
      <c r="J3122">
        <v>0.91888546800000004</v>
      </c>
      <c r="P3122"/>
      <c r="V3122">
        <v>7.7608863481003695E-2</v>
      </c>
      <c r="W3122">
        <v>3</v>
      </c>
      <c r="X3122">
        <v>100606.53866720499</v>
      </c>
      <c r="Y3122">
        <v>7666</v>
      </c>
      <c r="Z3122">
        <v>19.202589293017802</v>
      </c>
      <c r="AA3122">
        <v>50</v>
      </c>
    </row>
    <row r="3123" spans="1:27" x14ac:dyDescent="0.2">
      <c r="A3123">
        <v>40</v>
      </c>
      <c r="B3123">
        <v>3</v>
      </c>
      <c r="C3123">
        <v>0.2</v>
      </c>
      <c r="D3123">
        <v>20</v>
      </c>
      <c r="E3123">
        <v>0.41337427594371901</v>
      </c>
      <c r="F3123">
        <v>3</v>
      </c>
      <c r="G3123">
        <v>32.947893651999998</v>
      </c>
      <c r="H3123">
        <v>0.24423045848547001</v>
      </c>
      <c r="I3123">
        <v>3</v>
      </c>
      <c r="J3123">
        <v>2.0405802039999998</v>
      </c>
      <c r="P3123"/>
      <c r="V3123">
        <v>0.228379038892081</v>
      </c>
      <c r="W3123">
        <v>3</v>
      </c>
      <c r="X3123">
        <v>100030.78833092601</v>
      </c>
      <c r="Y3123">
        <v>12356</v>
      </c>
      <c r="Z3123">
        <v>14.268781396970301</v>
      </c>
      <c r="AA3123">
        <v>50</v>
      </c>
    </row>
    <row r="3124" spans="1:27" x14ac:dyDescent="0.2">
      <c r="A3124">
        <v>40</v>
      </c>
      <c r="B3124">
        <v>3</v>
      </c>
      <c r="C3124">
        <v>0.1</v>
      </c>
      <c r="D3124">
        <v>20</v>
      </c>
      <c r="E3124">
        <v>0.75876127086132605</v>
      </c>
      <c r="F3124">
        <v>3</v>
      </c>
      <c r="G3124">
        <v>37.68251231</v>
      </c>
      <c r="H3124">
        <v>0.77579747130517596</v>
      </c>
      <c r="I3124">
        <v>3</v>
      </c>
      <c r="J3124">
        <v>2.8560205600000002</v>
      </c>
      <c r="P3124"/>
      <c r="V3124">
        <v>0.77994621792299801</v>
      </c>
      <c r="W3124">
        <v>3</v>
      </c>
      <c r="X3124">
        <v>100770.930836657</v>
      </c>
      <c r="Y3124">
        <v>10901</v>
      </c>
      <c r="Z3124">
        <v>2.9114567162970801</v>
      </c>
      <c r="AA3124">
        <v>50</v>
      </c>
    </row>
    <row r="3125" spans="1:27" x14ac:dyDescent="0.2">
      <c r="A3125">
        <v>40</v>
      </c>
      <c r="B3125">
        <v>3</v>
      </c>
      <c r="C3125">
        <v>0.3</v>
      </c>
      <c r="D3125">
        <v>20</v>
      </c>
      <c r="E3125">
        <v>0.17448989917299701</v>
      </c>
      <c r="F3125">
        <v>3</v>
      </c>
      <c r="G3125">
        <v>38.171889082</v>
      </c>
      <c r="H3125">
        <v>0.13301756556069699</v>
      </c>
      <c r="I3125">
        <v>3</v>
      </c>
      <c r="J3125">
        <v>1.145625144</v>
      </c>
      <c r="P3125"/>
      <c r="V3125">
        <v>0.113501573272664</v>
      </c>
      <c r="W3125">
        <v>3</v>
      </c>
      <c r="X3125">
        <v>97032.968861276997</v>
      </c>
      <c r="Y3125">
        <v>10557</v>
      </c>
      <c r="Z3125">
        <v>22.088460219675099</v>
      </c>
      <c r="AA3125">
        <v>50</v>
      </c>
    </row>
    <row r="3126" spans="1:27" x14ac:dyDescent="0.2">
      <c r="A3126">
        <v>40</v>
      </c>
      <c r="B3126">
        <v>3</v>
      </c>
      <c r="C3126">
        <v>0.1</v>
      </c>
      <c r="D3126">
        <v>20</v>
      </c>
      <c r="E3126">
        <v>0.84421921453175897</v>
      </c>
      <c r="F3126">
        <v>3</v>
      </c>
      <c r="G3126">
        <v>34.145658052999998</v>
      </c>
      <c r="H3126">
        <v>0.83562197671417204</v>
      </c>
      <c r="I3126">
        <v>3</v>
      </c>
      <c r="J3126">
        <v>2.9027283640000001</v>
      </c>
      <c r="P3126"/>
      <c r="V3126">
        <v>0.83859138592869398</v>
      </c>
      <c r="W3126">
        <v>3</v>
      </c>
      <c r="X3126">
        <v>94396.551106307001</v>
      </c>
      <c r="Y3126">
        <v>34195</v>
      </c>
      <c r="Z3126">
        <v>3.1156365761579998</v>
      </c>
      <c r="AA3126">
        <v>50</v>
      </c>
    </row>
    <row r="3127" spans="1:27" x14ac:dyDescent="0.2">
      <c r="A3127">
        <v>40</v>
      </c>
      <c r="B3127">
        <v>3</v>
      </c>
      <c r="C3127">
        <v>0.4</v>
      </c>
      <c r="D3127">
        <v>20</v>
      </c>
      <c r="E3127">
        <v>7.1508161123103195E-2</v>
      </c>
      <c r="F3127">
        <v>3</v>
      </c>
      <c r="G3127">
        <v>40.196334057000001</v>
      </c>
      <c r="H3127">
        <v>8.5416083000880702E-2</v>
      </c>
      <c r="I3127">
        <v>3</v>
      </c>
      <c r="J3127">
        <v>0.75992058200000001</v>
      </c>
      <c r="P3127"/>
      <c r="V3127">
        <v>6.2681373155349801E-2</v>
      </c>
      <c r="W3127">
        <v>3</v>
      </c>
      <c r="X3127">
        <v>96915.846505676993</v>
      </c>
      <c r="Y3127">
        <v>7569</v>
      </c>
      <c r="Z3127">
        <v>30.1753586895627</v>
      </c>
      <c r="AA3127">
        <v>50</v>
      </c>
    </row>
    <row r="3128" spans="1:27" x14ac:dyDescent="0.2">
      <c r="A3128">
        <v>40</v>
      </c>
      <c r="B3128">
        <v>3</v>
      </c>
      <c r="C3128">
        <v>0.2</v>
      </c>
      <c r="D3128">
        <v>20</v>
      </c>
      <c r="E3128">
        <v>0.48280039302564098</v>
      </c>
      <c r="F3128">
        <v>3</v>
      </c>
      <c r="G3128">
        <v>29.693590641</v>
      </c>
      <c r="H3128">
        <v>0.329514243792152</v>
      </c>
      <c r="I3128">
        <v>3</v>
      </c>
      <c r="J3128">
        <v>2.046807491</v>
      </c>
      <c r="P3128"/>
      <c r="V3128">
        <v>0.31596130071165202</v>
      </c>
      <c r="W3128">
        <v>3</v>
      </c>
      <c r="X3128">
        <v>96783.557100411999</v>
      </c>
      <c r="Y3128">
        <v>18992</v>
      </c>
      <c r="Z3128">
        <v>16.452638804368998</v>
      </c>
      <c r="AA3128">
        <v>50</v>
      </c>
    </row>
    <row r="3129" spans="1:27" x14ac:dyDescent="0.2">
      <c r="A3129">
        <v>40</v>
      </c>
      <c r="B3129">
        <v>3</v>
      </c>
      <c r="C3129">
        <v>0.4</v>
      </c>
      <c r="D3129">
        <v>20</v>
      </c>
      <c r="E3129">
        <v>0.129273000388332</v>
      </c>
      <c r="F3129">
        <v>3</v>
      </c>
      <c r="G3129">
        <v>45.420436717999998</v>
      </c>
      <c r="H3129">
        <v>0.12461431608860001</v>
      </c>
      <c r="I3129">
        <v>3</v>
      </c>
      <c r="J3129">
        <v>1.3943529240000001</v>
      </c>
      <c r="P3129"/>
      <c r="V3129">
        <v>0.101093296457769</v>
      </c>
      <c r="W3129">
        <v>3</v>
      </c>
      <c r="X3129">
        <v>94180.188060524</v>
      </c>
      <c r="Y3129">
        <v>0</v>
      </c>
      <c r="Z3129" s="1">
        <v>1E+100</v>
      </c>
      <c r="AA3129">
        <v>50</v>
      </c>
    </row>
    <row r="3130" spans="1:27" x14ac:dyDescent="0.2">
      <c r="A3130">
        <v>40</v>
      </c>
      <c r="B3130">
        <v>3</v>
      </c>
      <c r="C3130">
        <v>0.4</v>
      </c>
      <c r="D3130">
        <v>20</v>
      </c>
      <c r="E3130">
        <v>9.3681391539432807E-2</v>
      </c>
      <c r="F3130">
        <v>3</v>
      </c>
      <c r="G3130">
        <v>35.127227415999997</v>
      </c>
      <c r="H3130">
        <v>0.10352492412086001</v>
      </c>
      <c r="I3130">
        <v>3</v>
      </c>
      <c r="J3130">
        <v>0.71481430099999999</v>
      </c>
      <c r="P3130"/>
      <c r="V3130">
        <v>7.5894762565661494E-2</v>
      </c>
      <c r="W3130">
        <v>3</v>
      </c>
      <c r="X3130">
        <v>96729.956846393994</v>
      </c>
      <c r="Y3130">
        <v>16507</v>
      </c>
      <c r="Z3130">
        <v>19.036260546173999</v>
      </c>
      <c r="AA3130">
        <v>50</v>
      </c>
    </row>
    <row r="3131" spans="1:27" x14ac:dyDescent="0.2">
      <c r="A3131">
        <v>40</v>
      </c>
      <c r="B3131">
        <v>3</v>
      </c>
      <c r="C3131">
        <v>0.3</v>
      </c>
      <c r="D3131">
        <v>20</v>
      </c>
      <c r="E3131">
        <v>0.228344008958066</v>
      </c>
      <c r="F3131">
        <v>3</v>
      </c>
      <c r="G3131">
        <v>38.860060476999998</v>
      </c>
      <c r="H3131">
        <v>0.16418712570473901</v>
      </c>
      <c r="I3131">
        <v>3</v>
      </c>
      <c r="J3131">
        <v>1.017144021</v>
      </c>
      <c r="P3131"/>
      <c r="V3131">
        <v>0.14500050388920699</v>
      </c>
      <c r="W3131">
        <v>3</v>
      </c>
      <c r="X3131">
        <v>96879.235217195994</v>
      </c>
      <c r="Y3131">
        <v>13576</v>
      </c>
      <c r="Z3131">
        <v>17.960723914116599</v>
      </c>
      <c r="AA3131">
        <v>50</v>
      </c>
    </row>
    <row r="3132" spans="1:27" x14ac:dyDescent="0.2">
      <c r="A3132">
        <v>40</v>
      </c>
      <c r="B3132">
        <v>3</v>
      </c>
      <c r="C3132">
        <v>0.1</v>
      </c>
      <c r="D3132">
        <v>20</v>
      </c>
      <c r="E3132">
        <v>0.88812814710670696</v>
      </c>
      <c r="F3132">
        <v>3</v>
      </c>
      <c r="G3132">
        <v>38.391598950999999</v>
      </c>
      <c r="H3132">
        <v>0.88013621017778998</v>
      </c>
      <c r="I3132">
        <v>3</v>
      </c>
      <c r="J3132">
        <v>2.8995972459999999</v>
      </c>
      <c r="P3132"/>
      <c r="V3132">
        <v>0.88551306550499698</v>
      </c>
      <c r="W3132">
        <v>3</v>
      </c>
      <c r="X3132">
        <v>96721.036723351004</v>
      </c>
      <c r="Y3132">
        <v>13910</v>
      </c>
      <c r="Z3132">
        <v>1.85857182086134</v>
      </c>
      <c r="AA3132">
        <v>50</v>
      </c>
    </row>
    <row r="3133" spans="1:27" x14ac:dyDescent="0.2">
      <c r="A3133">
        <v>40</v>
      </c>
      <c r="B3133">
        <v>3</v>
      </c>
      <c r="C3133">
        <v>0.3</v>
      </c>
      <c r="D3133">
        <v>20</v>
      </c>
      <c r="E3133">
        <v>0.15389122594739801</v>
      </c>
      <c r="F3133">
        <v>3</v>
      </c>
      <c r="G3133">
        <v>26.169728056</v>
      </c>
      <c r="H3133">
        <v>0.13213099128875</v>
      </c>
      <c r="I3133">
        <v>3</v>
      </c>
      <c r="J3133">
        <v>1.2494968259999999</v>
      </c>
      <c r="P3133"/>
      <c r="V3133">
        <v>0.106446937998964</v>
      </c>
      <c r="W3133">
        <v>3</v>
      </c>
      <c r="X3133">
        <v>97058.979079993005</v>
      </c>
      <c r="Y3133">
        <v>16673</v>
      </c>
      <c r="Z3133">
        <v>17.572442690577098</v>
      </c>
      <c r="AA3133">
        <v>50</v>
      </c>
    </row>
    <row r="3134" spans="1:27" x14ac:dyDescent="0.2">
      <c r="A3134">
        <v>40</v>
      </c>
      <c r="B3134">
        <v>3</v>
      </c>
      <c r="C3134">
        <v>0.1</v>
      </c>
      <c r="D3134">
        <v>20</v>
      </c>
      <c r="E3134">
        <v>0.95585592097717598</v>
      </c>
      <c r="F3134">
        <v>3</v>
      </c>
      <c r="G3134">
        <v>33.827189844999999</v>
      </c>
      <c r="H3134">
        <v>0.96974912757800502</v>
      </c>
      <c r="I3134">
        <v>3</v>
      </c>
      <c r="J3134">
        <v>2.841673133</v>
      </c>
      <c r="P3134"/>
      <c r="V3134">
        <v>0.97353652017749104</v>
      </c>
      <c r="W3134">
        <v>3</v>
      </c>
      <c r="X3134">
        <v>96569.265121196993</v>
      </c>
      <c r="Y3134">
        <v>15555</v>
      </c>
      <c r="Z3134">
        <v>1.5543975022629699</v>
      </c>
      <c r="AA3134">
        <v>50</v>
      </c>
    </row>
    <row r="3135" spans="1:27" x14ac:dyDescent="0.2">
      <c r="A3135">
        <v>40</v>
      </c>
      <c r="B3135">
        <v>3</v>
      </c>
      <c r="C3135">
        <v>0.2</v>
      </c>
      <c r="D3135">
        <v>20</v>
      </c>
      <c r="E3135">
        <v>0.33777814475113899</v>
      </c>
      <c r="F3135">
        <v>3</v>
      </c>
      <c r="G3135">
        <v>42.305754755000002</v>
      </c>
      <c r="H3135">
        <v>0.26150723810283699</v>
      </c>
      <c r="I3135">
        <v>3</v>
      </c>
      <c r="J3135">
        <v>2.2072963109999999</v>
      </c>
      <c r="P3135"/>
      <c r="V3135">
        <v>0.2426790560224</v>
      </c>
      <c r="W3135">
        <v>3</v>
      </c>
      <c r="X3135">
        <v>98425.933577157994</v>
      </c>
      <c r="Y3135">
        <v>6382</v>
      </c>
      <c r="Z3135">
        <v>15.627387135936999</v>
      </c>
      <c r="AA3135">
        <v>50</v>
      </c>
    </row>
    <row r="3136" spans="1:27" x14ac:dyDescent="0.2">
      <c r="A3136">
        <v>40</v>
      </c>
      <c r="B3136">
        <v>3</v>
      </c>
      <c r="C3136">
        <v>0.4</v>
      </c>
      <c r="D3136">
        <v>20</v>
      </c>
      <c r="E3136">
        <v>9.15697370119051E-2</v>
      </c>
      <c r="F3136">
        <v>3</v>
      </c>
      <c r="G3136">
        <v>31.768811109000001</v>
      </c>
      <c r="H3136">
        <v>0.100087369063487</v>
      </c>
      <c r="I3136">
        <v>3</v>
      </c>
      <c r="J3136">
        <v>0.73678127199999999</v>
      </c>
      <c r="P3136"/>
      <c r="V3136">
        <v>7.8916078465925896E-2</v>
      </c>
      <c r="W3136">
        <v>3</v>
      </c>
      <c r="X3136">
        <v>96979.493376494007</v>
      </c>
      <c r="Y3136">
        <v>11785</v>
      </c>
      <c r="Z3136">
        <v>9.3268422859137292</v>
      </c>
      <c r="AA3136">
        <v>50</v>
      </c>
    </row>
    <row r="3137" spans="1:27" x14ac:dyDescent="0.2">
      <c r="A3137">
        <v>40</v>
      </c>
      <c r="B3137">
        <v>3</v>
      </c>
      <c r="C3137">
        <v>0.2</v>
      </c>
      <c r="D3137">
        <v>20</v>
      </c>
      <c r="E3137">
        <v>0.46741405383766599</v>
      </c>
      <c r="F3137">
        <v>3</v>
      </c>
      <c r="G3137">
        <v>41.912106195</v>
      </c>
      <c r="H3137">
        <v>0.34117398503651403</v>
      </c>
      <c r="I3137">
        <v>3</v>
      </c>
      <c r="J3137">
        <v>2.870974564</v>
      </c>
      <c r="P3137"/>
      <c r="V3137">
        <v>0.31750205262651499</v>
      </c>
      <c r="W3137">
        <v>3</v>
      </c>
      <c r="X3137">
        <v>97384.322741655997</v>
      </c>
      <c r="Y3137">
        <v>28551</v>
      </c>
      <c r="Z3137">
        <v>12.5596863554774</v>
      </c>
      <c r="AA3137">
        <v>50</v>
      </c>
    </row>
    <row r="3138" spans="1:27" x14ac:dyDescent="0.2">
      <c r="A3138">
        <v>40</v>
      </c>
      <c r="B3138">
        <v>3</v>
      </c>
      <c r="C3138">
        <v>0.3</v>
      </c>
      <c r="D3138">
        <v>20</v>
      </c>
      <c r="E3138">
        <v>0.20661780422510101</v>
      </c>
      <c r="F3138">
        <v>3</v>
      </c>
      <c r="G3138">
        <v>44.635502999000003</v>
      </c>
      <c r="H3138">
        <v>0.13062418503711901</v>
      </c>
      <c r="I3138">
        <v>3</v>
      </c>
      <c r="J3138">
        <v>1.437510077</v>
      </c>
      <c r="P3138"/>
      <c r="V3138">
        <v>0.108863311814946</v>
      </c>
      <c r="W3138">
        <v>3</v>
      </c>
      <c r="X3138">
        <v>99002.872880958996</v>
      </c>
      <c r="Y3138">
        <v>7000</v>
      </c>
      <c r="Z3138">
        <v>29.126133067847402</v>
      </c>
      <c r="AA3138">
        <v>50</v>
      </c>
    </row>
    <row r="3139" spans="1:27" x14ac:dyDescent="0.2">
      <c r="A3139">
        <v>40</v>
      </c>
      <c r="B3139">
        <v>3</v>
      </c>
      <c r="C3139">
        <v>0.1</v>
      </c>
      <c r="D3139">
        <v>20</v>
      </c>
      <c r="E3139">
        <v>0.99451767561497195</v>
      </c>
      <c r="F3139">
        <v>3</v>
      </c>
      <c r="G3139">
        <v>36.504330418999999</v>
      </c>
      <c r="H3139">
        <v>1.0020819165654899</v>
      </c>
      <c r="I3139">
        <v>3</v>
      </c>
      <c r="J3139">
        <v>3.0034407000000001</v>
      </c>
      <c r="P3139"/>
      <c r="V3139">
        <v>1.0069267837303799</v>
      </c>
      <c r="W3139">
        <v>3</v>
      </c>
      <c r="X3139">
        <v>97584.732740184001</v>
      </c>
      <c r="Y3139">
        <v>16544</v>
      </c>
      <c r="Z3139">
        <v>1.6901877814722599</v>
      </c>
      <c r="AA3139">
        <v>50</v>
      </c>
    </row>
    <row r="3140" spans="1:27" x14ac:dyDescent="0.2">
      <c r="A3140">
        <v>40</v>
      </c>
      <c r="B3140">
        <v>3</v>
      </c>
      <c r="C3140">
        <v>0.2</v>
      </c>
      <c r="D3140">
        <v>20</v>
      </c>
      <c r="E3140">
        <v>0.33897458393034802</v>
      </c>
      <c r="F3140">
        <v>3</v>
      </c>
      <c r="G3140">
        <v>31.714327101999999</v>
      </c>
      <c r="H3140">
        <v>0.238308724000872</v>
      </c>
      <c r="I3140">
        <v>3</v>
      </c>
      <c r="J3140">
        <v>1.8045988580000001</v>
      </c>
      <c r="P3140"/>
      <c r="V3140">
        <v>0.20907798901511701</v>
      </c>
      <c r="W3140">
        <v>3</v>
      </c>
      <c r="X3140">
        <v>100242.771152492</v>
      </c>
      <c r="Y3140">
        <v>9089</v>
      </c>
      <c r="Z3140">
        <v>15.5644820478363</v>
      </c>
      <c r="AA3140">
        <v>50</v>
      </c>
    </row>
    <row r="3141" spans="1:27" x14ac:dyDescent="0.2">
      <c r="A3141">
        <v>40</v>
      </c>
      <c r="B3141">
        <v>3</v>
      </c>
      <c r="C3141">
        <v>0.4</v>
      </c>
      <c r="D3141">
        <v>20</v>
      </c>
      <c r="E3141">
        <v>0.16164468523947401</v>
      </c>
      <c r="F3141">
        <v>3</v>
      </c>
      <c r="G3141">
        <v>42.196002343000004</v>
      </c>
      <c r="H3141">
        <v>0.15400490212220999</v>
      </c>
      <c r="I3141">
        <v>3</v>
      </c>
      <c r="J3141">
        <v>1.058753915</v>
      </c>
      <c r="P3141"/>
      <c r="V3141">
        <v>0.131090271251564</v>
      </c>
      <c r="W3141">
        <v>3</v>
      </c>
      <c r="X3141">
        <v>94191.706020840007</v>
      </c>
      <c r="Y3141">
        <v>0</v>
      </c>
      <c r="Z3141" s="1">
        <v>1E+100</v>
      </c>
      <c r="AA3141">
        <v>50</v>
      </c>
    </row>
    <row r="3142" spans="1:27" x14ac:dyDescent="0.2">
      <c r="A3142">
        <v>40</v>
      </c>
      <c r="B3142">
        <v>3</v>
      </c>
      <c r="C3142">
        <v>0.4</v>
      </c>
      <c r="D3142">
        <v>20</v>
      </c>
      <c r="E3142">
        <v>6.3983631383714407E-2</v>
      </c>
      <c r="F3142">
        <v>3</v>
      </c>
      <c r="G3142">
        <v>36.393447092000002</v>
      </c>
      <c r="H3142">
        <v>7.5534110529195495E-2</v>
      </c>
      <c r="I3142">
        <v>3</v>
      </c>
      <c r="J3142">
        <v>0.59785647900000005</v>
      </c>
      <c r="P3142"/>
      <c r="V3142">
        <v>5.2711712906817303E-2</v>
      </c>
      <c r="W3142">
        <v>3</v>
      </c>
      <c r="X3142">
        <v>96598.006707912995</v>
      </c>
      <c r="Y3142">
        <v>17222</v>
      </c>
      <c r="Z3142">
        <v>18.370018449414101</v>
      </c>
      <c r="AA3142">
        <v>50</v>
      </c>
    </row>
    <row r="3143" spans="1:27" x14ac:dyDescent="0.2">
      <c r="A3143">
        <v>40</v>
      </c>
      <c r="B3143">
        <v>3</v>
      </c>
      <c r="C3143">
        <v>0.3</v>
      </c>
      <c r="D3143">
        <v>20</v>
      </c>
      <c r="E3143">
        <v>0.183877801085259</v>
      </c>
      <c r="F3143">
        <v>3</v>
      </c>
      <c r="G3143">
        <v>36.110211954999997</v>
      </c>
      <c r="H3143">
        <v>0.147879066080701</v>
      </c>
      <c r="I3143">
        <v>3</v>
      </c>
      <c r="J3143">
        <v>0.70035344600000005</v>
      </c>
      <c r="P3143"/>
      <c r="V3143">
        <v>0.128016863269523</v>
      </c>
      <c r="W3143">
        <v>3</v>
      </c>
      <c r="X3143">
        <v>97258.827642421005</v>
      </c>
      <c r="Y3143">
        <v>16485</v>
      </c>
      <c r="Z3143">
        <v>13.776328031296501</v>
      </c>
      <c r="AA3143">
        <v>50</v>
      </c>
    </row>
    <row r="3144" spans="1:27" x14ac:dyDescent="0.2">
      <c r="A3144">
        <v>40</v>
      </c>
      <c r="B3144">
        <v>3</v>
      </c>
      <c r="C3144">
        <v>0.3</v>
      </c>
      <c r="D3144">
        <v>20</v>
      </c>
      <c r="E3144">
        <v>0.23153663645546299</v>
      </c>
      <c r="F3144">
        <v>3</v>
      </c>
      <c r="G3144">
        <v>35.829100773</v>
      </c>
      <c r="H3144">
        <v>0.21412789883943301</v>
      </c>
      <c r="I3144">
        <v>3</v>
      </c>
      <c r="J3144">
        <v>0.98573365999999996</v>
      </c>
      <c r="P3144"/>
      <c r="V3144">
        <v>0.20002913323796601</v>
      </c>
      <c r="W3144">
        <v>3</v>
      </c>
      <c r="X3144">
        <v>94151.842720857996</v>
      </c>
      <c r="Y3144">
        <v>0</v>
      </c>
      <c r="Z3144" s="1">
        <v>1E+100</v>
      </c>
      <c r="AA3144">
        <v>50</v>
      </c>
    </row>
    <row r="3145" spans="1:27" x14ac:dyDescent="0.2">
      <c r="A3145">
        <v>40</v>
      </c>
      <c r="B3145">
        <v>3</v>
      </c>
      <c r="C3145">
        <v>0.3</v>
      </c>
      <c r="D3145">
        <v>20</v>
      </c>
      <c r="E3145">
        <v>0.18515347837101601</v>
      </c>
      <c r="F3145">
        <v>3</v>
      </c>
      <c r="G3145">
        <v>38.984253434000003</v>
      </c>
      <c r="H3145">
        <v>0.15119778716106699</v>
      </c>
      <c r="I3145">
        <v>3</v>
      </c>
      <c r="J3145">
        <v>0.80627425100000005</v>
      </c>
      <c r="P3145"/>
      <c r="V3145">
        <v>0.12214671882322301</v>
      </c>
      <c r="W3145">
        <v>3</v>
      </c>
      <c r="X3145">
        <v>94142.938492255998</v>
      </c>
      <c r="Y3145">
        <v>0</v>
      </c>
      <c r="Z3145" s="1">
        <v>1E+100</v>
      </c>
      <c r="AA3145">
        <v>50</v>
      </c>
    </row>
    <row r="3146" spans="1:27" x14ac:dyDescent="0.2">
      <c r="A3146">
        <v>40</v>
      </c>
      <c r="B3146">
        <v>3</v>
      </c>
      <c r="C3146">
        <v>0.4</v>
      </c>
      <c r="D3146">
        <v>20</v>
      </c>
      <c r="E3146">
        <v>8.0660302714484697E-2</v>
      </c>
      <c r="F3146">
        <v>3</v>
      </c>
      <c r="G3146">
        <v>34.292266542999997</v>
      </c>
      <c r="H3146">
        <v>9.2735390927270206E-2</v>
      </c>
      <c r="I3146">
        <v>3</v>
      </c>
      <c r="J3146">
        <v>0.88163078299999997</v>
      </c>
      <c r="P3146"/>
      <c r="V3146">
        <v>6.8702882224610906E-2</v>
      </c>
      <c r="W3146">
        <v>3</v>
      </c>
      <c r="X3146">
        <v>96701.654054319995</v>
      </c>
      <c r="Y3146">
        <v>16714</v>
      </c>
      <c r="Z3146">
        <v>15.121673466741401</v>
      </c>
      <c r="AA3146">
        <v>50</v>
      </c>
    </row>
    <row r="3147" spans="1:27" x14ac:dyDescent="0.2">
      <c r="A3147">
        <v>40</v>
      </c>
      <c r="B3147">
        <v>3</v>
      </c>
      <c r="C3147">
        <v>0.1</v>
      </c>
      <c r="D3147">
        <v>20</v>
      </c>
      <c r="E3147">
        <v>1.0637373008406299</v>
      </c>
      <c r="F3147">
        <v>3</v>
      </c>
      <c r="G3147">
        <v>32.693608435000002</v>
      </c>
      <c r="H3147">
        <v>1.0587809298077699</v>
      </c>
      <c r="I3147">
        <v>3</v>
      </c>
      <c r="J3147">
        <v>2.7368587130000002</v>
      </c>
      <c r="P3147"/>
      <c r="V3147">
        <v>1.0646928055282601</v>
      </c>
      <c r="W3147">
        <v>3</v>
      </c>
      <c r="X3147">
        <v>94295.339188187005</v>
      </c>
      <c r="Y3147">
        <v>8953</v>
      </c>
      <c r="Z3147">
        <v>1.61902552758146</v>
      </c>
      <c r="AA3147">
        <v>50</v>
      </c>
    </row>
    <row r="3148" spans="1:27" x14ac:dyDescent="0.2">
      <c r="A3148">
        <v>40</v>
      </c>
      <c r="B3148">
        <v>3</v>
      </c>
      <c r="C3148">
        <v>0.1</v>
      </c>
      <c r="D3148">
        <v>20</v>
      </c>
      <c r="E3148">
        <v>0.98402677466514998</v>
      </c>
      <c r="F3148">
        <v>3</v>
      </c>
      <c r="G3148">
        <v>48.253200507999999</v>
      </c>
      <c r="H3148">
        <v>0.98015472506628998</v>
      </c>
      <c r="I3148">
        <v>3</v>
      </c>
      <c r="J3148">
        <v>3.4759175670000002</v>
      </c>
      <c r="P3148"/>
      <c r="V3148">
        <v>0.98506973170793999</v>
      </c>
      <c r="W3148">
        <v>3</v>
      </c>
      <c r="X3148">
        <v>97502.874811350004</v>
      </c>
      <c r="Y3148">
        <v>7213</v>
      </c>
      <c r="Z3148">
        <v>1.9524034312693499</v>
      </c>
      <c r="AA3148">
        <v>50</v>
      </c>
    </row>
    <row r="3149" spans="1:27" x14ac:dyDescent="0.2">
      <c r="A3149">
        <v>40</v>
      </c>
      <c r="B3149">
        <v>3</v>
      </c>
      <c r="C3149">
        <v>0.1</v>
      </c>
      <c r="D3149">
        <v>20</v>
      </c>
      <c r="E3149">
        <v>0.97304367509922896</v>
      </c>
      <c r="F3149">
        <v>3</v>
      </c>
      <c r="G3149">
        <v>28.934086867000001</v>
      </c>
      <c r="H3149">
        <v>0.91345183132793895</v>
      </c>
      <c r="I3149">
        <v>3</v>
      </c>
      <c r="J3149">
        <v>2.3973998179999998</v>
      </c>
      <c r="P3149"/>
      <c r="V3149">
        <v>0.91684777041416798</v>
      </c>
      <c r="W3149">
        <v>3</v>
      </c>
      <c r="X3149">
        <v>93289.596433776998</v>
      </c>
      <c r="Y3149">
        <v>6013</v>
      </c>
      <c r="Z3149">
        <v>1.0414206011023801</v>
      </c>
      <c r="AA3149">
        <v>50</v>
      </c>
    </row>
    <row r="3150" spans="1:27" x14ac:dyDescent="0.2">
      <c r="A3150">
        <v>40</v>
      </c>
      <c r="B3150">
        <v>3</v>
      </c>
      <c r="C3150">
        <v>0.3</v>
      </c>
      <c r="D3150">
        <v>20</v>
      </c>
      <c r="E3150">
        <v>0.19589353020508499</v>
      </c>
      <c r="F3150">
        <v>3</v>
      </c>
      <c r="G3150">
        <v>35.620694475000001</v>
      </c>
      <c r="H3150">
        <v>0.134232079791654</v>
      </c>
      <c r="I3150">
        <v>3</v>
      </c>
      <c r="J3150">
        <v>1.2638349170000001</v>
      </c>
      <c r="P3150"/>
      <c r="V3150">
        <v>0.112343786490742</v>
      </c>
      <c r="W3150">
        <v>3</v>
      </c>
      <c r="X3150">
        <v>96474.399903280995</v>
      </c>
      <c r="Y3150">
        <v>7641</v>
      </c>
      <c r="Z3150">
        <v>28.2681916492377</v>
      </c>
      <c r="AA3150">
        <v>50</v>
      </c>
    </row>
    <row r="3151" spans="1:27" x14ac:dyDescent="0.2">
      <c r="A3151">
        <v>40</v>
      </c>
      <c r="B3151">
        <v>3</v>
      </c>
      <c r="C3151">
        <v>0.2</v>
      </c>
      <c r="D3151">
        <v>20</v>
      </c>
      <c r="E3151">
        <v>0.42060791229040101</v>
      </c>
      <c r="F3151">
        <v>3</v>
      </c>
      <c r="G3151">
        <v>33.877542695000002</v>
      </c>
      <c r="H3151">
        <v>0.26626992929847398</v>
      </c>
      <c r="I3151">
        <v>3</v>
      </c>
      <c r="J3151">
        <v>1.251411461</v>
      </c>
      <c r="P3151"/>
      <c r="V3151">
        <v>0.24044885238306901</v>
      </c>
      <c r="W3151">
        <v>3</v>
      </c>
      <c r="X3151">
        <v>96637.996876471007</v>
      </c>
      <c r="Y3151">
        <v>19226</v>
      </c>
      <c r="Z3151">
        <v>24.879520390172502</v>
      </c>
      <c r="AA3151">
        <v>50</v>
      </c>
    </row>
    <row r="3152" spans="1:27" x14ac:dyDescent="0.2">
      <c r="A3152">
        <v>40</v>
      </c>
      <c r="B3152">
        <v>3</v>
      </c>
      <c r="C3152">
        <v>0.4</v>
      </c>
      <c r="D3152">
        <v>20</v>
      </c>
      <c r="E3152">
        <v>6.5082978019675497E-2</v>
      </c>
      <c r="F3152">
        <v>3</v>
      </c>
      <c r="G3152">
        <v>37.373740617999999</v>
      </c>
      <c r="H3152">
        <v>8.93318588645345E-2</v>
      </c>
      <c r="I3152">
        <v>3</v>
      </c>
      <c r="J3152">
        <v>0.80813490200000004</v>
      </c>
      <c r="P3152"/>
      <c r="V3152">
        <v>6.5784234077826007E-2</v>
      </c>
      <c r="W3152">
        <v>3</v>
      </c>
      <c r="X3152">
        <v>96614.042161382997</v>
      </c>
      <c r="Y3152">
        <v>19188</v>
      </c>
      <c r="Z3152">
        <v>16.889289508281902</v>
      </c>
      <c r="AA3152">
        <v>50</v>
      </c>
    </row>
    <row r="3153" spans="1:27" x14ac:dyDescent="0.2">
      <c r="A3153">
        <v>40</v>
      </c>
      <c r="B3153">
        <v>3</v>
      </c>
      <c r="C3153">
        <v>0.3</v>
      </c>
      <c r="D3153">
        <v>20</v>
      </c>
      <c r="E3153">
        <v>0.14657033267905301</v>
      </c>
      <c r="F3153">
        <v>3</v>
      </c>
      <c r="G3153">
        <v>25.980040132999999</v>
      </c>
      <c r="H3153">
        <v>0.112302398893734</v>
      </c>
      <c r="I3153">
        <v>3</v>
      </c>
      <c r="J3153">
        <v>0.57123220200000002</v>
      </c>
      <c r="P3153"/>
      <c r="V3153">
        <v>9.0600481144285899E-2</v>
      </c>
      <c r="W3153">
        <v>3</v>
      </c>
      <c r="X3153">
        <v>96438.012672309007</v>
      </c>
      <c r="Y3153">
        <v>6045</v>
      </c>
      <c r="Z3153">
        <v>24.6866360834624</v>
      </c>
      <c r="AA3153">
        <v>50</v>
      </c>
    </row>
    <row r="3154" spans="1:27" x14ac:dyDescent="0.2">
      <c r="A3154">
        <v>40</v>
      </c>
      <c r="B3154">
        <v>3</v>
      </c>
      <c r="C3154">
        <v>0.1</v>
      </c>
      <c r="D3154">
        <v>20</v>
      </c>
      <c r="E3154">
        <v>0.88568206376854197</v>
      </c>
      <c r="F3154">
        <v>3</v>
      </c>
      <c r="G3154">
        <v>36.951053123000001</v>
      </c>
      <c r="H3154">
        <v>0.87926794421862897</v>
      </c>
      <c r="I3154">
        <v>3</v>
      </c>
      <c r="J3154">
        <v>2.8744014490000001</v>
      </c>
      <c r="P3154"/>
      <c r="V3154">
        <v>0.88406222931577305</v>
      </c>
      <c r="W3154">
        <v>3</v>
      </c>
      <c r="X3154">
        <v>97671.578782783006</v>
      </c>
      <c r="Y3154">
        <v>12749</v>
      </c>
      <c r="Z3154">
        <v>1.91198360686667</v>
      </c>
      <c r="AA3154">
        <v>50</v>
      </c>
    </row>
    <row r="3155" spans="1:27" x14ac:dyDescent="0.2">
      <c r="A3155">
        <v>40</v>
      </c>
      <c r="B3155">
        <v>3</v>
      </c>
      <c r="C3155">
        <v>0.1</v>
      </c>
      <c r="D3155">
        <v>20</v>
      </c>
      <c r="E3155">
        <v>0.90918337552070305</v>
      </c>
      <c r="F3155">
        <v>3</v>
      </c>
      <c r="G3155">
        <v>37.985763882000001</v>
      </c>
      <c r="H3155">
        <v>0.91845352709448602</v>
      </c>
      <c r="I3155">
        <v>3</v>
      </c>
      <c r="J3155">
        <v>3.0311752830000001</v>
      </c>
      <c r="P3155"/>
      <c r="V3155">
        <v>0.92425823169420596</v>
      </c>
      <c r="W3155">
        <v>3</v>
      </c>
      <c r="X3155">
        <v>97393.296999986007</v>
      </c>
      <c r="Y3155">
        <v>8193</v>
      </c>
      <c r="Z3155">
        <v>1.11227719210434</v>
      </c>
      <c r="AA3155">
        <v>50</v>
      </c>
    </row>
    <row r="3156" spans="1:27" x14ac:dyDescent="0.2">
      <c r="A3156">
        <v>40</v>
      </c>
      <c r="B3156">
        <v>3</v>
      </c>
      <c r="C3156">
        <v>0.4</v>
      </c>
      <c r="D3156">
        <v>20</v>
      </c>
      <c r="E3156">
        <v>9.6124422005363794E-2</v>
      </c>
      <c r="F3156">
        <v>3</v>
      </c>
      <c r="G3156">
        <v>33.589127523000002</v>
      </c>
      <c r="H3156">
        <v>0.11164479993946801</v>
      </c>
      <c r="I3156">
        <v>3</v>
      </c>
      <c r="J3156">
        <v>0.64302064999999997</v>
      </c>
      <c r="P3156"/>
      <c r="V3156">
        <v>8.7958853830759298E-2</v>
      </c>
      <c r="W3156">
        <v>3</v>
      </c>
      <c r="X3156">
        <v>96647.333317779005</v>
      </c>
      <c r="Y3156">
        <v>18840</v>
      </c>
      <c r="Z3156">
        <v>17.9396389003915</v>
      </c>
      <c r="AA3156">
        <v>50</v>
      </c>
    </row>
    <row r="3157" spans="1:27" x14ac:dyDescent="0.2">
      <c r="A3157">
        <v>40</v>
      </c>
      <c r="B3157">
        <v>3</v>
      </c>
      <c r="C3157">
        <v>0.1</v>
      </c>
      <c r="D3157">
        <v>20</v>
      </c>
      <c r="E3157">
        <v>1.0191000199835201</v>
      </c>
      <c r="F3157">
        <v>3</v>
      </c>
      <c r="G3157">
        <v>37.695068403000001</v>
      </c>
      <c r="H3157">
        <v>1.0017986327953201</v>
      </c>
      <c r="I3157">
        <v>3</v>
      </c>
      <c r="J3157">
        <v>3.5938404450000001</v>
      </c>
      <c r="P3157"/>
      <c r="V3157">
        <v>1.0090133237777299</v>
      </c>
      <c r="W3157">
        <v>3</v>
      </c>
      <c r="X3157">
        <v>96428.162253803996</v>
      </c>
      <c r="Y3157">
        <v>49778</v>
      </c>
      <c r="Z3157">
        <v>1.7176754396998</v>
      </c>
      <c r="AA3157">
        <v>50</v>
      </c>
    </row>
    <row r="3158" spans="1:27" x14ac:dyDescent="0.2">
      <c r="A3158">
        <v>40</v>
      </c>
      <c r="B3158">
        <v>3</v>
      </c>
      <c r="C3158">
        <v>0.3</v>
      </c>
      <c r="D3158">
        <v>20</v>
      </c>
      <c r="E3158">
        <v>0.22739087554172199</v>
      </c>
      <c r="F3158">
        <v>3</v>
      </c>
      <c r="G3158">
        <v>31.118766891</v>
      </c>
      <c r="H3158">
        <v>0.154365465419605</v>
      </c>
      <c r="I3158">
        <v>3</v>
      </c>
      <c r="J3158">
        <v>1.0614618810000001</v>
      </c>
      <c r="P3158"/>
      <c r="V3158">
        <v>0.13057574209537601</v>
      </c>
      <c r="W3158">
        <v>3</v>
      </c>
      <c r="X3158">
        <v>95736.875336893005</v>
      </c>
      <c r="Y3158">
        <v>6432</v>
      </c>
      <c r="Z3158">
        <v>24.7607232302828</v>
      </c>
      <c r="AA3158">
        <v>50</v>
      </c>
    </row>
    <row r="3159" spans="1:27" x14ac:dyDescent="0.2">
      <c r="A3159">
        <v>40</v>
      </c>
      <c r="B3159">
        <v>3</v>
      </c>
      <c r="C3159">
        <v>0.2</v>
      </c>
      <c r="D3159">
        <v>20</v>
      </c>
      <c r="E3159">
        <v>0.34690923509093602</v>
      </c>
      <c r="F3159">
        <v>3</v>
      </c>
      <c r="G3159">
        <v>32.251377028</v>
      </c>
      <c r="H3159">
        <v>0.24291638315741801</v>
      </c>
      <c r="I3159">
        <v>3</v>
      </c>
      <c r="J3159">
        <v>1.4779563979999999</v>
      </c>
      <c r="P3159"/>
      <c r="V3159">
        <v>0.222992667978585</v>
      </c>
      <c r="W3159">
        <v>3</v>
      </c>
      <c r="X3159">
        <v>97466.348260002997</v>
      </c>
      <c r="Y3159">
        <v>6925</v>
      </c>
      <c r="Z3159">
        <v>20.279218935512102</v>
      </c>
      <c r="AA3159">
        <v>50</v>
      </c>
    </row>
    <row r="3160" spans="1:27" x14ac:dyDescent="0.2">
      <c r="A3160">
        <v>40</v>
      </c>
      <c r="B3160">
        <v>3</v>
      </c>
      <c r="C3160">
        <v>0.1</v>
      </c>
      <c r="D3160">
        <v>20</v>
      </c>
      <c r="E3160">
        <v>0.88830417964811903</v>
      </c>
      <c r="F3160">
        <v>3</v>
      </c>
      <c r="G3160">
        <v>36.553345638000003</v>
      </c>
      <c r="H3160">
        <v>0.93904721842136296</v>
      </c>
      <c r="I3160">
        <v>3</v>
      </c>
      <c r="J3160">
        <v>2.759000125</v>
      </c>
      <c r="P3160"/>
      <c r="V3160">
        <v>0.94561231825320802</v>
      </c>
      <c r="W3160">
        <v>3</v>
      </c>
      <c r="X3160">
        <v>97279.171411351999</v>
      </c>
      <c r="Y3160">
        <v>13033</v>
      </c>
      <c r="Z3160">
        <v>3.1853136056298998</v>
      </c>
      <c r="AA3160">
        <v>50</v>
      </c>
    </row>
    <row r="3161" spans="1:27" x14ac:dyDescent="0.2">
      <c r="A3161">
        <v>40</v>
      </c>
      <c r="B3161">
        <v>3</v>
      </c>
      <c r="C3161">
        <v>0.4</v>
      </c>
      <c r="D3161">
        <v>20</v>
      </c>
      <c r="E3161">
        <v>8.2917751231090006E-2</v>
      </c>
      <c r="F3161">
        <v>3</v>
      </c>
      <c r="G3161">
        <v>36.81649092</v>
      </c>
      <c r="H3161">
        <v>9.4277531769905498E-2</v>
      </c>
      <c r="I3161">
        <v>3</v>
      </c>
      <c r="J3161">
        <v>0.547129482</v>
      </c>
      <c r="P3161"/>
      <c r="V3161">
        <v>6.7975087787604499E-2</v>
      </c>
      <c r="W3161">
        <v>3</v>
      </c>
      <c r="X3161">
        <v>96437.830509004998</v>
      </c>
      <c r="Y3161">
        <v>9416</v>
      </c>
      <c r="Z3161">
        <v>21.119003686206501</v>
      </c>
      <c r="AA3161">
        <v>50</v>
      </c>
    </row>
    <row r="3162" spans="1:27" x14ac:dyDescent="0.2">
      <c r="A3162">
        <v>40</v>
      </c>
      <c r="B3162">
        <v>3</v>
      </c>
      <c r="C3162">
        <v>0.2</v>
      </c>
      <c r="D3162">
        <v>20</v>
      </c>
      <c r="E3162">
        <v>0.360489176609191</v>
      </c>
      <c r="F3162">
        <v>3</v>
      </c>
      <c r="G3162">
        <v>37.915000374999998</v>
      </c>
      <c r="H3162">
        <v>0.25554543762244297</v>
      </c>
      <c r="I3162">
        <v>3</v>
      </c>
      <c r="J3162">
        <v>1.6530481809999999</v>
      </c>
      <c r="P3162"/>
      <c r="V3162">
        <v>0.24189291949616301</v>
      </c>
      <c r="W3162">
        <v>3</v>
      </c>
      <c r="X3162">
        <v>99206.855679799002</v>
      </c>
      <c r="Y3162">
        <v>10249</v>
      </c>
      <c r="Z3162">
        <v>10.844959842743201</v>
      </c>
      <c r="AA3162">
        <v>50</v>
      </c>
    </row>
    <row r="3163" spans="1:27" x14ac:dyDescent="0.2">
      <c r="A3163">
        <v>40</v>
      </c>
      <c r="B3163">
        <v>3</v>
      </c>
      <c r="C3163">
        <v>0.3</v>
      </c>
      <c r="D3163">
        <v>20</v>
      </c>
      <c r="E3163">
        <v>0.21458681515983599</v>
      </c>
      <c r="F3163">
        <v>3</v>
      </c>
      <c r="G3163">
        <v>32.108759325999998</v>
      </c>
      <c r="H3163">
        <v>0.18760316860444801</v>
      </c>
      <c r="I3163">
        <v>3</v>
      </c>
      <c r="J3163">
        <v>1.167135112</v>
      </c>
      <c r="P3163"/>
      <c r="V3163">
        <v>0.15940794970088201</v>
      </c>
      <c r="W3163">
        <v>3</v>
      </c>
      <c r="X3163">
        <v>96628.818672880006</v>
      </c>
      <c r="Y3163">
        <v>18003</v>
      </c>
      <c r="Z3163">
        <v>29.831726593959001</v>
      </c>
      <c r="AA3163">
        <v>50</v>
      </c>
    </row>
    <row r="3164" spans="1:27" x14ac:dyDescent="0.2">
      <c r="A3164">
        <v>40</v>
      </c>
      <c r="B3164">
        <v>3</v>
      </c>
      <c r="C3164">
        <v>0.4</v>
      </c>
      <c r="D3164">
        <v>20</v>
      </c>
      <c r="E3164">
        <v>0.215469261379198</v>
      </c>
      <c r="F3164">
        <v>3</v>
      </c>
      <c r="G3164">
        <v>32.043621494999996</v>
      </c>
      <c r="H3164">
        <v>0.12274669791554001</v>
      </c>
      <c r="I3164">
        <v>3</v>
      </c>
      <c r="J3164">
        <v>0.58354324300000004</v>
      </c>
      <c r="P3164"/>
      <c r="V3164">
        <v>0.10199380169618499</v>
      </c>
      <c r="W3164">
        <v>3</v>
      </c>
      <c r="X3164">
        <v>96684.317861183998</v>
      </c>
      <c r="Y3164">
        <v>19364</v>
      </c>
      <c r="Z3164">
        <v>23.761244789149998</v>
      </c>
      <c r="AA3164">
        <v>50</v>
      </c>
    </row>
    <row r="3165" spans="1:27" x14ac:dyDescent="0.2">
      <c r="A3165">
        <v>40</v>
      </c>
      <c r="B3165">
        <v>3</v>
      </c>
      <c r="C3165">
        <v>0.3</v>
      </c>
      <c r="D3165">
        <v>20</v>
      </c>
      <c r="E3165">
        <v>0.25197679966721698</v>
      </c>
      <c r="F3165">
        <v>3</v>
      </c>
      <c r="G3165">
        <v>39.856212886000002</v>
      </c>
      <c r="H3165">
        <v>0.17839334521163999</v>
      </c>
      <c r="I3165">
        <v>3</v>
      </c>
      <c r="J3165">
        <v>1.1580129130000001</v>
      </c>
      <c r="P3165"/>
      <c r="V3165">
        <v>0.15130101460839601</v>
      </c>
      <c r="W3165">
        <v>3</v>
      </c>
      <c r="X3165">
        <v>99284.107584026002</v>
      </c>
      <c r="Y3165">
        <v>8091</v>
      </c>
      <c r="Z3165">
        <v>28.532557252526299</v>
      </c>
      <c r="AA3165">
        <v>50</v>
      </c>
    </row>
    <row r="3166" spans="1:27" x14ac:dyDescent="0.2">
      <c r="A3166">
        <v>40</v>
      </c>
      <c r="B3166">
        <v>3</v>
      </c>
      <c r="C3166">
        <v>0.2</v>
      </c>
      <c r="D3166">
        <v>20</v>
      </c>
      <c r="E3166">
        <v>0.461676511416864</v>
      </c>
      <c r="F3166">
        <v>3</v>
      </c>
      <c r="G3166">
        <v>34.420273019</v>
      </c>
      <c r="H3166">
        <v>0.29789096926755998</v>
      </c>
      <c r="I3166">
        <v>3</v>
      </c>
      <c r="J3166">
        <v>2.1280603400000002</v>
      </c>
      <c r="P3166"/>
      <c r="V3166">
        <v>0.28015125038724897</v>
      </c>
      <c r="W3166">
        <v>3</v>
      </c>
      <c r="X3166">
        <v>97373.502040056002</v>
      </c>
      <c r="Y3166">
        <v>12393</v>
      </c>
      <c r="Z3166">
        <v>19.480276374826602</v>
      </c>
      <c r="AA3166">
        <v>50</v>
      </c>
    </row>
    <row r="3167" spans="1:27" x14ac:dyDescent="0.2">
      <c r="A3167">
        <v>40</v>
      </c>
      <c r="B3167">
        <v>3</v>
      </c>
      <c r="C3167">
        <v>0.1</v>
      </c>
      <c r="D3167">
        <v>20</v>
      </c>
      <c r="E3167">
        <v>0.86350951990342995</v>
      </c>
      <c r="F3167">
        <v>3</v>
      </c>
      <c r="G3167">
        <v>33.988562827000003</v>
      </c>
      <c r="H3167">
        <v>0.90277795569681196</v>
      </c>
      <c r="I3167">
        <v>3</v>
      </c>
      <c r="J3167">
        <v>3.5470339719999999</v>
      </c>
      <c r="P3167"/>
      <c r="V3167">
        <v>0.90390888820701598</v>
      </c>
      <c r="W3167">
        <v>3</v>
      </c>
      <c r="X3167">
        <v>97573.302890680003</v>
      </c>
      <c r="Y3167">
        <v>6604</v>
      </c>
      <c r="Z3167">
        <v>1.4646216394212599</v>
      </c>
      <c r="AA3167">
        <v>50</v>
      </c>
    </row>
    <row r="3168" spans="1:27" x14ac:dyDescent="0.2">
      <c r="A3168">
        <v>40</v>
      </c>
      <c r="B3168">
        <v>3</v>
      </c>
      <c r="C3168">
        <v>0.4</v>
      </c>
      <c r="D3168">
        <v>20</v>
      </c>
      <c r="E3168">
        <v>8.4527059745229796E-2</v>
      </c>
      <c r="F3168">
        <v>3</v>
      </c>
      <c r="G3168">
        <v>27.544587461999999</v>
      </c>
      <c r="H3168">
        <v>9.3736375610451603E-2</v>
      </c>
      <c r="I3168">
        <v>3</v>
      </c>
      <c r="J3168">
        <v>0.63228085300000003</v>
      </c>
      <c r="P3168"/>
      <c r="V3168">
        <v>7.0229117467869195E-2</v>
      </c>
      <c r="W3168">
        <v>3</v>
      </c>
      <c r="X3168">
        <v>98463.296051519996</v>
      </c>
      <c r="Y3168">
        <v>6133</v>
      </c>
      <c r="Z3168">
        <v>30.1684593893876</v>
      </c>
      <c r="AA3168">
        <v>50</v>
      </c>
    </row>
    <row r="3169" spans="1:27" x14ac:dyDescent="0.2">
      <c r="A3169">
        <v>40</v>
      </c>
      <c r="B3169">
        <v>3</v>
      </c>
      <c r="C3169">
        <v>0.4</v>
      </c>
      <c r="D3169">
        <v>20</v>
      </c>
      <c r="E3169">
        <v>8.1084203506721297E-2</v>
      </c>
      <c r="F3169">
        <v>3</v>
      </c>
      <c r="G3169">
        <v>32.623475728000003</v>
      </c>
      <c r="H3169">
        <v>8.3636393054154601E-2</v>
      </c>
      <c r="I3169">
        <v>3</v>
      </c>
      <c r="J3169">
        <v>0.66737908800000001</v>
      </c>
      <c r="P3169"/>
      <c r="V3169">
        <v>6.1655076658385703E-2</v>
      </c>
      <c r="W3169">
        <v>3</v>
      </c>
      <c r="X3169">
        <v>96724.977235856</v>
      </c>
      <c r="Y3169">
        <v>29245</v>
      </c>
      <c r="Z3169">
        <v>18.952811160966</v>
      </c>
      <c r="AA3169">
        <v>50</v>
      </c>
    </row>
    <row r="3170" spans="1:27" x14ac:dyDescent="0.2">
      <c r="A3170">
        <v>40</v>
      </c>
      <c r="B3170">
        <v>3</v>
      </c>
      <c r="C3170">
        <v>0.4</v>
      </c>
      <c r="D3170">
        <v>20</v>
      </c>
      <c r="E3170">
        <v>0.12680855187047599</v>
      </c>
      <c r="F3170">
        <v>3</v>
      </c>
      <c r="G3170">
        <v>40.893931250999998</v>
      </c>
      <c r="H3170">
        <v>9.6085119581058698E-2</v>
      </c>
      <c r="I3170">
        <v>3</v>
      </c>
      <c r="J3170">
        <v>0.70858003599999997</v>
      </c>
      <c r="P3170"/>
      <c r="V3170">
        <v>7.4736881809352895E-2</v>
      </c>
      <c r="W3170">
        <v>3</v>
      </c>
      <c r="X3170">
        <v>97316.080043538997</v>
      </c>
      <c r="Y3170">
        <v>9590</v>
      </c>
      <c r="Z3170">
        <v>15.9491888516638</v>
      </c>
      <c r="AA3170">
        <v>50</v>
      </c>
    </row>
    <row r="3171" spans="1:27" x14ac:dyDescent="0.2">
      <c r="A3171">
        <v>40</v>
      </c>
      <c r="B3171">
        <v>3</v>
      </c>
      <c r="C3171">
        <v>0.2</v>
      </c>
      <c r="D3171">
        <v>20</v>
      </c>
      <c r="E3171">
        <v>0.39916697901704001</v>
      </c>
      <c r="F3171">
        <v>3</v>
      </c>
      <c r="G3171">
        <v>29.088949184000001</v>
      </c>
      <c r="H3171">
        <v>0.26673542971522002</v>
      </c>
      <c r="I3171">
        <v>3</v>
      </c>
      <c r="J3171">
        <v>1.4221832160000001</v>
      </c>
      <c r="P3171"/>
      <c r="V3171">
        <v>0.246675412638794</v>
      </c>
      <c r="W3171">
        <v>3</v>
      </c>
      <c r="X3171">
        <v>100451.854487403</v>
      </c>
      <c r="Y3171">
        <v>10988</v>
      </c>
      <c r="Z3171">
        <v>9.6242103344844097</v>
      </c>
      <c r="AA3171">
        <v>50</v>
      </c>
    </row>
    <row r="3172" spans="1:27" x14ac:dyDescent="0.2">
      <c r="A3172">
        <v>40</v>
      </c>
      <c r="B3172">
        <v>3</v>
      </c>
      <c r="C3172">
        <v>0.1</v>
      </c>
      <c r="D3172">
        <v>20</v>
      </c>
      <c r="E3172">
        <v>0.93120710106034699</v>
      </c>
      <c r="F3172">
        <v>3</v>
      </c>
      <c r="G3172">
        <v>32.964988192</v>
      </c>
      <c r="H3172">
        <v>0.92456165512183497</v>
      </c>
      <c r="I3172">
        <v>3</v>
      </c>
      <c r="J3172">
        <v>3.4504486929999998</v>
      </c>
      <c r="P3172"/>
      <c r="V3172">
        <v>0.92972824091808504</v>
      </c>
      <c r="W3172">
        <v>3</v>
      </c>
      <c r="X3172">
        <v>97524.888485015006</v>
      </c>
      <c r="Y3172">
        <v>6433</v>
      </c>
      <c r="Z3172">
        <v>1.6145310578771599</v>
      </c>
      <c r="AA3172">
        <v>50</v>
      </c>
    </row>
    <row r="3173" spans="1:27" x14ac:dyDescent="0.2">
      <c r="A3173">
        <v>40</v>
      </c>
      <c r="B3173">
        <v>3</v>
      </c>
      <c r="C3173">
        <v>0.2</v>
      </c>
      <c r="D3173">
        <v>20</v>
      </c>
      <c r="E3173">
        <v>0.42655386632362602</v>
      </c>
      <c r="F3173">
        <v>3</v>
      </c>
      <c r="G3173">
        <v>47.465389965</v>
      </c>
      <c r="H3173">
        <v>0.26340814229089199</v>
      </c>
      <c r="I3173">
        <v>3</v>
      </c>
      <c r="J3173">
        <v>2.0643411559999998</v>
      </c>
      <c r="P3173"/>
      <c r="V3173">
        <v>0.23790723178276299</v>
      </c>
      <c r="W3173">
        <v>3</v>
      </c>
      <c r="X3173">
        <v>96959.197167288003</v>
      </c>
      <c r="Y3173">
        <v>13245</v>
      </c>
      <c r="Z3173">
        <v>16.252030577985401</v>
      </c>
      <c r="AA3173">
        <v>50</v>
      </c>
    </row>
    <row r="3174" spans="1:27" x14ac:dyDescent="0.2">
      <c r="A3174">
        <v>40</v>
      </c>
      <c r="B3174">
        <v>3</v>
      </c>
      <c r="C3174">
        <v>0.2</v>
      </c>
      <c r="D3174">
        <v>20</v>
      </c>
      <c r="E3174">
        <v>0.46609695286691899</v>
      </c>
      <c r="F3174">
        <v>3</v>
      </c>
      <c r="G3174">
        <v>42.481381847999998</v>
      </c>
      <c r="H3174">
        <v>0.32745161565296999</v>
      </c>
      <c r="I3174">
        <v>3</v>
      </c>
      <c r="J3174">
        <v>2.1615293059999998</v>
      </c>
      <c r="P3174"/>
      <c r="V3174">
        <v>0.31202376053563802</v>
      </c>
      <c r="W3174">
        <v>3</v>
      </c>
      <c r="X3174">
        <v>99605.294342391004</v>
      </c>
      <c r="Y3174">
        <v>11281</v>
      </c>
      <c r="Z3174">
        <v>12.0272193538772</v>
      </c>
      <c r="AA3174">
        <v>50</v>
      </c>
    </row>
    <row r="3175" spans="1:27" x14ac:dyDescent="0.2">
      <c r="A3175">
        <v>40</v>
      </c>
      <c r="B3175">
        <v>3</v>
      </c>
      <c r="C3175">
        <v>0.1</v>
      </c>
      <c r="D3175">
        <v>20</v>
      </c>
      <c r="E3175">
        <v>0.89462391982362899</v>
      </c>
      <c r="F3175">
        <v>3</v>
      </c>
      <c r="G3175">
        <v>44.290826983000002</v>
      </c>
      <c r="H3175">
        <v>0.90861486854045403</v>
      </c>
      <c r="I3175">
        <v>3</v>
      </c>
      <c r="J3175">
        <v>3.8619516570000001</v>
      </c>
      <c r="P3175"/>
      <c r="V3175">
        <v>0.910848123659172</v>
      </c>
      <c r="W3175">
        <v>3</v>
      </c>
      <c r="X3175">
        <v>100725.62883287499</v>
      </c>
      <c r="Y3175">
        <v>13191</v>
      </c>
      <c r="Z3175">
        <v>1.6121111465642499</v>
      </c>
      <c r="AA3175">
        <v>50</v>
      </c>
    </row>
    <row r="3176" spans="1:27" x14ac:dyDescent="0.2">
      <c r="A3176">
        <v>40</v>
      </c>
      <c r="B3176">
        <v>3</v>
      </c>
      <c r="C3176">
        <v>0.2</v>
      </c>
      <c r="D3176">
        <v>20</v>
      </c>
      <c r="E3176">
        <v>0.41486814985256798</v>
      </c>
      <c r="F3176">
        <v>3</v>
      </c>
      <c r="G3176">
        <v>31.822605153000001</v>
      </c>
      <c r="H3176">
        <v>0.30552338818541003</v>
      </c>
      <c r="I3176">
        <v>3</v>
      </c>
      <c r="J3176">
        <v>1.9902448180000001</v>
      </c>
      <c r="P3176"/>
      <c r="V3176">
        <v>0.29218343140080599</v>
      </c>
      <c r="W3176">
        <v>3</v>
      </c>
      <c r="X3176">
        <v>99187.802973936006</v>
      </c>
      <c r="Y3176">
        <v>9129</v>
      </c>
      <c r="Z3176">
        <v>14.68910955468</v>
      </c>
      <c r="AA3176">
        <v>50</v>
      </c>
    </row>
    <row r="3177" spans="1:27" x14ac:dyDescent="0.2">
      <c r="A3177">
        <v>40</v>
      </c>
      <c r="B3177">
        <v>3</v>
      </c>
      <c r="C3177">
        <v>0.4</v>
      </c>
      <c r="D3177">
        <v>20</v>
      </c>
      <c r="E3177">
        <v>7.6726917457719701E-2</v>
      </c>
      <c r="F3177">
        <v>3</v>
      </c>
      <c r="G3177">
        <v>37.299371964000002</v>
      </c>
      <c r="H3177">
        <v>8.3260153865937603E-2</v>
      </c>
      <c r="I3177">
        <v>3</v>
      </c>
      <c r="J3177">
        <v>0.77085388600000004</v>
      </c>
      <c r="P3177"/>
      <c r="V3177">
        <v>6.1057440123615699E-2</v>
      </c>
      <c r="W3177">
        <v>3</v>
      </c>
      <c r="X3177">
        <v>97175.314524172005</v>
      </c>
      <c r="Y3177">
        <v>46147</v>
      </c>
      <c r="Z3177">
        <v>35.748935229772201</v>
      </c>
      <c r="AA3177">
        <v>50</v>
      </c>
    </row>
    <row r="3178" spans="1:27" x14ac:dyDescent="0.2">
      <c r="A3178">
        <v>40</v>
      </c>
      <c r="B3178">
        <v>3</v>
      </c>
      <c r="C3178">
        <v>0.3</v>
      </c>
      <c r="D3178">
        <v>20</v>
      </c>
      <c r="E3178">
        <v>0.26027282605304702</v>
      </c>
      <c r="F3178">
        <v>3</v>
      </c>
      <c r="G3178">
        <v>32.947866175000001</v>
      </c>
      <c r="H3178">
        <v>0.21000985170964701</v>
      </c>
      <c r="I3178">
        <v>3</v>
      </c>
      <c r="J3178">
        <v>1.151931885</v>
      </c>
      <c r="P3178"/>
      <c r="V3178">
        <v>0.17907309177806099</v>
      </c>
      <c r="W3178">
        <v>3</v>
      </c>
      <c r="X3178">
        <v>99017.293628736006</v>
      </c>
      <c r="Y3178">
        <v>10215</v>
      </c>
      <c r="Z3178">
        <v>30.348804510958601</v>
      </c>
      <c r="AA3178">
        <v>50</v>
      </c>
    </row>
    <row r="3179" spans="1:27" x14ac:dyDescent="0.2">
      <c r="A3179">
        <v>40</v>
      </c>
      <c r="B3179">
        <v>3</v>
      </c>
      <c r="C3179">
        <v>0.3</v>
      </c>
      <c r="D3179">
        <v>20</v>
      </c>
      <c r="E3179">
        <v>0.22162093410044401</v>
      </c>
      <c r="F3179">
        <v>3</v>
      </c>
      <c r="G3179">
        <v>33.944440982000003</v>
      </c>
      <c r="H3179">
        <v>0.16248736672945399</v>
      </c>
      <c r="I3179">
        <v>3</v>
      </c>
      <c r="J3179">
        <v>0.95674957900000002</v>
      </c>
      <c r="P3179"/>
      <c r="V3179">
        <v>0.13956983513589999</v>
      </c>
      <c r="W3179">
        <v>3</v>
      </c>
      <c r="X3179">
        <v>102847.695074124</v>
      </c>
      <c r="Y3179">
        <v>13773</v>
      </c>
      <c r="Z3179">
        <v>11.6894238549023</v>
      </c>
      <c r="AA3179">
        <v>50</v>
      </c>
    </row>
    <row r="3180" spans="1:27" x14ac:dyDescent="0.2">
      <c r="A3180">
        <v>40</v>
      </c>
      <c r="B3180">
        <v>3</v>
      </c>
      <c r="C3180">
        <v>0.2</v>
      </c>
      <c r="D3180">
        <v>20</v>
      </c>
      <c r="E3180">
        <v>0.45085109421268799</v>
      </c>
      <c r="F3180">
        <v>3</v>
      </c>
      <c r="G3180">
        <v>23.952160486</v>
      </c>
      <c r="H3180">
        <v>0.37019066337995299</v>
      </c>
      <c r="I3180">
        <v>3</v>
      </c>
      <c r="J3180">
        <v>1.2121645839999999</v>
      </c>
      <c r="P3180"/>
      <c r="V3180">
        <v>0.35255274793416203</v>
      </c>
      <c r="W3180">
        <v>3</v>
      </c>
      <c r="X3180">
        <v>101036.065433903</v>
      </c>
      <c r="Y3180">
        <v>8398</v>
      </c>
      <c r="Z3180">
        <v>10.290443967740201</v>
      </c>
      <c r="AA3180">
        <v>50</v>
      </c>
    </row>
    <row r="3181" spans="1:27" x14ac:dyDescent="0.2">
      <c r="A3181">
        <v>40</v>
      </c>
      <c r="B3181">
        <v>3</v>
      </c>
      <c r="C3181">
        <v>0.2</v>
      </c>
      <c r="D3181">
        <v>20</v>
      </c>
      <c r="E3181">
        <v>0.41073592759657301</v>
      </c>
      <c r="F3181">
        <v>3</v>
      </c>
      <c r="G3181">
        <v>32.488678788000001</v>
      </c>
      <c r="H3181">
        <v>0.23673545391309</v>
      </c>
      <c r="I3181">
        <v>3</v>
      </c>
      <c r="J3181">
        <v>1.450613935</v>
      </c>
      <c r="P3181"/>
      <c r="V3181">
        <v>0.21707253622386799</v>
      </c>
      <c r="W3181">
        <v>3</v>
      </c>
      <c r="X3181">
        <v>99778.349802796001</v>
      </c>
      <c r="Y3181">
        <v>8876</v>
      </c>
      <c r="Z3181">
        <v>16.602468642944</v>
      </c>
      <c r="AA3181">
        <v>50</v>
      </c>
    </row>
    <row r="3182" spans="1:27" x14ac:dyDescent="0.2">
      <c r="A3182">
        <v>40</v>
      </c>
      <c r="B3182">
        <v>3</v>
      </c>
      <c r="C3182">
        <v>0.3</v>
      </c>
      <c r="D3182">
        <v>20</v>
      </c>
      <c r="E3182">
        <v>0.241708739183495</v>
      </c>
      <c r="F3182">
        <v>3</v>
      </c>
      <c r="G3182">
        <v>35.593787503000001</v>
      </c>
      <c r="H3182">
        <v>0.18223913688108301</v>
      </c>
      <c r="I3182">
        <v>3</v>
      </c>
      <c r="J3182">
        <v>1.0427941940000001</v>
      </c>
      <c r="P3182"/>
      <c r="V3182">
        <v>0.158100092602867</v>
      </c>
      <c r="W3182">
        <v>3</v>
      </c>
      <c r="X3182">
        <v>99539.438608130004</v>
      </c>
      <c r="Y3182">
        <v>8988</v>
      </c>
      <c r="Z3182">
        <v>9.1814660671775705</v>
      </c>
      <c r="AA3182">
        <v>50</v>
      </c>
    </row>
  </sheetData>
  <sortState xmlns:xlrd2="http://schemas.microsoft.com/office/spreadsheetml/2017/richdata2" ref="A1273:AA1294">
    <sortCondition ref="B1273:B1294"/>
    <sortCondition ref="A1273:A1294"/>
    <sortCondition ref="D1273:D1294"/>
    <sortCondition ref="C1273:C1294"/>
  </sortState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Y134"/>
  <sheetViews>
    <sheetView zoomScaleNormal="100" workbookViewId="0">
      <pane xSplit="2" ySplit="2" topLeftCell="D3" activePane="bottomRight" state="frozen"/>
      <selection pane="topRight" activeCell="C1" sqref="C1"/>
      <selection pane="bottomLeft" activeCell="A3" sqref="A3"/>
      <selection pane="bottomRight" activeCell="F4" sqref="F4"/>
    </sheetView>
  </sheetViews>
  <sheetFormatPr baseColWidth="10" defaultRowHeight="16" x14ac:dyDescent="0.2"/>
  <cols>
    <col min="4" max="4" width="34.1640625" bestFit="1" customWidth="1"/>
    <col min="6" max="6" width="10.83203125" style="2"/>
    <col min="7" max="8" width="10.83203125" style="3"/>
    <col min="9" max="9" width="12.1640625" style="2" bestFit="1" customWidth="1"/>
    <col min="10" max="12" width="10.83203125" style="3"/>
    <col min="14" max="14" width="10.83203125" style="2"/>
    <col min="15" max="16" width="10.83203125" style="3"/>
    <col min="17" max="17" width="19.33203125" style="2" customWidth="1"/>
    <col min="18" max="18" width="10.83203125" style="3"/>
    <col min="20" max="20" width="10.83203125" style="2"/>
    <col min="21" max="22" width="10.83203125" style="3"/>
    <col min="23" max="23" width="10.83203125" style="2"/>
  </cols>
  <sheetData>
    <row r="1" spans="1:25" x14ac:dyDescent="0.2">
      <c r="E1" t="s">
        <v>33</v>
      </c>
      <c r="F1" s="2" t="s">
        <v>23</v>
      </c>
      <c r="N1" s="2" t="s">
        <v>24</v>
      </c>
      <c r="T1" s="2" t="s">
        <v>25</v>
      </c>
    </row>
    <row r="2" spans="1:25" x14ac:dyDescent="0.2">
      <c r="A2" t="s">
        <v>2</v>
      </c>
      <c r="B2" t="s">
        <v>4</v>
      </c>
      <c r="C2" t="s">
        <v>3</v>
      </c>
      <c r="D2" t="s">
        <v>27</v>
      </c>
      <c r="F2" s="2" t="s">
        <v>29</v>
      </c>
      <c r="G2" s="3" t="s">
        <v>28</v>
      </c>
      <c r="H2" s="3" t="s">
        <v>31</v>
      </c>
      <c r="I2" s="2" t="s">
        <v>30</v>
      </c>
      <c r="J2" s="3" t="s">
        <v>32</v>
      </c>
      <c r="L2" s="3" t="s">
        <v>37</v>
      </c>
      <c r="N2" s="2" t="s">
        <v>29</v>
      </c>
      <c r="O2" s="3" t="s">
        <v>28</v>
      </c>
      <c r="P2" s="3" t="s">
        <v>31</v>
      </c>
      <c r="Q2" s="2" t="s">
        <v>30</v>
      </c>
      <c r="R2" s="3" t="s">
        <v>32</v>
      </c>
      <c r="T2" s="2" t="s">
        <v>29</v>
      </c>
      <c r="U2" s="3" t="s">
        <v>28</v>
      </c>
      <c r="V2" s="3" t="s">
        <v>31</v>
      </c>
      <c r="W2" s="2" t="s">
        <v>30</v>
      </c>
      <c r="Y2" t="s">
        <v>34</v>
      </c>
    </row>
    <row r="4" spans="1:25" x14ac:dyDescent="0.2">
      <c r="A4">
        <v>10</v>
      </c>
      <c r="B4">
        <v>0.1</v>
      </c>
      <c r="C4">
        <v>1</v>
      </c>
      <c r="D4">
        <v>20</v>
      </c>
      <c r="E4">
        <f>MIN(20, COUNTIFS(benchmark_gurobi_vs_cuts_grb_ol!A:A,proc_old!A4,benchmark_gurobi_vs_cuts_grb_ol!C:C,proc_old!B4,benchmark_gurobi_vs_cuts_grb_ol!B:B,proc_old!C4,benchmark_gurobi_vs_cuts_grb_ol!D:D,proc_old!D4))</f>
        <v>20</v>
      </c>
      <c r="F4" s="2">
        <f>AVERAGEIFS(benchmark_gurobi_vs_cuts_grb_ol!P:P,benchmark_gurobi_vs_cuts_grb_ol!A:A,proc_old!A4,benchmark_gurobi_vs_cuts_grb_ol!C:C,proc_old!B4,benchmark_gurobi_vs_cuts_grb_ol!B:B,proc_old!C4,benchmark_gurobi_vs_cuts_grb_ol!D:D,proc_old!D4)</f>
        <v>0.97900987421364871</v>
      </c>
      <c r="G4" s="3">
        <f>AVERAGEIFS(benchmark_gurobi_vs_cuts_grb_ol!R:R,benchmark_gurobi_vs_cuts_grb_ol!A:A,proc_old!A4,benchmark_gurobi_vs_cuts_grb_ol!C:C,proc_old!B4,benchmark_gurobi_vs_cuts_grb_ol!B:B,proc_old!C4,benchmark_gurobi_vs_cuts_grb_ol!D:D,proc_old!D4)</f>
        <v>683.10048910378794</v>
      </c>
      <c r="H4" s="3">
        <f>AVERAGEIFS(benchmark_gurobi_vs_cuts_grb_ol!S:S,benchmark_gurobi_vs_cuts_grb_ol!A:A,proc_old!A4,benchmark_gurobi_vs_cuts_grb_ol!C:C,proc_old!B4,benchmark_gurobi_vs_cuts_grb_ol!B:B,proc_old!C4,benchmark_gurobi_vs_cuts_grb_ol!D:D,proc_old!D4)</f>
        <v>7728.393939393939</v>
      </c>
      <c r="I4" s="2">
        <f>AVERAGEIFS(benchmark_gurobi_vs_cuts_grb_ol!T:T,benchmark_gurobi_vs_cuts_grb_ol!A:A,proc_old!A4,benchmark_gurobi_vs_cuts_grb_ol!C:C,proc_old!B4,benchmark_gurobi_vs_cuts_grb_ol!B:B,proc_old!C4,benchmark_gurobi_vs_cuts_grb_ol!D:D,proc_old!D4)</f>
        <v>2.9363297395801905E-4</v>
      </c>
      <c r="J4" s="3">
        <f>AVERAGEIFS(benchmark_gurobi_vs_cuts_grb_ol!U:U,benchmark_gurobi_vs_cuts_grb_ol!A:A,proc_old!A4,benchmark_gurobi_vs_cuts_grb_ol!C:C,proc_old!B4,benchmark_gurobi_vs_cuts_grb_ol!B:B,proc_old!C4,benchmark_gurobi_vs_cuts_grb_ol!D:D,proc_old!D4)</f>
        <v>7085.606060606061</v>
      </c>
      <c r="L4" s="2">
        <f>AVERAGEIFS(benchmark_gurobi_vs_cuts_grb_ol!H:H,benchmark_gurobi_vs_cuts_grb_ol!A:A,proc_old!A4,benchmark_gurobi_vs_cuts_grb_ol!C:C,proc_old!B4,benchmark_gurobi_vs_cuts_grb_ol!B:B,proc_old!C4,benchmark_gurobi_vs_cuts_grb_ol!D:D,proc_old!D4)</f>
        <v>0.92768577071849667</v>
      </c>
      <c r="N4" s="2">
        <f>AVERAGEIFS(benchmark_gurobi_vs_cuts_grb_ol!V:V,benchmark_gurobi_vs_cuts_grb_ol!A:A,proc_old!A4,benchmark_gurobi_vs_cuts_grb_ol!C:C,proc_old!B4,benchmark_gurobi_vs_cuts_grb_ol!B:B,proc_old!C4,benchmark_gurobi_vs_cuts_grb_ol!D:D,proc_old!D4)</f>
        <v>1.0118644565419821</v>
      </c>
      <c r="O4" s="3">
        <f>AVERAGEIFS(benchmark_gurobi_vs_cuts_grb_ol!X:X,benchmark_gurobi_vs_cuts_grb_ol!A:A,proc_old!A4,benchmark_gurobi_vs_cuts_grb_ol!C:C,proc_old!B4,benchmark_gurobi_vs_cuts_grb_ol!B:B,proc_old!C4,benchmark_gurobi_vs_cuts_grb_ol!D:D,proc_old!D4)</f>
        <v>252.55201568100006</v>
      </c>
      <c r="P4" s="3">
        <f>AVERAGEIFS(benchmark_gurobi_vs_cuts_grb_ol!Y:Y,benchmark_gurobi_vs_cuts_grb_ol!A:A,proc_old!A4,benchmark_gurobi_vs_cuts_grb_ol!C:C,proc_old!B4,benchmark_gurobi_vs_cuts_grb_ol!B:B,proc_old!C4,benchmark_gurobi_vs_cuts_grb_ol!D:D,proc_old!D4)</f>
        <v>12475.939393939394</v>
      </c>
      <c r="Q4" s="2">
        <f>AVERAGEIFS(benchmark_gurobi_vs_cuts_grb_ol!Z:Z,benchmark_gurobi_vs_cuts_grb_ol!A:A,proc_old!A4,benchmark_gurobi_vs_cuts_grb_ol!C:C,proc_old!B4,benchmark_gurobi_vs_cuts_grb_ol!B:B,proc_old!C4,benchmark_gurobi_vs_cuts_grb_ol!D:D,proc_old!D4)</f>
        <v>9.8860837905577806E-4</v>
      </c>
      <c r="R4" s="3">
        <f>AVERAGEIFS(benchmark_gurobi_vs_cuts_grb_ol!AA:AA,benchmark_gurobi_vs_cuts_grb_ol!A:A,proc_old!A4,benchmark_gurobi_vs_cuts_grb_ol!C:C,proc_old!B4,benchmark_gurobi_vs_cuts_grb_ol!B:B,proc_old!C4,benchmark_gurobi_vs_cuts_grb_ol!D:D,proc_old!D4)</f>
        <v>3.3636363636363638</v>
      </c>
      <c r="T4" s="2">
        <f>AVERAGEIFS(benchmark_gurobi_vs_cuts_grb_ol!K:K,benchmark_gurobi_vs_cuts_grb_ol!A:A,proc_old!A4,benchmark_gurobi_vs_cuts_grb_ol!C:C,proc_old!B4,benchmark_gurobi_vs_cuts_grb_ol!B:B,proc_old!C4,benchmark_gurobi_vs_cuts_grb_ol!D:D,proc_old!D4)</f>
        <v>0.94468079329147381</v>
      </c>
      <c r="U4" s="3">
        <f>AVERAGEIFS(benchmark_gurobi_vs_cuts_grb_ol!M:M,benchmark_gurobi_vs_cuts_grb_ol!A:A,proc_old!A4,benchmark_gurobi_vs_cuts_grb_ol!C:C,proc_old!B4,benchmark_gurobi_vs_cuts_grb_ol!B:B,proc_old!C4,benchmark_gurobi_vs_cuts_grb_ol!D:D,proc_old!D4)</f>
        <v>3506.5433013339398</v>
      </c>
      <c r="V4" s="3">
        <f>AVERAGEIFS(benchmark_gurobi_vs_cuts_grb_ol!N:N,benchmark_gurobi_vs_cuts_grb_ol!A:A,proc_old!A4,benchmark_gurobi_vs_cuts_grb_ol!C:C,proc_old!B4,benchmark_gurobi_vs_cuts_grb_ol!B:B,proc_old!C4,benchmark_gurobi_vs_cuts_grb_ol!D:D,proc_old!D4)</f>
        <v>672620.27272727271</v>
      </c>
      <c r="W4" s="2">
        <f>AVERAGEIFS(benchmark_gurobi_vs_cuts_grb_ol!O:O,benchmark_gurobi_vs_cuts_grb_ol!A:A,proc_old!A4,benchmark_gurobi_vs_cuts_grb_ol!C:C,proc_old!B4,benchmark_gurobi_vs_cuts_grb_ol!B:B,proc_old!C4,benchmark_gurobi_vs_cuts_grb_ol!D:D,proc_old!D4)</f>
        <v>2.9225207645427881E-2</v>
      </c>
      <c r="Y4" t="str">
        <f t="shared" ref="Y4:Y12" si="0">CONCATENATE("$", A4, "$ &amp; $", B4, "$ &amp; $", D4, "/p$ &amp; $", ROUND(U4,2), "$ &amp; $", ROUND(V4,0), "$ &amp; $", 100*ROUND(W4,4), "\%$ &amp; $", ROUND(G4,2), "$ &amp; $", ROUND(H4,0), "$ &amp; $", 100*ROUND(I4,4), "\%$ &amp; $", ROUND(J4,1), "$ &amp; $", ROUND(O4,2), "$ &amp; $", ROUND(P4,0), "$ &amp; $", 100*ROUND(Q4,4), "\%$ &amp; $", ROUND(R4,1), "$\\")</f>
        <v>$10$ &amp; $0.1$ &amp; $20/p$ &amp; $3506.54$ &amp; $672620$ &amp; $2.92\%$ &amp; $683.1$ &amp; $7728$ &amp; $0.03\%$ &amp; $7085.6$ &amp; $252.55$ &amp; $12476$ &amp; $0.1\%$ &amp; $3.4$\\</v>
      </c>
    </row>
    <row r="5" spans="1:25" x14ac:dyDescent="0.2">
      <c r="A5">
        <v>10</v>
      </c>
      <c r="B5">
        <v>0.2</v>
      </c>
      <c r="C5">
        <v>1</v>
      </c>
      <c r="D5">
        <v>20</v>
      </c>
      <c r="E5">
        <f>MIN(20, COUNTIFS(benchmark_gurobi_vs_cuts_grb_ol!A:A,proc_old!A5,benchmark_gurobi_vs_cuts_grb_ol!C:C,proc_old!B5,benchmark_gurobi_vs_cuts_grb_ol!B:B,proc_old!C5,benchmark_gurobi_vs_cuts_grb_ol!D:D,proc_old!D5))</f>
        <v>20</v>
      </c>
      <c r="F5" s="2">
        <f>AVERAGEIFS(benchmark_gurobi_vs_cuts_grb_ol!P:P,benchmark_gurobi_vs_cuts_grb_ol!A:A,proc_old!A5,benchmark_gurobi_vs_cuts_grb_ol!C:C,proc_old!B5,benchmark_gurobi_vs_cuts_grb_ol!B:B,proc_old!C5,benchmark_gurobi_vs_cuts_grb_ol!D:D,proc_old!D5)</f>
        <v>0.70098263367207747</v>
      </c>
      <c r="G5" s="3">
        <f>AVERAGEIFS(benchmark_gurobi_vs_cuts_grb_ol!R:R,benchmark_gurobi_vs_cuts_grb_ol!A:A,proc_old!A5,benchmark_gurobi_vs_cuts_grb_ol!C:C,proc_old!B5,benchmark_gurobi_vs_cuts_grb_ol!B:B,proc_old!C5,benchmark_gurobi_vs_cuts_grb_ol!D:D,proc_old!D5)</f>
        <v>848.94455752375745</v>
      </c>
      <c r="H5" s="3">
        <f>AVERAGEIFS(benchmark_gurobi_vs_cuts_grb_ol!S:S,benchmark_gurobi_vs_cuts_grb_ol!A:A,proc_old!A5,benchmark_gurobi_vs_cuts_grb_ol!C:C,proc_old!B5,benchmark_gurobi_vs_cuts_grb_ol!B:B,proc_old!C5,benchmark_gurobi_vs_cuts_grb_ol!D:D,proc_old!D5)</f>
        <v>13100.242424242424</v>
      </c>
      <c r="I5" s="2">
        <f>AVERAGEIFS(benchmark_gurobi_vs_cuts_grb_ol!T:T,benchmark_gurobi_vs_cuts_grb_ol!A:A,proc_old!A5,benchmark_gurobi_vs_cuts_grb_ol!C:C,proc_old!B5,benchmark_gurobi_vs_cuts_grb_ol!B:B,proc_old!C5,benchmark_gurobi_vs_cuts_grb_ol!D:D,proc_old!D5)</f>
        <v>2.0791865041995083E-3</v>
      </c>
      <c r="J5" s="3">
        <f>AVERAGEIFS(benchmark_gurobi_vs_cuts_grb_ol!U:U,benchmark_gurobi_vs_cuts_grb_ol!A:A,proc_old!A5,benchmark_gurobi_vs_cuts_grb_ol!C:C,proc_old!B5,benchmark_gurobi_vs_cuts_grb_ol!B:B,proc_old!C5,benchmark_gurobi_vs_cuts_grb_ol!D:D,proc_old!D5)</f>
        <v>9095.0909090909099</v>
      </c>
      <c r="L5" s="2">
        <f>AVERAGEIFS(benchmark_gurobi_vs_cuts_grb_ol!H:H,benchmark_gurobi_vs_cuts_grb_ol!A:A,proc_old!A5,benchmark_gurobi_vs_cuts_grb_ol!C:C,proc_old!B5,benchmark_gurobi_vs_cuts_grb_ol!B:B,proc_old!C5,benchmark_gurobi_vs_cuts_grb_ol!D:D,proc_old!D5)</f>
        <v>0.61736281295944262</v>
      </c>
      <c r="N5" s="2">
        <f>AVERAGEIFS(benchmark_gurobi_vs_cuts_grb_ol!V:V,benchmark_gurobi_vs_cuts_grb_ol!A:A,proc_old!A5,benchmark_gurobi_vs_cuts_grb_ol!C:C,proc_old!B5,benchmark_gurobi_vs_cuts_grb_ol!B:B,proc_old!C5,benchmark_gurobi_vs_cuts_grb_ol!D:D,proc_old!D5)</f>
        <v>0.65297695971413761</v>
      </c>
      <c r="O5" s="3">
        <f>AVERAGEIFS(benchmark_gurobi_vs_cuts_grb_ol!X:X,benchmark_gurobi_vs_cuts_grb_ol!A:A,proc_old!A5,benchmark_gurobi_vs_cuts_grb_ol!C:C,proc_old!B5,benchmark_gurobi_vs_cuts_grb_ol!B:B,proc_old!C5,benchmark_gurobi_vs_cuts_grb_ol!D:D,proc_old!D5)</f>
        <v>1556.8467648908791</v>
      </c>
      <c r="P5" s="3">
        <f>AVERAGEIFS(benchmark_gurobi_vs_cuts_grb_ol!Y:Y,benchmark_gurobi_vs_cuts_grb_ol!A:A,proc_old!A5,benchmark_gurobi_vs_cuts_grb_ol!C:C,proc_old!B5,benchmark_gurobi_vs_cuts_grb_ol!B:B,proc_old!C5,benchmark_gurobi_vs_cuts_grb_ol!D:D,proc_old!D5)</f>
        <v>42827.606060606064</v>
      </c>
      <c r="Q5" s="2">
        <f>AVERAGEIFS(benchmark_gurobi_vs_cuts_grb_ol!Z:Z,benchmark_gurobi_vs_cuts_grb_ol!A:A,proc_old!A5,benchmark_gurobi_vs_cuts_grb_ol!C:C,proc_old!B5,benchmark_gurobi_vs_cuts_grb_ol!B:B,proc_old!C5,benchmark_gurobi_vs_cuts_grb_ol!D:D,proc_old!D5)</f>
        <v>6.3125859946621815E-3</v>
      </c>
      <c r="R5" s="3">
        <f>AVERAGEIFS(benchmark_gurobi_vs_cuts_grb_ol!AA:AA,benchmark_gurobi_vs_cuts_grb_ol!A:A,proc_old!A5,benchmark_gurobi_vs_cuts_grb_ol!C:C,proc_old!B5,benchmark_gurobi_vs_cuts_grb_ol!B:B,proc_old!C5,benchmark_gurobi_vs_cuts_grb_ol!D:D,proc_old!D5)</f>
        <v>14.121212121212121</v>
      </c>
      <c r="T5" s="2">
        <f>AVERAGEIFS(benchmark_gurobi_vs_cuts_grb_ol!K:K,benchmark_gurobi_vs_cuts_grb_ol!A:A,proc_old!A5,benchmark_gurobi_vs_cuts_grb_ol!C:C,proc_old!B5,benchmark_gurobi_vs_cuts_grb_ol!B:B,proc_old!C5,benchmark_gurobi_vs_cuts_grb_ol!D:D,proc_old!D5)</f>
        <v>0.68468947379804046</v>
      </c>
      <c r="U5" s="3">
        <f>AVERAGEIFS(benchmark_gurobi_vs_cuts_grb_ol!M:M,benchmark_gurobi_vs_cuts_grb_ol!A:A,proc_old!A5,benchmark_gurobi_vs_cuts_grb_ol!C:C,proc_old!B5,benchmark_gurobi_vs_cuts_grb_ol!B:B,proc_old!C5,benchmark_gurobi_vs_cuts_grb_ol!D:D,proc_old!D5)</f>
        <v>3550.3037857777576</v>
      </c>
      <c r="V5" s="3">
        <f>AVERAGEIFS(benchmark_gurobi_vs_cuts_grb_ol!N:N,benchmark_gurobi_vs_cuts_grb_ol!A:A,proc_old!A5,benchmark_gurobi_vs_cuts_grb_ol!C:C,proc_old!B5,benchmark_gurobi_vs_cuts_grb_ol!B:B,proc_old!C5,benchmark_gurobi_vs_cuts_grb_ol!D:D,proc_old!D5)</f>
        <v>557656.51515151514</v>
      </c>
      <c r="W5" s="2">
        <f>AVERAGEIFS(benchmark_gurobi_vs_cuts_grb_ol!O:O,benchmark_gurobi_vs_cuts_grb_ol!A:A,proc_old!A5,benchmark_gurobi_vs_cuts_grb_ol!C:C,proc_old!B5,benchmark_gurobi_vs_cuts_grb_ol!B:B,proc_old!C5,benchmark_gurobi_vs_cuts_grb_ol!D:D,proc_old!D5)</f>
        <v>8.7220678240544247E-2</v>
      </c>
      <c r="Y5" t="str">
        <f t="shared" si="0"/>
        <v>$10$ &amp; $0.2$ &amp; $20/p$ &amp; $3550.3$ &amp; $557657$ &amp; $8.72\%$ &amp; $848.94$ &amp; $13100$ &amp; $0.21\%$ &amp; $9095.1$ &amp; $1556.85$ &amp; $42828$ &amp; $0.63\%$ &amp; $14.1$\\</v>
      </c>
    </row>
    <row r="6" spans="1:25" x14ac:dyDescent="0.2">
      <c r="A6">
        <v>10</v>
      </c>
      <c r="B6">
        <v>0.3</v>
      </c>
      <c r="C6">
        <v>1</v>
      </c>
      <c r="D6">
        <v>20</v>
      </c>
      <c r="E6">
        <f>MIN(20, COUNTIFS(benchmark_gurobi_vs_cuts_grb_ol!A:A,proc_old!A6,benchmark_gurobi_vs_cuts_grb_ol!C:C,proc_old!B6,benchmark_gurobi_vs_cuts_grb_ol!B:B,proc_old!C6,benchmark_gurobi_vs_cuts_grb_ol!D:D,proc_old!D6))</f>
        <v>20</v>
      </c>
      <c r="F6" s="2">
        <f>AVERAGEIFS(benchmark_gurobi_vs_cuts_grb_ol!P:P,benchmark_gurobi_vs_cuts_grb_ol!A:A,proc_old!A6,benchmark_gurobi_vs_cuts_grb_ol!C:C,proc_old!B6,benchmark_gurobi_vs_cuts_grb_ol!B:B,proc_old!C6,benchmark_gurobi_vs_cuts_grb_ol!D:D,proc_old!D6)</f>
        <v>0.41491199075408153</v>
      </c>
      <c r="G6" s="3">
        <f>AVERAGEIFS(benchmark_gurobi_vs_cuts_grb_ol!R:R,benchmark_gurobi_vs_cuts_grb_ol!A:A,proc_old!A6,benchmark_gurobi_vs_cuts_grb_ol!C:C,proc_old!B6,benchmark_gurobi_vs_cuts_grb_ol!B:B,proc_old!C6,benchmark_gurobi_vs_cuts_grb_ol!D:D,proc_old!D6)</f>
        <v>465.55945170905716</v>
      </c>
      <c r="H6" s="3">
        <f>AVERAGEIFS(benchmark_gurobi_vs_cuts_grb_ol!S:S,benchmark_gurobi_vs_cuts_grb_ol!A:A,proc_old!A6,benchmark_gurobi_vs_cuts_grb_ol!C:C,proc_old!B6,benchmark_gurobi_vs_cuts_grb_ol!B:B,proc_old!C6,benchmark_gurobi_vs_cuts_grb_ol!D:D,proc_old!D6)</f>
        <v>6531.5714285714284</v>
      </c>
      <c r="I6" s="2">
        <f>AVERAGEIFS(benchmark_gurobi_vs_cuts_grb_ol!T:T,benchmark_gurobi_vs_cuts_grb_ol!A:A,proc_old!A6,benchmark_gurobi_vs_cuts_grb_ol!C:C,proc_old!B6,benchmark_gurobi_vs_cuts_grb_ol!B:B,proc_old!C6,benchmark_gurobi_vs_cuts_grb_ol!D:D,proc_old!D6)</f>
        <v>5.8928240378695726E-3</v>
      </c>
      <c r="J6" s="3">
        <f>AVERAGEIFS(benchmark_gurobi_vs_cuts_grb_ol!U:U,benchmark_gurobi_vs_cuts_grb_ol!A:A,proc_old!A6,benchmark_gurobi_vs_cuts_grb_ol!C:C,proc_old!B6,benchmark_gurobi_vs_cuts_grb_ol!B:B,proc_old!C6,benchmark_gurobi_vs_cuts_grb_ol!D:D,proc_old!D6)</f>
        <v>4845</v>
      </c>
      <c r="L6" s="2">
        <f>AVERAGEIFS(benchmark_gurobi_vs_cuts_grb_ol!H:H,benchmark_gurobi_vs_cuts_grb_ol!A:A,proc_old!A6,benchmark_gurobi_vs_cuts_grb_ol!C:C,proc_old!B6,benchmark_gurobi_vs_cuts_grb_ol!B:B,proc_old!C6,benchmark_gurobi_vs_cuts_grb_ol!D:D,proc_old!D6)</f>
        <v>0.33201819532622612</v>
      </c>
      <c r="N6" s="2">
        <f>AVERAGEIFS(benchmark_gurobi_vs_cuts_grb_ol!V:V,benchmark_gurobi_vs_cuts_grb_ol!A:A,proc_old!A6,benchmark_gurobi_vs_cuts_grb_ol!C:C,proc_old!B6,benchmark_gurobi_vs_cuts_grb_ol!B:B,proc_old!C6,benchmark_gurobi_vs_cuts_grb_ol!D:D,proc_old!D6)</f>
        <v>0.38503313716522858</v>
      </c>
      <c r="O6" s="3">
        <f>AVERAGEIFS(benchmark_gurobi_vs_cuts_grb_ol!X:X,benchmark_gurobi_vs_cuts_grb_ol!A:A,proc_old!A6,benchmark_gurobi_vs_cuts_grb_ol!C:C,proc_old!B6,benchmark_gurobi_vs_cuts_grb_ol!B:B,proc_old!C6,benchmark_gurobi_vs_cuts_grb_ol!D:D,proc_old!D6)</f>
        <v>1554.1023093519143</v>
      </c>
      <c r="P6" s="3">
        <f>AVERAGEIFS(benchmark_gurobi_vs_cuts_grb_ol!Y:Y,benchmark_gurobi_vs_cuts_grb_ol!A:A,proc_old!A6,benchmark_gurobi_vs_cuts_grb_ol!C:C,proc_old!B6,benchmark_gurobi_vs_cuts_grb_ol!B:B,proc_old!C6,benchmark_gurobi_vs_cuts_grb_ol!D:D,proc_old!D6)</f>
        <v>31750.628571428573</v>
      </c>
      <c r="Q6" s="2">
        <f>AVERAGEIFS(benchmark_gurobi_vs_cuts_grb_ol!Z:Z,benchmark_gurobi_vs_cuts_grb_ol!A:A,proc_old!A6,benchmark_gurobi_vs_cuts_grb_ol!C:C,proc_old!B6,benchmark_gurobi_vs_cuts_grb_ol!B:B,proc_old!C6,benchmark_gurobi_vs_cuts_grb_ol!D:D,proc_old!D6)</f>
        <v>1.0717261629688611E-2</v>
      </c>
      <c r="R6" s="3">
        <f>AVERAGEIFS(benchmark_gurobi_vs_cuts_grb_ol!AA:AA,benchmark_gurobi_vs_cuts_grb_ol!A:A,proc_old!A6,benchmark_gurobi_vs_cuts_grb_ol!C:C,proc_old!B6,benchmark_gurobi_vs_cuts_grb_ol!B:B,proc_old!C6,benchmark_gurobi_vs_cuts_grb_ol!D:D,proc_old!D6)</f>
        <v>16.085714285714285</v>
      </c>
      <c r="T6" s="2">
        <f>AVERAGEIFS(benchmark_gurobi_vs_cuts_grb_ol!K:K,benchmark_gurobi_vs_cuts_grb_ol!A:A,proc_old!A6,benchmark_gurobi_vs_cuts_grb_ol!C:C,proc_old!B6,benchmark_gurobi_vs_cuts_grb_ol!B:B,proc_old!C6,benchmark_gurobi_vs_cuts_grb_ol!D:D,proc_old!D6)</f>
        <v>0.32518447035754477</v>
      </c>
      <c r="U6" s="3">
        <f>AVERAGEIFS(benchmark_gurobi_vs_cuts_grb_ol!M:M,benchmark_gurobi_vs_cuts_grb_ol!A:A,proc_old!A6,benchmark_gurobi_vs_cuts_grb_ol!C:C,proc_old!B6,benchmark_gurobi_vs_cuts_grb_ol!B:B,proc_old!C6,benchmark_gurobi_vs_cuts_grb_ol!D:D,proc_old!D6)</f>
        <v>3601.3469899551137</v>
      </c>
      <c r="V6" s="3">
        <f>AVERAGEIFS(benchmark_gurobi_vs_cuts_grb_ol!N:N,benchmark_gurobi_vs_cuts_grb_ol!A:A,proc_old!A6,benchmark_gurobi_vs_cuts_grb_ol!C:C,proc_old!B6,benchmark_gurobi_vs_cuts_grb_ol!B:B,proc_old!C6,benchmark_gurobi_vs_cuts_grb_ol!D:D,proc_old!D6)</f>
        <v>638256.3142857143</v>
      </c>
      <c r="W6" s="2">
        <f>AVERAGEIFS(benchmark_gurobi_vs_cuts_grb_ol!O:O,benchmark_gurobi_vs_cuts_grb_ol!A:A,proc_old!A6,benchmark_gurobi_vs_cuts_grb_ol!C:C,proc_old!B6,benchmark_gurobi_vs_cuts_grb_ol!B:B,proc_old!C6,benchmark_gurobi_vs_cuts_grb_ol!D:D,proc_old!D6)</f>
        <v>9.6467589983473698E-2</v>
      </c>
      <c r="Y6" t="str">
        <f t="shared" si="0"/>
        <v>$10$ &amp; $0.3$ &amp; $20/p$ &amp; $3601.35$ &amp; $638256$ &amp; $9.65\%$ &amp; $465.56$ &amp; $6532$ &amp; $0.59\%$ &amp; $4845$ &amp; $1554.1$ &amp; $31751$ &amp; $1.07\%$ &amp; $16.1$\\</v>
      </c>
    </row>
    <row r="7" spans="1:25" x14ac:dyDescent="0.2">
      <c r="A7">
        <v>10</v>
      </c>
      <c r="B7">
        <v>0.4</v>
      </c>
      <c r="C7">
        <v>1</v>
      </c>
      <c r="D7">
        <v>20</v>
      </c>
      <c r="E7">
        <f>MIN(20, COUNTIFS(benchmark_gurobi_vs_cuts_grb_ol!A:A,proc_old!A7,benchmark_gurobi_vs_cuts_grb_ol!C:C,proc_old!B7,benchmark_gurobi_vs_cuts_grb_ol!B:B,proc_old!C7,benchmark_gurobi_vs_cuts_grb_ol!D:D,proc_old!D7))</f>
        <v>20</v>
      </c>
      <c r="F7" s="2">
        <f>AVERAGEIFS(benchmark_gurobi_vs_cuts_grb_ol!P:P,benchmark_gurobi_vs_cuts_grb_ol!A:A,proc_old!A7,benchmark_gurobi_vs_cuts_grb_ol!C:C,proc_old!B7,benchmark_gurobi_vs_cuts_grb_ol!B:B,proc_old!C7,benchmark_gurobi_vs_cuts_grb_ol!D:D,proc_old!D7)</f>
        <v>0.21277115811549088</v>
      </c>
      <c r="G7" s="3">
        <f>AVERAGEIFS(benchmark_gurobi_vs_cuts_grb_ol!R:R,benchmark_gurobi_vs_cuts_grb_ol!A:A,proc_old!A7,benchmark_gurobi_vs_cuts_grb_ol!C:C,proc_old!B7,benchmark_gurobi_vs_cuts_grb_ol!B:B,proc_old!C7,benchmark_gurobi_vs_cuts_grb_ol!D:D,proc_old!D7)</f>
        <v>296.21963044250009</v>
      </c>
      <c r="H7" s="3">
        <f>AVERAGEIFS(benchmark_gurobi_vs_cuts_grb_ol!S:S,benchmark_gurobi_vs_cuts_grb_ol!A:A,proc_old!A7,benchmark_gurobi_vs_cuts_grb_ol!C:C,proc_old!B7,benchmark_gurobi_vs_cuts_grb_ol!B:B,proc_old!C7,benchmark_gurobi_vs_cuts_grb_ol!D:D,proc_old!D7)</f>
        <v>3517.4705882352941</v>
      </c>
      <c r="I7" s="2">
        <f>AVERAGEIFS(benchmark_gurobi_vs_cuts_grb_ol!T:T,benchmark_gurobi_vs_cuts_grb_ol!A:A,proc_old!A7,benchmark_gurobi_vs_cuts_grb_ol!C:C,proc_old!B7,benchmark_gurobi_vs_cuts_grb_ol!B:B,proc_old!C7,benchmark_gurobi_vs_cuts_grb_ol!D:D,proc_old!D7)</f>
        <v>6.026465488847596E-3</v>
      </c>
      <c r="J7" s="3">
        <f>AVERAGEIFS(benchmark_gurobi_vs_cuts_grb_ol!U:U,benchmark_gurobi_vs_cuts_grb_ol!A:A,proc_old!A7,benchmark_gurobi_vs_cuts_grb_ol!C:C,proc_old!B7,benchmark_gurobi_vs_cuts_grb_ol!B:B,proc_old!C7,benchmark_gurobi_vs_cuts_grb_ol!D:D,proc_old!D7)</f>
        <v>2619.4411764705883</v>
      </c>
      <c r="L7" s="2">
        <f>AVERAGEIFS(benchmark_gurobi_vs_cuts_grb_ol!H:H,benchmark_gurobi_vs_cuts_grb_ol!A:A,proc_old!A7,benchmark_gurobi_vs_cuts_grb_ol!C:C,proc_old!B7,benchmark_gurobi_vs_cuts_grb_ol!B:B,proc_old!C7,benchmark_gurobi_vs_cuts_grb_ol!D:D,proc_old!D7)</f>
        <v>0.17532631284901129</v>
      </c>
      <c r="N7" s="2">
        <f>AVERAGEIFS(benchmark_gurobi_vs_cuts_grb_ol!V:V,benchmark_gurobi_vs_cuts_grb_ol!A:A,proc_old!A7,benchmark_gurobi_vs_cuts_grb_ol!C:C,proc_old!B7,benchmark_gurobi_vs_cuts_grb_ol!B:B,proc_old!C7,benchmark_gurobi_vs_cuts_grb_ol!D:D,proc_old!D7)</f>
        <v>0.17171382799757209</v>
      </c>
      <c r="O7" s="3">
        <f>AVERAGEIFS(benchmark_gurobi_vs_cuts_grb_ol!X:X,benchmark_gurobi_vs_cuts_grb_ol!A:A,proc_old!A7,benchmark_gurobi_vs_cuts_grb_ol!C:C,proc_old!B7,benchmark_gurobi_vs_cuts_grb_ol!B:B,proc_old!C7,benchmark_gurobi_vs_cuts_grb_ol!D:D,proc_old!D7)</f>
        <v>678.70667878285303</v>
      </c>
      <c r="P7" s="3">
        <f>AVERAGEIFS(benchmark_gurobi_vs_cuts_grb_ol!Y:Y,benchmark_gurobi_vs_cuts_grb_ol!A:A,proc_old!A7,benchmark_gurobi_vs_cuts_grb_ol!C:C,proc_old!B7,benchmark_gurobi_vs_cuts_grb_ol!B:B,proc_old!C7,benchmark_gurobi_vs_cuts_grb_ol!D:D,proc_old!D7)</f>
        <v>13543.970588235294</v>
      </c>
      <c r="Q7" s="2">
        <f>AVERAGEIFS(benchmark_gurobi_vs_cuts_grb_ol!Z:Z,benchmark_gurobi_vs_cuts_grb_ol!A:A,proc_old!A7,benchmark_gurobi_vs_cuts_grb_ol!C:C,proc_old!B7,benchmark_gurobi_vs_cuts_grb_ol!B:B,proc_old!C7,benchmark_gurobi_vs_cuts_grb_ol!D:D,proc_old!D7)</f>
        <v>6.8319034494661634E-3</v>
      </c>
      <c r="R7" s="3">
        <f>AVERAGEIFS(benchmark_gurobi_vs_cuts_grb_ol!AA:AA,benchmark_gurobi_vs_cuts_grb_ol!A:A,proc_old!A7,benchmark_gurobi_vs_cuts_grb_ol!C:C,proc_old!B7,benchmark_gurobi_vs_cuts_grb_ol!B:B,proc_old!C7,benchmark_gurobi_vs_cuts_grb_ol!D:D,proc_old!D7)</f>
        <v>8.3529411764705888</v>
      </c>
      <c r="T7" s="2">
        <f>AVERAGEIFS(benchmark_gurobi_vs_cuts_grb_ol!K:K,benchmark_gurobi_vs_cuts_grb_ol!A:A,proc_old!A7,benchmark_gurobi_vs_cuts_grb_ol!C:C,proc_old!B7,benchmark_gurobi_vs_cuts_grb_ol!B:B,proc_old!C7,benchmark_gurobi_vs_cuts_grb_ol!D:D,proc_old!D7)</f>
        <v>0.17488448193130715</v>
      </c>
      <c r="U7" s="3">
        <f>AVERAGEIFS(benchmark_gurobi_vs_cuts_grb_ol!M:M,benchmark_gurobi_vs_cuts_grb_ol!A:A,proc_old!A7,benchmark_gurobi_vs_cuts_grb_ol!C:C,proc_old!B7,benchmark_gurobi_vs_cuts_grb_ol!B:B,proc_old!C7,benchmark_gurobi_vs_cuts_grb_ol!D:D,proc_old!D7)</f>
        <v>3601.4593762873242</v>
      </c>
      <c r="V7" s="3">
        <f>AVERAGEIFS(benchmark_gurobi_vs_cuts_grb_ol!N:N,benchmark_gurobi_vs_cuts_grb_ol!A:A,proc_old!A7,benchmark_gurobi_vs_cuts_grb_ol!C:C,proc_old!B7,benchmark_gurobi_vs_cuts_grb_ol!B:B,proc_old!C7,benchmark_gurobi_vs_cuts_grb_ol!D:D,proc_old!D7)</f>
        <v>567634.23529411759</v>
      </c>
      <c r="W7" s="2">
        <f>AVERAGEIFS(benchmark_gurobi_vs_cuts_grb_ol!O:O,benchmark_gurobi_vs_cuts_grb_ol!A:A,proc_old!A7,benchmark_gurobi_vs_cuts_grb_ol!C:C,proc_old!B7,benchmark_gurobi_vs_cuts_grb_ol!B:B,proc_old!C7,benchmark_gurobi_vs_cuts_grb_ol!D:D,proc_old!D7)</f>
        <v>6.0811870044721612E-2</v>
      </c>
      <c r="Y7" t="str">
        <f t="shared" si="0"/>
        <v>$10$ &amp; $0.4$ &amp; $20/p$ &amp; $3601.46$ &amp; $567634$ &amp; $6.08\%$ &amp; $296.22$ &amp; $3517$ &amp; $0.6\%$ &amp; $2619.4$ &amp; $678.71$ &amp; $13544$ &amp; $0.68\%$ &amp; $8.4$\\</v>
      </c>
    </row>
    <row r="8" spans="1:25" x14ac:dyDescent="0.2">
      <c r="L8" s="2"/>
    </row>
    <row r="9" spans="1:25" x14ac:dyDescent="0.2">
      <c r="A9">
        <v>20</v>
      </c>
      <c r="B9">
        <v>0.1</v>
      </c>
      <c r="C9">
        <v>1</v>
      </c>
      <c r="D9">
        <v>20</v>
      </c>
      <c r="E9">
        <f>MIN(20, COUNTIFS(benchmark_gurobi_vs_cuts_grb_ol!A:A,proc_old!A9,benchmark_gurobi_vs_cuts_grb_ol!C:C,proc_old!B9,benchmark_gurobi_vs_cuts_grb_ol!B:B,proc_old!C9,benchmark_gurobi_vs_cuts_grb_ol!D:D,proc_old!D9))</f>
        <v>20</v>
      </c>
      <c r="F9" s="2">
        <f>AVERAGEIFS(benchmark_gurobi_vs_cuts_grb_ol!P:P,benchmark_gurobi_vs_cuts_grb_ol!A:A,proc_old!A9,benchmark_gurobi_vs_cuts_grb_ol!C:C,proc_old!B9,benchmark_gurobi_vs_cuts_grb_ol!B:B,proc_old!C9,benchmark_gurobi_vs_cuts_grb_ol!D:D,proc_old!D9)</f>
        <v>0.80889328395331195</v>
      </c>
      <c r="G9" s="3">
        <f>AVERAGEIFS(benchmark_gurobi_vs_cuts_grb_ol!R:R,benchmark_gurobi_vs_cuts_grb_ol!A:A,proc_old!A9,benchmark_gurobi_vs_cuts_grb_ol!C:C,proc_old!B9,benchmark_gurobi_vs_cuts_grb_ol!B:B,proc_old!C9,benchmark_gurobi_vs_cuts_grb_ol!D:D,proc_old!D9)</f>
        <v>2865.5342626447195</v>
      </c>
      <c r="H9" s="3">
        <f>AVERAGEIFS(benchmark_gurobi_vs_cuts_grb_ol!S:S,benchmark_gurobi_vs_cuts_grb_ol!A:A,proc_old!A9,benchmark_gurobi_vs_cuts_grb_ol!C:C,proc_old!B9,benchmark_gurobi_vs_cuts_grb_ol!B:B,proc_old!C9,benchmark_gurobi_vs_cuts_grb_ol!D:D,proc_old!D9)</f>
        <v>19814.28</v>
      </c>
      <c r="I9" s="2">
        <f>AVERAGEIFS(benchmark_gurobi_vs_cuts_grb_ol!T:T,benchmark_gurobi_vs_cuts_grb_ol!A:A,proc_old!A9,benchmark_gurobi_vs_cuts_grb_ol!C:C,proc_old!B9,benchmark_gurobi_vs_cuts_grb_ol!B:B,proc_old!C9,benchmark_gurobi_vs_cuts_grb_ol!D:D,proc_old!D9)</f>
        <v>8.4221919941976746E-3</v>
      </c>
      <c r="J9" s="3">
        <f>AVERAGEIFS(benchmark_gurobi_vs_cuts_grb_ol!U:U,benchmark_gurobi_vs_cuts_grb_ol!A:A,proc_old!A9,benchmark_gurobi_vs_cuts_grb_ol!C:C,proc_old!B9,benchmark_gurobi_vs_cuts_grb_ol!B:B,proc_old!C9,benchmark_gurobi_vs_cuts_grb_ol!D:D,proc_old!D9)</f>
        <v>17058.64</v>
      </c>
      <c r="L9" s="2">
        <f>AVERAGEIFS(benchmark_gurobi_vs_cuts_grb_ol!H:H,benchmark_gurobi_vs_cuts_grb_ol!A:A,proc_old!A9,benchmark_gurobi_vs_cuts_grb_ol!C:C,proc_old!B9,benchmark_gurobi_vs_cuts_grb_ol!B:B,proc_old!C9,benchmark_gurobi_vs_cuts_grb_ol!D:D,proc_old!D9)</f>
        <v>0.67187820478534066</v>
      </c>
      <c r="N9" s="2">
        <f>AVERAGEIFS(benchmark_gurobi_vs_cuts_grb_ol!V:V,benchmark_gurobi_vs_cuts_grb_ol!A:A,proc_old!A9,benchmark_gurobi_vs_cuts_grb_ol!C:C,proc_old!B9,benchmark_gurobi_vs_cuts_grb_ol!B:B,proc_old!C9,benchmark_gurobi_vs_cuts_grb_ol!D:D,proc_old!D9)</f>
        <v>0.80484450824033293</v>
      </c>
      <c r="O9" s="3">
        <f>AVERAGEIFS(benchmark_gurobi_vs_cuts_grb_ol!X:X,benchmark_gurobi_vs_cuts_grb_ol!A:A,proc_old!A9,benchmark_gurobi_vs_cuts_grb_ol!C:C,proc_old!B9,benchmark_gurobi_vs_cuts_grb_ol!B:B,proc_old!C9,benchmark_gurobi_vs_cuts_grb_ol!D:D,proc_old!D9)</f>
        <v>2887.5515674660396</v>
      </c>
      <c r="P9" s="3">
        <f>AVERAGEIFS(benchmark_gurobi_vs_cuts_grb_ol!Y:Y,benchmark_gurobi_vs_cuts_grb_ol!A:A,proc_old!A9,benchmark_gurobi_vs_cuts_grb_ol!C:C,proc_old!B9,benchmark_gurobi_vs_cuts_grb_ol!B:B,proc_old!C9,benchmark_gurobi_vs_cuts_grb_ol!D:D,proc_old!D9)</f>
        <v>18783.240000000002</v>
      </c>
      <c r="Q9" s="2">
        <f>AVERAGEIFS(benchmark_gurobi_vs_cuts_grb_ol!Z:Z,benchmark_gurobi_vs_cuts_grb_ol!A:A,proc_old!A9,benchmark_gurobi_vs_cuts_grb_ol!C:C,proc_old!B9,benchmark_gurobi_vs_cuts_grb_ol!B:B,proc_old!C9,benchmark_gurobi_vs_cuts_grb_ol!D:D,proc_old!D9)</f>
        <v>1.4232057978454204E-2</v>
      </c>
      <c r="R9" s="3">
        <f>AVERAGEIFS(benchmark_gurobi_vs_cuts_grb_ol!AA:AA,benchmark_gurobi_vs_cuts_grb_ol!A:A,proc_old!A9,benchmark_gurobi_vs_cuts_grb_ol!C:C,proc_old!B9,benchmark_gurobi_vs_cuts_grb_ol!B:B,proc_old!C9,benchmark_gurobi_vs_cuts_grb_ol!D:D,proc_old!D9)</f>
        <v>18.68</v>
      </c>
      <c r="T9" s="2">
        <f>AVERAGEIFS(benchmark_gurobi_vs_cuts_grb_ol!K:K,benchmark_gurobi_vs_cuts_grb_ol!A:A,proc_old!A9,benchmark_gurobi_vs_cuts_grb_ol!C:C,proc_old!B9,benchmark_gurobi_vs_cuts_grb_ol!B:B,proc_old!C9,benchmark_gurobi_vs_cuts_grb_ol!D:D,proc_old!D9)</f>
        <v>0.86780687733927597</v>
      </c>
      <c r="U9" s="3">
        <f>AVERAGEIFS(benchmark_gurobi_vs_cuts_grb_ol!M:M,benchmark_gurobi_vs_cuts_grb_ol!A:A,proc_old!A9,benchmark_gurobi_vs_cuts_grb_ol!C:C,proc_old!B9,benchmark_gurobi_vs_cuts_grb_ol!B:B,proc_old!C9,benchmark_gurobi_vs_cuts_grb_ol!D:D,proc_old!D9)</f>
        <v>3602.7443835063591</v>
      </c>
      <c r="V9" s="3">
        <f>AVERAGEIFS(benchmark_gurobi_vs_cuts_grb_ol!N:N,benchmark_gurobi_vs_cuts_grb_ol!A:A,proc_old!A9,benchmark_gurobi_vs_cuts_grb_ol!C:C,proc_old!B9,benchmark_gurobi_vs_cuts_grb_ol!B:B,proc_old!C9,benchmark_gurobi_vs_cuts_grb_ol!D:D,proc_old!D9)</f>
        <v>165743.4</v>
      </c>
      <c r="W9" s="2">
        <f>AVERAGEIFS(benchmark_gurobi_vs_cuts_grb_ol!O:O,benchmark_gurobi_vs_cuts_grb_ol!A:A,proc_old!A9,benchmark_gurobi_vs_cuts_grb_ol!C:C,proc_old!B9,benchmark_gurobi_vs_cuts_grb_ol!B:B,proc_old!C9,benchmark_gurobi_vs_cuts_grb_ol!D:D,proc_old!D9)</f>
        <v>0.5884384963340108</v>
      </c>
      <c r="Y9" t="str">
        <f t="shared" si="0"/>
        <v>$20$ &amp; $0.1$ &amp; $20/p$ &amp; $3602.74$ &amp; $165743$ &amp; $58.84\%$ &amp; $2865.53$ &amp; $19814$ &amp; $0.84\%$ &amp; $17058.6$ &amp; $2887.55$ &amp; $18783$ &amp; $1.42\%$ &amp; $18.7$\\</v>
      </c>
    </row>
    <row r="10" spans="1:25" x14ac:dyDescent="0.2">
      <c r="A10">
        <v>20</v>
      </c>
      <c r="B10">
        <v>0.2</v>
      </c>
      <c r="C10">
        <v>1</v>
      </c>
      <c r="D10">
        <v>20</v>
      </c>
      <c r="E10">
        <f>MIN(20, COUNTIFS(benchmark_gurobi_vs_cuts_grb_ol!A:A,proc_old!A10,benchmark_gurobi_vs_cuts_grb_ol!C:C,proc_old!B10,benchmark_gurobi_vs_cuts_grb_ol!B:B,proc_old!C10,benchmark_gurobi_vs_cuts_grb_ol!D:D,proc_old!D10))</f>
        <v>20</v>
      </c>
      <c r="F10" s="2">
        <f>AVERAGEIFS(benchmark_gurobi_vs_cuts_grb_ol!P:P,benchmark_gurobi_vs_cuts_grb_ol!A:A,proc_old!A10,benchmark_gurobi_vs_cuts_grb_ol!C:C,proc_old!B10,benchmark_gurobi_vs_cuts_grb_ol!B:B,proc_old!C10,benchmark_gurobi_vs_cuts_grb_ol!D:D,proc_old!D10)</f>
        <v>0.4024682349716196</v>
      </c>
      <c r="G10" s="3">
        <f>AVERAGEIFS(benchmark_gurobi_vs_cuts_grb_ol!R:R,benchmark_gurobi_vs_cuts_grb_ol!A:A,proc_old!A10,benchmark_gurobi_vs_cuts_grb_ol!C:C,proc_old!B10,benchmark_gurobi_vs_cuts_grb_ol!B:B,proc_old!C10,benchmark_gurobi_vs_cuts_grb_ol!D:D,proc_old!D10)</f>
        <v>2997.342763171227</v>
      </c>
      <c r="H10" s="3">
        <f>AVERAGEIFS(benchmark_gurobi_vs_cuts_grb_ol!S:S,benchmark_gurobi_vs_cuts_grb_ol!A:A,proc_old!A10,benchmark_gurobi_vs_cuts_grb_ol!C:C,proc_old!B10,benchmark_gurobi_vs_cuts_grb_ol!B:B,proc_old!C10,benchmark_gurobi_vs_cuts_grb_ol!D:D,proc_old!D10)</f>
        <v>19535.272727272728</v>
      </c>
      <c r="I10" s="2">
        <f>AVERAGEIFS(benchmark_gurobi_vs_cuts_grb_ol!T:T,benchmark_gurobi_vs_cuts_grb_ol!A:A,proc_old!A10,benchmark_gurobi_vs_cuts_grb_ol!C:C,proc_old!B10,benchmark_gurobi_vs_cuts_grb_ol!B:B,proc_old!C10,benchmark_gurobi_vs_cuts_grb_ol!D:D,proc_old!D10)</f>
        <v>2.3738813306950456E-2</v>
      </c>
      <c r="J10" s="3">
        <f>AVERAGEIFS(benchmark_gurobi_vs_cuts_grb_ol!U:U,benchmark_gurobi_vs_cuts_grb_ol!A:A,proc_old!A10,benchmark_gurobi_vs_cuts_grb_ol!C:C,proc_old!B10,benchmark_gurobi_vs_cuts_grb_ol!B:B,proc_old!C10,benchmark_gurobi_vs_cuts_grb_ol!D:D,proc_old!D10)</f>
        <v>15312.318181818182</v>
      </c>
      <c r="L10" s="2">
        <f>AVERAGEIFS(benchmark_gurobi_vs_cuts_grb_ol!H:H,benchmark_gurobi_vs_cuts_grb_ol!A:A,proc_old!A10,benchmark_gurobi_vs_cuts_grb_ol!C:C,proc_old!B10,benchmark_gurobi_vs_cuts_grb_ol!B:B,proc_old!C10,benchmark_gurobi_vs_cuts_grb_ol!D:D,proc_old!D10)</f>
        <v>0.29217634885916838</v>
      </c>
      <c r="N10" s="2">
        <f>AVERAGEIFS(benchmark_gurobi_vs_cuts_grb_ol!V:V,benchmark_gurobi_vs_cuts_grb_ol!A:A,proc_old!A10,benchmark_gurobi_vs_cuts_grb_ol!C:C,proc_old!B10,benchmark_gurobi_vs_cuts_grb_ol!B:B,proc_old!C10,benchmark_gurobi_vs_cuts_grb_ol!D:D,proc_old!D10)</f>
        <v>0.26510690849566587</v>
      </c>
      <c r="O10" s="3">
        <f>AVERAGEIFS(benchmark_gurobi_vs_cuts_grb_ol!X:X,benchmark_gurobi_vs_cuts_grb_ol!A:A,proc_old!A10,benchmark_gurobi_vs_cuts_grb_ol!C:C,proc_old!B10,benchmark_gurobi_vs_cuts_grb_ol!B:B,proc_old!C10,benchmark_gurobi_vs_cuts_grb_ol!D:D,proc_old!D10)</f>
        <v>3044.9080018377267</v>
      </c>
      <c r="P10" s="3">
        <f>AVERAGEIFS(benchmark_gurobi_vs_cuts_grb_ol!Y:Y,benchmark_gurobi_vs_cuts_grb_ol!A:A,proc_old!A10,benchmark_gurobi_vs_cuts_grb_ol!C:C,proc_old!B10,benchmark_gurobi_vs_cuts_grb_ol!B:B,proc_old!C10,benchmark_gurobi_vs_cuts_grb_ol!D:D,proc_old!D10)</f>
        <v>8140.909090909091</v>
      </c>
      <c r="Q10" s="2">
        <f>AVERAGEIFS(benchmark_gurobi_vs_cuts_grb_ol!Z:Z,benchmark_gurobi_vs_cuts_grb_ol!A:A,proc_old!A10,benchmark_gurobi_vs_cuts_grb_ol!C:C,proc_old!B10,benchmark_gurobi_vs_cuts_grb_ol!B:B,proc_old!C10,benchmark_gurobi_vs_cuts_grb_ol!D:D,proc_old!D10)</f>
        <v>3.4977313093926626E-2</v>
      </c>
      <c r="R10" s="3">
        <f>AVERAGEIFS(benchmark_gurobi_vs_cuts_grb_ol!AA:AA,benchmark_gurobi_vs_cuts_grb_ol!A:A,proc_old!A10,benchmark_gurobi_vs_cuts_grb_ol!C:C,proc_old!B10,benchmark_gurobi_vs_cuts_grb_ol!B:B,proc_old!C10,benchmark_gurobi_vs_cuts_grb_ol!D:D,proc_old!D10)</f>
        <v>19</v>
      </c>
      <c r="T10" s="2">
        <f>AVERAGEIFS(benchmark_gurobi_vs_cuts_grb_ol!K:K,benchmark_gurobi_vs_cuts_grb_ol!A:A,proc_old!A10,benchmark_gurobi_vs_cuts_grb_ol!C:C,proc_old!B10,benchmark_gurobi_vs_cuts_grb_ol!B:B,proc_old!C10,benchmark_gurobi_vs_cuts_grb_ol!D:D,proc_old!D10)</f>
        <v>0.50598933534410795</v>
      </c>
      <c r="U10" s="3">
        <f>AVERAGEIFS(benchmark_gurobi_vs_cuts_grb_ol!M:M,benchmark_gurobi_vs_cuts_grb_ol!A:A,proc_old!A10,benchmark_gurobi_vs_cuts_grb_ol!C:C,proc_old!B10,benchmark_gurobi_vs_cuts_grb_ol!B:B,proc_old!C10,benchmark_gurobi_vs_cuts_grb_ol!D:D,proc_old!D10)</f>
        <v>3603.6930582598648</v>
      </c>
      <c r="V10" s="3">
        <f>AVERAGEIFS(benchmark_gurobi_vs_cuts_grb_ol!N:N,benchmark_gurobi_vs_cuts_grb_ol!A:A,proc_old!A10,benchmark_gurobi_vs_cuts_grb_ol!C:C,proc_old!B10,benchmark_gurobi_vs_cuts_grb_ol!B:B,proc_old!C10,benchmark_gurobi_vs_cuts_grb_ol!D:D,proc_old!D10)</f>
        <v>173963.81818181818</v>
      </c>
      <c r="W10" s="2">
        <f>AVERAGEIFS(benchmark_gurobi_vs_cuts_grb_ol!O:O,benchmark_gurobi_vs_cuts_grb_ol!A:A,proc_old!A10,benchmark_gurobi_vs_cuts_grb_ol!C:C,proc_old!B10,benchmark_gurobi_vs_cuts_grb_ol!B:B,proc_old!C10,benchmark_gurobi_vs_cuts_grb_ol!D:D,proc_old!D10)</f>
        <v>2.261324054167289</v>
      </c>
      <c r="Y10" t="str">
        <f t="shared" si="0"/>
        <v>$20$ &amp; $0.2$ &amp; $20/p$ &amp; $3603.69$ &amp; $173964$ &amp; $226.13\%$ &amp; $2997.34$ &amp; $19535$ &amp; $2.37\%$ &amp; $15312.3$ &amp; $3044.91$ &amp; $8141$ &amp; $3.5\%$ &amp; $19$\\</v>
      </c>
    </row>
    <row r="11" spans="1:25" x14ac:dyDescent="0.2">
      <c r="A11">
        <v>20</v>
      </c>
      <c r="B11">
        <v>0.3</v>
      </c>
      <c r="C11">
        <v>1</v>
      </c>
      <c r="D11">
        <v>20</v>
      </c>
      <c r="E11">
        <f>MIN(20, COUNTIFS(benchmark_gurobi_vs_cuts_grb_ol!A:A,proc_old!A11,benchmark_gurobi_vs_cuts_grb_ol!C:C,proc_old!B11,benchmark_gurobi_vs_cuts_grb_ol!B:B,proc_old!C11,benchmark_gurobi_vs_cuts_grb_ol!D:D,proc_old!D11))</f>
        <v>20</v>
      </c>
      <c r="F11" s="2">
        <f>AVERAGEIFS(benchmark_gurobi_vs_cuts_grb_ol!P:P,benchmark_gurobi_vs_cuts_grb_ol!A:A,proc_old!A11,benchmark_gurobi_vs_cuts_grb_ol!C:C,proc_old!B11,benchmark_gurobi_vs_cuts_grb_ol!B:B,proc_old!C11,benchmark_gurobi_vs_cuts_grb_ol!D:D,proc_old!D11)</f>
        <v>0.12206905005557915</v>
      </c>
      <c r="G11" s="3">
        <f>AVERAGEIFS(benchmark_gurobi_vs_cuts_grb_ol!R:R,benchmark_gurobi_vs_cuts_grb_ol!A:A,proc_old!A11,benchmark_gurobi_vs_cuts_grb_ol!C:C,proc_old!B11,benchmark_gurobi_vs_cuts_grb_ol!B:B,proc_old!C11,benchmark_gurobi_vs_cuts_grb_ol!D:D,proc_old!D11)</f>
        <v>1443.2130978006669</v>
      </c>
      <c r="H11" s="3">
        <f>AVERAGEIFS(benchmark_gurobi_vs_cuts_grb_ol!S:S,benchmark_gurobi_vs_cuts_grb_ol!A:A,proc_old!A11,benchmark_gurobi_vs_cuts_grb_ol!C:C,proc_old!B11,benchmark_gurobi_vs_cuts_grb_ol!B:B,proc_old!C11,benchmark_gurobi_vs_cuts_grb_ol!D:D,proc_old!D11)</f>
        <v>7846.083333333333</v>
      </c>
      <c r="I11" s="2">
        <f>AVERAGEIFS(benchmark_gurobi_vs_cuts_grb_ol!T:T,benchmark_gurobi_vs_cuts_grb_ol!A:A,proc_old!A11,benchmark_gurobi_vs_cuts_grb_ol!C:C,proc_old!B11,benchmark_gurobi_vs_cuts_grb_ol!B:B,proc_old!C11,benchmark_gurobi_vs_cuts_grb_ol!D:D,proc_old!D11)</f>
        <v>2.5844239307165198E-2</v>
      </c>
      <c r="J11" s="3">
        <f>AVERAGEIFS(benchmark_gurobi_vs_cuts_grb_ol!U:U,benchmark_gurobi_vs_cuts_grb_ol!A:A,proc_old!A11,benchmark_gurobi_vs_cuts_grb_ol!C:C,proc_old!B11,benchmark_gurobi_vs_cuts_grb_ol!B:B,proc_old!C11,benchmark_gurobi_vs_cuts_grb_ol!D:D,proc_old!D11)</f>
        <v>5861.333333333333</v>
      </c>
      <c r="L11" s="2">
        <f>AVERAGEIFS(benchmark_gurobi_vs_cuts_grb_ol!H:H,benchmark_gurobi_vs_cuts_grb_ol!A:A,proc_old!A11,benchmark_gurobi_vs_cuts_grb_ol!C:C,proc_old!B11,benchmark_gurobi_vs_cuts_grb_ol!B:B,proc_old!C11,benchmark_gurobi_vs_cuts_grb_ol!D:D,proc_old!D11)</f>
        <v>0.12239753883737015</v>
      </c>
      <c r="N11" s="2">
        <f>AVERAGEIFS(benchmark_gurobi_vs_cuts_grb_ol!V:V,benchmark_gurobi_vs_cuts_grb_ol!A:A,proc_old!A11,benchmark_gurobi_vs_cuts_grb_ol!C:C,proc_old!B11,benchmark_gurobi_vs_cuts_grb_ol!B:B,proc_old!C11,benchmark_gurobi_vs_cuts_grb_ol!D:D,proc_old!D11)</f>
        <v>0.10046026213657518</v>
      </c>
      <c r="O11" s="3">
        <f>AVERAGEIFS(benchmark_gurobi_vs_cuts_grb_ol!X:X,benchmark_gurobi_vs_cuts_grb_ol!A:A,proc_old!A11,benchmark_gurobi_vs_cuts_grb_ol!C:C,proc_old!B11,benchmark_gurobi_vs_cuts_grb_ol!B:B,proc_old!C11,benchmark_gurobi_vs_cuts_grb_ol!D:D,proc_old!D11)</f>
        <v>1736.8089594852918</v>
      </c>
      <c r="P11" s="3">
        <f>AVERAGEIFS(benchmark_gurobi_vs_cuts_grb_ol!Y:Y,benchmark_gurobi_vs_cuts_grb_ol!A:A,proc_old!A11,benchmark_gurobi_vs_cuts_grb_ol!C:C,proc_old!B11,benchmark_gurobi_vs_cuts_grb_ol!B:B,proc_old!C11,benchmark_gurobi_vs_cuts_grb_ol!D:D,proc_old!D11)</f>
        <v>4883.791666666667</v>
      </c>
      <c r="Q11" s="2">
        <f>AVERAGEIFS(benchmark_gurobi_vs_cuts_grb_ol!Z:Z,benchmark_gurobi_vs_cuts_grb_ol!A:A,proc_old!A11,benchmark_gurobi_vs_cuts_grb_ol!C:C,proc_old!B11,benchmark_gurobi_vs_cuts_grb_ol!B:B,proc_old!C11,benchmark_gurobi_vs_cuts_grb_ol!D:D,proc_old!D11)</f>
        <v>3.0260236415867548E-2</v>
      </c>
      <c r="R11" s="3">
        <f>AVERAGEIFS(benchmark_gurobi_vs_cuts_grb_ol!AA:AA,benchmark_gurobi_vs_cuts_grb_ol!A:A,proc_old!A11,benchmark_gurobi_vs_cuts_grb_ol!C:C,proc_old!B11,benchmark_gurobi_vs_cuts_grb_ol!B:B,proc_old!C11,benchmark_gurobi_vs_cuts_grb_ol!D:D,proc_old!D11)</f>
        <v>15.375</v>
      </c>
      <c r="T11" s="2">
        <f>AVERAGEIFS(benchmark_gurobi_vs_cuts_grb_ol!K:K,benchmark_gurobi_vs_cuts_grb_ol!A:A,proc_old!A11,benchmark_gurobi_vs_cuts_grb_ol!C:C,proc_old!B11,benchmark_gurobi_vs_cuts_grb_ol!B:B,proc_old!C11,benchmark_gurobi_vs_cuts_grb_ol!D:D,proc_old!D11)</f>
        <v>0.21678611996625527</v>
      </c>
      <c r="U11" s="3">
        <f>AVERAGEIFS(benchmark_gurobi_vs_cuts_grb_ol!M:M,benchmark_gurobi_vs_cuts_grb_ol!A:A,proc_old!A11,benchmark_gurobi_vs_cuts_grb_ol!C:C,proc_old!B11,benchmark_gurobi_vs_cuts_grb_ol!B:B,proc_old!C11,benchmark_gurobi_vs_cuts_grb_ol!D:D,proc_old!D11)</f>
        <v>3603.3850992117509</v>
      </c>
      <c r="V11" s="3">
        <f>AVERAGEIFS(benchmark_gurobi_vs_cuts_grb_ol!N:N,benchmark_gurobi_vs_cuts_grb_ol!A:A,proc_old!A11,benchmark_gurobi_vs_cuts_grb_ol!C:C,proc_old!B11,benchmark_gurobi_vs_cuts_grb_ol!B:B,proc_old!C11,benchmark_gurobi_vs_cuts_grb_ol!D:D,proc_old!D11)</f>
        <v>168492.54166666666</v>
      </c>
      <c r="W11" s="2">
        <f>AVERAGEIFS(benchmark_gurobi_vs_cuts_grb_ol!O:O,benchmark_gurobi_vs_cuts_grb_ol!A:A,proc_old!A11,benchmark_gurobi_vs_cuts_grb_ol!C:C,proc_old!B11,benchmark_gurobi_vs_cuts_grb_ol!B:B,proc_old!C11,benchmark_gurobi_vs_cuts_grb_ol!D:D,proc_old!D11)</f>
        <v>2.3963216839175865</v>
      </c>
      <c r="Y11" t="str">
        <f t="shared" si="0"/>
        <v>$20$ &amp; $0.3$ &amp; $20/p$ &amp; $3603.39$ &amp; $168493$ &amp; $239.63\%$ &amp; $1443.21$ &amp; $7846$ &amp; $2.58\%$ &amp; $5861.3$ &amp; $1736.81$ &amp; $4884$ &amp; $3.03\%$ &amp; $15.4$\\</v>
      </c>
    </row>
    <row r="12" spans="1:25" x14ac:dyDescent="0.2">
      <c r="A12">
        <v>20</v>
      </c>
      <c r="B12">
        <v>0.4</v>
      </c>
      <c r="C12">
        <v>1</v>
      </c>
      <c r="D12">
        <v>20</v>
      </c>
      <c r="E12">
        <f>MIN(20, COUNTIFS(benchmark_gurobi_vs_cuts_grb_ol!A:A,proc_old!A12,benchmark_gurobi_vs_cuts_grb_ol!C:C,proc_old!B12,benchmark_gurobi_vs_cuts_grb_ol!B:B,proc_old!C12,benchmark_gurobi_vs_cuts_grb_ol!D:D,proc_old!D12))</f>
        <v>20</v>
      </c>
      <c r="F12" s="2">
        <f>AVERAGEIFS(benchmark_gurobi_vs_cuts_grb_ol!P:P,benchmark_gurobi_vs_cuts_grb_ol!A:A,proc_old!A12,benchmark_gurobi_vs_cuts_grb_ol!C:C,proc_old!B12,benchmark_gurobi_vs_cuts_grb_ol!B:B,proc_old!C12,benchmark_gurobi_vs_cuts_grb_ol!D:D,proc_old!D12)</f>
        <v>7.4100367896566127E-2</v>
      </c>
      <c r="G12" s="3">
        <f>AVERAGEIFS(benchmark_gurobi_vs_cuts_grb_ol!R:R,benchmark_gurobi_vs_cuts_grb_ol!A:A,proc_old!A12,benchmark_gurobi_vs_cuts_grb_ol!C:C,proc_old!B12,benchmark_gurobi_vs_cuts_grb_ol!B:B,proc_old!C12,benchmark_gurobi_vs_cuts_grb_ol!D:D,proc_old!D12)</f>
        <v>432.60217073317392</v>
      </c>
      <c r="H12" s="3">
        <f>AVERAGEIFS(benchmark_gurobi_vs_cuts_grb_ol!S:S,benchmark_gurobi_vs_cuts_grb_ol!A:A,proc_old!A12,benchmark_gurobi_vs_cuts_grb_ol!C:C,proc_old!B12,benchmark_gurobi_vs_cuts_grb_ol!B:B,proc_old!C12,benchmark_gurobi_vs_cuts_grb_ol!D:D,proc_old!D12)</f>
        <v>1388</v>
      </c>
      <c r="I12" s="2">
        <f>AVERAGEIFS(benchmark_gurobi_vs_cuts_grb_ol!T:T,benchmark_gurobi_vs_cuts_grb_ol!A:A,proc_old!A12,benchmark_gurobi_vs_cuts_grb_ol!C:C,proc_old!B12,benchmark_gurobi_vs_cuts_grb_ol!B:B,proc_old!C12,benchmark_gurobi_vs_cuts_grb_ol!D:D,proc_old!D12)</f>
        <v>2.97424750183626E-2</v>
      </c>
      <c r="J12" s="3">
        <f>AVERAGEIFS(benchmark_gurobi_vs_cuts_grb_ol!U:U,benchmark_gurobi_vs_cuts_grb_ol!A:A,proc_old!A12,benchmark_gurobi_vs_cuts_grb_ol!C:C,proc_old!B12,benchmark_gurobi_vs_cuts_grb_ol!B:B,proc_old!C12,benchmark_gurobi_vs_cuts_grb_ol!D:D,proc_old!D12)</f>
        <v>1021.1304347826087</v>
      </c>
      <c r="L12" s="2">
        <f>AVERAGEIFS(benchmark_gurobi_vs_cuts_grb_ol!H:H,benchmark_gurobi_vs_cuts_grb_ol!A:A,proc_old!A12,benchmark_gurobi_vs_cuts_grb_ol!C:C,proc_old!B12,benchmark_gurobi_vs_cuts_grb_ol!B:B,proc_old!C12,benchmark_gurobi_vs_cuts_grb_ol!D:D,proc_old!D12)</f>
        <v>9.2585162617131248E-2</v>
      </c>
      <c r="N12" s="2">
        <f>AVERAGEIFS(benchmark_gurobi_vs_cuts_grb_ol!V:V,benchmark_gurobi_vs_cuts_grb_ol!A:A,proc_old!A12,benchmark_gurobi_vs_cuts_grb_ol!C:C,proc_old!B12,benchmark_gurobi_vs_cuts_grb_ol!B:B,proc_old!C12,benchmark_gurobi_vs_cuts_grb_ol!D:D,proc_old!D12)</f>
        <v>7.2514520977448566E-2</v>
      </c>
      <c r="O12" s="3">
        <f>AVERAGEIFS(benchmark_gurobi_vs_cuts_grb_ol!X:X,benchmark_gurobi_vs_cuts_grb_ol!A:A,proc_old!A12,benchmark_gurobi_vs_cuts_grb_ol!C:C,proc_old!B12,benchmark_gurobi_vs_cuts_grb_ol!B:B,proc_old!C12,benchmark_gurobi_vs_cuts_grb_ol!D:D,proc_old!D12)</f>
        <v>732.21280933078265</v>
      </c>
      <c r="P12" s="3">
        <f>AVERAGEIFS(benchmark_gurobi_vs_cuts_grb_ol!Y:Y,benchmark_gurobi_vs_cuts_grb_ol!A:A,proc_old!A12,benchmark_gurobi_vs_cuts_grb_ol!C:C,proc_old!B12,benchmark_gurobi_vs_cuts_grb_ol!B:B,proc_old!C12,benchmark_gurobi_vs_cuts_grb_ol!D:D,proc_old!D12)</f>
        <v>4962.086956521739</v>
      </c>
      <c r="Q12" s="2">
        <f>AVERAGEIFS(benchmark_gurobi_vs_cuts_grb_ol!Z:Z,benchmark_gurobi_vs_cuts_grb_ol!A:A,proc_old!A12,benchmark_gurobi_vs_cuts_grb_ol!C:C,proc_old!B12,benchmark_gurobi_vs_cuts_grb_ol!B:B,proc_old!C12,benchmark_gurobi_vs_cuts_grb_ol!D:D,proc_old!D12)</f>
        <v>1.7853121149172368E-2</v>
      </c>
      <c r="R12" s="3">
        <f>AVERAGEIFS(benchmark_gurobi_vs_cuts_grb_ol!AA:AA,benchmark_gurobi_vs_cuts_grb_ol!A:A,proc_old!A12,benchmark_gurobi_vs_cuts_grb_ol!C:C,proc_old!B12,benchmark_gurobi_vs_cuts_grb_ol!B:B,proc_old!C12,benchmark_gurobi_vs_cuts_grb_ol!D:D,proc_old!D12)</f>
        <v>12.434782608695652</v>
      </c>
      <c r="T12" s="2">
        <f>AVERAGEIFS(benchmark_gurobi_vs_cuts_grb_ol!K:K,benchmark_gurobi_vs_cuts_grb_ol!A:A,proc_old!A12,benchmark_gurobi_vs_cuts_grb_ol!C:C,proc_old!B12,benchmark_gurobi_vs_cuts_grb_ol!B:B,proc_old!C12,benchmark_gurobi_vs_cuts_grb_ol!D:D,proc_old!D12)</f>
        <v>0.17472663827476609</v>
      </c>
      <c r="U12" s="3">
        <f>AVERAGEIFS(benchmark_gurobi_vs_cuts_grb_ol!M:M,benchmark_gurobi_vs_cuts_grb_ol!A:A,proc_old!A12,benchmark_gurobi_vs_cuts_grb_ol!C:C,proc_old!B12,benchmark_gurobi_vs_cuts_grb_ol!B:B,proc_old!C12,benchmark_gurobi_vs_cuts_grb_ol!D:D,proc_old!D12)</f>
        <v>3602.7122943952613</v>
      </c>
      <c r="V12" s="3">
        <f>AVERAGEIFS(benchmark_gurobi_vs_cuts_grb_ol!N:N,benchmark_gurobi_vs_cuts_grb_ol!A:A,proc_old!A12,benchmark_gurobi_vs_cuts_grb_ol!C:C,proc_old!B12,benchmark_gurobi_vs_cuts_grb_ol!B:B,proc_old!C12,benchmark_gurobi_vs_cuts_grb_ol!D:D,proc_old!D12)</f>
        <v>180838.04347826086</v>
      </c>
      <c r="W12" s="2">
        <f>AVERAGEIFS(benchmark_gurobi_vs_cuts_grb_ol!O:O,benchmark_gurobi_vs_cuts_grb_ol!A:A,proc_old!A12,benchmark_gurobi_vs_cuts_grb_ol!C:C,proc_old!B12,benchmark_gurobi_vs_cuts_grb_ol!B:B,proc_old!C12,benchmark_gurobi_vs_cuts_grb_ol!D:D,proc_old!D12)</f>
        <v>2.9800107232226627</v>
      </c>
      <c r="Y12" t="str">
        <f t="shared" si="0"/>
        <v>$20$ &amp; $0.4$ &amp; $20/p$ &amp; $3602.71$ &amp; $180838$ &amp; $298\%$ &amp; $432.6$ &amp; $1388$ &amp; $2.97\%$ &amp; $1021.1$ &amp; $732.21$ &amp; $4962$ &amp; $1.79\%$ &amp; $12.4$\\</v>
      </c>
    </row>
    <row r="13" spans="1:25" x14ac:dyDescent="0.2">
      <c r="L13" s="2"/>
    </row>
    <row r="14" spans="1:25" x14ac:dyDescent="0.2">
      <c r="A14">
        <v>30</v>
      </c>
      <c r="B14">
        <v>0.1</v>
      </c>
      <c r="C14">
        <v>1</v>
      </c>
      <c r="D14">
        <v>20</v>
      </c>
      <c r="E14">
        <f>MIN(20, COUNTIFS(benchmark_gurobi_vs_cuts_grb_ol!A:A,proc_old!A14,benchmark_gurobi_vs_cuts_grb_ol!C:C,proc_old!B14,benchmark_gurobi_vs_cuts_grb_ol!B:B,proc_old!C14,benchmark_gurobi_vs_cuts_grb_ol!D:D,proc_old!D14))</f>
        <v>20</v>
      </c>
      <c r="L14" s="2">
        <f>AVERAGEIFS(benchmark_gurobi_vs_cuts_grb_ol!H:H,benchmark_gurobi_vs_cuts_grb_ol!A:A,proc_old!A14,benchmark_gurobi_vs_cuts_grb_ol!C:C,proc_old!B14,benchmark_gurobi_vs_cuts_grb_ol!B:B,proc_old!C14,benchmark_gurobi_vs_cuts_grb_ol!D:D,proc_old!D14)</f>
        <v>0.48507000919787441</v>
      </c>
      <c r="N14" s="2">
        <f>AVERAGEIFS(benchmark_gurobi_vs_cuts_grb_ol!V:V,benchmark_gurobi_vs_cuts_grb_ol!A:A,proc_old!A14,benchmark_gurobi_vs_cuts_grb_ol!C:C,proc_old!B14,benchmark_gurobi_vs_cuts_grb_ol!B:B,proc_old!C14,benchmark_gurobi_vs_cuts_grb_ol!D:D,proc_old!D14)</f>
        <v>0.54116673270287208</v>
      </c>
      <c r="O14" s="3">
        <f>AVERAGEIFS(benchmark_gurobi_vs_cuts_grb_ol!X:X,benchmark_gurobi_vs_cuts_grb_ol!A:A,proc_old!A14,benchmark_gurobi_vs_cuts_grb_ol!C:C,proc_old!B14,benchmark_gurobi_vs_cuts_grb_ol!B:B,proc_old!C14,benchmark_gurobi_vs_cuts_grb_ol!D:D,proc_old!D14)</f>
        <v>50885.794915655184</v>
      </c>
      <c r="P14" s="3">
        <f>AVERAGEIFS(benchmark_gurobi_vs_cuts_grb_ol!Y:Y,benchmark_gurobi_vs_cuts_grb_ol!A:A,proc_old!A14,benchmark_gurobi_vs_cuts_grb_ol!C:C,proc_old!B14,benchmark_gurobi_vs_cuts_grb_ol!B:B,proc_old!C14,benchmark_gurobi_vs_cuts_grb_ol!D:D,proc_old!D14)</f>
        <v>87002</v>
      </c>
      <c r="Q14" s="2">
        <f>AVERAGEIFS(benchmark_gurobi_vs_cuts_grb_ol!Z:Z,benchmark_gurobi_vs_cuts_grb_ol!A:A,proc_old!A14,benchmark_gurobi_vs_cuts_grb_ol!C:C,proc_old!B14,benchmark_gurobi_vs_cuts_grb_ol!B:B,proc_old!C14,benchmark_gurobi_vs_cuts_grb_ol!D:D,proc_old!D14)</f>
        <v>4.0179276505835852E-2</v>
      </c>
      <c r="R14" s="3">
        <f>AVERAGEIFS(benchmark_gurobi_vs_cuts_grb_ol!AA:AA,benchmark_gurobi_vs_cuts_grb_ol!A:A,proc_old!A14,benchmark_gurobi_vs_cuts_grb_ol!C:C,proc_old!B14,benchmark_gurobi_vs_cuts_grb_ol!B:B,proc_old!C14,benchmark_gurobi_vs_cuts_grb_ol!D:D,proc_old!D14)</f>
        <v>72.727272727272734</v>
      </c>
      <c r="Y14" t="str">
        <f t="shared" ref="Y14:Y17" si="1">CONCATENATE("$", A14, "$ &amp; $", B14, "$ &amp; $", D14, "/p$ &amp; $", 100*ROUND(T14,4), "\%$ &amp; $", ROUND(U14,2), "$ &amp; $", ROUND(V14,0), "$ &amp; $", 100*ROUND(W14,4), "\%$ &amp; $", 100*ROUND(F14,4), "\%$ &amp; $", ROUND(G14,2), "$ &amp; $", ROUND(H14,0), "$ &amp; $", 100*ROUND(I14,4), "\%$ &amp; $", ROUND(J14,1), "$ &amp; $",100*ROUND(N14,4), "\%$ &amp; $", ROUND(O14,2), "$ &amp; $", ROUND(P14,0), "$ &amp; $", 100*ROUND(Q14,4), "\%$ &amp; $", ROUND(R14,1), "$\\")</f>
        <v>$30$ &amp; $0.1$ &amp; $20/p$ &amp; $0\%$ &amp; $0$ &amp; $0$ &amp; $0\%$ &amp; $0\%$ &amp; $0$ &amp; $0$ &amp; $0\%$ &amp; $0$ &amp; $54.12\%$ &amp; $50885.79$ &amp; $87002$ &amp; $4.02\%$ &amp; $72.7$\\</v>
      </c>
    </row>
    <row r="15" spans="1:25" x14ac:dyDescent="0.2">
      <c r="A15">
        <v>30</v>
      </c>
      <c r="B15">
        <v>0.2</v>
      </c>
      <c r="C15">
        <v>1</v>
      </c>
      <c r="D15">
        <v>20</v>
      </c>
      <c r="E15">
        <f>MIN(20, COUNTIFS(benchmark_gurobi_vs_cuts_grb_ol!A:A,proc_old!A15,benchmark_gurobi_vs_cuts_grb_ol!C:C,proc_old!B15,benchmark_gurobi_vs_cuts_grb_ol!B:B,proc_old!C15,benchmark_gurobi_vs_cuts_grb_ol!D:D,proc_old!D15))</f>
        <v>20</v>
      </c>
      <c r="L15" s="2">
        <f>AVERAGEIFS(benchmark_gurobi_vs_cuts_grb_ol!H:H,benchmark_gurobi_vs_cuts_grb_ol!A:A,proc_old!A15,benchmark_gurobi_vs_cuts_grb_ol!C:C,proc_old!B15,benchmark_gurobi_vs_cuts_grb_ol!B:B,proc_old!C15,benchmark_gurobi_vs_cuts_grb_ol!D:D,proc_old!D15)</f>
        <v>0.18851015588459474</v>
      </c>
      <c r="N15" s="2">
        <f>AVERAGEIFS(benchmark_gurobi_vs_cuts_grb_ol!V:V,benchmark_gurobi_vs_cuts_grb_ol!A:A,proc_old!A15,benchmark_gurobi_vs_cuts_grb_ol!C:C,proc_old!B15,benchmark_gurobi_vs_cuts_grb_ol!B:B,proc_old!C15,benchmark_gurobi_vs_cuts_grb_ol!D:D,proc_old!D15)</f>
        <v>0.16377455105452049</v>
      </c>
      <c r="O15" s="3">
        <f>AVERAGEIFS(benchmark_gurobi_vs_cuts_grb_ol!X:X,benchmark_gurobi_vs_cuts_grb_ol!A:A,proc_old!A15,benchmark_gurobi_vs_cuts_grb_ol!C:C,proc_old!B15,benchmark_gurobi_vs_cuts_grb_ol!B:B,proc_old!C15,benchmark_gurobi_vs_cuts_grb_ol!D:D,proc_old!D15)</f>
        <v>47203.160598885173</v>
      </c>
      <c r="P15" s="3">
        <f>AVERAGEIFS(benchmark_gurobi_vs_cuts_grb_ol!Y:Y,benchmark_gurobi_vs_cuts_grb_ol!A:A,proc_old!A15,benchmark_gurobi_vs_cuts_grb_ol!C:C,proc_old!B15,benchmark_gurobi_vs_cuts_grb_ol!B:B,proc_old!C15,benchmark_gurobi_vs_cuts_grb_ol!D:D,proc_old!D15)</f>
        <v>58526.739130434784</v>
      </c>
      <c r="Q15" s="2">
        <f>AVERAGEIFS(benchmark_gurobi_vs_cuts_grb_ol!Z:Z,benchmark_gurobi_vs_cuts_grb_ol!A:A,proc_old!A15,benchmark_gurobi_vs_cuts_grb_ol!C:C,proc_old!B15,benchmark_gurobi_vs_cuts_grb_ol!B:B,proc_old!C15,benchmark_gurobi_vs_cuts_grb_ol!D:D,proc_old!D15)</f>
        <v>6.3862197330820047E-2</v>
      </c>
      <c r="R15" s="3">
        <f>AVERAGEIFS(benchmark_gurobi_vs_cuts_grb_ol!AA:AA,benchmark_gurobi_vs_cuts_grb_ol!A:A,proc_old!A15,benchmark_gurobi_vs_cuts_grb_ol!C:C,proc_old!B15,benchmark_gurobi_vs_cuts_grb_ol!B:B,proc_old!C15,benchmark_gurobi_vs_cuts_grb_ol!D:D,proc_old!D15)</f>
        <v>67.434782608695656</v>
      </c>
      <c r="Y15" t="str">
        <f t="shared" si="1"/>
        <v>$30$ &amp; $0.2$ &amp; $20/p$ &amp; $0\%$ &amp; $0$ &amp; $0$ &amp; $0\%$ &amp; $0\%$ &amp; $0$ &amp; $0$ &amp; $0\%$ &amp; $0$ &amp; $16.38\%$ &amp; $47203.16$ &amp; $58527$ &amp; $6.39\%$ &amp; $67.4$\\</v>
      </c>
    </row>
    <row r="16" spans="1:25" x14ac:dyDescent="0.2">
      <c r="A16">
        <v>30</v>
      </c>
      <c r="B16">
        <v>0.3</v>
      </c>
      <c r="C16">
        <v>1</v>
      </c>
      <c r="D16">
        <v>20</v>
      </c>
      <c r="E16">
        <f>MIN(20, COUNTIFS(benchmark_gurobi_vs_cuts_grb_ol!A:A,proc_old!A16,benchmark_gurobi_vs_cuts_grb_ol!C:C,proc_old!B16,benchmark_gurobi_vs_cuts_grb_ol!B:B,proc_old!C16,benchmark_gurobi_vs_cuts_grb_ol!D:D,proc_old!D16))</f>
        <v>20</v>
      </c>
      <c r="L16" s="2">
        <f>AVERAGEIFS(benchmark_gurobi_vs_cuts_grb_ol!H:H,benchmark_gurobi_vs_cuts_grb_ol!A:A,proc_old!A16,benchmark_gurobi_vs_cuts_grb_ol!C:C,proc_old!B16,benchmark_gurobi_vs_cuts_grb_ol!B:B,proc_old!C16,benchmark_gurobi_vs_cuts_grb_ol!D:D,proc_old!D16)</f>
        <v>0.11366929216158171</v>
      </c>
      <c r="N16" s="2">
        <f>AVERAGEIFS(benchmark_gurobi_vs_cuts_grb_ol!V:V,benchmark_gurobi_vs_cuts_grb_ol!A:A,proc_old!A16,benchmark_gurobi_vs_cuts_grb_ol!C:C,proc_old!B16,benchmark_gurobi_vs_cuts_grb_ol!B:B,proc_old!C16,benchmark_gurobi_vs_cuts_grb_ol!D:D,proc_old!D16)</f>
        <v>8.7912510256457105E-2</v>
      </c>
      <c r="O16" s="3">
        <f>AVERAGEIFS(benchmark_gurobi_vs_cuts_grb_ol!X:X,benchmark_gurobi_vs_cuts_grb_ol!A:A,proc_old!A16,benchmark_gurobi_vs_cuts_grb_ol!C:C,proc_old!B16,benchmark_gurobi_vs_cuts_grb_ol!B:B,proc_old!C16,benchmark_gurobi_vs_cuts_grb_ol!D:D,proc_old!D16)</f>
        <v>28363.021879014283</v>
      </c>
      <c r="P16" s="3">
        <f>AVERAGEIFS(benchmark_gurobi_vs_cuts_grb_ol!Y:Y,benchmark_gurobi_vs_cuts_grb_ol!A:A,proc_old!A16,benchmark_gurobi_vs_cuts_grb_ol!C:C,proc_old!B16,benchmark_gurobi_vs_cuts_grb_ol!B:B,proc_old!C16,benchmark_gurobi_vs_cuts_grb_ol!D:D,proc_old!D16)</f>
        <v>53532.103448275862</v>
      </c>
      <c r="Q16" s="2">
        <f>AVERAGEIFS(benchmark_gurobi_vs_cuts_grb_ol!Z:Z,benchmark_gurobi_vs_cuts_grb_ol!A:A,proc_old!A16,benchmark_gurobi_vs_cuts_grb_ol!C:C,proc_old!B16,benchmark_gurobi_vs_cuts_grb_ol!B:B,proc_old!C16,benchmark_gurobi_vs_cuts_grb_ol!D:D,proc_old!D16)</f>
        <v>3.599190252611742E-2</v>
      </c>
      <c r="R16" s="3">
        <f>AVERAGEIFS(benchmark_gurobi_vs_cuts_grb_ol!AA:AA,benchmark_gurobi_vs_cuts_grb_ol!A:A,proc_old!A16,benchmark_gurobi_vs_cuts_grb_ol!C:C,proc_old!B16,benchmark_gurobi_vs_cuts_grb_ol!B:B,proc_old!C16,benchmark_gurobi_vs_cuts_grb_ol!D:D,proc_old!D16)</f>
        <v>51.344827586206897</v>
      </c>
      <c r="Y16" t="str">
        <f t="shared" si="1"/>
        <v>$30$ &amp; $0.3$ &amp; $20/p$ &amp; $0\%$ &amp; $0$ &amp; $0$ &amp; $0\%$ &amp; $0\%$ &amp; $0$ &amp; $0$ &amp; $0\%$ &amp; $0$ &amp; $8.79\%$ &amp; $28363.02$ &amp; $53532$ &amp; $3.6\%$ &amp; $51.3$\\</v>
      </c>
    </row>
    <row r="17" spans="1:25" x14ac:dyDescent="0.2">
      <c r="A17">
        <v>30</v>
      </c>
      <c r="B17">
        <v>0.4</v>
      </c>
      <c r="C17">
        <v>1</v>
      </c>
      <c r="D17">
        <v>20</v>
      </c>
      <c r="E17">
        <f>MIN(20, COUNTIFS(benchmark_gurobi_vs_cuts_grb_ol!A:A,proc_old!A17,benchmark_gurobi_vs_cuts_grb_ol!C:C,proc_old!B17,benchmark_gurobi_vs_cuts_grb_ol!B:B,proc_old!C17,benchmark_gurobi_vs_cuts_grb_ol!D:D,proc_old!D17))</f>
        <v>20</v>
      </c>
      <c r="L17" s="2">
        <f>AVERAGEIFS(benchmark_gurobi_vs_cuts_grb_ol!H:H,benchmark_gurobi_vs_cuts_grb_ol!A:A,proc_old!A17,benchmark_gurobi_vs_cuts_grb_ol!C:C,proc_old!B17,benchmark_gurobi_vs_cuts_grb_ol!B:B,proc_old!C17,benchmark_gurobi_vs_cuts_grb_ol!D:D,proc_old!D17)</f>
        <v>8.0438573855063145E-2</v>
      </c>
      <c r="N17" s="2">
        <f>AVERAGEIFS(benchmark_gurobi_vs_cuts_grb_ol!V:V,benchmark_gurobi_vs_cuts_grb_ol!A:A,proc_old!A17,benchmark_gurobi_vs_cuts_grb_ol!C:C,proc_old!B17,benchmark_gurobi_vs_cuts_grb_ol!B:B,proc_old!C17,benchmark_gurobi_vs_cuts_grb_ol!D:D,proc_old!D17)</f>
        <v>5.8487226993013307E-2</v>
      </c>
      <c r="O17" s="3">
        <f>AVERAGEIFS(benchmark_gurobi_vs_cuts_grb_ol!X:X,benchmark_gurobi_vs_cuts_grb_ol!A:A,proc_old!A17,benchmark_gurobi_vs_cuts_grb_ol!C:C,proc_old!B17,benchmark_gurobi_vs_cuts_grb_ol!B:B,proc_old!C17,benchmark_gurobi_vs_cuts_grb_ol!D:D,proc_old!D17)</f>
        <v>12965.646330739086</v>
      </c>
      <c r="P17" s="3">
        <f>AVERAGEIFS(benchmark_gurobi_vs_cuts_grb_ol!Y:Y,benchmark_gurobi_vs_cuts_grb_ol!A:A,proc_old!A17,benchmark_gurobi_vs_cuts_grb_ol!C:C,proc_old!B17,benchmark_gurobi_vs_cuts_grb_ol!B:B,proc_old!C17,benchmark_gurobi_vs_cuts_grb_ol!D:D,proc_old!D17)</f>
        <v>31693.942857142858</v>
      </c>
      <c r="Q17" s="2">
        <f>AVERAGEIFS(benchmark_gurobi_vs_cuts_grb_ol!Z:Z,benchmark_gurobi_vs_cuts_grb_ol!A:A,proc_old!A17,benchmark_gurobi_vs_cuts_grb_ol!C:C,proc_old!B17,benchmark_gurobi_vs_cuts_grb_ol!B:B,proc_old!C17,benchmark_gurobi_vs_cuts_grb_ol!D:D,proc_old!D17)</f>
        <v>2.5640700578294932E-2</v>
      </c>
      <c r="R17" s="3">
        <f>AVERAGEIFS(benchmark_gurobi_vs_cuts_grb_ol!AA:AA,benchmark_gurobi_vs_cuts_grb_ol!A:A,proc_old!A17,benchmark_gurobi_vs_cuts_grb_ol!C:C,proc_old!B17,benchmark_gurobi_vs_cuts_grb_ol!B:B,proc_old!C17,benchmark_gurobi_vs_cuts_grb_ol!D:D,proc_old!D17)</f>
        <v>36.371428571428574</v>
      </c>
      <c r="Y17" t="str">
        <f t="shared" si="1"/>
        <v>$30$ &amp; $0.4$ &amp; $20/p$ &amp; $0\%$ &amp; $0$ &amp; $0$ &amp; $0\%$ &amp; $0\%$ &amp; $0$ &amp; $0$ &amp; $0\%$ &amp; $0$ &amp; $5.85\%$ &amp; $12965.65$ &amp; $31694$ &amp; $2.56\%$ &amp; $36.4$\\</v>
      </c>
    </row>
    <row r="18" spans="1:25" x14ac:dyDescent="0.2">
      <c r="L18" s="2"/>
    </row>
    <row r="19" spans="1:25" x14ac:dyDescent="0.2">
      <c r="L19" s="2"/>
    </row>
    <row r="20" spans="1:25" x14ac:dyDescent="0.2">
      <c r="A20">
        <v>40</v>
      </c>
      <c r="B20">
        <v>0.1</v>
      </c>
      <c r="C20">
        <v>1</v>
      </c>
      <c r="D20">
        <v>20</v>
      </c>
      <c r="E20">
        <f>MIN(20, COUNTIFS(benchmark_gurobi_vs_cuts_grb_ol!A:A,proc_old!A20,benchmark_gurobi_vs_cuts_grb_ol!C:C,proc_old!B20,benchmark_gurobi_vs_cuts_grb_ol!B:B,proc_old!C20,benchmark_gurobi_vs_cuts_grb_ol!D:D,proc_old!D20))</f>
        <v>17</v>
      </c>
      <c r="L20" s="2">
        <f>AVERAGEIFS(benchmark_gurobi_vs_cuts_grb_ol!H:H,benchmark_gurobi_vs_cuts_grb_ol!A:A,proc_old!A20,benchmark_gurobi_vs_cuts_grb_ol!C:C,proc_old!B20,benchmark_gurobi_vs_cuts_grb_ol!B:B,proc_old!C20,benchmark_gurobi_vs_cuts_grb_ol!D:D,proc_old!D20)</f>
        <v>0.32975429976823056</v>
      </c>
      <c r="N20" s="2">
        <f>AVERAGEIFS(benchmark_gurobi_vs_cuts_grb_ol!V:V,benchmark_gurobi_vs_cuts_grb_ol!A:A,proc_old!A20,benchmark_gurobi_vs_cuts_grb_ol!C:C,proc_old!B20,benchmark_gurobi_vs_cuts_grb_ol!B:B,proc_old!C20,benchmark_gurobi_vs_cuts_grb_ol!D:D,proc_old!D20)</f>
        <v>0.30964707747260822</v>
      </c>
      <c r="O20" s="3">
        <f>AVERAGEIFS(benchmark_gurobi_vs_cuts_grb_ol!X:X,benchmark_gurobi_vs_cuts_grb_ol!A:A,proc_old!A20,benchmark_gurobi_vs_cuts_grb_ol!C:C,proc_old!B20,benchmark_gurobi_vs_cuts_grb_ol!B:B,proc_old!C20,benchmark_gurobi_vs_cuts_grb_ol!D:D,proc_old!D20)</f>
        <v>30906.367730903119</v>
      </c>
      <c r="P20" s="3">
        <f>AVERAGEIFS(benchmark_gurobi_vs_cuts_grb_ol!Y:Y,benchmark_gurobi_vs_cuts_grb_ol!A:A,proc_old!A20,benchmark_gurobi_vs_cuts_grb_ol!C:C,proc_old!B20,benchmark_gurobi_vs_cuts_grb_ol!B:B,proc_old!C20,benchmark_gurobi_vs_cuts_grb_ol!D:D,proc_old!D20)</f>
        <v>25820.764705882353</v>
      </c>
      <c r="Q20" s="2">
        <f>AVERAGEIFS(benchmark_gurobi_vs_cuts_grb_ol!Z:Z,benchmark_gurobi_vs_cuts_grb_ol!A:A,proc_old!A20,benchmark_gurobi_vs_cuts_grb_ol!C:C,proc_old!B20,benchmark_gurobi_vs_cuts_grb_ol!B:B,proc_old!C20,benchmark_gurobi_vs_cuts_grb_ol!D:D,proc_old!D20)</f>
        <v>9.6026417796267083E-2</v>
      </c>
      <c r="R20" s="3">
        <f>AVERAGEIFS(benchmark_gurobi_vs_cuts_grb_ol!AA:AA,benchmark_gurobi_vs_cuts_grb_ol!A:A,proc_old!A20,benchmark_gurobi_vs_cuts_grb_ol!C:C,proc_old!B20,benchmark_gurobi_vs_cuts_grb_ol!B:B,proc_old!C20,benchmark_gurobi_vs_cuts_grb_ol!D:D,proc_old!D20)</f>
        <v>50</v>
      </c>
      <c r="Y20" t="str">
        <f t="shared" ref="Y20:Y23" si="2">CONCATENATE("$", A20, "$ &amp; $", B20, "$ &amp; $", D20, "/p$ &amp; $", 100*ROUND(T20,4), "\%$ &amp; $", ROUND(U20,2), "$ &amp; $", ROUND(V20,0), "$ &amp; $", 100*ROUND(W20,4), "\%$ &amp; $", 100*ROUND(F20,4), "\%$ &amp; $", ROUND(G20,2), "$ &amp; $", ROUND(H20,0), "$ &amp; $", 100*ROUND(I20,4), "\%$ &amp; $", ROUND(J20,1), "$ &amp; $",100*ROUND(N20,4), "\%$ &amp; $", ROUND(O20,2), "$ &amp; $", ROUND(P20,0), "$ &amp; $", 100*ROUND(Q20,4), "\%$ &amp; $", ROUND(R20,1), "$\\")</f>
        <v>$40$ &amp; $0.1$ &amp; $20/p$ &amp; $0\%$ &amp; $0$ &amp; $0$ &amp; $0\%$ &amp; $0\%$ &amp; $0$ &amp; $0$ &amp; $0\%$ &amp; $0$ &amp; $30.96\%$ &amp; $30906.37$ &amp; $25821$ &amp; $9.6\%$ &amp; $50$\\</v>
      </c>
    </row>
    <row r="21" spans="1:25" x14ac:dyDescent="0.2">
      <c r="A21">
        <v>40</v>
      </c>
      <c r="B21">
        <v>0.2</v>
      </c>
      <c r="C21">
        <v>1</v>
      </c>
      <c r="D21">
        <v>20</v>
      </c>
      <c r="E21">
        <f>MIN(20, COUNTIFS(benchmark_gurobi_vs_cuts_grb_ol!A:A,proc_old!A21,benchmark_gurobi_vs_cuts_grb_ol!C:C,proc_old!B21,benchmark_gurobi_vs_cuts_grb_ol!B:B,proc_old!C21,benchmark_gurobi_vs_cuts_grb_ol!D:D,proc_old!D21))</f>
        <v>11</v>
      </c>
      <c r="L21" s="2">
        <f>AVERAGEIFS(benchmark_gurobi_vs_cuts_grb_ol!H:H,benchmark_gurobi_vs_cuts_grb_ol!A:A,proc_old!A21,benchmark_gurobi_vs_cuts_grb_ol!C:C,proc_old!B21,benchmark_gurobi_vs_cuts_grb_ol!B:B,proc_old!C21,benchmark_gurobi_vs_cuts_grb_ol!D:D,proc_old!D21)</f>
        <v>0.13792409190998034</v>
      </c>
      <c r="N21" s="2">
        <f>AVERAGEIFS(benchmark_gurobi_vs_cuts_grb_ol!V:V,benchmark_gurobi_vs_cuts_grb_ol!A:A,proc_old!A21,benchmark_gurobi_vs_cuts_grb_ol!C:C,proc_old!B21,benchmark_gurobi_vs_cuts_grb_ol!B:B,proc_old!C21,benchmark_gurobi_vs_cuts_grb_ol!D:D,proc_old!D21)</f>
        <v>0.11475794349726792</v>
      </c>
      <c r="O21" s="3">
        <f>AVERAGEIFS(benchmark_gurobi_vs_cuts_grb_ol!X:X,benchmark_gurobi_vs_cuts_grb_ol!A:A,proc_old!A21,benchmark_gurobi_vs_cuts_grb_ol!C:C,proc_old!B21,benchmark_gurobi_vs_cuts_grb_ol!B:B,proc_old!C21,benchmark_gurobi_vs_cuts_grb_ol!D:D,proc_old!D21)</f>
        <v>31214.724359137184</v>
      </c>
      <c r="P21" s="3">
        <f>AVERAGEIFS(benchmark_gurobi_vs_cuts_grb_ol!Y:Y,benchmark_gurobi_vs_cuts_grb_ol!A:A,proc_old!A21,benchmark_gurobi_vs_cuts_grb_ol!C:C,proc_old!B21,benchmark_gurobi_vs_cuts_grb_ol!B:B,proc_old!C21,benchmark_gurobi_vs_cuts_grb_ol!D:D,proc_old!D21)</f>
        <v>33928.909090909088</v>
      </c>
      <c r="Q21" s="2">
        <f>AVERAGEIFS(benchmark_gurobi_vs_cuts_grb_ol!Z:Z,benchmark_gurobi_vs_cuts_grb_ol!A:A,proc_old!A21,benchmark_gurobi_vs_cuts_grb_ol!C:C,proc_old!B21,benchmark_gurobi_vs_cuts_grb_ol!B:B,proc_old!C21,benchmark_gurobi_vs_cuts_grb_ol!D:D,proc_old!D21)</f>
        <v>0.10164832197746709</v>
      </c>
      <c r="R21" s="3">
        <f>AVERAGEIFS(benchmark_gurobi_vs_cuts_grb_ol!AA:AA,benchmark_gurobi_vs_cuts_grb_ol!A:A,proc_old!A21,benchmark_gurobi_vs_cuts_grb_ol!C:C,proc_old!B21,benchmark_gurobi_vs_cuts_grb_ol!B:B,proc_old!C21,benchmark_gurobi_vs_cuts_grb_ol!D:D,proc_old!D21)</f>
        <v>50</v>
      </c>
      <c r="Y21" t="str">
        <f t="shared" si="2"/>
        <v>$40$ &amp; $0.2$ &amp; $20/p$ &amp; $0\%$ &amp; $0$ &amp; $0$ &amp; $0\%$ &amp; $0\%$ &amp; $0$ &amp; $0$ &amp; $0\%$ &amp; $0$ &amp; $11.48\%$ &amp; $31214.72$ &amp; $33929$ &amp; $10.16\%$ &amp; $50$\\</v>
      </c>
    </row>
    <row r="22" spans="1:25" x14ac:dyDescent="0.2">
      <c r="A22">
        <v>40</v>
      </c>
      <c r="B22">
        <v>0.3</v>
      </c>
      <c r="C22">
        <v>1</v>
      </c>
      <c r="D22">
        <v>20</v>
      </c>
      <c r="E22">
        <f>MIN(20, COUNTIFS(benchmark_gurobi_vs_cuts_grb_ol!A:A,proc_old!A22,benchmark_gurobi_vs_cuts_grb_ol!C:C,proc_old!B22,benchmark_gurobi_vs_cuts_grb_ol!B:B,proc_old!C22,benchmark_gurobi_vs_cuts_grb_ol!D:D,proc_old!D22))</f>
        <v>20</v>
      </c>
      <c r="L22" s="2">
        <f>AVERAGEIFS(benchmark_gurobi_vs_cuts_grb_ol!H:H,benchmark_gurobi_vs_cuts_grb_ol!A:A,proc_old!A22,benchmark_gurobi_vs_cuts_grb_ol!C:C,proc_old!B22,benchmark_gurobi_vs_cuts_grb_ol!B:B,proc_old!C22,benchmark_gurobi_vs_cuts_grb_ol!D:D,proc_old!D22)</f>
        <v>7.7288808998695696E-2</v>
      </c>
      <c r="N22" s="2">
        <f>AVERAGEIFS(benchmark_gurobi_vs_cuts_grb_ol!V:V,benchmark_gurobi_vs_cuts_grb_ol!A:A,proc_old!A22,benchmark_gurobi_vs_cuts_grb_ol!C:C,proc_old!B22,benchmark_gurobi_vs_cuts_grb_ol!B:B,proc_old!C22,benchmark_gurobi_vs_cuts_grb_ol!D:D,proc_old!D22)</f>
        <v>5.3558099778646021E-2</v>
      </c>
      <c r="O22" s="3">
        <f>AVERAGEIFS(benchmark_gurobi_vs_cuts_grb_ol!X:X,benchmark_gurobi_vs_cuts_grb_ol!A:A,proc_old!A22,benchmark_gurobi_vs_cuts_grb_ol!C:C,proc_old!B22,benchmark_gurobi_vs_cuts_grb_ol!B:B,proc_old!C22,benchmark_gurobi_vs_cuts_grb_ol!D:D,proc_old!D22)</f>
        <v>7853.5001800392492</v>
      </c>
      <c r="P22" s="3">
        <f>AVERAGEIFS(benchmark_gurobi_vs_cuts_grb_ol!Y:Y,benchmark_gurobi_vs_cuts_grb_ol!A:A,proc_old!A22,benchmark_gurobi_vs_cuts_grb_ol!C:C,proc_old!B22,benchmark_gurobi_vs_cuts_grb_ol!B:B,proc_old!C22,benchmark_gurobi_vs_cuts_grb_ol!D:D,proc_old!D22)</f>
        <v>8184.1</v>
      </c>
      <c r="Q22" s="2">
        <f>AVERAGEIFS(benchmark_gurobi_vs_cuts_grb_ol!Z:Z,benchmark_gurobi_vs_cuts_grb_ol!A:A,proc_old!A22,benchmark_gurobi_vs_cuts_grb_ol!C:C,proc_old!B22,benchmark_gurobi_vs_cuts_grb_ol!B:B,proc_old!C22,benchmark_gurobi_vs_cuts_grb_ol!D:D,proc_old!D22)</f>
        <v>2.8590043660297722E-2</v>
      </c>
      <c r="R22" s="3">
        <f>AVERAGEIFS(benchmark_gurobi_vs_cuts_grb_ol!AA:AA,benchmark_gurobi_vs_cuts_grb_ol!A:A,proc_old!A22,benchmark_gurobi_vs_cuts_grb_ol!C:C,proc_old!B22,benchmark_gurobi_vs_cuts_grb_ol!B:B,proc_old!C22,benchmark_gurobi_vs_cuts_grb_ol!D:D,proc_old!D22)</f>
        <v>31.75</v>
      </c>
      <c r="Y22" t="str">
        <f t="shared" si="2"/>
        <v>$40$ &amp; $0.3$ &amp; $20/p$ &amp; $0\%$ &amp; $0$ &amp; $0$ &amp; $0\%$ &amp; $0\%$ &amp; $0$ &amp; $0$ &amp; $0\%$ &amp; $0$ &amp; $5.36\%$ &amp; $7853.5$ &amp; $8184$ &amp; $2.86\%$ &amp; $31.8$\\</v>
      </c>
    </row>
    <row r="23" spans="1:25" x14ac:dyDescent="0.2">
      <c r="A23">
        <v>40</v>
      </c>
      <c r="B23">
        <v>0.4</v>
      </c>
      <c r="C23">
        <v>1</v>
      </c>
      <c r="D23">
        <v>20</v>
      </c>
      <c r="E23">
        <f>MIN(20, COUNTIFS(benchmark_gurobi_vs_cuts_grb_ol!A:A,proc_old!A23,benchmark_gurobi_vs_cuts_grb_ol!C:C,proc_old!B23,benchmark_gurobi_vs_cuts_grb_ol!B:B,proc_old!C23,benchmark_gurobi_vs_cuts_grb_ol!D:D,proc_old!D23))</f>
        <v>20</v>
      </c>
      <c r="L23" s="2">
        <f>AVERAGEIFS(benchmark_gurobi_vs_cuts_grb_ol!H:H,benchmark_gurobi_vs_cuts_grb_ol!A:A,proc_old!A23,benchmark_gurobi_vs_cuts_grb_ol!C:C,proc_old!B23,benchmark_gurobi_vs_cuts_grb_ol!B:B,proc_old!C23,benchmark_gurobi_vs_cuts_grb_ol!D:D,proc_old!D23)</f>
        <v>7.0763631924730119E-2</v>
      </c>
      <c r="N23" s="2">
        <f>AVERAGEIFS(benchmark_gurobi_vs_cuts_grb_ol!V:V,benchmark_gurobi_vs_cuts_grb_ol!A:A,proc_old!A23,benchmark_gurobi_vs_cuts_grb_ol!C:C,proc_old!B23,benchmark_gurobi_vs_cuts_grb_ol!B:B,proc_old!C23,benchmark_gurobi_vs_cuts_grb_ol!D:D,proc_old!D23)</f>
        <v>4.6904890299557328E-2</v>
      </c>
      <c r="O23" s="3">
        <f>AVERAGEIFS(benchmark_gurobi_vs_cuts_grb_ol!X:X,benchmark_gurobi_vs_cuts_grb_ol!A:A,proc_old!A23,benchmark_gurobi_vs_cuts_grb_ol!C:C,proc_old!B23,benchmark_gurobi_vs_cuts_grb_ol!B:B,proc_old!C23,benchmark_gurobi_vs_cuts_grb_ol!D:D,proc_old!D23)</f>
        <v>3345.9548215238124</v>
      </c>
      <c r="P23" s="3">
        <f>AVERAGEIFS(benchmark_gurobi_vs_cuts_grb_ol!Y:Y,benchmark_gurobi_vs_cuts_grb_ol!A:A,proc_old!A23,benchmark_gurobi_vs_cuts_grb_ol!C:C,proc_old!B23,benchmark_gurobi_vs_cuts_grb_ol!B:B,proc_old!C23,benchmark_gurobi_vs_cuts_grb_ol!D:D,proc_old!D23)</f>
        <v>4752.125</v>
      </c>
      <c r="Q23" s="2">
        <f>AVERAGEIFS(benchmark_gurobi_vs_cuts_grb_ol!Z:Z,benchmark_gurobi_vs_cuts_grb_ol!A:A,proc_old!A23,benchmark_gurobi_vs_cuts_grb_ol!C:C,proc_old!B23,benchmark_gurobi_vs_cuts_grb_ol!B:B,proc_old!C23,benchmark_gurobi_vs_cuts_grb_ol!D:D,proc_old!D23)</f>
        <v>1.9024645806336643E-2</v>
      </c>
      <c r="R23" s="3">
        <f>AVERAGEIFS(benchmark_gurobi_vs_cuts_grb_ol!AA:AA,benchmark_gurobi_vs_cuts_grb_ol!A:A,proc_old!A23,benchmark_gurobi_vs_cuts_grb_ol!C:C,proc_old!B23,benchmark_gurobi_vs_cuts_grb_ol!B:B,proc_old!C23,benchmark_gurobi_vs_cuts_grb_ol!D:D,proc_old!D23)</f>
        <v>24.125</v>
      </c>
      <c r="Y23" t="str">
        <f t="shared" si="2"/>
        <v>$40$ &amp; $0.4$ &amp; $20/p$ &amp; $0\%$ &amp; $0$ &amp; $0$ &amp; $0\%$ &amp; $0\%$ &amp; $0$ &amp; $0$ &amp; $0\%$ &amp; $0$ &amp; $4.69\%$ &amp; $3345.95$ &amp; $4752$ &amp; $1.9\%$ &amp; $24.1$\\</v>
      </c>
    </row>
    <row r="24" spans="1:25" x14ac:dyDescent="0.2">
      <c r="L24" s="2"/>
    </row>
    <row r="25" spans="1:25" x14ac:dyDescent="0.2">
      <c r="L25" s="2"/>
    </row>
    <row r="26" spans="1:25" x14ac:dyDescent="0.2">
      <c r="L26" s="2"/>
    </row>
    <row r="27" spans="1:25" x14ac:dyDescent="0.2">
      <c r="A27">
        <v>10</v>
      </c>
      <c r="B27">
        <v>0.1</v>
      </c>
      <c r="C27">
        <v>1</v>
      </c>
      <c r="D27">
        <v>100</v>
      </c>
      <c r="E27">
        <f>MIN(20, COUNTIFS(benchmark_gurobi_vs_cuts_grb_ol!A:A,proc_old!A27,benchmark_gurobi_vs_cuts_grb_ol!C:C,proc_old!B27,benchmark_gurobi_vs_cuts_grb_ol!B:B,proc_old!C27,benchmark_gurobi_vs_cuts_grb_ol!D:D,proc_old!D27))</f>
        <v>20</v>
      </c>
      <c r="F27" s="2">
        <f>AVERAGEIFS(benchmark_gurobi_vs_cuts_grb_ol!P:P,benchmark_gurobi_vs_cuts_grb_ol!A:A,proc_old!A27,benchmark_gurobi_vs_cuts_grb_ol!C:C,proc_old!B27,benchmark_gurobi_vs_cuts_grb_ol!B:B,proc_old!C27,benchmark_gurobi_vs_cuts_grb_ol!D:D,proc_old!D27)</f>
        <v>1.0338274744569129</v>
      </c>
      <c r="G27" s="3">
        <f>AVERAGEIFS(benchmark_gurobi_vs_cuts_grb_ol!R:R,benchmark_gurobi_vs_cuts_grb_ol!A:A,proc_old!A27,benchmark_gurobi_vs_cuts_grb_ol!C:C,proc_old!B27,benchmark_gurobi_vs_cuts_grb_ol!B:B,proc_old!C27,benchmark_gurobi_vs_cuts_grb_ol!D:D,proc_old!D27)</f>
        <v>250.26695017992307</v>
      </c>
      <c r="H27" s="3">
        <f>AVERAGEIFS(benchmark_gurobi_vs_cuts_grb_ol!S:S,benchmark_gurobi_vs_cuts_grb_ol!A:A,proc_old!A27,benchmark_gurobi_vs_cuts_grb_ol!C:C,proc_old!B27,benchmark_gurobi_vs_cuts_grb_ol!B:B,proc_old!C27,benchmark_gurobi_vs_cuts_grb_ol!D:D,proc_old!D27)</f>
        <v>6072.0512820512822</v>
      </c>
      <c r="I27" s="2">
        <f>AVERAGEIFS(benchmark_gurobi_vs_cuts_grb_ol!T:T,benchmark_gurobi_vs_cuts_grb_ol!A:A,proc_old!A27,benchmark_gurobi_vs_cuts_grb_ol!C:C,proc_old!B27,benchmark_gurobi_vs_cuts_grb_ol!B:B,proc_old!C27,benchmark_gurobi_vs_cuts_grb_ol!D:D,proc_old!D27)</f>
        <v>3.6254533938270674E-5</v>
      </c>
      <c r="J27" s="3">
        <f>AVERAGEIFS(benchmark_gurobi_vs_cuts_grb_ol!U:U,benchmark_gurobi_vs_cuts_grb_ol!A:A,proc_old!A27,benchmark_gurobi_vs_cuts_grb_ol!C:C,proc_old!B27,benchmark_gurobi_vs_cuts_grb_ol!B:B,proc_old!C27,benchmark_gurobi_vs_cuts_grb_ol!D:D,proc_old!D27)</f>
        <v>4400.6410256410254</v>
      </c>
      <c r="L27" s="2">
        <f>AVERAGEIFS(benchmark_gurobi_vs_cuts_grb_ol!H:H,benchmark_gurobi_vs_cuts_grb_ol!A:A,proc_old!A27,benchmark_gurobi_vs_cuts_grb_ol!C:C,proc_old!B27,benchmark_gurobi_vs_cuts_grb_ol!B:B,proc_old!C27,benchmark_gurobi_vs_cuts_grb_ol!D:D,proc_old!D27)</f>
        <v>0.93468604217296392</v>
      </c>
      <c r="N27" s="2">
        <f>AVERAGEIFS(benchmark_gurobi_vs_cuts_grb_ol!V:V,benchmark_gurobi_vs_cuts_grb_ol!A:A,proc_old!A27,benchmark_gurobi_vs_cuts_grb_ol!C:C,proc_old!B27,benchmark_gurobi_vs_cuts_grb_ol!B:B,proc_old!C27,benchmark_gurobi_vs_cuts_grb_ol!D:D,proc_old!D27)</f>
        <v>0.97427171072972718</v>
      </c>
      <c r="O27" s="3">
        <f>AVERAGEIFS(benchmark_gurobi_vs_cuts_grb_ol!X:X,benchmark_gurobi_vs_cuts_grb_ol!A:A,proc_old!A27,benchmark_gurobi_vs_cuts_grb_ol!C:C,proc_old!B27,benchmark_gurobi_vs_cuts_grb_ol!B:B,proc_old!C27,benchmark_gurobi_vs_cuts_grb_ol!D:D,proc_old!D27)</f>
        <v>232.75153033099997</v>
      </c>
      <c r="P27" s="3">
        <f>AVERAGEIFS(benchmark_gurobi_vs_cuts_grb_ol!Y:Y,benchmark_gurobi_vs_cuts_grb_ol!A:A,proc_old!A27,benchmark_gurobi_vs_cuts_grb_ol!C:C,proc_old!B27,benchmark_gurobi_vs_cuts_grb_ol!B:B,proc_old!C27,benchmark_gurobi_vs_cuts_grb_ol!D:D,proc_old!D27)</f>
        <v>48300.358974358976</v>
      </c>
      <c r="Q27" s="2">
        <f>AVERAGEIFS(benchmark_gurobi_vs_cuts_grb_ol!Z:Z,benchmark_gurobi_vs_cuts_grb_ol!A:A,proc_old!A27,benchmark_gurobi_vs_cuts_grb_ol!C:C,proc_old!B27,benchmark_gurobi_vs_cuts_grb_ol!B:B,proc_old!C27,benchmark_gurobi_vs_cuts_grb_ol!D:D,proc_old!D27)</f>
        <v>6.5892183372335069E-5</v>
      </c>
      <c r="R27" s="3">
        <f>AVERAGEIFS(benchmark_gurobi_vs_cuts_grb_ol!AA:AA,benchmark_gurobi_vs_cuts_grb_ol!A:A,proc_old!A27,benchmark_gurobi_vs_cuts_grb_ol!C:C,proc_old!B27,benchmark_gurobi_vs_cuts_grb_ol!B:B,proc_old!C27,benchmark_gurobi_vs_cuts_grb_ol!D:D,proc_old!D27)</f>
        <v>3.5128205128205128</v>
      </c>
      <c r="T27" s="2">
        <f>AVERAGEIFS(benchmark_gurobi_vs_cuts_grb_ol!K:K,benchmark_gurobi_vs_cuts_grb_ol!A:A,proc_old!A27,benchmark_gurobi_vs_cuts_grb_ol!C:C,proc_old!B27,benchmark_gurobi_vs_cuts_grb_ol!B:B,proc_old!C27,benchmark_gurobi_vs_cuts_grb_ol!D:D,proc_old!D27)</f>
        <v>0.98663574248694996</v>
      </c>
      <c r="U27" s="3">
        <f>AVERAGEIFS(benchmark_gurobi_vs_cuts_grb_ol!M:M,benchmark_gurobi_vs_cuts_grb_ol!A:A,proc_old!A27,benchmark_gurobi_vs_cuts_grb_ol!C:C,proc_old!B27,benchmark_gurobi_vs_cuts_grb_ol!B:B,proc_old!C27,benchmark_gurobi_vs_cuts_grb_ol!D:D,proc_old!D27)</f>
        <v>3600.8153696514632</v>
      </c>
      <c r="V27" s="3">
        <f>AVERAGEIFS(benchmark_gurobi_vs_cuts_grb_ol!N:N,benchmark_gurobi_vs_cuts_grb_ol!A:A,proc_old!A27,benchmark_gurobi_vs_cuts_grb_ol!C:C,proc_old!B27,benchmark_gurobi_vs_cuts_grb_ol!B:B,proc_old!C27,benchmark_gurobi_vs_cuts_grb_ol!D:D,proc_old!D27)</f>
        <v>769810.79487179487</v>
      </c>
      <c r="W27" s="2">
        <f>AVERAGEIFS(benchmark_gurobi_vs_cuts_grb_ol!O:O,benchmark_gurobi_vs_cuts_grb_ol!A:A,proc_old!A27,benchmark_gurobi_vs_cuts_grb_ol!C:C,proc_old!B27,benchmark_gurobi_vs_cuts_grb_ol!B:B,proc_old!C27,benchmark_gurobi_vs_cuts_grb_ol!D:D,proc_old!D27)</f>
        <v>4.2096545538337343E-3</v>
      </c>
      <c r="Y27" t="str">
        <f t="shared" ref="Y27:Y30" si="3">CONCATENATE("$", A27, "$ &amp; $", B27, "$ &amp; $", D27, "/p$ &amp; $", ROUND(U27,2), "$ &amp; $", ROUND(V27,0), "$ &amp; $", 100*ROUND(W27,4), "\%$ &amp; $", ROUND(G27,2), "$ &amp; $", ROUND(H27,0), "$ &amp; $", 100*ROUND(I27,4), "\%$ &amp; $", ROUND(J27,1), "$ &amp; $", ROUND(O27,2), "$ &amp; $", ROUND(P27,0), "$ &amp; $", 100*ROUND(Q27,4), "\%$ &amp; $", ROUND(R27,1), "$\\")</f>
        <v>$10$ &amp; $0.1$ &amp; $100/p$ &amp; $3600.82$ &amp; $769811$ &amp; $0.42\%$ &amp; $250.27$ &amp; $6072$ &amp; $0\%$ &amp; $4400.6$ &amp; $232.75$ &amp; $48300$ &amp; $0.01\%$ &amp; $3.5$\\</v>
      </c>
    </row>
    <row r="28" spans="1:25" x14ac:dyDescent="0.2">
      <c r="A28">
        <v>10</v>
      </c>
      <c r="B28">
        <v>0.2</v>
      </c>
      <c r="C28">
        <v>1</v>
      </c>
      <c r="D28">
        <v>100</v>
      </c>
      <c r="E28">
        <f>MIN(20, COUNTIFS(benchmark_gurobi_vs_cuts_grb_ol!A:A,proc_old!A28,benchmark_gurobi_vs_cuts_grb_ol!C:C,proc_old!B28,benchmark_gurobi_vs_cuts_grb_ol!B:B,proc_old!C28,benchmark_gurobi_vs_cuts_grb_ol!D:D,proc_old!D28))</f>
        <v>20</v>
      </c>
      <c r="F28" s="2">
        <f>AVERAGEIFS(benchmark_gurobi_vs_cuts_grb_ol!P:P,benchmark_gurobi_vs_cuts_grb_ol!A:A,proc_old!A28,benchmark_gurobi_vs_cuts_grb_ol!C:C,proc_old!B28,benchmark_gurobi_vs_cuts_grb_ol!B:B,proc_old!C28,benchmark_gurobi_vs_cuts_grb_ol!D:D,proc_old!D28)</f>
        <v>0.77415687318065896</v>
      </c>
      <c r="G28" s="3">
        <f>AVERAGEIFS(benchmark_gurobi_vs_cuts_grb_ol!R:R,benchmark_gurobi_vs_cuts_grb_ol!A:A,proc_old!A28,benchmark_gurobi_vs_cuts_grb_ol!C:C,proc_old!B28,benchmark_gurobi_vs_cuts_grb_ol!B:B,proc_old!C28,benchmark_gurobi_vs_cuts_grb_ol!D:D,proc_old!D28)</f>
        <v>431.00097687444742</v>
      </c>
      <c r="H28" s="3">
        <f>AVERAGEIFS(benchmark_gurobi_vs_cuts_grb_ol!S:S,benchmark_gurobi_vs_cuts_grb_ol!A:A,proc_old!A28,benchmark_gurobi_vs_cuts_grb_ol!C:C,proc_old!B28,benchmark_gurobi_vs_cuts_grb_ol!B:B,proc_old!C28,benchmark_gurobi_vs_cuts_grb_ol!D:D,proc_old!D28)</f>
        <v>11171.605263157895</v>
      </c>
      <c r="I28" s="2">
        <f>AVERAGEIFS(benchmark_gurobi_vs_cuts_grb_ol!T:T,benchmark_gurobi_vs_cuts_grb_ol!A:A,proc_old!A28,benchmark_gurobi_vs_cuts_grb_ol!C:C,proc_old!B28,benchmark_gurobi_vs_cuts_grb_ol!B:B,proc_old!C28,benchmark_gurobi_vs_cuts_grb_ol!D:D,proc_old!D28)</f>
        <v>4.0274500932206301E-4</v>
      </c>
      <c r="J28" s="3">
        <f>AVERAGEIFS(benchmark_gurobi_vs_cuts_grb_ol!U:U,benchmark_gurobi_vs_cuts_grb_ol!A:A,proc_old!A28,benchmark_gurobi_vs_cuts_grb_ol!C:C,proc_old!B28,benchmark_gurobi_vs_cuts_grb_ol!B:B,proc_old!C28,benchmark_gurobi_vs_cuts_grb_ol!D:D,proc_old!D28)</f>
        <v>7189.6578947368425</v>
      </c>
      <c r="L28" s="2">
        <f>AVERAGEIFS(benchmark_gurobi_vs_cuts_grb_ol!H:H,benchmark_gurobi_vs_cuts_grb_ol!A:A,proc_old!A28,benchmark_gurobi_vs_cuts_grb_ol!C:C,proc_old!B28,benchmark_gurobi_vs_cuts_grb_ol!B:B,proc_old!C28,benchmark_gurobi_vs_cuts_grb_ol!D:D,proc_old!D28)</f>
        <v>0.59796814617806615</v>
      </c>
      <c r="N28" s="2">
        <f>AVERAGEIFS(benchmark_gurobi_vs_cuts_grb_ol!V:V,benchmark_gurobi_vs_cuts_grb_ol!A:A,proc_old!A28,benchmark_gurobi_vs_cuts_grb_ol!C:C,proc_old!B28,benchmark_gurobi_vs_cuts_grb_ol!B:B,proc_old!C28,benchmark_gurobi_vs_cuts_grb_ol!D:D,proc_old!D28)</f>
        <v>0.72996841885807084</v>
      </c>
      <c r="O28" s="3">
        <f>AVERAGEIFS(benchmark_gurobi_vs_cuts_grb_ol!X:X,benchmark_gurobi_vs_cuts_grb_ol!A:A,proc_old!A28,benchmark_gurobi_vs_cuts_grb_ol!C:C,proc_old!B28,benchmark_gurobi_vs_cuts_grb_ol!B:B,proc_old!C28,benchmark_gurobi_vs_cuts_grb_ol!D:D,proc_old!D28)</f>
        <v>830.12079206784188</v>
      </c>
      <c r="P28" s="3">
        <f>AVERAGEIFS(benchmark_gurobi_vs_cuts_grb_ol!Y:Y,benchmark_gurobi_vs_cuts_grb_ol!A:A,proc_old!A28,benchmark_gurobi_vs_cuts_grb_ol!C:C,proc_old!B28,benchmark_gurobi_vs_cuts_grb_ol!B:B,proc_old!C28,benchmark_gurobi_vs_cuts_grb_ol!D:D,proc_old!D28)</f>
        <v>81215.65789473684</v>
      </c>
      <c r="Q28" s="2">
        <f>AVERAGEIFS(benchmark_gurobi_vs_cuts_grb_ol!Z:Z,benchmark_gurobi_vs_cuts_grb_ol!A:A,proc_old!A28,benchmark_gurobi_vs_cuts_grb_ol!C:C,proc_old!B28,benchmark_gurobi_vs_cuts_grb_ol!B:B,proc_old!C28,benchmark_gurobi_vs_cuts_grb_ol!D:D,proc_old!D28)</f>
        <v>5.3459875394279519E-4</v>
      </c>
      <c r="R28" s="3">
        <f>AVERAGEIFS(benchmark_gurobi_vs_cuts_grb_ol!AA:AA,benchmark_gurobi_vs_cuts_grb_ol!A:A,proc_old!A28,benchmark_gurobi_vs_cuts_grb_ol!C:C,proc_old!B28,benchmark_gurobi_vs_cuts_grb_ol!B:B,proc_old!C28,benchmark_gurobi_vs_cuts_grb_ol!D:D,proc_old!D28)</f>
        <v>11.921052631578947</v>
      </c>
      <c r="T28" s="2">
        <f>AVERAGEIFS(benchmark_gurobi_vs_cuts_grb_ol!K:K,benchmark_gurobi_vs_cuts_grb_ol!A:A,proc_old!A28,benchmark_gurobi_vs_cuts_grb_ol!C:C,proc_old!B28,benchmark_gurobi_vs_cuts_grb_ol!B:B,proc_old!C28,benchmark_gurobi_vs_cuts_grb_ol!D:D,proc_old!D28)</f>
        <v>0.61467389548922446</v>
      </c>
      <c r="U28" s="3">
        <f>AVERAGEIFS(benchmark_gurobi_vs_cuts_grb_ol!M:M,benchmark_gurobi_vs_cuts_grb_ol!A:A,proc_old!A28,benchmark_gurobi_vs_cuts_grb_ol!C:C,proc_old!B28,benchmark_gurobi_vs_cuts_grb_ol!B:B,proc_old!C28,benchmark_gurobi_vs_cuts_grb_ol!D:D,proc_old!D28)</f>
        <v>3521.822598354684</v>
      </c>
      <c r="V28" s="3">
        <f>AVERAGEIFS(benchmark_gurobi_vs_cuts_grb_ol!N:N,benchmark_gurobi_vs_cuts_grb_ol!A:A,proc_old!A28,benchmark_gurobi_vs_cuts_grb_ol!C:C,proc_old!B28,benchmark_gurobi_vs_cuts_grb_ol!B:B,proc_old!C28,benchmark_gurobi_vs_cuts_grb_ol!D:D,proc_old!D28)</f>
        <v>704037.10526315786</v>
      </c>
      <c r="W28" s="2">
        <f>AVERAGEIFS(benchmark_gurobi_vs_cuts_grb_ol!O:O,benchmark_gurobi_vs_cuts_grb_ol!A:A,proc_old!A28,benchmark_gurobi_vs_cuts_grb_ol!C:C,proc_old!B28,benchmark_gurobi_vs_cuts_grb_ol!B:B,proc_old!C28,benchmark_gurobi_vs_cuts_grb_ol!D:D,proc_old!D28)</f>
        <v>1.4450993032534071E-2</v>
      </c>
      <c r="Y28" t="str">
        <f t="shared" si="3"/>
        <v>$10$ &amp; $0.2$ &amp; $100/p$ &amp; $3521.82$ &amp; $704037$ &amp; $1.45\%$ &amp; $431$ &amp; $11172$ &amp; $0.04\%$ &amp; $7189.7$ &amp; $830.12$ &amp; $81216$ &amp; $0.05\%$ &amp; $11.9$\\</v>
      </c>
    </row>
    <row r="29" spans="1:25" x14ac:dyDescent="0.2">
      <c r="A29">
        <v>10</v>
      </c>
      <c r="B29">
        <v>0.3</v>
      </c>
      <c r="C29">
        <v>1</v>
      </c>
      <c r="D29">
        <v>100</v>
      </c>
      <c r="E29">
        <f>MIN(20, COUNTIFS(benchmark_gurobi_vs_cuts_grb_ol!A:A,proc_old!A29,benchmark_gurobi_vs_cuts_grb_ol!C:C,proc_old!B29,benchmark_gurobi_vs_cuts_grb_ol!B:B,proc_old!C29,benchmark_gurobi_vs_cuts_grb_ol!D:D,proc_old!D29))</f>
        <v>20</v>
      </c>
      <c r="F29" s="2">
        <f>AVERAGEIFS(benchmark_gurobi_vs_cuts_grb_ol!P:P,benchmark_gurobi_vs_cuts_grb_ol!A:A,proc_old!A29,benchmark_gurobi_vs_cuts_grb_ol!C:C,proc_old!B29,benchmark_gurobi_vs_cuts_grb_ol!B:B,proc_old!C29,benchmark_gurobi_vs_cuts_grb_ol!D:D,proc_old!D29)</f>
        <v>0.44094095694803298</v>
      </c>
      <c r="G29" s="3">
        <f>AVERAGEIFS(benchmark_gurobi_vs_cuts_grb_ol!R:R,benchmark_gurobi_vs_cuts_grb_ol!A:A,proc_old!A29,benchmark_gurobi_vs_cuts_grb_ol!C:C,proc_old!B29,benchmark_gurobi_vs_cuts_grb_ol!B:B,proc_old!C29,benchmark_gurobi_vs_cuts_grb_ol!D:D,proc_old!D29)</f>
        <v>279.7000034730263</v>
      </c>
      <c r="H29" s="3">
        <f>AVERAGEIFS(benchmark_gurobi_vs_cuts_grb_ol!S:S,benchmark_gurobi_vs_cuts_grb_ol!A:A,proc_old!A29,benchmark_gurobi_vs_cuts_grb_ol!C:C,proc_old!B29,benchmark_gurobi_vs_cuts_grb_ol!B:B,proc_old!C29,benchmark_gurobi_vs_cuts_grb_ol!D:D,proc_old!D29)</f>
        <v>6275.2105263157891</v>
      </c>
      <c r="I29" s="2">
        <f>AVERAGEIFS(benchmark_gurobi_vs_cuts_grb_ol!T:T,benchmark_gurobi_vs_cuts_grb_ol!A:A,proc_old!A29,benchmark_gurobi_vs_cuts_grb_ol!C:C,proc_old!B29,benchmark_gurobi_vs_cuts_grb_ol!B:B,proc_old!C29,benchmark_gurobi_vs_cuts_grb_ol!D:D,proc_old!D29)</f>
        <v>1.0692293520732431E-3</v>
      </c>
      <c r="J29" s="3">
        <f>AVERAGEIFS(benchmark_gurobi_vs_cuts_grb_ol!U:U,benchmark_gurobi_vs_cuts_grb_ol!A:A,proc_old!A29,benchmark_gurobi_vs_cuts_grb_ol!C:C,proc_old!B29,benchmark_gurobi_vs_cuts_grb_ol!B:B,proc_old!C29,benchmark_gurobi_vs_cuts_grb_ol!D:D,proc_old!D29)</f>
        <v>4249.5263157894733</v>
      </c>
      <c r="L29" s="2">
        <f>AVERAGEIFS(benchmark_gurobi_vs_cuts_grb_ol!H:H,benchmark_gurobi_vs_cuts_grb_ol!A:A,proc_old!A29,benchmark_gurobi_vs_cuts_grb_ol!C:C,proc_old!B29,benchmark_gurobi_vs_cuts_grb_ol!B:B,proc_old!C29,benchmark_gurobi_vs_cuts_grb_ol!D:D,proc_old!D29)</f>
        <v>0.2542632728951319</v>
      </c>
      <c r="N29" s="2">
        <f>AVERAGEIFS(benchmark_gurobi_vs_cuts_grb_ol!V:V,benchmark_gurobi_vs_cuts_grb_ol!A:A,proc_old!A29,benchmark_gurobi_vs_cuts_grb_ol!C:C,proc_old!B29,benchmark_gurobi_vs_cuts_grb_ol!B:B,proc_old!C29,benchmark_gurobi_vs_cuts_grb_ol!D:D,proc_old!D29)</f>
        <v>0.31685562799127426</v>
      </c>
      <c r="O29" s="3">
        <f>AVERAGEIFS(benchmark_gurobi_vs_cuts_grb_ol!X:X,benchmark_gurobi_vs_cuts_grb_ol!A:A,proc_old!A29,benchmark_gurobi_vs_cuts_grb_ol!C:C,proc_old!B29,benchmark_gurobi_vs_cuts_grb_ol!B:B,proc_old!C29,benchmark_gurobi_vs_cuts_grb_ol!D:D,proc_old!D29)</f>
        <v>1057.3855729415789</v>
      </c>
      <c r="P29" s="3">
        <f>AVERAGEIFS(benchmark_gurobi_vs_cuts_grb_ol!Y:Y,benchmark_gurobi_vs_cuts_grb_ol!A:A,proc_old!A29,benchmark_gurobi_vs_cuts_grb_ol!C:C,proc_old!B29,benchmark_gurobi_vs_cuts_grb_ol!B:B,proc_old!C29,benchmark_gurobi_vs_cuts_grb_ol!D:D,proc_old!D29)</f>
        <v>61221.76315789474</v>
      </c>
      <c r="Q29" s="2">
        <f>AVERAGEIFS(benchmark_gurobi_vs_cuts_grb_ol!Z:Z,benchmark_gurobi_vs_cuts_grb_ol!A:A,proc_old!A29,benchmark_gurobi_vs_cuts_grb_ol!C:C,proc_old!B29,benchmark_gurobi_vs_cuts_grb_ol!B:B,proc_old!C29,benchmark_gurobi_vs_cuts_grb_ol!D:D,proc_old!D29)</f>
        <v>1.5644170346970532E-3</v>
      </c>
      <c r="R29" s="3">
        <f>AVERAGEIFS(benchmark_gurobi_vs_cuts_grb_ol!AA:AA,benchmark_gurobi_vs_cuts_grb_ol!A:A,proc_old!A29,benchmark_gurobi_vs_cuts_grb_ol!C:C,proc_old!B29,benchmark_gurobi_vs_cuts_grb_ol!B:B,proc_old!C29,benchmark_gurobi_vs_cuts_grb_ol!D:D,proc_old!D29)</f>
        <v>13.894736842105264</v>
      </c>
      <c r="T29" s="2">
        <f>AVERAGEIFS(benchmark_gurobi_vs_cuts_grb_ol!K:K,benchmark_gurobi_vs_cuts_grb_ol!A:A,proc_old!A29,benchmark_gurobi_vs_cuts_grb_ol!C:C,proc_old!B29,benchmark_gurobi_vs_cuts_grb_ol!B:B,proc_old!C29,benchmark_gurobi_vs_cuts_grb_ol!D:D,proc_old!D29)</f>
        <v>0.2852140811318491</v>
      </c>
      <c r="U29" s="3">
        <f>AVERAGEIFS(benchmark_gurobi_vs_cuts_grb_ol!M:M,benchmark_gurobi_vs_cuts_grb_ol!A:A,proc_old!A29,benchmark_gurobi_vs_cuts_grb_ol!C:C,proc_old!B29,benchmark_gurobi_vs_cuts_grb_ol!B:B,proc_old!C29,benchmark_gurobi_vs_cuts_grb_ol!D:D,proc_old!D29)</f>
        <v>3535.1410545891063</v>
      </c>
      <c r="V29" s="3">
        <f>AVERAGEIFS(benchmark_gurobi_vs_cuts_grb_ol!N:N,benchmark_gurobi_vs_cuts_grb_ol!A:A,proc_old!A29,benchmark_gurobi_vs_cuts_grb_ol!C:C,proc_old!B29,benchmark_gurobi_vs_cuts_grb_ol!B:B,proc_old!C29,benchmark_gurobi_vs_cuts_grb_ol!D:D,proc_old!D29)</f>
        <v>723642.86842105258</v>
      </c>
      <c r="W29" s="2">
        <f>AVERAGEIFS(benchmark_gurobi_vs_cuts_grb_ol!O:O,benchmark_gurobi_vs_cuts_grb_ol!A:A,proc_old!A29,benchmark_gurobi_vs_cuts_grb_ol!C:C,proc_old!B29,benchmark_gurobi_vs_cuts_grb_ol!B:B,proc_old!C29,benchmark_gurobi_vs_cuts_grb_ol!D:D,proc_old!D29)</f>
        <v>8.4124634492104763E-3</v>
      </c>
      <c r="Y29" t="str">
        <f t="shared" si="3"/>
        <v>$10$ &amp; $0.3$ &amp; $100/p$ &amp; $3535.14$ &amp; $723643$ &amp; $0.84\%$ &amp; $279.7$ &amp; $6275$ &amp; $0.11\%$ &amp; $4249.5$ &amp; $1057.39$ &amp; $61222$ &amp; $0.16\%$ &amp; $13.9$\\</v>
      </c>
    </row>
    <row r="30" spans="1:25" x14ac:dyDescent="0.2">
      <c r="A30">
        <v>10</v>
      </c>
      <c r="B30">
        <v>0.4</v>
      </c>
      <c r="C30">
        <v>1</v>
      </c>
      <c r="D30">
        <v>100</v>
      </c>
      <c r="E30">
        <f>MIN(20, COUNTIFS(benchmark_gurobi_vs_cuts_grb_ol!A:A,proc_old!A30,benchmark_gurobi_vs_cuts_grb_ol!C:C,proc_old!B30,benchmark_gurobi_vs_cuts_grb_ol!B:B,proc_old!C30,benchmark_gurobi_vs_cuts_grb_ol!D:D,proc_old!D30))</f>
        <v>20</v>
      </c>
      <c r="F30" s="2">
        <f>AVERAGEIFS(benchmark_gurobi_vs_cuts_grb_ol!P:P,benchmark_gurobi_vs_cuts_grb_ol!A:A,proc_old!A30,benchmark_gurobi_vs_cuts_grb_ol!C:C,proc_old!B30,benchmark_gurobi_vs_cuts_grb_ol!B:B,proc_old!C30,benchmark_gurobi_vs_cuts_grb_ol!D:D,proc_old!D30)</f>
        <v>0.24273775665781719</v>
      </c>
      <c r="G30" s="3">
        <f>AVERAGEIFS(benchmark_gurobi_vs_cuts_grb_ol!R:R,benchmark_gurobi_vs_cuts_grb_ol!A:A,proc_old!A30,benchmark_gurobi_vs_cuts_grb_ol!C:C,proc_old!B30,benchmark_gurobi_vs_cuts_grb_ol!B:B,proc_old!C30,benchmark_gurobi_vs_cuts_grb_ol!D:D,proc_old!D30)</f>
        <v>288.46153258514994</v>
      </c>
      <c r="H30" s="3">
        <f>AVERAGEIFS(benchmark_gurobi_vs_cuts_grb_ol!S:S,benchmark_gurobi_vs_cuts_grb_ol!A:A,proc_old!A30,benchmark_gurobi_vs_cuts_grb_ol!C:C,proc_old!B30,benchmark_gurobi_vs_cuts_grb_ol!B:B,proc_old!C30,benchmark_gurobi_vs_cuts_grb_ol!D:D,proc_old!D30)</f>
        <v>6610.75</v>
      </c>
      <c r="I30" s="2">
        <f>AVERAGEIFS(benchmark_gurobi_vs_cuts_grb_ol!T:T,benchmark_gurobi_vs_cuts_grb_ol!A:A,proc_old!A30,benchmark_gurobi_vs_cuts_grb_ol!C:C,proc_old!B30,benchmark_gurobi_vs_cuts_grb_ol!B:B,proc_old!C30,benchmark_gurobi_vs_cuts_grb_ol!D:D,proc_old!D30)</f>
        <v>1.6820021460170319E-3</v>
      </c>
      <c r="J30" s="3">
        <f>AVERAGEIFS(benchmark_gurobi_vs_cuts_grb_ol!U:U,benchmark_gurobi_vs_cuts_grb_ol!A:A,proc_old!A30,benchmark_gurobi_vs_cuts_grb_ol!C:C,proc_old!B30,benchmark_gurobi_vs_cuts_grb_ol!B:B,proc_old!C30,benchmark_gurobi_vs_cuts_grb_ol!D:D,proc_old!D30)</f>
        <v>4254.45</v>
      </c>
      <c r="L30" s="2">
        <f>AVERAGEIFS(benchmark_gurobi_vs_cuts_grb_ol!H:H,benchmark_gurobi_vs_cuts_grb_ol!A:A,proc_old!A30,benchmark_gurobi_vs_cuts_grb_ol!C:C,proc_old!B30,benchmark_gurobi_vs_cuts_grb_ol!B:B,proc_old!C30,benchmark_gurobi_vs_cuts_grb_ol!D:D,proc_old!D30)</f>
        <v>0.11287950397388564</v>
      </c>
      <c r="N30" s="2">
        <f>AVERAGEIFS(benchmark_gurobi_vs_cuts_grb_ol!V:V,benchmark_gurobi_vs_cuts_grb_ol!A:A,proc_old!A30,benchmark_gurobi_vs_cuts_grb_ol!C:C,proc_old!B30,benchmark_gurobi_vs_cuts_grb_ol!B:B,proc_old!C30,benchmark_gurobi_vs_cuts_grb_ol!D:D,proc_old!D30)</f>
        <v>0.1612191667778447</v>
      </c>
      <c r="O30" s="3">
        <f>AVERAGEIFS(benchmark_gurobi_vs_cuts_grb_ol!X:X,benchmark_gurobi_vs_cuts_grb_ol!A:A,proc_old!A30,benchmark_gurobi_vs_cuts_grb_ol!C:C,proc_old!B30,benchmark_gurobi_vs_cuts_grb_ol!B:B,proc_old!C30,benchmark_gurobi_vs_cuts_grb_ol!D:D,proc_old!D30)</f>
        <v>1183.5477032175502</v>
      </c>
      <c r="P30" s="3">
        <f>AVERAGEIFS(benchmark_gurobi_vs_cuts_grb_ol!Y:Y,benchmark_gurobi_vs_cuts_grb_ol!A:A,proc_old!A30,benchmark_gurobi_vs_cuts_grb_ol!C:C,proc_old!B30,benchmark_gurobi_vs_cuts_grb_ol!B:B,proc_old!C30,benchmark_gurobi_vs_cuts_grb_ol!D:D,proc_old!D30)</f>
        <v>69445.574999999997</v>
      </c>
      <c r="Q30" s="2">
        <f>AVERAGEIFS(benchmark_gurobi_vs_cuts_grb_ol!Z:Z,benchmark_gurobi_vs_cuts_grb_ol!A:A,proc_old!A30,benchmark_gurobi_vs_cuts_grb_ol!C:C,proc_old!B30,benchmark_gurobi_vs_cuts_grb_ol!B:B,proc_old!C30,benchmark_gurobi_vs_cuts_grb_ol!D:D,proc_old!D30)</f>
        <v>1.9798489770610737E-3</v>
      </c>
      <c r="R30" s="3">
        <f>AVERAGEIFS(benchmark_gurobi_vs_cuts_grb_ol!AA:AA,benchmark_gurobi_vs_cuts_grb_ol!A:A,proc_old!A30,benchmark_gurobi_vs_cuts_grb_ol!C:C,proc_old!B30,benchmark_gurobi_vs_cuts_grb_ol!B:B,proc_old!C30,benchmark_gurobi_vs_cuts_grb_ol!D:D,proc_old!D30)</f>
        <v>13.4</v>
      </c>
      <c r="T30" s="2">
        <f>AVERAGEIFS(benchmark_gurobi_vs_cuts_grb_ol!K:K,benchmark_gurobi_vs_cuts_grb_ol!A:A,proc_old!A30,benchmark_gurobi_vs_cuts_grb_ol!C:C,proc_old!B30,benchmark_gurobi_vs_cuts_grb_ol!B:B,proc_old!C30,benchmark_gurobi_vs_cuts_grb_ol!D:D,proc_old!D30)</f>
        <v>0.11398204732957393</v>
      </c>
      <c r="U30" s="3">
        <f>AVERAGEIFS(benchmark_gurobi_vs_cuts_grb_ol!M:M,benchmark_gurobi_vs_cuts_grb_ol!A:A,proc_old!A30,benchmark_gurobi_vs_cuts_grb_ol!C:C,proc_old!B30,benchmark_gurobi_vs_cuts_grb_ol!B:B,proc_old!C30,benchmark_gurobi_vs_cuts_grb_ol!D:D,proc_old!D30)</f>
        <v>2868.0505190283993</v>
      </c>
      <c r="V30" s="3">
        <f>AVERAGEIFS(benchmark_gurobi_vs_cuts_grb_ol!N:N,benchmark_gurobi_vs_cuts_grb_ol!A:A,proc_old!A30,benchmark_gurobi_vs_cuts_grb_ol!C:C,proc_old!B30,benchmark_gurobi_vs_cuts_grb_ol!B:B,proc_old!C30,benchmark_gurobi_vs_cuts_grb_ol!D:D,proc_old!D30)</f>
        <v>674857.45</v>
      </c>
      <c r="W30" s="2">
        <f>AVERAGEIFS(benchmark_gurobi_vs_cuts_grb_ol!O:O,benchmark_gurobi_vs_cuts_grb_ol!A:A,proc_old!A30,benchmark_gurobi_vs_cuts_grb_ol!C:C,proc_old!B30,benchmark_gurobi_vs_cuts_grb_ol!B:B,proc_old!C30,benchmark_gurobi_vs_cuts_grb_ol!D:D,proc_old!D30)</f>
        <v>5.9541929939227814E-3</v>
      </c>
      <c r="Y30" t="str">
        <f t="shared" si="3"/>
        <v>$10$ &amp; $0.4$ &amp; $100/p$ &amp; $2868.05$ &amp; $674857$ &amp; $0.6\%$ &amp; $288.46$ &amp; $6611$ &amp; $0.17\%$ &amp; $4254.5$ &amp; $1183.55$ &amp; $69446$ &amp; $0.2\%$ &amp; $13.4$\\</v>
      </c>
    </row>
    <row r="31" spans="1:25" x14ac:dyDescent="0.2">
      <c r="L31" s="2"/>
    </row>
    <row r="32" spans="1:25" x14ac:dyDescent="0.2">
      <c r="A32">
        <v>20</v>
      </c>
      <c r="B32">
        <v>0.1</v>
      </c>
      <c r="C32">
        <v>1</v>
      </c>
      <c r="D32">
        <v>100</v>
      </c>
      <c r="E32">
        <f>MIN(20, COUNTIFS(benchmark_gurobi_vs_cuts_grb_ol!A:A,proc_old!A32,benchmark_gurobi_vs_cuts_grb_ol!C:C,proc_old!B32,benchmark_gurobi_vs_cuts_grb_ol!B:B,proc_old!C32,benchmark_gurobi_vs_cuts_grb_ol!D:D,proc_old!D32))</f>
        <v>20</v>
      </c>
      <c r="F32" s="2">
        <f>AVERAGEIFS(benchmark_gurobi_vs_cuts_grb_ol!P:P,benchmark_gurobi_vs_cuts_grb_ol!A:A,proc_old!A32,benchmark_gurobi_vs_cuts_grb_ol!C:C,proc_old!B32,benchmark_gurobi_vs_cuts_grb_ol!B:B,proc_old!C32,benchmark_gurobi_vs_cuts_grb_ol!D:D,proc_old!D32)</f>
        <v>0.84829008715427112</v>
      </c>
      <c r="G32" s="3">
        <f>AVERAGEIFS(benchmark_gurobi_vs_cuts_grb_ol!R:R,benchmark_gurobi_vs_cuts_grb_ol!A:A,proc_old!A32,benchmark_gurobi_vs_cuts_grb_ol!C:C,proc_old!B32,benchmark_gurobi_vs_cuts_grb_ol!B:B,proc_old!C32,benchmark_gurobi_vs_cuts_grb_ol!D:D,proc_old!D32)</f>
        <v>3539.8284890417617</v>
      </c>
      <c r="H32" s="3">
        <f>AVERAGEIFS(benchmark_gurobi_vs_cuts_grb_ol!S:S,benchmark_gurobi_vs_cuts_grb_ol!A:A,proc_old!A32,benchmark_gurobi_vs_cuts_grb_ol!C:C,proc_old!B32,benchmark_gurobi_vs_cuts_grb_ol!B:B,proc_old!C32,benchmark_gurobi_vs_cuts_grb_ol!D:D,proc_old!D32)</f>
        <v>34326.142857142855</v>
      </c>
      <c r="I32" s="2">
        <f>AVERAGEIFS(benchmark_gurobi_vs_cuts_grb_ol!T:T,benchmark_gurobi_vs_cuts_grb_ol!A:A,proc_old!A32,benchmark_gurobi_vs_cuts_grb_ol!C:C,proc_old!B32,benchmark_gurobi_vs_cuts_grb_ol!B:B,proc_old!C32,benchmark_gurobi_vs_cuts_grb_ol!D:D,proc_old!D32)</f>
        <v>3.704246410187944E-3</v>
      </c>
      <c r="J32" s="3">
        <f>AVERAGEIFS(benchmark_gurobi_vs_cuts_grb_ol!U:U,benchmark_gurobi_vs_cuts_grb_ol!A:A,proc_old!A32,benchmark_gurobi_vs_cuts_grb_ol!C:C,proc_old!B32,benchmark_gurobi_vs_cuts_grb_ol!B:B,proc_old!C32,benchmark_gurobi_vs_cuts_grb_ol!D:D,proc_old!D32)</f>
        <v>28232.285714285714</v>
      </c>
      <c r="L32" s="2">
        <f>AVERAGEIFS(benchmark_gurobi_vs_cuts_grb_ol!H:H,benchmark_gurobi_vs_cuts_grb_ol!A:A,proc_old!A32,benchmark_gurobi_vs_cuts_grb_ol!C:C,proc_old!B32,benchmark_gurobi_vs_cuts_grb_ol!B:B,proc_old!C32,benchmark_gurobi_vs_cuts_grb_ol!D:D,proc_old!D32)</f>
        <v>0.61323156961017555</v>
      </c>
      <c r="N32" s="2">
        <f>AVERAGEIFS(benchmark_gurobi_vs_cuts_grb_ol!V:V,benchmark_gurobi_vs_cuts_grb_ol!A:A,proc_old!A32,benchmark_gurobi_vs_cuts_grb_ol!C:C,proc_old!B32,benchmark_gurobi_vs_cuts_grb_ol!B:B,proc_old!C32,benchmark_gurobi_vs_cuts_grb_ol!D:D,proc_old!D32)</f>
        <v>0.70383389581334876</v>
      </c>
      <c r="O32" s="3">
        <f>AVERAGEIFS(benchmark_gurobi_vs_cuts_grb_ol!X:X,benchmark_gurobi_vs_cuts_grb_ol!A:A,proc_old!A32,benchmark_gurobi_vs_cuts_grb_ol!C:C,proc_old!B32,benchmark_gurobi_vs_cuts_grb_ol!B:B,proc_old!C32,benchmark_gurobi_vs_cuts_grb_ol!D:D,proc_old!D32)</f>
        <v>3072.7146743839517</v>
      </c>
      <c r="P32" s="3">
        <f>AVERAGEIFS(benchmark_gurobi_vs_cuts_grb_ol!Y:Y,benchmark_gurobi_vs_cuts_grb_ol!A:A,proc_old!A32,benchmark_gurobi_vs_cuts_grb_ol!C:C,proc_old!B32,benchmark_gurobi_vs_cuts_grb_ol!B:B,proc_old!C32,benchmark_gurobi_vs_cuts_grb_ol!D:D,proc_old!D32)</f>
        <v>23691.285714285714</v>
      </c>
      <c r="Q32" s="2">
        <f>AVERAGEIFS(benchmark_gurobi_vs_cuts_grb_ol!Z:Z,benchmark_gurobi_vs_cuts_grb_ol!A:A,proc_old!A32,benchmark_gurobi_vs_cuts_grb_ol!C:C,proc_old!B32,benchmark_gurobi_vs_cuts_grb_ol!B:B,proc_old!C32,benchmark_gurobi_vs_cuts_grb_ol!D:D,proc_old!D32)</f>
        <v>8.283018009958551E-3</v>
      </c>
      <c r="R32" s="3">
        <f>AVERAGEIFS(benchmark_gurobi_vs_cuts_grb_ol!AA:AA,benchmark_gurobi_vs_cuts_grb_ol!A:A,proc_old!A32,benchmark_gurobi_vs_cuts_grb_ol!C:C,proc_old!B32,benchmark_gurobi_vs_cuts_grb_ol!B:B,proc_old!C32,benchmark_gurobi_vs_cuts_grb_ol!D:D,proc_old!D32)</f>
        <v>19.095238095238095</v>
      </c>
      <c r="T32" s="2">
        <f>AVERAGEIFS(benchmark_gurobi_vs_cuts_grb_ol!K:K,benchmark_gurobi_vs_cuts_grb_ol!A:A,proc_old!A32,benchmark_gurobi_vs_cuts_grb_ol!C:C,proc_old!B32,benchmark_gurobi_vs_cuts_grb_ol!B:B,proc_old!C32,benchmark_gurobi_vs_cuts_grb_ol!D:D,proc_old!D32)</f>
        <v>0.85781884827285471</v>
      </c>
      <c r="U32" s="3">
        <f>AVERAGEIFS(benchmark_gurobi_vs_cuts_grb_ol!M:M,benchmark_gurobi_vs_cuts_grb_ol!A:A,proc_old!A32,benchmark_gurobi_vs_cuts_grb_ol!C:C,proc_old!B32,benchmark_gurobi_vs_cuts_grb_ol!B:B,proc_old!C32,benchmark_gurobi_vs_cuts_grb_ol!D:D,proc_old!D32)</f>
        <v>3601.013650587191</v>
      </c>
      <c r="V32" s="3">
        <f>AVERAGEIFS(benchmark_gurobi_vs_cuts_grb_ol!N:N,benchmark_gurobi_vs_cuts_grb_ol!A:A,proc_old!A32,benchmark_gurobi_vs_cuts_grb_ol!C:C,proc_old!B32,benchmark_gurobi_vs_cuts_grb_ol!B:B,proc_old!C32,benchmark_gurobi_vs_cuts_grb_ol!D:D,proc_old!D32)</f>
        <v>207055.04761904763</v>
      </c>
      <c r="W32" s="2">
        <f>AVERAGEIFS(benchmark_gurobi_vs_cuts_grb_ol!O:O,benchmark_gurobi_vs_cuts_grb_ol!A:A,proc_old!A32,benchmark_gurobi_vs_cuts_grb_ol!C:C,proc_old!B32,benchmark_gurobi_vs_cuts_grb_ol!B:B,proc_old!C32,benchmark_gurobi_vs_cuts_grb_ol!D:D,proc_old!D32)</f>
        <v>0.22932124462413045</v>
      </c>
      <c r="Y32" t="str">
        <f t="shared" ref="Y32:Y35" si="4">CONCATENATE("$", A32, "$ &amp; $", B32, "$ &amp; $", D32, "/p$ &amp; $", ROUND(U32,2), "$ &amp; $", ROUND(V32,0), "$ &amp; $", 100*ROUND(W32,4), "\%$ &amp; $", ROUND(G32,2), "$ &amp; $", ROUND(H32,0), "$ &amp; $", 100*ROUND(I32,4), "\%$ &amp; $", ROUND(J32,1), "$ &amp; $", ROUND(O32,2), "$ &amp; $", ROUND(P32,0), "$ &amp; $", 100*ROUND(Q32,4), "\%$ &amp; $", ROUND(R32,1), "$\\")</f>
        <v>$20$ &amp; $0.1$ &amp; $100/p$ &amp; $3601.01$ &amp; $207055$ &amp; $22.93\%$ &amp; $3539.83$ &amp; $34326$ &amp; $0.37\%$ &amp; $28232.3$ &amp; $3072.71$ &amp; $23691$ &amp; $0.83\%$ &amp; $19.1$\\</v>
      </c>
    </row>
    <row r="33" spans="1:25" x14ac:dyDescent="0.2">
      <c r="A33">
        <v>20</v>
      </c>
      <c r="B33">
        <v>0.2</v>
      </c>
      <c r="C33">
        <v>1</v>
      </c>
      <c r="D33">
        <v>100</v>
      </c>
      <c r="E33">
        <f>MIN(20, COUNTIFS(benchmark_gurobi_vs_cuts_grb_ol!A:A,proc_old!A33,benchmark_gurobi_vs_cuts_grb_ol!C:C,proc_old!B33,benchmark_gurobi_vs_cuts_grb_ol!B:B,proc_old!C33,benchmark_gurobi_vs_cuts_grb_ol!D:D,proc_old!D33))</f>
        <v>20</v>
      </c>
      <c r="F33" s="2">
        <f>AVERAGEIFS(benchmark_gurobi_vs_cuts_grb_ol!P:P,benchmark_gurobi_vs_cuts_grb_ol!A:A,proc_old!A33,benchmark_gurobi_vs_cuts_grb_ol!C:C,proc_old!B33,benchmark_gurobi_vs_cuts_grb_ol!B:B,proc_old!C33,benchmark_gurobi_vs_cuts_grb_ol!D:D,proc_old!D33)</f>
        <v>0.41153117797166416</v>
      </c>
      <c r="G33" s="3">
        <f>AVERAGEIFS(benchmark_gurobi_vs_cuts_grb_ol!R:R,benchmark_gurobi_vs_cuts_grb_ol!A:A,proc_old!A33,benchmark_gurobi_vs_cuts_grb_ol!C:C,proc_old!B33,benchmark_gurobi_vs_cuts_grb_ol!B:B,proc_old!C33,benchmark_gurobi_vs_cuts_grb_ol!D:D,proc_old!D33)</f>
        <v>3645.2359094877716</v>
      </c>
      <c r="H33" s="3">
        <f>AVERAGEIFS(benchmark_gurobi_vs_cuts_grb_ol!S:S,benchmark_gurobi_vs_cuts_grb_ol!A:A,proc_old!A33,benchmark_gurobi_vs_cuts_grb_ol!C:C,proc_old!B33,benchmark_gurobi_vs_cuts_grb_ol!B:B,proc_old!C33,benchmark_gurobi_vs_cuts_grb_ol!D:D,proc_old!D33)</f>
        <v>31248.409090909092</v>
      </c>
      <c r="I33" s="2">
        <f>AVERAGEIFS(benchmark_gurobi_vs_cuts_grb_ol!T:T,benchmark_gurobi_vs_cuts_grb_ol!A:A,proc_old!A33,benchmark_gurobi_vs_cuts_grb_ol!C:C,proc_old!B33,benchmark_gurobi_vs_cuts_grb_ol!B:B,proc_old!C33,benchmark_gurobi_vs_cuts_grb_ol!D:D,proc_old!D33)</f>
        <v>1.3651175541110836E-2</v>
      </c>
      <c r="J33" s="3">
        <f>AVERAGEIFS(benchmark_gurobi_vs_cuts_grb_ol!U:U,benchmark_gurobi_vs_cuts_grb_ol!A:A,proc_old!A33,benchmark_gurobi_vs_cuts_grb_ol!C:C,proc_old!B33,benchmark_gurobi_vs_cuts_grb_ol!B:B,proc_old!C33,benchmark_gurobi_vs_cuts_grb_ol!D:D,proc_old!D33)</f>
        <v>24830.045454545456</v>
      </c>
      <c r="L33" s="2">
        <f>AVERAGEIFS(benchmark_gurobi_vs_cuts_grb_ol!H:H,benchmark_gurobi_vs_cuts_grb_ol!A:A,proc_old!A33,benchmark_gurobi_vs_cuts_grb_ol!C:C,proc_old!B33,benchmark_gurobi_vs_cuts_grb_ol!B:B,proc_old!C33,benchmark_gurobi_vs_cuts_grb_ol!D:D,proc_old!D33)</f>
        <v>0.16852777688441964</v>
      </c>
      <c r="N33" s="2">
        <f>AVERAGEIFS(benchmark_gurobi_vs_cuts_grb_ol!V:V,benchmark_gurobi_vs_cuts_grb_ol!A:A,proc_old!A33,benchmark_gurobi_vs_cuts_grb_ol!C:C,proc_old!B33,benchmark_gurobi_vs_cuts_grb_ol!B:B,proc_old!C33,benchmark_gurobi_vs_cuts_grb_ol!D:D,proc_old!D33)</f>
        <v>0.20348666027814666</v>
      </c>
      <c r="O33" s="3">
        <f>AVERAGEIFS(benchmark_gurobi_vs_cuts_grb_ol!X:X,benchmark_gurobi_vs_cuts_grb_ol!A:A,proc_old!A33,benchmark_gurobi_vs_cuts_grb_ol!C:C,proc_old!B33,benchmark_gurobi_vs_cuts_grb_ol!B:B,proc_old!C33,benchmark_gurobi_vs_cuts_grb_ol!D:D,proc_old!D33)</f>
        <v>2910.9769752388643</v>
      </c>
      <c r="P33" s="3">
        <f>AVERAGEIFS(benchmark_gurobi_vs_cuts_grb_ol!Y:Y,benchmark_gurobi_vs_cuts_grb_ol!A:A,proc_old!A33,benchmark_gurobi_vs_cuts_grb_ol!C:C,proc_old!B33,benchmark_gurobi_vs_cuts_grb_ol!B:B,proc_old!C33,benchmark_gurobi_vs_cuts_grb_ol!D:D,proc_old!D33)</f>
        <v>7454.636363636364</v>
      </c>
      <c r="Q33" s="2">
        <f>AVERAGEIFS(benchmark_gurobi_vs_cuts_grb_ol!Z:Z,benchmark_gurobi_vs_cuts_grb_ol!A:A,proc_old!A33,benchmark_gurobi_vs_cuts_grb_ol!C:C,proc_old!B33,benchmark_gurobi_vs_cuts_grb_ol!B:B,proc_old!C33,benchmark_gurobi_vs_cuts_grb_ol!D:D,proc_old!D33)</f>
        <v>1.7421004729219362E-2</v>
      </c>
      <c r="R33" s="3">
        <f>AVERAGEIFS(benchmark_gurobi_vs_cuts_grb_ol!AA:AA,benchmark_gurobi_vs_cuts_grb_ol!A:A,proc_old!A33,benchmark_gurobi_vs_cuts_grb_ol!C:C,proc_old!B33,benchmark_gurobi_vs_cuts_grb_ol!B:B,proc_old!C33,benchmark_gurobi_vs_cuts_grb_ol!D:D,proc_old!D33)</f>
        <v>17.636363636363637</v>
      </c>
      <c r="T33" s="2">
        <f>AVERAGEIFS(benchmark_gurobi_vs_cuts_grb_ol!K:K,benchmark_gurobi_vs_cuts_grb_ol!A:A,proc_old!A33,benchmark_gurobi_vs_cuts_grb_ol!C:C,proc_old!B33,benchmark_gurobi_vs_cuts_grb_ol!B:B,proc_old!C33,benchmark_gurobi_vs_cuts_grb_ol!D:D,proc_old!D33)</f>
        <v>0.35094152581789656</v>
      </c>
      <c r="U33" s="3">
        <f>AVERAGEIFS(benchmark_gurobi_vs_cuts_grb_ol!M:M,benchmark_gurobi_vs_cuts_grb_ol!A:A,proc_old!A33,benchmark_gurobi_vs_cuts_grb_ol!C:C,proc_old!B33,benchmark_gurobi_vs_cuts_grb_ol!B:B,proc_old!C33,benchmark_gurobi_vs_cuts_grb_ol!D:D,proc_old!D33)</f>
        <v>3601.0952380695012</v>
      </c>
      <c r="V33" s="3">
        <f>AVERAGEIFS(benchmark_gurobi_vs_cuts_grb_ol!N:N,benchmark_gurobi_vs_cuts_grb_ol!A:A,proc_old!A33,benchmark_gurobi_vs_cuts_grb_ol!C:C,proc_old!B33,benchmark_gurobi_vs_cuts_grb_ol!B:B,proc_old!C33,benchmark_gurobi_vs_cuts_grb_ol!D:D,proc_old!D33)</f>
        <v>206641.59090909091</v>
      </c>
      <c r="W33" s="2">
        <f>AVERAGEIFS(benchmark_gurobi_vs_cuts_grb_ol!O:O,benchmark_gurobi_vs_cuts_grb_ol!A:A,proc_old!A33,benchmark_gurobi_vs_cuts_grb_ol!C:C,proc_old!B33,benchmark_gurobi_vs_cuts_grb_ol!B:B,proc_old!C33,benchmark_gurobi_vs_cuts_grb_ol!D:D,proc_old!D33)</f>
        <v>0.59174467914546469</v>
      </c>
      <c r="Y33" t="str">
        <f t="shared" si="4"/>
        <v>$20$ &amp; $0.2$ &amp; $100/p$ &amp; $3601.1$ &amp; $206642$ &amp; $59.17\%$ &amp; $3645.24$ &amp; $31248$ &amp; $1.37\%$ &amp; $24830$ &amp; $2910.98$ &amp; $7455$ &amp; $1.74\%$ &amp; $17.6$\\</v>
      </c>
    </row>
    <row r="34" spans="1:25" x14ac:dyDescent="0.2">
      <c r="A34">
        <v>20</v>
      </c>
      <c r="B34">
        <v>0.3</v>
      </c>
      <c r="C34">
        <v>1</v>
      </c>
      <c r="D34">
        <v>100</v>
      </c>
      <c r="E34">
        <f>MIN(20, COUNTIFS(benchmark_gurobi_vs_cuts_grb_ol!A:A,proc_old!A34,benchmark_gurobi_vs_cuts_grb_ol!C:C,proc_old!B34,benchmark_gurobi_vs_cuts_grb_ol!B:B,proc_old!C34,benchmark_gurobi_vs_cuts_grb_ol!D:D,proc_old!D34))</f>
        <v>20</v>
      </c>
      <c r="F34" s="2">
        <f>AVERAGEIFS(benchmark_gurobi_vs_cuts_grb_ol!P:P,benchmark_gurobi_vs_cuts_grb_ol!A:A,proc_old!A34,benchmark_gurobi_vs_cuts_grb_ol!C:C,proc_old!B34,benchmark_gurobi_vs_cuts_grb_ol!B:B,proc_old!C34,benchmark_gurobi_vs_cuts_grb_ol!D:D,proc_old!D34)</f>
        <v>0.12253757147884446</v>
      </c>
      <c r="G34" s="3">
        <f>AVERAGEIFS(benchmark_gurobi_vs_cuts_grb_ol!R:R,benchmark_gurobi_vs_cuts_grb_ol!A:A,proc_old!A34,benchmark_gurobi_vs_cuts_grb_ol!C:C,proc_old!B34,benchmark_gurobi_vs_cuts_grb_ol!B:B,proc_old!C34,benchmark_gurobi_vs_cuts_grb_ol!D:D,proc_old!D34)</f>
        <v>2337.1095682791906</v>
      </c>
      <c r="H34" s="3">
        <f>AVERAGEIFS(benchmark_gurobi_vs_cuts_grb_ol!S:S,benchmark_gurobi_vs_cuts_grb_ol!A:A,proc_old!A34,benchmark_gurobi_vs_cuts_grb_ol!C:C,proc_old!B34,benchmark_gurobi_vs_cuts_grb_ol!B:B,proc_old!C34,benchmark_gurobi_vs_cuts_grb_ol!D:D,proc_old!D34)</f>
        <v>20753.380952380954</v>
      </c>
      <c r="I34" s="2">
        <f>AVERAGEIFS(benchmark_gurobi_vs_cuts_grb_ol!T:T,benchmark_gurobi_vs_cuts_grb_ol!A:A,proc_old!A34,benchmark_gurobi_vs_cuts_grb_ol!C:C,proc_old!B34,benchmark_gurobi_vs_cuts_grb_ol!B:B,proc_old!C34,benchmark_gurobi_vs_cuts_grb_ol!D:D,proc_old!D34)</f>
        <v>6.6951011178505698E-3</v>
      </c>
      <c r="J34" s="3">
        <f>AVERAGEIFS(benchmark_gurobi_vs_cuts_grb_ol!U:U,benchmark_gurobi_vs_cuts_grb_ol!A:A,proc_old!A34,benchmark_gurobi_vs_cuts_grb_ol!C:C,proc_old!B34,benchmark_gurobi_vs_cuts_grb_ol!B:B,proc_old!C34,benchmark_gurobi_vs_cuts_grb_ol!D:D,proc_old!D34)</f>
        <v>14612</v>
      </c>
      <c r="L34" s="2">
        <f>AVERAGEIFS(benchmark_gurobi_vs_cuts_grb_ol!H:H,benchmark_gurobi_vs_cuts_grb_ol!A:A,proc_old!A34,benchmark_gurobi_vs_cuts_grb_ol!C:C,proc_old!B34,benchmark_gurobi_vs_cuts_grb_ol!B:B,proc_old!C34,benchmark_gurobi_vs_cuts_grb_ol!D:D,proc_old!D34)</f>
        <v>5.5175690931371243E-2</v>
      </c>
      <c r="N34" s="2">
        <f>AVERAGEIFS(benchmark_gurobi_vs_cuts_grb_ol!V:V,benchmark_gurobi_vs_cuts_grb_ol!A:A,proc_old!A34,benchmark_gurobi_vs_cuts_grb_ol!C:C,proc_old!B34,benchmark_gurobi_vs_cuts_grb_ol!B:B,proc_old!C34,benchmark_gurobi_vs_cuts_grb_ol!D:D,proc_old!D34)</f>
        <v>4.7862283801596898E-2</v>
      </c>
      <c r="O34" s="3">
        <f>AVERAGEIFS(benchmark_gurobi_vs_cuts_grb_ol!X:X,benchmark_gurobi_vs_cuts_grb_ol!A:A,proc_old!A34,benchmark_gurobi_vs_cuts_grb_ol!C:C,proc_old!B34,benchmark_gurobi_vs_cuts_grb_ol!B:B,proc_old!C34,benchmark_gurobi_vs_cuts_grb_ol!D:D,proc_old!D34)</f>
        <v>1512.3347612406189</v>
      </c>
      <c r="P34" s="3">
        <f>AVERAGEIFS(benchmark_gurobi_vs_cuts_grb_ol!Y:Y,benchmark_gurobi_vs_cuts_grb_ol!A:A,proc_old!A34,benchmark_gurobi_vs_cuts_grb_ol!C:C,proc_old!B34,benchmark_gurobi_vs_cuts_grb_ol!B:B,proc_old!C34,benchmark_gurobi_vs_cuts_grb_ol!D:D,proc_old!D34)</f>
        <v>2541.0952380952381</v>
      </c>
      <c r="Q34" s="2">
        <f>AVERAGEIFS(benchmark_gurobi_vs_cuts_grb_ol!Z:Z,benchmark_gurobi_vs_cuts_grb_ol!A:A,proc_old!A34,benchmark_gurobi_vs_cuts_grb_ol!C:C,proc_old!B34,benchmark_gurobi_vs_cuts_grb_ol!B:B,proc_old!C34,benchmark_gurobi_vs_cuts_grb_ol!D:D,proc_old!D34)</f>
        <v>1.3020476188473976E-2</v>
      </c>
      <c r="R34" s="3">
        <f>AVERAGEIFS(benchmark_gurobi_vs_cuts_grb_ol!AA:AA,benchmark_gurobi_vs_cuts_grb_ol!A:A,proc_old!A34,benchmark_gurobi_vs_cuts_grb_ol!C:C,proc_old!B34,benchmark_gurobi_vs_cuts_grb_ol!B:B,proc_old!C34,benchmark_gurobi_vs_cuts_grb_ol!D:D,proc_old!D34)</f>
        <v>9.7619047619047628</v>
      </c>
      <c r="T34" s="2">
        <f>AVERAGEIFS(benchmark_gurobi_vs_cuts_grb_ol!K:K,benchmark_gurobi_vs_cuts_grb_ol!A:A,proc_old!A34,benchmark_gurobi_vs_cuts_grb_ol!C:C,proc_old!B34,benchmark_gurobi_vs_cuts_grb_ol!B:B,proc_old!C34,benchmark_gurobi_vs_cuts_grb_ol!D:D,proc_old!D34)</f>
        <v>0.18270368040072082</v>
      </c>
      <c r="U34" s="3">
        <f>AVERAGEIFS(benchmark_gurobi_vs_cuts_grb_ol!M:M,benchmark_gurobi_vs_cuts_grb_ol!A:A,proc_old!A34,benchmark_gurobi_vs_cuts_grb_ol!C:C,proc_old!B34,benchmark_gurobi_vs_cuts_grb_ol!B:B,proc_old!C34,benchmark_gurobi_vs_cuts_grb_ol!D:D,proc_old!D34)</f>
        <v>3601.0529152299519</v>
      </c>
      <c r="V34" s="3">
        <f>AVERAGEIFS(benchmark_gurobi_vs_cuts_grb_ol!N:N,benchmark_gurobi_vs_cuts_grb_ol!A:A,proc_old!A34,benchmark_gurobi_vs_cuts_grb_ol!C:C,proc_old!B34,benchmark_gurobi_vs_cuts_grb_ol!B:B,proc_old!C34,benchmark_gurobi_vs_cuts_grb_ol!D:D,proc_old!D34)</f>
        <v>233262.42857142858</v>
      </c>
      <c r="W34" s="2">
        <f>AVERAGEIFS(benchmark_gurobi_vs_cuts_grb_ol!O:O,benchmark_gurobi_vs_cuts_grb_ol!A:A,proc_old!A34,benchmark_gurobi_vs_cuts_grb_ol!C:C,proc_old!B34,benchmark_gurobi_vs_cuts_grb_ol!B:B,proc_old!C34,benchmark_gurobi_vs_cuts_grb_ol!D:D,proc_old!D34)</f>
        <v>1.1615174507908352</v>
      </c>
      <c r="Y34" t="str">
        <f t="shared" si="4"/>
        <v>$20$ &amp; $0.3$ &amp; $100/p$ &amp; $3601.05$ &amp; $233262$ &amp; $116.15\%$ &amp; $2337.11$ &amp; $20753$ &amp; $0.67\%$ &amp; $14612$ &amp; $1512.33$ &amp; $2541$ &amp; $1.3\%$ &amp; $9.8$\\</v>
      </c>
    </row>
    <row r="35" spans="1:25" x14ac:dyDescent="0.2">
      <c r="A35">
        <v>20</v>
      </c>
      <c r="B35">
        <v>0.4</v>
      </c>
      <c r="C35">
        <v>1</v>
      </c>
      <c r="D35">
        <v>100</v>
      </c>
      <c r="E35">
        <f>MIN(20, COUNTIFS(benchmark_gurobi_vs_cuts_grb_ol!A:A,proc_old!A35,benchmark_gurobi_vs_cuts_grb_ol!C:C,proc_old!B35,benchmark_gurobi_vs_cuts_grb_ol!B:B,proc_old!C35,benchmark_gurobi_vs_cuts_grb_ol!D:D,proc_old!D35))</f>
        <v>20</v>
      </c>
      <c r="F35" s="2">
        <f>AVERAGEIFS(benchmark_gurobi_vs_cuts_grb_ol!P:P,benchmark_gurobi_vs_cuts_grb_ol!A:A,proc_old!A35,benchmark_gurobi_vs_cuts_grb_ol!C:C,proc_old!B35,benchmark_gurobi_vs_cuts_grb_ol!B:B,proc_old!C35,benchmark_gurobi_vs_cuts_grb_ol!D:D,proc_old!D35)</f>
        <v>6.8145072895817796E-2</v>
      </c>
      <c r="G35" s="3">
        <f>AVERAGEIFS(benchmark_gurobi_vs_cuts_grb_ol!R:R,benchmark_gurobi_vs_cuts_grb_ol!A:A,proc_old!A35,benchmark_gurobi_vs_cuts_grb_ol!C:C,proc_old!B35,benchmark_gurobi_vs_cuts_grb_ol!B:B,proc_old!C35,benchmark_gurobi_vs_cuts_grb_ol!D:D,proc_old!D35)</f>
        <v>1133.8854708764998</v>
      </c>
      <c r="H35" s="3">
        <f>AVERAGEIFS(benchmark_gurobi_vs_cuts_grb_ol!S:S,benchmark_gurobi_vs_cuts_grb_ol!A:A,proc_old!A35,benchmark_gurobi_vs_cuts_grb_ol!C:C,proc_old!B35,benchmark_gurobi_vs_cuts_grb_ol!B:B,proc_old!C35,benchmark_gurobi_vs_cuts_grb_ol!D:D,proc_old!D35)</f>
        <v>9165.75</v>
      </c>
      <c r="I35" s="2">
        <f>AVERAGEIFS(benchmark_gurobi_vs_cuts_grb_ol!T:T,benchmark_gurobi_vs_cuts_grb_ol!A:A,proc_old!A35,benchmark_gurobi_vs_cuts_grb_ol!C:C,proc_old!B35,benchmark_gurobi_vs_cuts_grb_ol!B:B,proc_old!C35,benchmark_gurobi_vs_cuts_grb_ol!D:D,proc_old!D35)</f>
        <v>7.5707623212482224E-3</v>
      </c>
      <c r="J35" s="3">
        <f>AVERAGEIFS(benchmark_gurobi_vs_cuts_grb_ol!U:U,benchmark_gurobi_vs_cuts_grb_ol!A:A,proc_old!A35,benchmark_gurobi_vs_cuts_grb_ol!C:C,proc_old!B35,benchmark_gurobi_vs_cuts_grb_ol!B:B,proc_old!C35,benchmark_gurobi_vs_cuts_grb_ol!D:D,proc_old!D35)</f>
        <v>6888.9</v>
      </c>
      <c r="L35" s="2">
        <f>AVERAGEIFS(benchmark_gurobi_vs_cuts_grb_ol!H:H,benchmark_gurobi_vs_cuts_grb_ol!A:A,proc_old!A35,benchmark_gurobi_vs_cuts_grb_ol!C:C,proc_old!B35,benchmark_gurobi_vs_cuts_grb_ol!B:B,proc_old!C35,benchmark_gurobi_vs_cuts_grb_ol!D:D,proc_old!D35)</f>
        <v>2.9647666385959458E-2</v>
      </c>
      <c r="N35" s="2">
        <f>AVERAGEIFS(benchmark_gurobi_vs_cuts_grb_ol!V:V,benchmark_gurobi_vs_cuts_grb_ol!A:A,proc_old!A35,benchmark_gurobi_vs_cuts_grb_ol!C:C,proc_old!B35,benchmark_gurobi_vs_cuts_grb_ol!B:B,proc_old!C35,benchmark_gurobi_vs_cuts_grb_ol!D:D,proc_old!D35)</f>
        <v>2.3195410990807581E-2</v>
      </c>
      <c r="O35" s="3">
        <f>AVERAGEIFS(benchmark_gurobi_vs_cuts_grb_ol!X:X,benchmark_gurobi_vs_cuts_grb_ol!A:A,proc_old!A35,benchmark_gurobi_vs_cuts_grb_ol!C:C,proc_old!B35,benchmark_gurobi_vs_cuts_grb_ol!B:B,proc_old!C35,benchmark_gurobi_vs_cuts_grb_ol!D:D,proc_old!D35)</f>
        <v>896.09935685250002</v>
      </c>
      <c r="P35" s="3">
        <f>AVERAGEIFS(benchmark_gurobi_vs_cuts_grb_ol!Y:Y,benchmark_gurobi_vs_cuts_grb_ol!A:A,proc_old!A35,benchmark_gurobi_vs_cuts_grb_ol!C:C,proc_old!B35,benchmark_gurobi_vs_cuts_grb_ol!B:B,proc_old!C35,benchmark_gurobi_vs_cuts_grb_ol!D:D,proc_old!D35)</f>
        <v>1302</v>
      </c>
      <c r="Q35" s="2">
        <f>AVERAGEIFS(benchmark_gurobi_vs_cuts_grb_ol!Z:Z,benchmark_gurobi_vs_cuts_grb_ol!A:A,proc_old!A35,benchmark_gurobi_vs_cuts_grb_ol!C:C,proc_old!B35,benchmark_gurobi_vs_cuts_grb_ol!B:B,proc_old!C35,benchmark_gurobi_vs_cuts_grb_ol!D:D,proc_old!D35)</f>
        <v>1.1057059673504151E-2</v>
      </c>
      <c r="R35" s="3">
        <f>AVERAGEIFS(benchmark_gurobi_vs_cuts_grb_ol!AA:AA,benchmark_gurobi_vs_cuts_grb_ol!A:A,proc_old!A35,benchmark_gurobi_vs_cuts_grb_ol!C:C,proc_old!B35,benchmark_gurobi_vs_cuts_grb_ol!B:B,proc_old!C35,benchmark_gurobi_vs_cuts_grb_ol!D:D,proc_old!D35)</f>
        <v>7.4</v>
      </c>
      <c r="T35" s="2">
        <f>AVERAGEIFS(benchmark_gurobi_vs_cuts_grb_ol!K:K,benchmark_gurobi_vs_cuts_grb_ol!A:A,proc_old!A35,benchmark_gurobi_vs_cuts_grb_ol!C:C,proc_old!B35,benchmark_gurobi_vs_cuts_grb_ol!B:B,proc_old!C35,benchmark_gurobi_vs_cuts_grb_ol!D:D,proc_old!D35)</f>
        <v>0.20497074667254359</v>
      </c>
      <c r="U35" s="3">
        <f>AVERAGEIFS(benchmark_gurobi_vs_cuts_grb_ol!M:M,benchmark_gurobi_vs_cuts_grb_ol!A:A,proc_old!A35,benchmark_gurobi_vs_cuts_grb_ol!C:C,proc_old!B35,benchmark_gurobi_vs_cuts_grb_ol!B:B,proc_old!C35,benchmark_gurobi_vs_cuts_grb_ol!D:D,proc_old!D35)</f>
        <v>3601.3020845568999</v>
      </c>
      <c r="V35" s="3">
        <f>AVERAGEIFS(benchmark_gurobi_vs_cuts_grb_ol!N:N,benchmark_gurobi_vs_cuts_grb_ol!A:A,proc_old!A35,benchmark_gurobi_vs_cuts_grb_ol!C:C,proc_old!B35,benchmark_gurobi_vs_cuts_grb_ol!B:B,proc_old!C35,benchmark_gurobi_vs_cuts_grb_ol!D:D,proc_old!D35)</f>
        <v>213996.79999999999</v>
      </c>
      <c r="W35" s="2">
        <f>AVERAGEIFS(benchmark_gurobi_vs_cuts_grb_ol!O:O,benchmark_gurobi_vs_cuts_grb_ol!A:A,proc_old!A35,benchmark_gurobi_vs_cuts_grb_ol!C:C,proc_old!B35,benchmark_gurobi_vs_cuts_grb_ol!B:B,proc_old!C35,benchmark_gurobi_vs_cuts_grb_ol!D:D,proc_old!D35)</f>
        <v>1.7999160036463997</v>
      </c>
      <c r="Y35" t="str">
        <f t="shared" si="4"/>
        <v>$20$ &amp; $0.4$ &amp; $100/p$ &amp; $3601.3$ &amp; $213997$ &amp; $179.99\%$ &amp; $1133.89$ &amp; $9166$ &amp; $0.76\%$ &amp; $6888.9$ &amp; $896.1$ &amp; $1302$ &amp; $1.11\%$ &amp; $7.4$\\</v>
      </c>
    </row>
    <row r="36" spans="1:25" x14ac:dyDescent="0.2">
      <c r="L36" s="2"/>
    </row>
    <row r="37" spans="1:25" x14ac:dyDescent="0.2">
      <c r="A37">
        <v>30</v>
      </c>
      <c r="B37">
        <v>0.1</v>
      </c>
      <c r="C37">
        <v>1</v>
      </c>
      <c r="D37">
        <v>100</v>
      </c>
      <c r="E37">
        <f>MIN(20, COUNTIFS(benchmark_gurobi_vs_cuts_grb_ol!A:A,proc_old!A37,benchmark_gurobi_vs_cuts_grb_ol!C:C,proc_old!B37,benchmark_gurobi_vs_cuts_grb_ol!B:B,proc_old!C37,benchmark_gurobi_vs_cuts_grb_ol!D:D,proc_old!D37))</f>
        <v>20</v>
      </c>
      <c r="L37" s="2">
        <f>AVERAGEIFS(benchmark_gurobi_vs_cuts_grb_ol!H:H,benchmark_gurobi_vs_cuts_grb_ol!A:A,proc_old!A37,benchmark_gurobi_vs_cuts_grb_ol!C:C,proc_old!B37,benchmark_gurobi_vs_cuts_grb_ol!B:B,proc_old!C37,benchmark_gurobi_vs_cuts_grb_ol!D:D,proc_old!D37)</f>
        <v>0.33762269993948263</v>
      </c>
      <c r="N37" s="2">
        <f>AVERAGEIFS(benchmark_gurobi_vs_cuts_grb_ol!V:V,benchmark_gurobi_vs_cuts_grb_ol!A:A,proc_old!A37,benchmark_gurobi_vs_cuts_grb_ol!C:C,proc_old!B37,benchmark_gurobi_vs_cuts_grb_ol!B:B,proc_old!C37,benchmark_gurobi_vs_cuts_grb_ol!D:D,proc_old!D37)</f>
        <v>0.69090338686489783</v>
      </c>
      <c r="O37" s="3">
        <f>AVERAGEIFS(benchmark_gurobi_vs_cuts_grb_ol!X:X,benchmark_gurobi_vs_cuts_grb_ol!A:A,proc_old!A37,benchmark_gurobi_vs_cuts_grb_ol!C:C,proc_old!B37,benchmark_gurobi_vs_cuts_grb_ol!B:B,proc_old!C37,benchmark_gurobi_vs_cuts_grb_ol!D:D,proc_old!D37)</f>
        <v>30202.572168704646</v>
      </c>
      <c r="P37" s="3">
        <f>AVERAGEIFS(benchmark_gurobi_vs_cuts_grb_ol!Y:Y,benchmark_gurobi_vs_cuts_grb_ol!A:A,proc_old!A37,benchmark_gurobi_vs_cuts_grb_ol!C:C,proc_old!B37,benchmark_gurobi_vs_cuts_grb_ol!B:B,proc_old!C37,benchmark_gurobi_vs_cuts_grb_ol!D:D,proc_old!D37)</f>
        <v>80254.46428571429</v>
      </c>
      <c r="Q37" s="2">
        <f>AVERAGEIFS(benchmark_gurobi_vs_cuts_grb_ol!Z:Z,benchmark_gurobi_vs_cuts_grb_ol!A:A,proc_old!A37,benchmark_gurobi_vs_cuts_grb_ol!C:C,proc_old!B37,benchmark_gurobi_vs_cuts_grb_ol!B:B,proc_old!C37,benchmark_gurobi_vs_cuts_grb_ol!D:D,proc_old!D37)</f>
        <v>4.1663254149527429E-2</v>
      </c>
      <c r="R37" s="3">
        <f>AVERAGEIFS(benchmark_gurobi_vs_cuts_grb_ol!AA:AA,benchmark_gurobi_vs_cuts_grb_ol!A:A,proc_old!A37,benchmark_gurobi_vs_cuts_grb_ol!C:C,proc_old!B37,benchmark_gurobi_vs_cuts_grb_ol!B:B,proc_old!C37,benchmark_gurobi_vs_cuts_grb_ol!D:D,proc_old!D37)</f>
        <v>50</v>
      </c>
      <c r="Y37" t="str">
        <f t="shared" ref="Y37:Y40" si="5">CONCATENATE("$", A37, "$ &amp; $", B37, "$ &amp; $", D37, "/p$ &amp; $", 100*ROUND(T37,4), "\%$ &amp; $", ROUND(U37,2), "$ &amp; $", ROUND(V37,0), "$ &amp; $", 100*ROUND(W37,4), "\%$ &amp; $", 100*ROUND(F37,4), "\%$ &amp; $", ROUND(G37,2), "$ &amp; $", ROUND(H37,0), "$ &amp; $", 100*ROUND(I37,4), "\%$ &amp; $", ROUND(J37,1), "$ &amp; $",100*ROUND(N37,4), "\%$ &amp; $", ROUND(O37,2), "$ &amp; $", ROUND(P37,0), "$ &amp; $", 100*ROUND(Q37,4), "\%$ &amp; $", ROUND(R37,1), "$\\")</f>
        <v>$30$ &amp; $0.1$ &amp; $100/p$ &amp; $0\%$ &amp; $0$ &amp; $0$ &amp; $0\%$ &amp; $0\%$ &amp; $0$ &amp; $0$ &amp; $0\%$ &amp; $0$ &amp; $69.09\%$ &amp; $30202.57$ &amp; $80254$ &amp; $4.17\%$ &amp; $50$\\</v>
      </c>
    </row>
    <row r="38" spans="1:25" x14ac:dyDescent="0.2">
      <c r="A38">
        <v>30</v>
      </c>
      <c r="B38">
        <v>0.2</v>
      </c>
      <c r="C38">
        <v>1</v>
      </c>
      <c r="D38">
        <v>100</v>
      </c>
      <c r="E38">
        <f>MIN(20, COUNTIFS(benchmark_gurobi_vs_cuts_grb_ol!A:A,proc_old!A38,benchmark_gurobi_vs_cuts_grb_ol!C:C,proc_old!B38,benchmark_gurobi_vs_cuts_grb_ol!B:B,proc_old!C38,benchmark_gurobi_vs_cuts_grb_ol!D:D,proc_old!D38))</f>
        <v>20</v>
      </c>
      <c r="L38" s="2">
        <f>AVERAGEIFS(benchmark_gurobi_vs_cuts_grb_ol!H:H,benchmark_gurobi_vs_cuts_grb_ol!A:A,proc_old!A38,benchmark_gurobi_vs_cuts_grb_ol!C:C,proc_old!B38,benchmark_gurobi_vs_cuts_grb_ol!B:B,proc_old!C38,benchmark_gurobi_vs_cuts_grb_ol!D:D,proc_old!D38)</f>
        <v>6.4458849935313534E-2</v>
      </c>
      <c r="N38" s="2">
        <f>AVERAGEIFS(benchmark_gurobi_vs_cuts_grb_ol!V:V,benchmark_gurobi_vs_cuts_grb_ol!A:A,proc_old!A38,benchmark_gurobi_vs_cuts_grb_ol!C:C,proc_old!B38,benchmark_gurobi_vs_cuts_grb_ol!B:B,proc_old!C38,benchmark_gurobi_vs_cuts_grb_ol!D:D,proc_old!D38)</f>
        <v>6.1739181042586015E-2</v>
      </c>
      <c r="O38" s="3">
        <f>AVERAGEIFS(benchmark_gurobi_vs_cuts_grb_ol!X:X,benchmark_gurobi_vs_cuts_grb_ol!A:A,proc_old!A38,benchmark_gurobi_vs_cuts_grb_ol!C:C,proc_old!B38,benchmark_gurobi_vs_cuts_grb_ol!B:B,proc_old!C38,benchmark_gurobi_vs_cuts_grb_ol!D:D,proc_old!D38)</f>
        <v>27759.885087606894</v>
      </c>
      <c r="P38" s="3">
        <f>AVERAGEIFS(benchmark_gurobi_vs_cuts_grb_ol!Y:Y,benchmark_gurobi_vs_cuts_grb_ol!A:A,proc_old!A38,benchmark_gurobi_vs_cuts_grb_ol!C:C,proc_old!B38,benchmark_gurobi_vs_cuts_grb_ol!B:B,proc_old!C38,benchmark_gurobi_vs_cuts_grb_ol!D:D,proc_old!D38)</f>
        <v>42454.689655172413</v>
      </c>
      <c r="Q38" s="2">
        <f>AVERAGEIFS(benchmark_gurobi_vs_cuts_grb_ol!Z:Z,benchmark_gurobi_vs_cuts_grb_ol!A:A,proc_old!A38,benchmark_gurobi_vs_cuts_grb_ol!C:C,proc_old!B38,benchmark_gurobi_vs_cuts_grb_ol!B:B,proc_old!C38,benchmark_gurobi_vs_cuts_grb_ol!D:D,proc_old!D38)</f>
        <v>2.8426872853790482E-2</v>
      </c>
      <c r="R38" s="3">
        <f>AVERAGEIFS(benchmark_gurobi_vs_cuts_grb_ol!AA:AA,benchmark_gurobi_vs_cuts_grb_ol!A:A,proc_old!A38,benchmark_gurobi_vs_cuts_grb_ol!C:C,proc_old!B38,benchmark_gurobi_vs_cuts_grb_ol!B:B,proc_old!C38,benchmark_gurobi_vs_cuts_grb_ol!D:D,proc_old!D38)</f>
        <v>46.517241379310342</v>
      </c>
      <c r="Y38" t="str">
        <f t="shared" si="5"/>
        <v>$30$ &amp; $0.2$ &amp; $100/p$ &amp; $0\%$ &amp; $0$ &amp; $0$ &amp; $0\%$ &amp; $0\%$ &amp; $0$ &amp; $0$ &amp; $0\%$ &amp; $0$ &amp; $6.17\%$ &amp; $27759.89$ &amp; $42455$ &amp; $2.84\%$ &amp; $46.5$\\</v>
      </c>
    </row>
    <row r="39" spans="1:25" x14ac:dyDescent="0.2">
      <c r="A39">
        <v>30</v>
      </c>
      <c r="B39">
        <v>0.3</v>
      </c>
      <c r="C39">
        <v>1</v>
      </c>
      <c r="D39">
        <v>100</v>
      </c>
      <c r="E39">
        <f>MIN(20, COUNTIFS(benchmark_gurobi_vs_cuts_grb_ol!A:A,proc_old!A39,benchmark_gurobi_vs_cuts_grb_ol!C:C,proc_old!B39,benchmark_gurobi_vs_cuts_grb_ol!B:B,proc_old!C39,benchmark_gurobi_vs_cuts_grb_ol!D:D,proc_old!D39))</f>
        <v>20</v>
      </c>
      <c r="L39" s="2">
        <f>AVERAGEIFS(benchmark_gurobi_vs_cuts_grb_ol!H:H,benchmark_gurobi_vs_cuts_grb_ol!A:A,proc_old!A39,benchmark_gurobi_vs_cuts_grb_ol!C:C,proc_old!B39,benchmark_gurobi_vs_cuts_grb_ol!B:B,proc_old!C39,benchmark_gurobi_vs_cuts_grb_ol!D:D,proc_old!D39)</f>
        <v>3.0247427674749652E-2</v>
      </c>
      <c r="N39" s="2">
        <f>AVERAGEIFS(benchmark_gurobi_vs_cuts_grb_ol!V:V,benchmark_gurobi_vs_cuts_grb_ol!A:A,proc_old!A39,benchmark_gurobi_vs_cuts_grb_ol!C:C,proc_old!B39,benchmark_gurobi_vs_cuts_grb_ol!B:B,proc_old!C39,benchmark_gurobi_vs_cuts_grb_ol!D:D,proc_old!D39)</f>
        <v>2.3538261343683961E-2</v>
      </c>
      <c r="O39" s="3">
        <f>AVERAGEIFS(benchmark_gurobi_vs_cuts_grb_ol!X:X,benchmark_gurobi_vs_cuts_grb_ol!A:A,proc_old!A39,benchmark_gurobi_vs_cuts_grb_ol!C:C,proc_old!B39,benchmark_gurobi_vs_cuts_grb_ol!B:B,proc_old!C39,benchmark_gurobi_vs_cuts_grb_ol!D:D,proc_old!D39)</f>
        <v>19264.859389777033</v>
      </c>
      <c r="P39" s="3">
        <f>AVERAGEIFS(benchmark_gurobi_vs_cuts_grb_ol!Y:Y,benchmark_gurobi_vs_cuts_grb_ol!A:A,proc_old!A39,benchmark_gurobi_vs_cuts_grb_ol!C:C,proc_old!B39,benchmark_gurobi_vs_cuts_grb_ol!B:B,proc_old!C39,benchmark_gurobi_vs_cuts_grb_ol!D:D,proc_old!D39)</f>
        <v>30202.387096774193</v>
      </c>
      <c r="Q39" s="2">
        <f>AVERAGEIFS(benchmark_gurobi_vs_cuts_grb_ol!Z:Z,benchmark_gurobi_vs_cuts_grb_ol!A:A,proc_old!A39,benchmark_gurobi_vs_cuts_grb_ol!C:C,proc_old!B39,benchmark_gurobi_vs_cuts_grb_ol!B:B,proc_old!C39,benchmark_gurobi_vs_cuts_grb_ol!D:D,proc_old!D39)</f>
        <v>1.3821498846294517E-2</v>
      </c>
      <c r="R39" s="3">
        <f>AVERAGEIFS(benchmark_gurobi_vs_cuts_grb_ol!AA:AA,benchmark_gurobi_vs_cuts_grb_ol!A:A,proc_old!A39,benchmark_gurobi_vs_cuts_grb_ol!C:C,proc_old!B39,benchmark_gurobi_vs_cuts_grb_ol!B:B,proc_old!C39,benchmark_gurobi_vs_cuts_grb_ol!D:D,proc_old!D39)</f>
        <v>34.935483870967744</v>
      </c>
      <c r="Y39" t="str">
        <f t="shared" si="5"/>
        <v>$30$ &amp; $0.3$ &amp; $100/p$ &amp; $0\%$ &amp; $0$ &amp; $0$ &amp; $0\%$ &amp; $0\%$ &amp; $0$ &amp; $0$ &amp; $0\%$ &amp; $0$ &amp; $2.35\%$ &amp; $19264.86$ &amp; $30202$ &amp; $1.38\%$ &amp; $34.9$\\</v>
      </c>
    </row>
    <row r="40" spans="1:25" x14ac:dyDescent="0.2">
      <c r="A40">
        <v>30</v>
      </c>
      <c r="B40">
        <v>0.4</v>
      </c>
      <c r="C40">
        <v>1</v>
      </c>
      <c r="D40">
        <v>100</v>
      </c>
      <c r="E40">
        <f>MIN(20, COUNTIFS(benchmark_gurobi_vs_cuts_grb_ol!A:A,proc_old!A40,benchmark_gurobi_vs_cuts_grb_ol!C:C,proc_old!B40,benchmark_gurobi_vs_cuts_grb_ol!B:B,proc_old!C40,benchmark_gurobi_vs_cuts_grb_ol!D:D,proc_old!D40))</f>
        <v>20</v>
      </c>
      <c r="L40" s="2">
        <f>AVERAGEIFS(benchmark_gurobi_vs_cuts_grb_ol!H:H,benchmark_gurobi_vs_cuts_grb_ol!A:A,proc_old!A40,benchmark_gurobi_vs_cuts_grb_ol!C:C,proc_old!B40,benchmark_gurobi_vs_cuts_grb_ol!B:B,proc_old!C40,benchmark_gurobi_vs_cuts_grb_ol!D:D,proc_old!D40)</f>
        <v>1.987606683037705E-2</v>
      </c>
      <c r="N40" s="2">
        <f>AVERAGEIFS(benchmark_gurobi_vs_cuts_grb_ol!V:V,benchmark_gurobi_vs_cuts_grb_ol!A:A,proc_old!A40,benchmark_gurobi_vs_cuts_grb_ol!C:C,proc_old!B40,benchmark_gurobi_vs_cuts_grb_ol!B:B,proc_old!C40,benchmark_gurobi_vs_cuts_grb_ol!D:D,proc_old!D40)</f>
        <v>1.4508797746742182E-2</v>
      </c>
      <c r="O40" s="3">
        <f>AVERAGEIFS(benchmark_gurobi_vs_cuts_grb_ol!X:X,benchmark_gurobi_vs_cuts_grb_ol!A:A,proc_old!A40,benchmark_gurobi_vs_cuts_grb_ol!C:C,proc_old!B40,benchmark_gurobi_vs_cuts_grb_ol!B:B,proc_old!C40,benchmark_gurobi_vs_cuts_grb_ol!D:D,proc_old!D40)</f>
        <v>6604.337543913156</v>
      </c>
      <c r="P40" s="3">
        <f>AVERAGEIFS(benchmark_gurobi_vs_cuts_grb_ol!Y:Y,benchmark_gurobi_vs_cuts_grb_ol!A:A,proc_old!A40,benchmark_gurobi_vs_cuts_grb_ol!C:C,proc_old!B40,benchmark_gurobi_vs_cuts_grb_ol!B:B,proc_old!C40,benchmark_gurobi_vs_cuts_grb_ol!D:D,proc_old!D40)</f>
        <v>13836.0625</v>
      </c>
      <c r="Q40" s="2">
        <f>AVERAGEIFS(benchmark_gurobi_vs_cuts_grb_ol!Z:Z,benchmark_gurobi_vs_cuts_grb_ol!A:A,proc_old!A40,benchmark_gurobi_vs_cuts_grb_ol!C:C,proc_old!B40,benchmark_gurobi_vs_cuts_grb_ol!B:B,proc_old!C40,benchmark_gurobi_vs_cuts_grb_ol!D:D,proc_old!D40)</f>
        <v>9.8625045719946142E-3</v>
      </c>
      <c r="R40" s="3">
        <f>AVERAGEIFS(benchmark_gurobi_vs_cuts_grb_ol!AA:AA,benchmark_gurobi_vs_cuts_grb_ol!A:A,proc_old!A40,benchmark_gurobi_vs_cuts_grb_ol!C:C,proc_old!B40,benchmark_gurobi_vs_cuts_grb_ol!B:B,proc_old!C40,benchmark_gurobi_vs_cuts_grb_ol!D:D,proc_old!D40)</f>
        <v>16.25</v>
      </c>
      <c r="Y40" t="str">
        <f t="shared" si="5"/>
        <v>$30$ &amp; $0.4$ &amp; $100/p$ &amp; $0\%$ &amp; $0$ &amp; $0$ &amp; $0\%$ &amp; $0\%$ &amp; $0$ &amp; $0$ &amp; $0\%$ &amp; $0$ &amp; $1.45\%$ &amp; $6604.34$ &amp; $13836$ &amp; $0.99\%$ &amp; $16.3$\\</v>
      </c>
    </row>
    <row r="41" spans="1:25" x14ac:dyDescent="0.2">
      <c r="L41" s="2"/>
    </row>
    <row r="42" spans="1:25" x14ac:dyDescent="0.2">
      <c r="L42" s="2"/>
    </row>
    <row r="43" spans="1:25" x14ac:dyDescent="0.2">
      <c r="A43">
        <v>40</v>
      </c>
      <c r="B43">
        <v>0.1</v>
      </c>
      <c r="C43">
        <v>1</v>
      </c>
      <c r="D43">
        <v>100</v>
      </c>
      <c r="E43">
        <f>MIN(20, COUNTIFS(benchmark_gurobi_vs_cuts_grb_ol!A:A,proc_old!A43,benchmark_gurobi_vs_cuts_grb_ol!C:C,proc_old!B43,benchmark_gurobi_vs_cuts_grb_ol!B:B,proc_old!C43,benchmark_gurobi_vs_cuts_grb_ol!D:D,proc_old!D43))</f>
        <v>20</v>
      </c>
      <c r="L43" s="2">
        <f>AVERAGEIFS(benchmark_gurobi_vs_cuts_grb_ol!H:H,benchmark_gurobi_vs_cuts_grb_ol!A:A,proc_old!A43,benchmark_gurobi_vs_cuts_grb_ol!C:C,proc_old!B43,benchmark_gurobi_vs_cuts_grb_ol!B:B,proc_old!C43,benchmark_gurobi_vs_cuts_grb_ol!D:D,proc_old!D43)</f>
        <v>0.26140492404428733</v>
      </c>
      <c r="N43" s="2">
        <f>AVERAGEIFS(benchmark_gurobi_vs_cuts_grb_ol!V:V,benchmark_gurobi_vs_cuts_grb_ol!A:A,proc_old!A43,benchmark_gurobi_vs_cuts_grb_ol!C:C,proc_old!B43,benchmark_gurobi_vs_cuts_grb_ol!B:B,proc_old!C43,benchmark_gurobi_vs_cuts_grb_ol!D:D,proc_old!D43)</f>
        <v>0.30427483650910886</v>
      </c>
      <c r="O43" s="3">
        <f>AVERAGEIFS(benchmark_gurobi_vs_cuts_grb_ol!X:X,benchmark_gurobi_vs_cuts_grb_ol!A:A,proc_old!A43,benchmark_gurobi_vs_cuts_grb_ol!C:C,proc_old!B43,benchmark_gurobi_vs_cuts_grb_ol!B:B,proc_old!C43,benchmark_gurobi_vs_cuts_grb_ol!D:D,proc_old!D43)</f>
        <v>30372.879592974761</v>
      </c>
      <c r="P43" s="3">
        <f>AVERAGEIFS(benchmark_gurobi_vs_cuts_grb_ol!Y:Y,benchmark_gurobi_vs_cuts_grb_ol!A:A,proc_old!A43,benchmark_gurobi_vs_cuts_grb_ol!C:C,proc_old!B43,benchmark_gurobi_vs_cuts_grb_ol!B:B,proc_old!C43,benchmark_gurobi_vs_cuts_grb_ol!D:D,proc_old!D43)</f>
        <v>36801.088235294119</v>
      </c>
      <c r="Q43" s="2">
        <f>AVERAGEIFS(benchmark_gurobi_vs_cuts_grb_ol!Z:Z,benchmark_gurobi_vs_cuts_grb_ol!A:A,proc_old!A43,benchmark_gurobi_vs_cuts_grb_ol!C:C,proc_old!B43,benchmark_gurobi_vs_cuts_grb_ol!B:B,proc_old!C43,benchmark_gurobi_vs_cuts_grb_ol!D:D,proc_old!D43)</f>
        <v>0.11542735073471627</v>
      </c>
      <c r="R43" s="3">
        <f>AVERAGEIFS(benchmark_gurobi_vs_cuts_grb_ol!AA:AA,benchmark_gurobi_vs_cuts_grb_ol!A:A,proc_old!A43,benchmark_gurobi_vs_cuts_grb_ol!C:C,proc_old!B43,benchmark_gurobi_vs_cuts_grb_ol!B:B,proc_old!C43,benchmark_gurobi_vs_cuts_grb_ol!D:D,proc_old!D43)</f>
        <v>50</v>
      </c>
      <c r="Y43" t="str">
        <f t="shared" ref="Y43:Y46" si="6">CONCATENATE("$", A43, "$ &amp; $", B43, "$ &amp; $", D43, "/p$ &amp; $", 100*ROUND(T43,4), "\%$ &amp; $", ROUND(U43,2), "$ &amp; $", ROUND(V43,0), "$ &amp; $", 100*ROUND(W43,4), "\%$ &amp; $", 100*ROUND(F43,4), "\%$ &amp; $", ROUND(G43,2), "$ &amp; $", ROUND(H43,0), "$ &amp; $", 100*ROUND(I43,4), "\%$ &amp; $", ROUND(J43,1), "$ &amp; $",100*ROUND(N43,4), "\%$ &amp; $", ROUND(O43,2), "$ &amp; $", ROUND(P43,0), "$ &amp; $", 100*ROUND(Q43,4), "\%$ &amp; $", ROUND(R43,1), "$\\")</f>
        <v>$40$ &amp; $0.1$ &amp; $100/p$ &amp; $0\%$ &amp; $0$ &amp; $0$ &amp; $0\%$ &amp; $0\%$ &amp; $0$ &amp; $0$ &amp; $0\%$ &amp; $0$ &amp; $30.43\%$ &amp; $30372.88$ &amp; $36801$ &amp; $11.54\%$ &amp; $50$\\</v>
      </c>
    </row>
    <row r="44" spans="1:25" x14ac:dyDescent="0.2">
      <c r="A44">
        <v>40</v>
      </c>
      <c r="B44">
        <v>0.2</v>
      </c>
      <c r="C44">
        <v>1</v>
      </c>
      <c r="D44">
        <v>100</v>
      </c>
      <c r="E44">
        <f>MIN(20, COUNTIFS(benchmark_gurobi_vs_cuts_grb_ol!A:A,proc_old!A44,benchmark_gurobi_vs_cuts_grb_ol!C:C,proc_old!B44,benchmark_gurobi_vs_cuts_grb_ol!B:B,proc_old!C44,benchmark_gurobi_vs_cuts_grb_ol!D:D,proc_old!D44))</f>
        <v>20</v>
      </c>
      <c r="L44" s="2">
        <f>AVERAGEIFS(benchmark_gurobi_vs_cuts_grb_ol!H:H,benchmark_gurobi_vs_cuts_grb_ol!A:A,proc_old!A44,benchmark_gurobi_vs_cuts_grb_ol!C:C,proc_old!B44,benchmark_gurobi_vs_cuts_grb_ol!B:B,proc_old!C44,benchmark_gurobi_vs_cuts_grb_ol!D:D,proc_old!D44)</f>
        <v>4.532824015659969E-2</v>
      </c>
      <c r="N44" s="2">
        <f>AVERAGEIFS(benchmark_gurobi_vs_cuts_grb_ol!V:V,benchmark_gurobi_vs_cuts_grb_ol!A:A,proc_old!A44,benchmark_gurobi_vs_cuts_grb_ol!C:C,proc_old!B44,benchmark_gurobi_vs_cuts_grb_ol!B:B,proc_old!C44,benchmark_gurobi_vs_cuts_grb_ol!D:D,proc_old!D44)</f>
        <v>3.8788460310115465E-2</v>
      </c>
      <c r="O44" s="3">
        <f>AVERAGEIFS(benchmark_gurobi_vs_cuts_grb_ol!X:X,benchmark_gurobi_vs_cuts_grb_ol!A:A,proc_old!A44,benchmark_gurobi_vs_cuts_grb_ol!C:C,proc_old!B44,benchmark_gurobi_vs_cuts_grb_ol!B:B,proc_old!C44,benchmark_gurobi_vs_cuts_grb_ol!D:D,proc_old!D44)</f>
        <v>30957.784941987928</v>
      </c>
      <c r="P44" s="3">
        <f>AVERAGEIFS(benchmark_gurobi_vs_cuts_grb_ol!Y:Y,benchmark_gurobi_vs_cuts_grb_ol!A:A,proc_old!A44,benchmark_gurobi_vs_cuts_grb_ol!C:C,proc_old!B44,benchmark_gurobi_vs_cuts_grb_ol!B:B,proc_old!C44,benchmark_gurobi_vs_cuts_grb_ol!D:D,proc_old!D44)</f>
        <v>10537.4</v>
      </c>
      <c r="Q44" s="2">
        <f>AVERAGEIFS(benchmark_gurobi_vs_cuts_grb_ol!Z:Z,benchmark_gurobi_vs_cuts_grb_ol!A:A,proc_old!A44,benchmark_gurobi_vs_cuts_grb_ol!C:C,proc_old!B44,benchmark_gurobi_vs_cuts_grb_ol!B:B,proc_old!C44,benchmark_gurobi_vs_cuts_grb_ol!D:D,proc_old!D44)</f>
        <v>0.10626747288924615</v>
      </c>
      <c r="R44" s="3">
        <f>AVERAGEIFS(benchmark_gurobi_vs_cuts_grb_ol!AA:AA,benchmark_gurobi_vs_cuts_grb_ol!A:A,proc_old!A44,benchmark_gurobi_vs_cuts_grb_ol!C:C,proc_old!B44,benchmark_gurobi_vs_cuts_grb_ol!B:B,proc_old!C44,benchmark_gurobi_vs_cuts_grb_ol!D:D,proc_old!D44)</f>
        <v>49.68</v>
      </c>
      <c r="Y44" t="str">
        <f t="shared" si="6"/>
        <v>$40$ &amp; $0.2$ &amp; $100/p$ &amp; $0\%$ &amp; $0$ &amp; $0$ &amp; $0\%$ &amp; $0\%$ &amp; $0$ &amp; $0$ &amp; $0\%$ &amp; $0$ &amp; $3.88\%$ &amp; $30957.78$ &amp; $10537$ &amp; $10.63\%$ &amp; $49.7$\\</v>
      </c>
    </row>
    <row r="45" spans="1:25" x14ac:dyDescent="0.2">
      <c r="A45">
        <v>40</v>
      </c>
      <c r="B45">
        <v>0.3</v>
      </c>
      <c r="C45">
        <v>1</v>
      </c>
      <c r="D45">
        <v>100</v>
      </c>
      <c r="E45">
        <f>MIN(20, COUNTIFS(benchmark_gurobi_vs_cuts_grb_ol!A:A,proc_old!A45,benchmark_gurobi_vs_cuts_grb_ol!C:C,proc_old!B45,benchmark_gurobi_vs_cuts_grb_ol!B:B,proc_old!C45,benchmark_gurobi_vs_cuts_grb_ol!D:D,proc_old!D45))</f>
        <v>20</v>
      </c>
      <c r="L45" s="2">
        <f>AVERAGEIFS(benchmark_gurobi_vs_cuts_grb_ol!H:H,benchmark_gurobi_vs_cuts_grb_ol!A:A,proc_old!A45,benchmark_gurobi_vs_cuts_grb_ol!C:C,proc_old!B45,benchmark_gurobi_vs_cuts_grb_ol!B:B,proc_old!C45,benchmark_gurobi_vs_cuts_grb_ol!D:D,proc_old!D45)</f>
        <v>2.2730981265110493E-2</v>
      </c>
      <c r="N45" s="2">
        <f>AVERAGEIFS(benchmark_gurobi_vs_cuts_grb_ol!V:V,benchmark_gurobi_vs_cuts_grb_ol!A:A,proc_old!A45,benchmark_gurobi_vs_cuts_grb_ol!C:C,proc_old!B45,benchmark_gurobi_vs_cuts_grb_ol!B:B,proc_old!C45,benchmark_gurobi_vs_cuts_grb_ol!D:D,proc_old!D45)</f>
        <v>1.7638460465163056E-2</v>
      </c>
      <c r="O45" s="3">
        <f>AVERAGEIFS(benchmark_gurobi_vs_cuts_grb_ol!X:X,benchmark_gurobi_vs_cuts_grb_ol!A:A,proc_old!A45,benchmark_gurobi_vs_cuts_grb_ol!C:C,proc_old!B45,benchmark_gurobi_vs_cuts_grb_ol!B:B,proc_old!C45,benchmark_gurobi_vs_cuts_grb_ol!D:D,proc_old!D45)</f>
        <v>24117.555297770945</v>
      </c>
      <c r="P45" s="3">
        <f>AVERAGEIFS(benchmark_gurobi_vs_cuts_grb_ol!Y:Y,benchmark_gurobi_vs_cuts_grb_ol!A:A,proc_old!A45,benchmark_gurobi_vs_cuts_grb_ol!C:C,proc_old!B45,benchmark_gurobi_vs_cuts_grb_ol!B:B,proc_old!C45,benchmark_gurobi_vs_cuts_grb_ol!D:D,proc_old!D45)</f>
        <v>10807.314285714287</v>
      </c>
      <c r="Q45" s="2">
        <f>AVERAGEIFS(benchmark_gurobi_vs_cuts_grb_ol!Z:Z,benchmark_gurobi_vs_cuts_grb_ol!A:A,proc_old!A45,benchmark_gurobi_vs_cuts_grb_ol!C:C,proc_old!B45,benchmark_gurobi_vs_cuts_grb_ol!B:B,proc_old!C45,benchmark_gurobi_vs_cuts_grb_ol!D:D,proc_old!D45)</f>
        <v>2.7935251949450231E-2</v>
      </c>
      <c r="R45" s="3">
        <f>AVERAGEIFS(benchmark_gurobi_vs_cuts_grb_ol!AA:AA,benchmark_gurobi_vs_cuts_grb_ol!A:A,proc_old!A45,benchmark_gurobi_vs_cuts_grb_ol!C:C,proc_old!B45,benchmark_gurobi_vs_cuts_grb_ol!B:B,proc_old!C45,benchmark_gurobi_vs_cuts_grb_ol!D:D,proc_old!D45)</f>
        <v>42.371428571428574</v>
      </c>
      <c r="Y45" t="str">
        <f t="shared" si="6"/>
        <v>$40$ &amp; $0.3$ &amp; $100/p$ &amp; $0\%$ &amp; $0$ &amp; $0$ &amp; $0\%$ &amp; $0\%$ &amp; $0$ &amp; $0$ &amp; $0\%$ &amp; $0$ &amp; $1.76\%$ &amp; $24117.56$ &amp; $10807$ &amp; $2.79\%$ &amp; $42.4$\\</v>
      </c>
    </row>
    <row r="46" spans="1:25" x14ac:dyDescent="0.2">
      <c r="A46">
        <v>40</v>
      </c>
      <c r="B46">
        <v>0.4</v>
      </c>
      <c r="C46">
        <v>1</v>
      </c>
      <c r="D46">
        <v>100</v>
      </c>
      <c r="E46">
        <f>MIN(20, COUNTIFS(benchmark_gurobi_vs_cuts_grb_ol!A:A,proc_old!A46,benchmark_gurobi_vs_cuts_grb_ol!C:C,proc_old!B46,benchmark_gurobi_vs_cuts_grb_ol!B:B,proc_old!C46,benchmark_gurobi_vs_cuts_grb_ol!D:D,proc_old!D46))</f>
        <v>20</v>
      </c>
      <c r="L46" s="2">
        <f>AVERAGEIFS(benchmark_gurobi_vs_cuts_grb_ol!H:H,benchmark_gurobi_vs_cuts_grb_ol!A:A,proc_old!A46,benchmark_gurobi_vs_cuts_grb_ol!C:C,proc_old!B46,benchmark_gurobi_vs_cuts_grb_ol!B:B,proc_old!C46,benchmark_gurobi_vs_cuts_grb_ol!D:D,proc_old!D46)</f>
        <v>1.611218709875735E-2</v>
      </c>
      <c r="N46" s="2">
        <f>AVERAGEIFS(benchmark_gurobi_vs_cuts_grb_ol!V:V,benchmark_gurobi_vs_cuts_grb_ol!A:A,proc_old!A46,benchmark_gurobi_vs_cuts_grb_ol!C:C,proc_old!B46,benchmark_gurobi_vs_cuts_grb_ol!B:B,proc_old!C46,benchmark_gurobi_vs_cuts_grb_ol!D:D,proc_old!D46)</f>
        <v>1.0872524473007694E-2</v>
      </c>
      <c r="O46" s="3">
        <f>AVERAGEIFS(benchmark_gurobi_vs_cuts_grb_ol!X:X,benchmark_gurobi_vs_cuts_grb_ol!A:A,proc_old!A46,benchmark_gurobi_vs_cuts_grb_ol!C:C,proc_old!B46,benchmark_gurobi_vs_cuts_grb_ol!B:B,proc_old!C46,benchmark_gurobi_vs_cuts_grb_ol!D:D,proc_old!D46)</f>
        <v>7388.8152147837245</v>
      </c>
      <c r="P46" s="3">
        <f>AVERAGEIFS(benchmark_gurobi_vs_cuts_grb_ol!Y:Y,benchmark_gurobi_vs_cuts_grb_ol!A:A,proc_old!A46,benchmark_gurobi_vs_cuts_grb_ol!C:C,proc_old!B46,benchmark_gurobi_vs_cuts_grb_ol!B:B,proc_old!C46,benchmark_gurobi_vs_cuts_grb_ol!D:D,proc_old!D46)</f>
        <v>3513.2249999999999</v>
      </c>
      <c r="Q46" s="2">
        <f>AVERAGEIFS(benchmark_gurobi_vs_cuts_grb_ol!Z:Z,benchmark_gurobi_vs_cuts_grb_ol!A:A,proc_old!A46,benchmark_gurobi_vs_cuts_grb_ol!C:C,proc_old!B46,benchmark_gurobi_vs_cuts_grb_ol!B:B,proc_old!C46,benchmark_gurobi_vs_cuts_grb_ol!D:D,proc_old!D46)</f>
        <v>1.2395613151286173E-2</v>
      </c>
      <c r="R46" s="3">
        <f>AVERAGEIFS(benchmark_gurobi_vs_cuts_grb_ol!AA:AA,benchmark_gurobi_vs_cuts_grb_ol!A:A,proc_old!A46,benchmark_gurobi_vs_cuts_grb_ol!C:C,proc_old!B46,benchmark_gurobi_vs_cuts_grb_ol!B:B,proc_old!C46,benchmark_gurobi_vs_cuts_grb_ol!D:D,proc_old!D46)</f>
        <v>23.65</v>
      </c>
      <c r="Y46" t="str">
        <f t="shared" si="6"/>
        <v>$40$ &amp; $0.4$ &amp; $100/p$ &amp; $0\%$ &amp; $0$ &amp; $0$ &amp; $0\%$ &amp; $0\%$ &amp; $0$ &amp; $0$ &amp; $0\%$ &amp; $0$ &amp; $1.09\%$ &amp; $7388.82$ &amp; $3513$ &amp; $1.24\%$ &amp; $23.7$\\</v>
      </c>
    </row>
    <row r="47" spans="1:25" x14ac:dyDescent="0.2">
      <c r="L47" s="2"/>
    </row>
    <row r="48" spans="1:25" x14ac:dyDescent="0.2">
      <c r="A48" t="s">
        <v>35</v>
      </c>
      <c r="L48" s="2"/>
    </row>
    <row r="49" spans="1:25" x14ac:dyDescent="0.2">
      <c r="A49" s="4"/>
      <c r="B49" s="4"/>
      <c r="C49" s="4"/>
      <c r="D49" s="4"/>
      <c r="L49" s="2"/>
    </row>
    <row r="50" spans="1:25" x14ac:dyDescent="0.2">
      <c r="A50" s="4">
        <v>10</v>
      </c>
      <c r="B50" s="4">
        <v>0.1</v>
      </c>
      <c r="C50" s="4">
        <v>2</v>
      </c>
      <c r="D50" s="4">
        <v>20</v>
      </c>
      <c r="E50">
        <f>MIN(20, COUNTIFS(benchmark_gurobi_vs_cuts_grb_ol!A:A,proc_old!A50,benchmark_gurobi_vs_cuts_grb_ol!C:C,proc_old!B50,benchmark_gurobi_vs_cuts_grb_ol!B:B,proc_old!C50,benchmark_gurobi_vs_cuts_grb_ol!D:D,proc_old!D50))</f>
        <v>20</v>
      </c>
      <c r="L50" s="2">
        <f>AVERAGEIFS(benchmark_gurobi_vs_cuts_grb_ol!H:H,benchmark_gurobi_vs_cuts_grb_ol!A:A,proc_old!A50,benchmark_gurobi_vs_cuts_grb_ol!C:C,proc_old!B50,benchmark_gurobi_vs_cuts_grb_ol!B:B,proc_old!C50,benchmark_gurobi_vs_cuts_grb_ol!D:D,proc_old!D50)</f>
        <v>0.97535325774976533</v>
      </c>
      <c r="N50" s="2">
        <f>AVERAGEIFS(benchmark_gurobi_vs_cuts_grb_ol!V:V,benchmark_gurobi_vs_cuts_grb_ol!A:A,proc_old!A50,benchmark_gurobi_vs_cuts_grb_ol!C:C,proc_old!B50,benchmark_gurobi_vs_cuts_grb_ol!B:B,proc_old!C50,benchmark_gurobi_vs_cuts_grb_ol!D:D,proc_old!D50)</f>
        <v>0.97610275393732415</v>
      </c>
      <c r="O50" s="3">
        <f>AVERAGEIFS(benchmark_gurobi_vs_cuts_grb_ol!X:X,benchmark_gurobi_vs_cuts_grb_ol!A:A,proc_old!A50,benchmark_gurobi_vs_cuts_grb_ol!C:C,proc_old!B50,benchmark_gurobi_vs_cuts_grb_ol!B:B,proc_old!C50,benchmark_gurobi_vs_cuts_grb_ol!D:D,proc_old!D50)</f>
        <v>1055.4844685722446</v>
      </c>
      <c r="P50" s="3">
        <f>AVERAGEIFS(benchmark_gurobi_vs_cuts_grb_ol!Y:Y,benchmark_gurobi_vs_cuts_grb_ol!A:A,proc_old!A50,benchmark_gurobi_vs_cuts_grb_ol!C:C,proc_old!B50,benchmark_gurobi_vs_cuts_grb_ol!B:B,proc_old!C50,benchmark_gurobi_vs_cuts_grb_ol!D:D,proc_old!D50)</f>
        <v>33814.688888888886</v>
      </c>
      <c r="Q50" s="2">
        <f>AVERAGEIFS(benchmark_gurobi_vs_cuts_grb_ol!Z:Z,benchmark_gurobi_vs_cuts_grb_ol!A:A,proc_old!A50,benchmark_gurobi_vs_cuts_grb_ol!C:C,proc_old!B50,benchmark_gurobi_vs_cuts_grb_ol!B:B,proc_old!C50,benchmark_gurobi_vs_cuts_grb_ol!D:D,proc_old!D50)</f>
        <v>1.0023353811741021E-3</v>
      </c>
      <c r="R50" s="3">
        <f>AVERAGEIFS(benchmark_gurobi_vs_cuts_grb_ol!AA:AA,benchmark_gurobi_vs_cuts_grb_ol!A:A,proc_old!A50,benchmark_gurobi_vs_cuts_grb_ol!C:C,proc_old!B50,benchmark_gurobi_vs_cuts_grb_ol!B:B,proc_old!C50,benchmark_gurobi_vs_cuts_grb_ol!D:D,proc_old!D50)</f>
        <v>3.0222222222222221</v>
      </c>
      <c r="Y50" t="str">
        <f t="shared" ref="Y50:Y53" si="7">CONCATENATE("$", A50, "$ &amp; $", B50, "$ &amp; $", D50, "/p$ &amp; $", 100*ROUND(T50,4), "\%$ &amp; $", ROUND(U50,2), "$ &amp; $", ROUND(V50,0), "$ &amp; $", 100*ROUND(W50,4), "\%$ &amp; $", 100*ROUND(F50,4), "\%$ &amp; $", ROUND(G50,2), "$ &amp; $", ROUND(H50,0), "$ &amp; $", 100*ROUND(I50,4), "\%$ &amp; $", ROUND(J50,1), "$ &amp; $",100*ROUND(N50,4), "\%$ &amp; $", ROUND(O50,2), "$ &amp; $", ROUND(P50,0), "$ &amp; $", 100*ROUND(Q50,4), "\%$ &amp; $", ROUND(R50,1), "$\\")</f>
        <v>$10$ &amp; $0.1$ &amp; $20/p$ &amp; $0\%$ &amp; $0$ &amp; $0$ &amp; $0\%$ &amp; $0\%$ &amp; $0$ &amp; $0$ &amp; $0\%$ &amp; $0$ &amp; $97.61\%$ &amp; $1055.48$ &amp; $33815$ &amp; $0.1\%$ &amp; $3$\\</v>
      </c>
    </row>
    <row r="51" spans="1:25" x14ac:dyDescent="0.2">
      <c r="A51" s="4">
        <v>10</v>
      </c>
      <c r="B51" s="4">
        <v>0.2</v>
      </c>
      <c r="C51" s="4">
        <v>2</v>
      </c>
      <c r="D51" s="4">
        <v>20</v>
      </c>
      <c r="E51">
        <f>MIN(20, COUNTIFS(benchmark_gurobi_vs_cuts_grb_ol!A:A,proc_old!A51,benchmark_gurobi_vs_cuts_grb_ol!C:C,proc_old!B51,benchmark_gurobi_vs_cuts_grb_ol!B:B,proc_old!C51,benchmark_gurobi_vs_cuts_grb_ol!D:D,proc_old!D51))</f>
        <v>20</v>
      </c>
      <c r="L51" s="2">
        <f>AVERAGEIFS(benchmark_gurobi_vs_cuts_grb_ol!H:H,benchmark_gurobi_vs_cuts_grb_ol!A:A,proc_old!A51,benchmark_gurobi_vs_cuts_grb_ol!C:C,proc_old!B51,benchmark_gurobi_vs_cuts_grb_ol!B:B,proc_old!C51,benchmark_gurobi_vs_cuts_grb_ol!D:D,proc_old!D51)</f>
        <v>0.91626839166731766</v>
      </c>
      <c r="N51" s="2">
        <f>AVERAGEIFS(benchmark_gurobi_vs_cuts_grb_ol!V:V,benchmark_gurobi_vs_cuts_grb_ol!A:A,proc_old!A51,benchmark_gurobi_vs_cuts_grb_ol!C:C,proc_old!B51,benchmark_gurobi_vs_cuts_grb_ol!B:B,proc_old!C51,benchmark_gurobi_vs_cuts_grb_ol!D:D,proc_old!D51)</f>
        <v>0.92966853499045576</v>
      </c>
      <c r="O51" s="3">
        <f>AVERAGEIFS(benchmark_gurobi_vs_cuts_grb_ol!X:X,benchmark_gurobi_vs_cuts_grb_ol!A:A,proc_old!A51,benchmark_gurobi_vs_cuts_grb_ol!C:C,proc_old!B51,benchmark_gurobi_vs_cuts_grb_ol!B:B,proc_old!C51,benchmark_gurobi_vs_cuts_grb_ol!D:D,proc_old!D51)</f>
        <v>51960.582460040067</v>
      </c>
      <c r="P51" s="3">
        <f>AVERAGEIFS(benchmark_gurobi_vs_cuts_grb_ol!Y:Y,benchmark_gurobi_vs_cuts_grb_ol!A:A,proc_old!A51,benchmark_gurobi_vs_cuts_grb_ol!C:C,proc_old!B51,benchmark_gurobi_vs_cuts_grb_ol!B:B,proc_old!C51,benchmark_gurobi_vs_cuts_grb_ol!D:D,proc_old!D51)</f>
        <v>306554.89285714284</v>
      </c>
      <c r="Q51" s="2">
        <f>AVERAGEIFS(benchmark_gurobi_vs_cuts_grb_ol!Z:Z,benchmark_gurobi_vs_cuts_grb_ol!A:A,proc_old!A51,benchmark_gurobi_vs_cuts_grb_ol!C:C,proc_old!B51,benchmark_gurobi_vs_cuts_grb_ol!B:B,proc_old!C51,benchmark_gurobi_vs_cuts_grb_ol!D:D,proc_old!D51)</f>
        <v>1.6550261990089514E-2</v>
      </c>
      <c r="R51" s="3">
        <f>AVERAGEIFS(benchmark_gurobi_vs_cuts_grb_ol!AA:AA,benchmark_gurobi_vs_cuts_grb_ol!A:A,proc_old!A51,benchmark_gurobi_vs_cuts_grb_ol!C:C,proc_old!B51,benchmark_gurobi_vs_cuts_grb_ol!B:B,proc_old!C51,benchmark_gurobi_vs_cuts_grb_ol!D:D,proc_old!D51)</f>
        <v>70.892857142857139</v>
      </c>
      <c r="Y51" t="str">
        <f t="shared" si="7"/>
        <v>$10$ &amp; $0.2$ &amp; $20/p$ &amp; $0\%$ &amp; $0$ &amp; $0$ &amp; $0\%$ &amp; $0\%$ &amp; $0$ &amp; $0$ &amp; $0\%$ &amp; $0$ &amp; $92.97\%$ &amp; $51960.58$ &amp; $306555$ &amp; $1.66\%$ &amp; $70.9$\\</v>
      </c>
    </row>
    <row r="52" spans="1:25" x14ac:dyDescent="0.2">
      <c r="A52" s="4">
        <v>10</v>
      </c>
      <c r="B52" s="4">
        <v>0.3</v>
      </c>
      <c r="C52" s="4">
        <v>2</v>
      </c>
      <c r="D52" s="4">
        <v>20</v>
      </c>
      <c r="E52">
        <f>MIN(20, COUNTIFS(benchmark_gurobi_vs_cuts_grb_ol!A:A,proc_old!A52,benchmark_gurobi_vs_cuts_grb_ol!C:C,proc_old!B52,benchmark_gurobi_vs_cuts_grb_ol!B:B,proc_old!C52,benchmark_gurobi_vs_cuts_grb_ol!D:D,proc_old!D52))</f>
        <v>20</v>
      </c>
      <c r="L52" s="2">
        <f>AVERAGEIFS(benchmark_gurobi_vs_cuts_grb_ol!H:H,benchmark_gurobi_vs_cuts_grb_ol!A:A,proc_old!A52,benchmark_gurobi_vs_cuts_grb_ol!C:C,proc_old!B52,benchmark_gurobi_vs_cuts_grb_ol!B:B,proc_old!C52,benchmark_gurobi_vs_cuts_grb_ol!D:D,proc_old!D52)</f>
        <v>0.78166680534825639</v>
      </c>
      <c r="N52" s="2">
        <f>AVERAGEIFS(benchmark_gurobi_vs_cuts_grb_ol!V:V,benchmark_gurobi_vs_cuts_grb_ol!A:A,proc_old!A52,benchmark_gurobi_vs_cuts_grb_ol!C:C,proc_old!B52,benchmark_gurobi_vs_cuts_grb_ol!B:B,proc_old!C52,benchmark_gurobi_vs_cuts_grb_ol!D:D,proc_old!D52)</f>
        <v>0.79228386905651493</v>
      </c>
      <c r="O52" s="3">
        <f>AVERAGEIFS(benchmark_gurobi_vs_cuts_grb_ol!X:X,benchmark_gurobi_vs_cuts_grb_ol!A:A,proc_old!A52,benchmark_gurobi_vs_cuts_grb_ol!C:C,proc_old!B52,benchmark_gurobi_vs_cuts_grb_ol!B:B,proc_old!C52,benchmark_gurobi_vs_cuts_grb_ol!D:D,proc_old!D52)</f>
        <v>75660.359035490692</v>
      </c>
      <c r="P52" s="3">
        <f>AVERAGEIFS(benchmark_gurobi_vs_cuts_grb_ol!Y:Y,benchmark_gurobi_vs_cuts_grb_ol!A:A,proc_old!A52,benchmark_gurobi_vs_cuts_grb_ol!C:C,proc_old!B52,benchmark_gurobi_vs_cuts_grb_ol!B:B,proc_old!C52,benchmark_gurobi_vs_cuts_grb_ol!D:D,proc_old!D52)</f>
        <v>414865.46153846156</v>
      </c>
      <c r="Q52" s="2">
        <f>AVERAGEIFS(benchmark_gurobi_vs_cuts_grb_ol!Z:Z,benchmark_gurobi_vs_cuts_grb_ol!A:A,proc_old!A52,benchmark_gurobi_vs_cuts_grb_ol!C:C,proc_old!B52,benchmark_gurobi_vs_cuts_grb_ol!B:B,proc_old!C52,benchmark_gurobi_vs_cuts_grb_ol!D:D,proc_old!D52)</f>
        <v>8.0349960382295194E-2</v>
      </c>
      <c r="R52" s="3">
        <f>AVERAGEIFS(benchmark_gurobi_vs_cuts_grb_ol!AA:AA,benchmark_gurobi_vs_cuts_grb_ol!A:A,proc_old!A52,benchmark_gurobi_vs_cuts_grb_ol!C:C,proc_old!B52,benchmark_gurobi_vs_cuts_grb_ol!B:B,proc_old!C52,benchmark_gurobi_vs_cuts_grb_ol!D:D,proc_old!D52)</f>
        <v>100</v>
      </c>
      <c r="Y52" t="str">
        <f t="shared" si="7"/>
        <v>$10$ &amp; $0.3$ &amp; $20/p$ &amp; $0\%$ &amp; $0$ &amp; $0$ &amp; $0\%$ &amp; $0\%$ &amp; $0$ &amp; $0$ &amp; $0\%$ &amp; $0$ &amp; $79.23\%$ &amp; $75660.36$ &amp; $414865$ &amp; $8.03\%$ &amp; $100$\\</v>
      </c>
    </row>
    <row r="53" spans="1:25" x14ac:dyDescent="0.2">
      <c r="A53" s="4">
        <v>10</v>
      </c>
      <c r="B53" s="4">
        <v>0.4</v>
      </c>
      <c r="C53" s="4">
        <v>2</v>
      </c>
      <c r="D53" s="4">
        <v>20</v>
      </c>
      <c r="E53">
        <f>MIN(20, COUNTIFS(benchmark_gurobi_vs_cuts_grb_ol!A:A,proc_old!A53,benchmark_gurobi_vs_cuts_grb_ol!C:C,proc_old!B53,benchmark_gurobi_vs_cuts_grb_ol!B:B,proc_old!C53,benchmark_gurobi_vs_cuts_grb_ol!D:D,proc_old!D53))</f>
        <v>20</v>
      </c>
      <c r="L53" s="2">
        <f>AVERAGEIFS(benchmark_gurobi_vs_cuts_grb_ol!H:H,benchmark_gurobi_vs_cuts_grb_ol!A:A,proc_old!A53,benchmark_gurobi_vs_cuts_grb_ol!C:C,proc_old!B53,benchmark_gurobi_vs_cuts_grb_ol!B:B,proc_old!C53,benchmark_gurobi_vs_cuts_grb_ol!D:D,proc_old!D53)</f>
        <v>0.52434438993908494</v>
      </c>
      <c r="N53" s="2">
        <f>AVERAGEIFS(benchmark_gurobi_vs_cuts_grb_ol!V:V,benchmark_gurobi_vs_cuts_grb_ol!A:A,proc_old!A53,benchmark_gurobi_vs_cuts_grb_ol!C:C,proc_old!B53,benchmark_gurobi_vs_cuts_grb_ol!B:B,proc_old!C53,benchmark_gurobi_vs_cuts_grb_ol!D:D,proc_old!D53)</f>
        <v>0.53897923020466165</v>
      </c>
      <c r="O53" s="3">
        <f>AVERAGEIFS(benchmark_gurobi_vs_cuts_grb_ol!X:X,benchmark_gurobi_vs_cuts_grb_ol!A:A,proc_old!A53,benchmark_gurobi_vs_cuts_grb_ol!C:C,proc_old!B53,benchmark_gurobi_vs_cuts_grb_ol!B:B,proc_old!C53,benchmark_gurobi_vs_cuts_grb_ol!D:D,proc_old!D53)</f>
        <v>75636.974450998125</v>
      </c>
      <c r="P53" s="3">
        <f>AVERAGEIFS(benchmark_gurobi_vs_cuts_grb_ol!Y:Y,benchmark_gurobi_vs_cuts_grb_ol!A:A,proc_old!A53,benchmark_gurobi_vs_cuts_grb_ol!C:C,proc_old!B53,benchmark_gurobi_vs_cuts_grb_ol!B:B,proc_old!C53,benchmark_gurobi_vs_cuts_grb_ol!D:D,proc_old!D53)</f>
        <v>448402.2</v>
      </c>
      <c r="Q53" s="2">
        <f>AVERAGEIFS(benchmark_gurobi_vs_cuts_grb_ol!Z:Z,benchmark_gurobi_vs_cuts_grb_ol!A:A,proc_old!A53,benchmark_gurobi_vs_cuts_grb_ol!C:C,proc_old!B53,benchmark_gurobi_vs_cuts_grb_ol!B:B,proc_old!C53,benchmark_gurobi_vs_cuts_grb_ol!D:D,proc_old!D53)</f>
        <v>0.2514008347791642</v>
      </c>
      <c r="R53" s="3">
        <f>AVERAGEIFS(benchmark_gurobi_vs_cuts_grb_ol!AA:AA,benchmark_gurobi_vs_cuts_grb_ol!A:A,proc_old!A53,benchmark_gurobi_vs_cuts_grb_ol!C:C,proc_old!B53,benchmark_gurobi_vs_cuts_grb_ol!B:B,proc_old!C53,benchmark_gurobi_vs_cuts_grb_ol!D:D,proc_old!D53)</f>
        <v>100</v>
      </c>
      <c r="Y53" t="str">
        <f t="shared" si="7"/>
        <v>$10$ &amp; $0.4$ &amp; $20/p$ &amp; $0\%$ &amp; $0$ &amp; $0$ &amp; $0\%$ &amp; $0\%$ &amp; $0$ &amp; $0$ &amp; $0\%$ &amp; $0$ &amp; $53.9\%$ &amp; $75636.97$ &amp; $448402$ &amp; $25.14\%$ &amp; $100$\\</v>
      </c>
    </row>
    <row r="54" spans="1:25" x14ac:dyDescent="0.2">
      <c r="A54" s="4"/>
      <c r="B54" s="4"/>
      <c r="C54" s="4"/>
      <c r="D54" s="4"/>
      <c r="L54" s="2"/>
    </row>
    <row r="55" spans="1:25" x14ac:dyDescent="0.2">
      <c r="A55" s="4">
        <v>20</v>
      </c>
      <c r="B55" s="4">
        <v>0.1</v>
      </c>
      <c r="C55" s="4">
        <v>2</v>
      </c>
      <c r="D55" s="4">
        <v>20</v>
      </c>
      <c r="E55">
        <f>MIN(20, COUNTIFS(benchmark_gurobi_vs_cuts_grb_ol!A:A,proc_old!A55,benchmark_gurobi_vs_cuts_grb_ol!C:C,proc_old!B55,benchmark_gurobi_vs_cuts_grb_ol!B:B,proc_old!C55,benchmark_gurobi_vs_cuts_grb_ol!D:D,proc_old!D55))</f>
        <v>20</v>
      </c>
      <c r="L55" s="2">
        <f>AVERAGEIFS(benchmark_gurobi_vs_cuts_grb_ol!H:H,benchmark_gurobi_vs_cuts_grb_ol!A:A,proc_old!A55,benchmark_gurobi_vs_cuts_grb_ol!C:C,proc_old!B55,benchmark_gurobi_vs_cuts_grb_ol!B:B,proc_old!C55,benchmark_gurobi_vs_cuts_grb_ol!D:D,proc_old!D55)</f>
        <v>0.97516770276649622</v>
      </c>
      <c r="N55" s="2">
        <f>AVERAGEIFS(benchmark_gurobi_vs_cuts_grb_ol!V:V,benchmark_gurobi_vs_cuts_grb_ol!A:A,proc_old!A55,benchmark_gurobi_vs_cuts_grb_ol!C:C,proc_old!B55,benchmark_gurobi_vs_cuts_grb_ol!B:B,proc_old!C55,benchmark_gurobi_vs_cuts_grb_ol!D:D,proc_old!D55)</f>
        <v>1.0218467275650875</v>
      </c>
      <c r="O55" s="3">
        <f>AVERAGEIFS(benchmark_gurobi_vs_cuts_grb_ol!X:X,benchmark_gurobi_vs_cuts_grb_ol!A:A,proc_old!A55,benchmark_gurobi_vs_cuts_grb_ol!C:C,proc_old!B55,benchmark_gurobi_vs_cuts_grb_ol!B:B,proc_old!C55,benchmark_gurobi_vs_cuts_grb_ol!D:D,proc_old!D55)</f>
        <v>75381.592797205711</v>
      </c>
      <c r="P55" s="3">
        <f>AVERAGEIFS(benchmark_gurobi_vs_cuts_grb_ol!Y:Y,benchmark_gurobi_vs_cuts_grb_ol!A:A,proc_old!A55,benchmark_gurobi_vs_cuts_grb_ol!C:C,proc_old!B55,benchmark_gurobi_vs_cuts_grb_ol!B:B,proc_old!C55,benchmark_gurobi_vs_cuts_grb_ol!D:D,proc_old!D55)</f>
        <v>129981.47826086957</v>
      </c>
      <c r="Q55" s="2">
        <f>AVERAGEIFS(benchmark_gurobi_vs_cuts_grb_ol!Z:Z,benchmark_gurobi_vs_cuts_grb_ol!A:A,proc_old!A55,benchmark_gurobi_vs_cuts_grb_ol!C:C,proc_old!B55,benchmark_gurobi_vs_cuts_grb_ol!B:B,proc_old!C55,benchmark_gurobi_vs_cuts_grb_ol!D:D,proc_old!D55)</f>
        <v>2.8081642608041309E-2</v>
      </c>
      <c r="R55" s="3">
        <f>AVERAGEIFS(benchmark_gurobi_vs_cuts_grb_ol!AA:AA,benchmark_gurobi_vs_cuts_grb_ol!A:A,proc_old!A55,benchmark_gurobi_vs_cuts_grb_ol!C:C,proc_old!B55,benchmark_gurobi_vs_cuts_grb_ol!B:B,proc_old!C55,benchmark_gurobi_vs_cuts_grb_ol!D:D,proc_old!D55)</f>
        <v>100</v>
      </c>
      <c r="Y55" t="str">
        <f t="shared" ref="Y55:Y58" si="8">CONCATENATE("$", A55, "$ &amp; $", B55, "$ &amp; $", D55, "/p$ &amp; $", 100*ROUND(T55,4), "\%$ &amp; $", ROUND(U55,2), "$ &amp; $", ROUND(V55,0), "$ &amp; $", 100*ROUND(W55,4), "\%$ &amp; $", 100*ROUND(F55,4), "\%$ &amp; $", ROUND(G55,2), "$ &amp; $", ROUND(H55,0), "$ &amp; $", 100*ROUND(I55,4), "\%$ &amp; $", ROUND(J55,1), "$ &amp; $",100*ROUND(N55,4), "\%$ &amp; $", ROUND(O55,2), "$ &amp; $", ROUND(P55,0), "$ &amp; $", 100*ROUND(Q55,4), "\%$ &amp; $", ROUND(R55,1), "$\\")</f>
        <v>$20$ &amp; $0.1$ &amp; $20/p$ &amp; $0\%$ &amp; $0$ &amp; $0$ &amp; $0\%$ &amp; $0\%$ &amp; $0$ &amp; $0$ &amp; $0\%$ &amp; $0$ &amp; $102.18\%$ &amp; $75381.59$ &amp; $129981$ &amp; $2.81\%$ &amp; $100$\\</v>
      </c>
    </row>
    <row r="56" spans="1:25" x14ac:dyDescent="0.2">
      <c r="A56" s="4">
        <v>20</v>
      </c>
      <c r="B56" s="4">
        <v>0.2</v>
      </c>
      <c r="C56" s="4">
        <v>2</v>
      </c>
      <c r="D56" s="4">
        <v>20</v>
      </c>
      <c r="E56">
        <f>MIN(20, COUNTIFS(benchmark_gurobi_vs_cuts_grb_ol!A:A,proc_old!A56,benchmark_gurobi_vs_cuts_grb_ol!C:C,proc_old!B56,benchmark_gurobi_vs_cuts_grb_ol!B:B,proc_old!C56,benchmark_gurobi_vs_cuts_grb_ol!D:D,proc_old!D56))</f>
        <v>20</v>
      </c>
      <c r="L56" s="2">
        <f>AVERAGEIFS(benchmark_gurobi_vs_cuts_grb_ol!H:H,benchmark_gurobi_vs_cuts_grb_ol!A:A,proc_old!A56,benchmark_gurobi_vs_cuts_grb_ol!C:C,proc_old!B56,benchmark_gurobi_vs_cuts_grb_ol!B:B,proc_old!C56,benchmark_gurobi_vs_cuts_grb_ol!D:D,proc_old!D56)</f>
        <v>0.62867523440266027</v>
      </c>
      <c r="N56" s="2">
        <f>AVERAGEIFS(benchmark_gurobi_vs_cuts_grb_ol!V:V,benchmark_gurobi_vs_cuts_grb_ol!A:A,proc_old!A56,benchmark_gurobi_vs_cuts_grb_ol!C:C,proc_old!B56,benchmark_gurobi_vs_cuts_grb_ol!B:B,proc_old!C56,benchmark_gurobi_vs_cuts_grb_ol!D:D,proc_old!D56)</f>
        <v>0.62629006714823043</v>
      </c>
      <c r="O56" s="3">
        <f>AVERAGEIFS(benchmark_gurobi_vs_cuts_grb_ol!X:X,benchmark_gurobi_vs_cuts_grb_ol!A:A,proc_old!A56,benchmark_gurobi_vs_cuts_grb_ol!C:C,proc_old!B56,benchmark_gurobi_vs_cuts_grb_ol!B:B,proc_old!C56,benchmark_gurobi_vs_cuts_grb_ol!D:D,proc_old!D56)</f>
        <v>75751.977245304632</v>
      </c>
      <c r="P56" s="3">
        <f>AVERAGEIFS(benchmark_gurobi_vs_cuts_grb_ol!Y:Y,benchmark_gurobi_vs_cuts_grb_ol!A:A,proc_old!A56,benchmark_gurobi_vs_cuts_grb_ol!C:C,proc_old!B56,benchmark_gurobi_vs_cuts_grb_ol!B:B,proc_old!C56,benchmark_gurobi_vs_cuts_grb_ol!D:D,proc_old!D56)</f>
        <v>57363.148148148146</v>
      </c>
      <c r="Q56" s="2">
        <f>AVERAGEIFS(benchmark_gurobi_vs_cuts_grb_ol!Z:Z,benchmark_gurobi_vs_cuts_grb_ol!A:A,proc_old!A56,benchmark_gurobi_vs_cuts_grb_ol!C:C,proc_old!B56,benchmark_gurobi_vs_cuts_grb_ol!B:B,proc_old!C56,benchmark_gurobi_vs_cuts_grb_ol!D:D,proc_old!D56)</f>
        <v>0.44690141097987068</v>
      </c>
      <c r="R56" s="3">
        <f>AVERAGEIFS(benchmark_gurobi_vs_cuts_grb_ol!AA:AA,benchmark_gurobi_vs_cuts_grb_ol!A:A,proc_old!A56,benchmark_gurobi_vs_cuts_grb_ol!C:C,proc_old!B56,benchmark_gurobi_vs_cuts_grb_ol!B:B,proc_old!C56,benchmark_gurobi_vs_cuts_grb_ol!D:D,proc_old!D56)</f>
        <v>100</v>
      </c>
      <c r="Y56" t="str">
        <f t="shared" si="8"/>
        <v>$20$ &amp; $0.2$ &amp; $20/p$ &amp; $0\%$ &amp; $0$ &amp; $0$ &amp; $0\%$ &amp; $0\%$ &amp; $0$ &amp; $0$ &amp; $0\%$ &amp; $0$ &amp; $62.63\%$ &amp; $75751.98$ &amp; $57363$ &amp; $44.69\%$ &amp; $100$\\</v>
      </c>
    </row>
    <row r="57" spans="1:25" x14ac:dyDescent="0.2">
      <c r="A57" s="4">
        <v>20</v>
      </c>
      <c r="B57" s="4">
        <v>0.3</v>
      </c>
      <c r="C57" s="4">
        <v>2</v>
      </c>
      <c r="D57" s="4">
        <v>20</v>
      </c>
      <c r="E57">
        <f>MIN(20, COUNTIFS(benchmark_gurobi_vs_cuts_grb_ol!A:A,proc_old!A57,benchmark_gurobi_vs_cuts_grb_ol!C:C,proc_old!B57,benchmark_gurobi_vs_cuts_grb_ol!B:B,proc_old!C57,benchmark_gurobi_vs_cuts_grb_ol!D:D,proc_old!D57))</f>
        <v>20</v>
      </c>
      <c r="L57" s="2">
        <f>AVERAGEIFS(benchmark_gurobi_vs_cuts_grb_ol!H:H,benchmark_gurobi_vs_cuts_grb_ol!A:A,proc_old!A57,benchmark_gurobi_vs_cuts_grb_ol!C:C,proc_old!B57,benchmark_gurobi_vs_cuts_grb_ol!B:B,proc_old!C57,benchmark_gurobi_vs_cuts_grb_ol!D:D,proc_old!D57)</f>
        <v>0.26524907599214559</v>
      </c>
      <c r="N57" s="2">
        <f>AVERAGEIFS(benchmark_gurobi_vs_cuts_grb_ol!V:V,benchmark_gurobi_vs_cuts_grb_ol!A:A,proc_old!A57,benchmark_gurobi_vs_cuts_grb_ol!C:C,proc_old!B57,benchmark_gurobi_vs_cuts_grb_ol!B:B,proc_old!C57,benchmark_gurobi_vs_cuts_grb_ol!D:D,proc_old!D57)</f>
        <v>0.24476284493800479</v>
      </c>
      <c r="O57" s="3">
        <f>AVERAGEIFS(benchmark_gurobi_vs_cuts_grb_ol!X:X,benchmark_gurobi_vs_cuts_grb_ol!A:A,proc_old!A57,benchmark_gurobi_vs_cuts_grb_ol!C:C,proc_old!B57,benchmark_gurobi_vs_cuts_grb_ol!B:B,proc_old!C57,benchmark_gurobi_vs_cuts_grb_ol!D:D,proc_old!D57)</f>
        <v>76986.52402945036</v>
      </c>
      <c r="P57" s="3">
        <f>AVERAGEIFS(benchmark_gurobi_vs_cuts_grb_ol!Y:Y,benchmark_gurobi_vs_cuts_grb_ol!A:A,proc_old!A57,benchmark_gurobi_vs_cuts_grb_ol!C:C,proc_old!B57,benchmark_gurobi_vs_cuts_grb_ol!B:B,proc_old!C57,benchmark_gurobi_vs_cuts_grb_ol!D:D,proc_old!D57)</f>
        <v>66788.38461538461</v>
      </c>
      <c r="Q57" s="2">
        <f>AVERAGEIFS(benchmark_gurobi_vs_cuts_grb_ol!Z:Z,benchmark_gurobi_vs_cuts_grb_ol!A:A,proc_old!A57,benchmark_gurobi_vs_cuts_grb_ol!C:C,proc_old!B57,benchmark_gurobi_vs_cuts_grb_ol!B:B,proc_old!C57,benchmark_gurobi_vs_cuts_grb_ol!D:D,proc_old!D57)</f>
        <v>0.96763552068865155</v>
      </c>
      <c r="R57" s="3">
        <f>AVERAGEIFS(benchmark_gurobi_vs_cuts_grb_ol!AA:AA,benchmark_gurobi_vs_cuts_grb_ol!A:A,proc_old!A57,benchmark_gurobi_vs_cuts_grb_ol!C:C,proc_old!B57,benchmark_gurobi_vs_cuts_grb_ol!B:B,proc_old!C57,benchmark_gurobi_vs_cuts_grb_ol!D:D,proc_old!D57)</f>
        <v>100</v>
      </c>
      <c r="Y57" t="str">
        <f t="shared" si="8"/>
        <v>$20$ &amp; $0.3$ &amp; $20/p$ &amp; $0\%$ &amp; $0$ &amp; $0$ &amp; $0\%$ &amp; $0\%$ &amp; $0$ &amp; $0$ &amp; $0\%$ &amp; $0$ &amp; $24.48\%$ &amp; $76986.52$ &amp; $66788$ &amp; $96.76\%$ &amp; $100$\\</v>
      </c>
    </row>
    <row r="58" spans="1:25" x14ac:dyDescent="0.2">
      <c r="A58" s="4">
        <v>20</v>
      </c>
      <c r="B58" s="4">
        <v>0.4</v>
      </c>
      <c r="C58" s="4">
        <v>2</v>
      </c>
      <c r="D58" s="4">
        <v>20</v>
      </c>
      <c r="E58">
        <f>MIN(20, COUNTIFS(benchmark_gurobi_vs_cuts_grb_ol!A:A,proc_old!A58,benchmark_gurobi_vs_cuts_grb_ol!C:C,proc_old!B58,benchmark_gurobi_vs_cuts_grb_ol!B:B,proc_old!C58,benchmark_gurobi_vs_cuts_grb_ol!D:D,proc_old!D58))</f>
        <v>20</v>
      </c>
      <c r="L58" s="2">
        <f>AVERAGEIFS(benchmark_gurobi_vs_cuts_grb_ol!H:H,benchmark_gurobi_vs_cuts_grb_ol!A:A,proc_old!A58,benchmark_gurobi_vs_cuts_grb_ol!C:C,proc_old!B58,benchmark_gurobi_vs_cuts_grb_ol!B:B,proc_old!C58,benchmark_gurobi_vs_cuts_grb_ol!D:D,proc_old!D58)</f>
        <v>0.15356410707949994</v>
      </c>
      <c r="N58" s="2">
        <f>AVERAGEIFS(benchmark_gurobi_vs_cuts_grb_ol!V:V,benchmark_gurobi_vs_cuts_grb_ol!A:A,proc_old!A58,benchmark_gurobi_vs_cuts_grb_ol!C:C,proc_old!B58,benchmark_gurobi_vs_cuts_grb_ol!B:B,proc_old!C58,benchmark_gurobi_vs_cuts_grb_ol!D:D,proc_old!D58)</f>
        <v>0.12849755131624441</v>
      </c>
      <c r="O58" s="3">
        <f>AVERAGEIFS(benchmark_gurobi_vs_cuts_grb_ol!X:X,benchmark_gurobi_vs_cuts_grb_ol!A:A,proc_old!A58,benchmark_gurobi_vs_cuts_grb_ol!C:C,proc_old!B58,benchmark_gurobi_vs_cuts_grb_ol!B:B,proc_old!C58,benchmark_gurobi_vs_cuts_grb_ol!D:D,proc_old!D58)</f>
        <v>76348.552572221335</v>
      </c>
      <c r="P58" s="3">
        <f>AVERAGEIFS(benchmark_gurobi_vs_cuts_grb_ol!Y:Y,benchmark_gurobi_vs_cuts_grb_ol!A:A,proc_old!A58,benchmark_gurobi_vs_cuts_grb_ol!C:C,proc_old!B58,benchmark_gurobi_vs_cuts_grb_ol!B:B,proc_old!C58,benchmark_gurobi_vs_cuts_grb_ol!D:D,proc_old!D58)</f>
        <v>69476.857142857145</v>
      </c>
      <c r="Q58" s="2">
        <f>AVERAGEIFS(benchmark_gurobi_vs_cuts_grb_ol!Z:Z,benchmark_gurobi_vs_cuts_grb_ol!A:A,proc_old!A58,benchmark_gurobi_vs_cuts_grb_ol!C:C,proc_old!B58,benchmark_gurobi_vs_cuts_grb_ol!B:B,proc_old!C58,benchmark_gurobi_vs_cuts_grb_ol!D:D,proc_old!D58)</f>
        <v>1.7676942808824863</v>
      </c>
      <c r="R58" s="3">
        <f>AVERAGEIFS(benchmark_gurobi_vs_cuts_grb_ol!AA:AA,benchmark_gurobi_vs_cuts_grb_ol!A:A,proc_old!A58,benchmark_gurobi_vs_cuts_grb_ol!C:C,proc_old!B58,benchmark_gurobi_vs_cuts_grb_ol!B:B,proc_old!C58,benchmark_gurobi_vs_cuts_grb_ol!D:D,proc_old!D58)</f>
        <v>100</v>
      </c>
      <c r="Y58" t="str">
        <f t="shared" si="8"/>
        <v>$20$ &amp; $0.4$ &amp; $20/p$ &amp; $0\%$ &amp; $0$ &amp; $0$ &amp; $0\%$ &amp; $0\%$ &amp; $0$ &amp; $0$ &amp; $0\%$ &amp; $0$ &amp; $12.85\%$ &amp; $76348.55$ &amp; $69477$ &amp; $176.77\%$ &amp; $100$\\</v>
      </c>
    </row>
    <row r="59" spans="1:25" x14ac:dyDescent="0.2">
      <c r="A59" s="4"/>
      <c r="B59" s="4"/>
      <c r="C59" s="4"/>
      <c r="D59" s="4"/>
      <c r="L59" s="2"/>
    </row>
    <row r="60" spans="1:25" x14ac:dyDescent="0.2">
      <c r="A60" s="4">
        <v>30</v>
      </c>
      <c r="B60" s="4">
        <v>0.1</v>
      </c>
      <c r="C60" s="4">
        <v>2</v>
      </c>
      <c r="D60" s="4">
        <v>20</v>
      </c>
      <c r="E60">
        <f>MIN(20, COUNTIFS(benchmark_gurobi_vs_cuts_grb_ol!A:A,proc_old!A60,benchmark_gurobi_vs_cuts_grb_ol!C:C,proc_old!B60,benchmark_gurobi_vs_cuts_grb_ol!B:B,proc_old!C60,benchmark_gurobi_vs_cuts_grb_ol!D:D,proc_old!D60))</f>
        <v>20</v>
      </c>
      <c r="L60" s="2">
        <f>AVERAGEIFS(benchmark_gurobi_vs_cuts_grb_ol!H:H,benchmark_gurobi_vs_cuts_grb_ol!A:A,proc_old!A60,benchmark_gurobi_vs_cuts_grb_ol!C:C,proc_old!B60,benchmark_gurobi_vs_cuts_grb_ol!B:B,proc_old!C60,benchmark_gurobi_vs_cuts_grb_ol!D:D,proc_old!D60)</f>
        <v>0.86899690234166949</v>
      </c>
      <c r="N60" s="2">
        <f>AVERAGEIFS(benchmark_gurobi_vs_cuts_grb_ol!V:V,benchmark_gurobi_vs_cuts_grb_ol!A:A,proc_old!A60,benchmark_gurobi_vs_cuts_grb_ol!C:C,proc_old!B60,benchmark_gurobi_vs_cuts_grb_ol!B:B,proc_old!C60,benchmark_gurobi_vs_cuts_grb_ol!D:D,proc_old!D60)</f>
        <v>0.87128483841879878</v>
      </c>
      <c r="O60" s="3">
        <f>AVERAGEIFS(benchmark_gurobi_vs_cuts_grb_ol!X:X,benchmark_gurobi_vs_cuts_grb_ol!A:A,proc_old!A60,benchmark_gurobi_vs_cuts_grb_ol!C:C,proc_old!B60,benchmark_gurobi_vs_cuts_grb_ol!B:B,proc_old!C60,benchmark_gurobi_vs_cuts_grb_ol!D:D,proc_old!D60)</f>
        <v>77297.801819086628</v>
      </c>
      <c r="P60" s="3">
        <f>AVERAGEIFS(benchmark_gurobi_vs_cuts_grb_ol!Y:Y,benchmark_gurobi_vs_cuts_grb_ol!A:A,proc_old!A60,benchmark_gurobi_vs_cuts_grb_ol!C:C,proc_old!B60,benchmark_gurobi_vs_cuts_grb_ol!B:B,proc_old!C60,benchmark_gurobi_vs_cuts_grb_ol!D:D,proc_old!D60)</f>
        <v>34966.789473684214</v>
      </c>
      <c r="Q60" s="2">
        <f>AVERAGEIFS(benchmark_gurobi_vs_cuts_grb_ol!Z:Z,benchmark_gurobi_vs_cuts_grb_ol!A:A,proc_old!A60,benchmark_gurobi_vs_cuts_grb_ol!C:C,proc_old!B60,benchmark_gurobi_vs_cuts_grb_ol!B:B,proc_old!C60,benchmark_gurobi_vs_cuts_grb_ol!D:D,proc_old!D60)</f>
        <v>0.2881498570435907</v>
      </c>
      <c r="R60" s="3">
        <f>AVERAGEIFS(benchmark_gurobi_vs_cuts_grb_ol!AA:AA,benchmark_gurobi_vs_cuts_grb_ol!A:A,proc_old!A60,benchmark_gurobi_vs_cuts_grb_ol!C:C,proc_old!B60,benchmark_gurobi_vs_cuts_grb_ol!B:B,proc_old!C60,benchmark_gurobi_vs_cuts_grb_ol!D:D,proc_old!D60)</f>
        <v>100</v>
      </c>
      <c r="Y60" t="str">
        <f t="shared" ref="Y60:Y63" si="9">CONCATENATE("$", A60, "$ &amp; $", B60, "$ &amp; $", D60, "/p$ &amp; $", 100*ROUND(T60,4), "\%$ &amp; $", ROUND(U60,2), "$ &amp; $", ROUND(V60,0), "$ &amp; $", 100*ROUND(W60,4), "\%$ &amp; $", 100*ROUND(F60,4), "\%$ &amp; $", ROUND(G60,2), "$ &amp; $", ROUND(H60,0), "$ &amp; $", 100*ROUND(I60,4), "\%$ &amp; $", ROUND(J60,1), "$ &amp; $",100*ROUND(N60,4), "\%$ &amp; $", ROUND(O60,2), "$ &amp; $", ROUND(P60,0), "$ &amp; $", 100*ROUND(Q60,4), "\%$ &amp; $", ROUND(R60,1), "$\\")</f>
        <v>$30$ &amp; $0.1$ &amp; $20/p$ &amp; $0\%$ &amp; $0$ &amp; $0$ &amp; $0\%$ &amp; $0\%$ &amp; $0$ &amp; $0$ &amp; $0\%$ &amp; $0$ &amp; $87.13\%$ &amp; $77297.8$ &amp; $34967$ &amp; $28.81\%$ &amp; $100$\\</v>
      </c>
    </row>
    <row r="61" spans="1:25" x14ac:dyDescent="0.2">
      <c r="A61" s="4">
        <v>30</v>
      </c>
      <c r="B61" s="4">
        <v>0.2</v>
      </c>
      <c r="C61" s="4">
        <v>2</v>
      </c>
      <c r="D61" s="4">
        <v>20</v>
      </c>
      <c r="E61">
        <f>MIN(20, COUNTIFS(benchmark_gurobi_vs_cuts_grb_ol!A:A,proc_old!A61,benchmark_gurobi_vs_cuts_grb_ol!C:C,proc_old!B61,benchmark_gurobi_vs_cuts_grb_ol!B:B,proc_old!C61,benchmark_gurobi_vs_cuts_grb_ol!D:D,proc_old!D61))</f>
        <v>20</v>
      </c>
      <c r="L61" s="2">
        <f>AVERAGEIFS(benchmark_gurobi_vs_cuts_grb_ol!H:H,benchmark_gurobi_vs_cuts_grb_ol!A:A,proc_old!A61,benchmark_gurobi_vs_cuts_grb_ol!C:C,proc_old!B61,benchmark_gurobi_vs_cuts_grb_ol!B:B,proc_old!C61,benchmark_gurobi_vs_cuts_grb_ol!D:D,proc_old!D61)</f>
        <v>0.30316289452226286</v>
      </c>
      <c r="N61" s="2">
        <f>AVERAGEIFS(benchmark_gurobi_vs_cuts_grb_ol!V:V,benchmark_gurobi_vs_cuts_grb_ol!A:A,proc_old!A61,benchmark_gurobi_vs_cuts_grb_ol!C:C,proc_old!B61,benchmark_gurobi_vs_cuts_grb_ol!B:B,proc_old!C61,benchmark_gurobi_vs_cuts_grb_ol!D:D,proc_old!D61)</f>
        <v>0.28453276073504374</v>
      </c>
      <c r="O61" s="3">
        <f>AVERAGEIFS(benchmark_gurobi_vs_cuts_grb_ol!X:X,benchmark_gurobi_vs_cuts_grb_ol!A:A,proc_old!A61,benchmark_gurobi_vs_cuts_grb_ol!C:C,proc_old!B61,benchmark_gurobi_vs_cuts_grb_ol!B:B,proc_old!C61,benchmark_gurobi_vs_cuts_grb_ol!D:D,proc_old!D61)</f>
        <v>78185.406710205702</v>
      </c>
      <c r="P61" s="3">
        <f>AVERAGEIFS(benchmark_gurobi_vs_cuts_grb_ol!Y:Y,benchmark_gurobi_vs_cuts_grb_ol!A:A,proc_old!A61,benchmark_gurobi_vs_cuts_grb_ol!C:C,proc_old!B61,benchmark_gurobi_vs_cuts_grb_ol!B:B,proc_old!C61,benchmark_gurobi_vs_cuts_grb_ol!D:D,proc_old!D61)</f>
        <v>14918.394736842105</v>
      </c>
      <c r="Q61" s="2">
        <f>AVERAGEIFS(benchmark_gurobi_vs_cuts_grb_ol!Z:Z,benchmark_gurobi_vs_cuts_grb_ol!A:A,proc_old!A61,benchmark_gurobi_vs_cuts_grb_ol!C:C,proc_old!B61,benchmark_gurobi_vs_cuts_grb_ol!B:B,proc_old!C61,benchmark_gurobi_vs_cuts_grb_ol!D:D,proc_old!D61)</f>
        <v>2.7235570090020671</v>
      </c>
      <c r="R61" s="3">
        <f>AVERAGEIFS(benchmark_gurobi_vs_cuts_grb_ol!AA:AA,benchmark_gurobi_vs_cuts_grb_ol!A:A,proc_old!A61,benchmark_gurobi_vs_cuts_grb_ol!C:C,proc_old!B61,benchmark_gurobi_vs_cuts_grb_ol!B:B,proc_old!C61,benchmark_gurobi_vs_cuts_grb_ol!D:D,proc_old!D61)</f>
        <v>100</v>
      </c>
      <c r="Y61" t="str">
        <f t="shared" si="9"/>
        <v>$30$ &amp; $0.2$ &amp; $20/p$ &amp; $0\%$ &amp; $0$ &amp; $0$ &amp; $0\%$ &amp; $0\%$ &amp; $0$ &amp; $0$ &amp; $0\%$ &amp; $0$ &amp; $28.45\%$ &amp; $78185.41$ &amp; $14918$ &amp; $272.36\%$ &amp; $100$\\</v>
      </c>
    </row>
    <row r="62" spans="1:25" x14ac:dyDescent="0.2">
      <c r="A62" s="4">
        <v>30</v>
      </c>
      <c r="B62" s="4">
        <v>0.3</v>
      </c>
      <c r="C62" s="4">
        <v>2</v>
      </c>
      <c r="D62" s="4">
        <v>20</v>
      </c>
      <c r="E62">
        <f>MIN(20, COUNTIFS(benchmark_gurobi_vs_cuts_grb_ol!A:A,proc_old!A62,benchmark_gurobi_vs_cuts_grb_ol!C:C,proc_old!B62,benchmark_gurobi_vs_cuts_grb_ol!B:B,proc_old!C62,benchmark_gurobi_vs_cuts_grb_ol!D:D,proc_old!D62))</f>
        <v>20</v>
      </c>
      <c r="L62" s="2">
        <f>AVERAGEIFS(benchmark_gurobi_vs_cuts_grb_ol!H:H,benchmark_gurobi_vs_cuts_grb_ol!A:A,proc_old!A62,benchmark_gurobi_vs_cuts_grb_ol!C:C,proc_old!B62,benchmark_gurobi_vs_cuts_grb_ol!B:B,proc_old!C62,benchmark_gurobi_vs_cuts_grb_ol!D:D,proc_old!D62)</f>
        <v>0.15575070667682073</v>
      </c>
      <c r="N62" s="2">
        <f>AVERAGEIFS(benchmark_gurobi_vs_cuts_grb_ol!V:V,benchmark_gurobi_vs_cuts_grb_ol!A:A,proc_old!A62,benchmark_gurobi_vs_cuts_grb_ol!C:C,proc_old!B62,benchmark_gurobi_vs_cuts_grb_ol!B:B,proc_old!C62,benchmark_gurobi_vs_cuts_grb_ol!D:D,proc_old!D62)</f>
        <v>0.13335199592415795</v>
      </c>
      <c r="O62" s="3">
        <f>AVERAGEIFS(benchmark_gurobi_vs_cuts_grb_ol!X:X,benchmark_gurobi_vs_cuts_grb_ol!A:A,proc_old!A62,benchmark_gurobi_vs_cuts_grb_ol!C:C,proc_old!B62,benchmark_gurobi_vs_cuts_grb_ol!B:B,proc_old!C62,benchmark_gurobi_vs_cuts_grb_ol!D:D,proc_old!D62)</f>
        <v>77769.9335243268</v>
      </c>
      <c r="P62" s="3">
        <f>AVERAGEIFS(benchmark_gurobi_vs_cuts_grb_ol!Y:Y,benchmark_gurobi_vs_cuts_grb_ol!A:A,proc_old!A62,benchmark_gurobi_vs_cuts_grb_ol!C:C,proc_old!B62,benchmark_gurobi_vs_cuts_grb_ol!B:B,proc_old!C62,benchmark_gurobi_vs_cuts_grb_ol!D:D,proc_old!D62)</f>
        <v>16634.674418604653</v>
      </c>
      <c r="Q62" s="2">
        <f>AVERAGEIFS(benchmark_gurobi_vs_cuts_grb_ol!Z:Z,benchmark_gurobi_vs_cuts_grb_ol!A:A,proc_old!A62,benchmark_gurobi_vs_cuts_grb_ol!C:C,proc_old!B62,benchmark_gurobi_vs_cuts_grb_ol!B:B,proc_old!C62,benchmark_gurobi_vs_cuts_grb_ol!D:D,proc_old!D62)</f>
        <v>4.5717051617835773</v>
      </c>
      <c r="R62" s="3">
        <f>AVERAGEIFS(benchmark_gurobi_vs_cuts_grb_ol!AA:AA,benchmark_gurobi_vs_cuts_grb_ol!A:A,proc_old!A62,benchmark_gurobi_vs_cuts_grb_ol!C:C,proc_old!B62,benchmark_gurobi_vs_cuts_grb_ol!B:B,proc_old!C62,benchmark_gurobi_vs_cuts_grb_ol!D:D,proc_old!D62)</f>
        <v>100</v>
      </c>
      <c r="Y62" t="str">
        <f t="shared" si="9"/>
        <v>$30$ &amp; $0.3$ &amp; $20/p$ &amp; $0\%$ &amp; $0$ &amp; $0$ &amp; $0\%$ &amp; $0\%$ &amp; $0$ &amp; $0$ &amp; $0\%$ &amp; $0$ &amp; $13.34\%$ &amp; $77769.93$ &amp; $16635$ &amp; $457.17\%$ &amp; $100$\\</v>
      </c>
    </row>
    <row r="63" spans="1:25" x14ac:dyDescent="0.2">
      <c r="A63" s="4">
        <v>30</v>
      </c>
      <c r="B63" s="4">
        <v>0.4</v>
      </c>
      <c r="C63" s="4">
        <v>2</v>
      </c>
      <c r="D63" s="4">
        <v>20</v>
      </c>
      <c r="E63">
        <f>MIN(20, COUNTIFS(benchmark_gurobi_vs_cuts_grb_ol!A:A,proc_old!A63,benchmark_gurobi_vs_cuts_grb_ol!C:C,proc_old!B63,benchmark_gurobi_vs_cuts_grb_ol!B:B,proc_old!C63,benchmark_gurobi_vs_cuts_grb_ol!D:D,proc_old!D63))</f>
        <v>20</v>
      </c>
      <c r="L63" s="2">
        <f>AVERAGEIFS(benchmark_gurobi_vs_cuts_grb_ol!H:H,benchmark_gurobi_vs_cuts_grb_ol!A:A,proc_old!A63,benchmark_gurobi_vs_cuts_grb_ol!C:C,proc_old!B63,benchmark_gurobi_vs_cuts_grb_ol!B:B,proc_old!C63,benchmark_gurobi_vs_cuts_grb_ol!D:D,proc_old!D63)</f>
        <v>0.10620965558035803</v>
      </c>
      <c r="N63" s="2">
        <f>AVERAGEIFS(benchmark_gurobi_vs_cuts_grb_ol!V:V,benchmark_gurobi_vs_cuts_grb_ol!A:A,proc_old!A63,benchmark_gurobi_vs_cuts_grb_ol!C:C,proc_old!B63,benchmark_gurobi_vs_cuts_grb_ol!B:B,proc_old!C63,benchmark_gurobi_vs_cuts_grb_ol!D:D,proc_old!D63)</f>
        <v>8.326538860579201E-2</v>
      </c>
      <c r="O63" s="3">
        <f>AVERAGEIFS(benchmark_gurobi_vs_cuts_grb_ol!X:X,benchmark_gurobi_vs_cuts_grb_ol!A:A,proc_old!A63,benchmark_gurobi_vs_cuts_grb_ol!C:C,proc_old!B63,benchmark_gurobi_vs_cuts_grb_ol!B:B,proc_old!C63,benchmark_gurobi_vs_cuts_grb_ol!D:D,proc_old!D63)</f>
        <v>78066.282718971866</v>
      </c>
      <c r="P63" s="3">
        <f>AVERAGEIFS(benchmark_gurobi_vs_cuts_grb_ol!Y:Y,benchmark_gurobi_vs_cuts_grb_ol!A:A,proc_old!A63,benchmark_gurobi_vs_cuts_grb_ol!C:C,proc_old!B63,benchmark_gurobi_vs_cuts_grb_ol!B:B,proc_old!C63,benchmark_gurobi_vs_cuts_grb_ol!D:D,proc_old!D63)</f>
        <v>18213.2</v>
      </c>
      <c r="Q63" s="2">
        <f>AVERAGEIFS(benchmark_gurobi_vs_cuts_grb_ol!Z:Z,benchmark_gurobi_vs_cuts_grb_ol!A:A,proc_old!A63,benchmark_gurobi_vs_cuts_grb_ol!C:C,proc_old!B63,benchmark_gurobi_vs_cuts_grb_ol!B:B,proc_old!C63,benchmark_gurobi_vs_cuts_grb_ol!D:D,proc_old!D63)</f>
        <v>5.8243343025933711</v>
      </c>
      <c r="R63" s="3">
        <f>AVERAGEIFS(benchmark_gurobi_vs_cuts_grb_ol!AA:AA,benchmark_gurobi_vs_cuts_grb_ol!A:A,proc_old!A63,benchmark_gurobi_vs_cuts_grb_ol!C:C,proc_old!B63,benchmark_gurobi_vs_cuts_grb_ol!B:B,proc_old!C63,benchmark_gurobi_vs_cuts_grb_ol!D:D,proc_old!D63)</f>
        <v>100</v>
      </c>
      <c r="Y63" t="str">
        <f t="shared" si="9"/>
        <v>$30$ &amp; $0.4$ &amp; $20/p$ &amp; $0\%$ &amp; $0$ &amp; $0$ &amp; $0\%$ &amp; $0\%$ &amp; $0$ &amp; $0$ &amp; $0\%$ &amp; $0$ &amp; $8.33\%$ &amp; $78066.28$ &amp; $18213$ &amp; $582.43\%$ &amp; $100$\\</v>
      </c>
    </row>
    <row r="64" spans="1:25" x14ac:dyDescent="0.2">
      <c r="L64" s="2"/>
    </row>
    <row r="65" spans="1:25" x14ac:dyDescent="0.2">
      <c r="A65" s="4">
        <v>40</v>
      </c>
      <c r="B65" s="4">
        <v>0.1</v>
      </c>
      <c r="C65" s="4">
        <v>2</v>
      </c>
      <c r="D65" s="4">
        <v>20</v>
      </c>
      <c r="E65">
        <f>MIN(20, COUNTIFS(benchmark_gurobi_vs_cuts_grb_ol!A:A,proc_old!A65,benchmark_gurobi_vs_cuts_grb_ol!C:C,proc_old!B65,benchmark_gurobi_vs_cuts_grb_ol!B:B,proc_old!C65,benchmark_gurobi_vs_cuts_grb_ol!D:D,proc_old!D65))</f>
        <v>18</v>
      </c>
      <c r="L65" s="2">
        <f>AVERAGEIFS(benchmark_gurobi_vs_cuts_grb_ol!H:H,benchmark_gurobi_vs_cuts_grb_ol!A:A,proc_old!A65,benchmark_gurobi_vs_cuts_grb_ol!C:C,proc_old!B65,benchmark_gurobi_vs_cuts_grb_ol!B:B,proc_old!C65,benchmark_gurobi_vs_cuts_grb_ol!D:D,proc_old!D65)</f>
        <v>0.65010090537150012</v>
      </c>
      <c r="N65" s="2">
        <f>AVERAGEIFS(benchmark_gurobi_vs_cuts_grb_ol!V:V,benchmark_gurobi_vs_cuts_grb_ol!A:A,proc_old!A65,benchmark_gurobi_vs_cuts_grb_ol!C:C,proc_old!B65,benchmark_gurobi_vs_cuts_grb_ol!B:B,proc_old!C65,benchmark_gurobi_vs_cuts_grb_ol!D:D,proc_old!D65)</f>
        <v>0.64879771599570346</v>
      </c>
      <c r="O65" s="3">
        <f>AVERAGEIFS(benchmark_gurobi_vs_cuts_grb_ol!X:X,benchmark_gurobi_vs_cuts_grb_ol!A:A,proc_old!A65,benchmark_gurobi_vs_cuts_grb_ol!C:C,proc_old!B65,benchmark_gurobi_vs_cuts_grb_ol!B:B,proc_old!C65,benchmark_gurobi_vs_cuts_grb_ol!D:D,proc_old!D65)</f>
        <v>76392.990356011825</v>
      </c>
      <c r="P65" s="3">
        <f>AVERAGEIFS(benchmark_gurobi_vs_cuts_grb_ol!Y:Y,benchmark_gurobi_vs_cuts_grb_ol!A:A,proc_old!A65,benchmark_gurobi_vs_cuts_grb_ol!C:C,proc_old!B65,benchmark_gurobi_vs_cuts_grb_ol!B:B,proc_old!C65,benchmark_gurobi_vs_cuts_grb_ol!D:D,proc_old!D65)</f>
        <v>9584.1111111111113</v>
      </c>
      <c r="Q65" s="2">
        <f>AVERAGEIFS(benchmark_gurobi_vs_cuts_grb_ol!Z:Z,benchmark_gurobi_vs_cuts_grb_ol!A:A,proc_old!A65,benchmark_gurobi_vs_cuts_grb_ol!C:C,proc_old!B65,benchmark_gurobi_vs_cuts_grb_ol!B:B,proc_old!C65,benchmark_gurobi_vs_cuts_grb_ol!D:D,proc_old!D65)</f>
        <v>1.205513754524449</v>
      </c>
      <c r="R65" s="3">
        <f>AVERAGEIFS(benchmark_gurobi_vs_cuts_grb_ol!AA:AA,benchmark_gurobi_vs_cuts_grb_ol!A:A,proc_old!A65,benchmark_gurobi_vs_cuts_grb_ol!C:C,proc_old!B65,benchmark_gurobi_vs_cuts_grb_ol!B:B,proc_old!C65,benchmark_gurobi_vs_cuts_grb_ol!D:D,proc_old!D65)</f>
        <v>100</v>
      </c>
      <c r="Y65" t="str">
        <f t="shared" ref="Y65:Y68" si="10">CONCATENATE("$", A65, "$ &amp; $", B65, "$ &amp; $", D65, "/p$ &amp; $", 100*ROUND(T65,4), "\%$ &amp; $", ROUND(U65,2), "$ &amp; $", ROUND(V65,0), "$ &amp; $", 100*ROUND(W65,4), "\%$ &amp; $", 100*ROUND(F65,4), "\%$ &amp; $", ROUND(G65,2), "$ &amp; $", ROUND(H65,0), "$ &amp; $", 100*ROUND(I65,4), "\%$ &amp; $", ROUND(J65,1), "$ &amp; $",100*ROUND(N65,4), "\%$ &amp; $", ROUND(O65,2), "$ &amp; $", ROUND(P65,0), "$ &amp; $", 100*ROUND(Q65,4), "\%$ &amp; $", ROUND(R65,1), "$\\")</f>
        <v>$40$ &amp; $0.1$ &amp; $20/p$ &amp; $0\%$ &amp; $0$ &amp; $0$ &amp; $0\%$ &amp; $0\%$ &amp; $0$ &amp; $0$ &amp; $0\%$ &amp; $0$ &amp; $64.88\%$ &amp; $76392.99$ &amp; $9584$ &amp; $120.55\%$ &amp; $100$\\</v>
      </c>
    </row>
    <row r="66" spans="1:25" x14ac:dyDescent="0.2">
      <c r="A66" s="4">
        <v>40</v>
      </c>
      <c r="B66" s="4">
        <v>0.2</v>
      </c>
      <c r="C66" s="4">
        <v>2</v>
      </c>
      <c r="D66" s="4">
        <v>20</v>
      </c>
      <c r="E66">
        <f>MIN(20, COUNTIFS(benchmark_gurobi_vs_cuts_grb_ol!A:A,proc_old!A66,benchmark_gurobi_vs_cuts_grb_ol!C:C,proc_old!B66,benchmark_gurobi_vs_cuts_grb_ol!B:B,proc_old!C66,benchmark_gurobi_vs_cuts_grb_ol!D:D,proc_old!D66))</f>
        <v>18</v>
      </c>
      <c r="L66" s="2">
        <f>AVERAGEIFS(benchmark_gurobi_vs_cuts_grb_ol!H:H,benchmark_gurobi_vs_cuts_grb_ol!A:A,proc_old!A66,benchmark_gurobi_vs_cuts_grb_ol!C:C,proc_old!B66,benchmark_gurobi_vs_cuts_grb_ol!B:B,proc_old!C66,benchmark_gurobi_vs_cuts_grb_ol!D:D,proc_old!D66)</f>
        <v>0.18593423214933397</v>
      </c>
      <c r="N66" s="2">
        <f>AVERAGEIFS(benchmark_gurobi_vs_cuts_grb_ol!V:V,benchmark_gurobi_vs_cuts_grb_ol!A:A,proc_old!A66,benchmark_gurobi_vs_cuts_grb_ol!C:C,proc_old!B66,benchmark_gurobi_vs_cuts_grb_ol!B:B,proc_old!C66,benchmark_gurobi_vs_cuts_grb_ol!D:D,proc_old!D66)</f>
        <v>0.16486598535542171</v>
      </c>
      <c r="O66" s="3">
        <f>AVERAGEIFS(benchmark_gurobi_vs_cuts_grb_ol!X:X,benchmark_gurobi_vs_cuts_grb_ol!A:A,proc_old!A66,benchmark_gurobi_vs_cuts_grb_ol!C:C,proc_old!B66,benchmark_gurobi_vs_cuts_grb_ol!B:B,proc_old!C66,benchmark_gurobi_vs_cuts_grb_ol!D:D,proc_old!D66)</f>
        <v>77256.545587179717</v>
      </c>
      <c r="P66" s="3">
        <f>AVERAGEIFS(benchmark_gurobi_vs_cuts_grb_ol!Y:Y,benchmark_gurobi_vs_cuts_grb_ol!A:A,proc_old!A66,benchmark_gurobi_vs_cuts_grb_ol!C:C,proc_old!B66,benchmark_gurobi_vs_cuts_grb_ol!B:B,proc_old!C66,benchmark_gurobi_vs_cuts_grb_ol!D:D,proc_old!D66)</f>
        <v>3034.1666666666665</v>
      </c>
      <c r="Q66" s="2">
        <f>AVERAGEIFS(benchmark_gurobi_vs_cuts_grb_ol!Z:Z,benchmark_gurobi_vs_cuts_grb_ol!A:A,proc_old!A66,benchmark_gurobi_vs_cuts_grb_ol!C:C,proc_old!B66,benchmark_gurobi_vs_cuts_grb_ol!B:B,proc_old!C66,benchmark_gurobi_vs_cuts_grb_ol!D:D,proc_old!D66)</f>
        <v>3.3333333333333332E+99</v>
      </c>
      <c r="R66" s="3">
        <f>AVERAGEIFS(benchmark_gurobi_vs_cuts_grb_ol!AA:AA,benchmark_gurobi_vs_cuts_grb_ol!A:A,proc_old!A66,benchmark_gurobi_vs_cuts_grb_ol!C:C,proc_old!B66,benchmark_gurobi_vs_cuts_grb_ol!B:B,proc_old!C66,benchmark_gurobi_vs_cuts_grb_ol!D:D,proc_old!D66)</f>
        <v>100</v>
      </c>
      <c r="Y66" t="str">
        <f t="shared" si="10"/>
        <v>$40$ &amp; $0.2$ &amp; $20/p$ &amp; $0\%$ &amp; $0$ &amp; $0$ &amp; $0\%$ &amp; $0\%$ &amp; $0$ &amp; $0$ &amp; $0\%$ &amp; $0$ &amp; $16.49\%$ &amp; $77256.55$ &amp; $3034$ &amp; $3.3333333333333E+101\%$ &amp; $100$\\</v>
      </c>
    </row>
    <row r="67" spans="1:25" x14ac:dyDescent="0.2">
      <c r="A67" s="4">
        <v>40</v>
      </c>
      <c r="B67" s="4">
        <v>0.3</v>
      </c>
      <c r="C67" s="4">
        <v>2</v>
      </c>
      <c r="D67" s="4">
        <v>20</v>
      </c>
      <c r="E67">
        <f>MIN(20, COUNTIFS(benchmark_gurobi_vs_cuts_grb_ol!A:A,proc_old!A67,benchmark_gurobi_vs_cuts_grb_ol!C:C,proc_old!B67,benchmark_gurobi_vs_cuts_grb_ol!B:B,proc_old!C67,benchmark_gurobi_vs_cuts_grb_ol!D:D,proc_old!D67))</f>
        <v>18</v>
      </c>
      <c r="L67" s="2">
        <f>AVERAGEIFS(benchmark_gurobi_vs_cuts_grb_ol!H:H,benchmark_gurobi_vs_cuts_grb_ol!A:A,proc_old!A67,benchmark_gurobi_vs_cuts_grb_ol!C:C,proc_old!B67,benchmark_gurobi_vs_cuts_grb_ol!B:B,proc_old!C67,benchmark_gurobi_vs_cuts_grb_ol!D:D,proc_old!D67)</f>
        <v>0.10771256920670412</v>
      </c>
      <c r="N67" s="2">
        <f>AVERAGEIFS(benchmark_gurobi_vs_cuts_grb_ol!V:V,benchmark_gurobi_vs_cuts_grb_ol!A:A,proc_old!A67,benchmark_gurobi_vs_cuts_grb_ol!C:C,proc_old!B67,benchmark_gurobi_vs_cuts_grb_ol!B:B,proc_old!C67,benchmark_gurobi_vs_cuts_grb_ol!D:D,proc_old!D67)</f>
        <v>8.4150502090592938E-2</v>
      </c>
      <c r="O67" s="3">
        <f>AVERAGEIFS(benchmark_gurobi_vs_cuts_grb_ol!X:X,benchmark_gurobi_vs_cuts_grb_ol!A:A,proc_old!A67,benchmark_gurobi_vs_cuts_grb_ol!C:C,proc_old!B67,benchmark_gurobi_vs_cuts_grb_ol!B:B,proc_old!C67,benchmark_gurobi_vs_cuts_grb_ol!D:D,proc_old!D67)</f>
        <v>76941.378828428555</v>
      </c>
      <c r="P67" s="3">
        <f>AVERAGEIFS(benchmark_gurobi_vs_cuts_grb_ol!Y:Y,benchmark_gurobi_vs_cuts_grb_ol!A:A,proc_old!A67,benchmark_gurobi_vs_cuts_grb_ol!C:C,proc_old!B67,benchmark_gurobi_vs_cuts_grb_ol!B:B,proc_old!C67,benchmark_gurobi_vs_cuts_grb_ol!D:D,proc_old!D67)</f>
        <v>4481.166666666667</v>
      </c>
      <c r="Q67" s="2">
        <f>AVERAGEIFS(benchmark_gurobi_vs_cuts_grb_ol!Z:Z,benchmark_gurobi_vs_cuts_grb_ol!A:A,proc_old!A67,benchmark_gurobi_vs_cuts_grb_ol!C:C,proc_old!B67,benchmark_gurobi_vs_cuts_grb_ol!B:B,proc_old!C67,benchmark_gurobi_vs_cuts_grb_ol!D:D,proc_old!D67)</f>
        <v>3.3333333333333332E+99</v>
      </c>
      <c r="R67" s="3">
        <f>AVERAGEIFS(benchmark_gurobi_vs_cuts_grb_ol!AA:AA,benchmark_gurobi_vs_cuts_grb_ol!A:A,proc_old!A67,benchmark_gurobi_vs_cuts_grb_ol!C:C,proc_old!B67,benchmark_gurobi_vs_cuts_grb_ol!B:B,proc_old!C67,benchmark_gurobi_vs_cuts_grb_ol!D:D,proc_old!D67)</f>
        <v>100</v>
      </c>
      <c r="Y67" t="str">
        <f t="shared" si="10"/>
        <v>$40$ &amp; $0.3$ &amp; $20/p$ &amp; $0\%$ &amp; $0$ &amp; $0$ &amp; $0\%$ &amp; $0\%$ &amp; $0$ &amp; $0$ &amp; $0\%$ &amp; $0$ &amp; $8.42\%$ &amp; $76941.38$ &amp; $4481$ &amp; $3.3333333333333E+101\%$ &amp; $100$\\</v>
      </c>
    </row>
    <row r="68" spans="1:25" x14ac:dyDescent="0.2">
      <c r="A68" s="4">
        <v>40</v>
      </c>
      <c r="B68" s="4">
        <v>0.4</v>
      </c>
      <c r="C68" s="4">
        <v>2</v>
      </c>
      <c r="D68" s="4">
        <v>20</v>
      </c>
      <c r="E68">
        <f>MIN(20, COUNTIFS(benchmark_gurobi_vs_cuts_grb_ol!A:A,proc_old!A68,benchmark_gurobi_vs_cuts_grb_ol!C:C,proc_old!B68,benchmark_gurobi_vs_cuts_grb_ol!B:B,proc_old!C68,benchmark_gurobi_vs_cuts_grb_ol!D:D,proc_old!D68))</f>
        <v>16</v>
      </c>
      <c r="L68" s="2">
        <f>AVERAGEIFS(benchmark_gurobi_vs_cuts_grb_ol!H:H,benchmark_gurobi_vs_cuts_grb_ol!A:A,proc_old!A68,benchmark_gurobi_vs_cuts_grb_ol!C:C,proc_old!B68,benchmark_gurobi_vs_cuts_grb_ol!B:B,proc_old!C68,benchmark_gurobi_vs_cuts_grb_ol!D:D,proc_old!D68)</f>
        <v>7.9545685065247645E-2</v>
      </c>
      <c r="N68" s="2">
        <f>AVERAGEIFS(benchmark_gurobi_vs_cuts_grb_ol!V:V,benchmark_gurobi_vs_cuts_grb_ol!A:A,proc_old!A68,benchmark_gurobi_vs_cuts_grb_ol!C:C,proc_old!B68,benchmark_gurobi_vs_cuts_grb_ol!B:B,proc_old!C68,benchmark_gurobi_vs_cuts_grb_ol!D:D,proc_old!D68)</f>
        <v>5.6051037984116071E-2</v>
      </c>
      <c r="O68" s="3">
        <f>AVERAGEIFS(benchmark_gurobi_vs_cuts_grb_ol!X:X,benchmark_gurobi_vs_cuts_grb_ol!A:A,proc_old!A68,benchmark_gurobi_vs_cuts_grb_ol!C:C,proc_old!B68,benchmark_gurobi_vs_cuts_grb_ol!B:B,proc_old!C68,benchmark_gurobi_vs_cuts_grb_ol!D:D,proc_old!D68)</f>
        <v>76439.082057483116</v>
      </c>
      <c r="P68" s="3">
        <f>AVERAGEIFS(benchmark_gurobi_vs_cuts_grb_ol!Y:Y,benchmark_gurobi_vs_cuts_grb_ol!A:A,proc_old!A68,benchmark_gurobi_vs_cuts_grb_ol!C:C,proc_old!B68,benchmark_gurobi_vs_cuts_grb_ol!B:B,proc_old!C68,benchmark_gurobi_vs_cuts_grb_ol!D:D,proc_old!D68)</f>
        <v>11232.0625</v>
      </c>
      <c r="Q68" s="2">
        <f>AVERAGEIFS(benchmark_gurobi_vs_cuts_grb_ol!Z:Z,benchmark_gurobi_vs_cuts_grb_ol!A:A,proc_old!A68,benchmark_gurobi_vs_cuts_grb_ol!C:C,proc_old!B68,benchmark_gurobi_vs_cuts_grb_ol!B:B,proc_old!C68,benchmark_gurobi_vs_cuts_grb_ol!D:D,proc_old!D68)</f>
        <v>6.2500000000000001E+98</v>
      </c>
      <c r="R68" s="3">
        <f>AVERAGEIFS(benchmark_gurobi_vs_cuts_grb_ol!AA:AA,benchmark_gurobi_vs_cuts_grb_ol!A:A,proc_old!A68,benchmark_gurobi_vs_cuts_grb_ol!C:C,proc_old!B68,benchmark_gurobi_vs_cuts_grb_ol!B:B,proc_old!C68,benchmark_gurobi_vs_cuts_grb_ol!D:D,proc_old!D68)</f>
        <v>100</v>
      </c>
      <c r="Y68" t="str">
        <f t="shared" si="10"/>
        <v>$40$ &amp; $0.4$ &amp; $20/p$ &amp; $0\%$ &amp; $0$ &amp; $0$ &amp; $0\%$ &amp; $0\%$ &amp; $0$ &amp; $0$ &amp; $0\%$ &amp; $0$ &amp; $5.61\%$ &amp; $76439.08$ &amp; $11232$ &amp; $6.25E+100\%$ &amp; $100$\\</v>
      </c>
    </row>
    <row r="69" spans="1:25" x14ac:dyDescent="0.2">
      <c r="L69" s="2"/>
    </row>
    <row r="70" spans="1:25" x14ac:dyDescent="0.2">
      <c r="A70" s="4">
        <v>10</v>
      </c>
      <c r="B70" s="4">
        <v>0.1</v>
      </c>
      <c r="C70" s="4">
        <v>2</v>
      </c>
      <c r="D70" s="4">
        <v>100</v>
      </c>
      <c r="E70">
        <f>MIN(20, COUNTIFS(benchmark_gurobi_vs_cuts_grb_ol!A:A,proc_old!A70,benchmark_gurobi_vs_cuts_grb_ol!C:C,proc_old!B70,benchmark_gurobi_vs_cuts_grb_ol!B:B,proc_old!C70,benchmark_gurobi_vs_cuts_grb_ol!D:D,proc_old!D70))</f>
        <v>20</v>
      </c>
      <c r="L70" s="2">
        <f>AVERAGEIFS(benchmark_gurobi_vs_cuts_grb_ol!H:H,benchmark_gurobi_vs_cuts_grb_ol!A:A,proc_old!A70,benchmark_gurobi_vs_cuts_grb_ol!C:C,proc_old!B70,benchmark_gurobi_vs_cuts_grb_ol!B:B,proc_old!C70,benchmark_gurobi_vs_cuts_grb_ol!D:D,proc_old!D70)</f>
        <v>0.97535410916681708</v>
      </c>
      <c r="N70" s="2">
        <f>AVERAGEIFS(benchmark_gurobi_vs_cuts_grb_ol!V:V,benchmark_gurobi_vs_cuts_grb_ol!A:A,proc_old!A70,benchmark_gurobi_vs_cuts_grb_ol!C:C,proc_old!B70,benchmark_gurobi_vs_cuts_grb_ol!B:B,proc_old!C70,benchmark_gurobi_vs_cuts_grb_ol!D:D,proc_old!D70)</f>
        <v>0.97365142231690693</v>
      </c>
      <c r="O70" s="3">
        <f>AVERAGEIFS(benchmark_gurobi_vs_cuts_grb_ol!X:X,benchmark_gurobi_vs_cuts_grb_ol!A:A,proc_old!A70,benchmark_gurobi_vs_cuts_grb_ol!C:C,proc_old!B70,benchmark_gurobi_vs_cuts_grb_ol!B:B,proc_old!C70,benchmark_gurobi_vs_cuts_grb_ol!D:D,proc_old!D70)</f>
        <v>778.21366303303728</v>
      </c>
      <c r="P70" s="3">
        <f>AVERAGEIFS(benchmark_gurobi_vs_cuts_grb_ol!Y:Y,benchmark_gurobi_vs_cuts_grb_ol!A:A,proc_old!A70,benchmark_gurobi_vs_cuts_grb_ol!C:C,proc_old!B70,benchmark_gurobi_vs_cuts_grb_ol!B:B,proc_old!C70,benchmark_gurobi_vs_cuts_grb_ol!D:D,proc_old!D70)</f>
        <v>29435.240740740741</v>
      </c>
      <c r="Q70" s="2">
        <f>AVERAGEIFS(benchmark_gurobi_vs_cuts_grb_ol!Z:Z,benchmark_gurobi_vs_cuts_grb_ol!A:A,proc_old!A70,benchmark_gurobi_vs_cuts_grb_ol!C:C,proc_old!B70,benchmark_gurobi_vs_cuts_grb_ol!B:B,proc_old!C70,benchmark_gurobi_vs_cuts_grb_ol!D:D,proc_old!D70)</f>
        <v>4.6739745195377165E-4</v>
      </c>
      <c r="R70" s="3">
        <f>AVERAGEIFS(benchmark_gurobi_vs_cuts_grb_ol!AA:AA,benchmark_gurobi_vs_cuts_grb_ol!A:A,proc_old!A70,benchmark_gurobi_vs_cuts_grb_ol!C:C,proc_old!B70,benchmark_gurobi_vs_cuts_grb_ol!B:B,proc_old!C70,benchmark_gurobi_vs_cuts_grb_ol!D:D,proc_old!D70)</f>
        <v>1.8518518518518519</v>
      </c>
      <c r="Y70" t="str">
        <f>CONCATENATE("$", A70, "$ &amp; $", B70, "$ &amp; $", D70, "/p$ &amp; $", 100*ROUND(T70,4), "\%$ &amp; $", ROUND(U70,2), "$ &amp; $", ROUND(V70,0), "$ &amp; $", 100*ROUND(W70,4), "\%$ &amp; $", 100*ROUND(F70,4), "\%$ &amp; $", ROUND(G70,2), "$ &amp; $", ROUND(H70,0), "$ &amp; $", 100*ROUND(I70,4), "\%$ &amp; $", ROUND(J70,1), "$ &amp; $",100*ROUND(N70,4), "\%$ &amp; $", ROUND(O70,2), "$ &amp; $", ROUND(P70,0), "$ &amp; $", 100*ROUND(Q70,4), "\%$ &amp; $", ROUND(R70,1), "$\\")</f>
        <v>$10$ &amp; $0.1$ &amp; $100/p$ &amp; $0\%$ &amp; $0$ &amp; $0$ &amp; $0\%$ &amp; $0\%$ &amp; $0$ &amp; $0$ &amp; $0\%$ &amp; $0$ &amp; $97.37\%$ &amp; $778.21$ &amp; $29435$ &amp; $0.05\%$ &amp; $1.9$\\</v>
      </c>
    </row>
    <row r="71" spans="1:25" x14ac:dyDescent="0.2">
      <c r="A71" s="4">
        <v>10</v>
      </c>
      <c r="B71" s="4">
        <v>0.2</v>
      </c>
      <c r="C71" s="4">
        <v>2</v>
      </c>
      <c r="D71" s="4">
        <v>100</v>
      </c>
      <c r="E71">
        <f>MIN(20, COUNTIFS(benchmark_gurobi_vs_cuts_grb_ol!A:A,proc_old!A71,benchmark_gurobi_vs_cuts_grb_ol!C:C,proc_old!B71,benchmark_gurobi_vs_cuts_grb_ol!B:B,proc_old!C71,benchmark_gurobi_vs_cuts_grb_ol!D:D,proc_old!D71))</f>
        <v>20</v>
      </c>
      <c r="L71" s="2">
        <f>AVERAGEIFS(benchmark_gurobi_vs_cuts_grb_ol!H:H,benchmark_gurobi_vs_cuts_grb_ol!A:A,proc_old!A71,benchmark_gurobi_vs_cuts_grb_ol!C:C,proc_old!B71,benchmark_gurobi_vs_cuts_grb_ol!B:B,proc_old!C71,benchmark_gurobi_vs_cuts_grb_ol!D:D,proc_old!D71)</f>
        <v>0.91225859534521647</v>
      </c>
      <c r="N71" s="2">
        <f>AVERAGEIFS(benchmark_gurobi_vs_cuts_grb_ol!V:V,benchmark_gurobi_vs_cuts_grb_ol!A:A,proc_old!A71,benchmark_gurobi_vs_cuts_grb_ol!C:C,proc_old!B71,benchmark_gurobi_vs_cuts_grb_ol!B:B,proc_old!C71,benchmark_gurobi_vs_cuts_grb_ol!D:D,proc_old!D71)</f>
        <v>0.8923411886366982</v>
      </c>
      <c r="O71" s="3">
        <f>AVERAGEIFS(benchmark_gurobi_vs_cuts_grb_ol!X:X,benchmark_gurobi_vs_cuts_grb_ol!A:A,proc_old!A71,benchmark_gurobi_vs_cuts_grb_ol!C:C,proc_old!B71,benchmark_gurobi_vs_cuts_grb_ol!B:B,proc_old!C71,benchmark_gurobi_vs_cuts_grb_ol!D:D,proc_old!D71)</f>
        <v>23444.722198940399</v>
      </c>
      <c r="P71" s="3">
        <f>AVERAGEIFS(benchmark_gurobi_vs_cuts_grb_ol!Y:Y,benchmark_gurobi_vs_cuts_grb_ol!A:A,proc_old!A71,benchmark_gurobi_vs_cuts_grb_ol!C:C,proc_old!B71,benchmark_gurobi_vs_cuts_grb_ol!B:B,proc_old!C71,benchmark_gurobi_vs_cuts_grb_ol!D:D,proc_old!D71)</f>
        <v>156547.80952380953</v>
      </c>
      <c r="Q71" s="2">
        <f>AVERAGEIFS(benchmark_gurobi_vs_cuts_grb_ol!Z:Z,benchmark_gurobi_vs_cuts_grb_ol!A:A,proc_old!A71,benchmark_gurobi_vs_cuts_grb_ol!C:C,proc_old!B71,benchmark_gurobi_vs_cuts_grb_ol!B:B,proc_old!C71,benchmark_gurobi_vs_cuts_grb_ol!D:D,proc_old!D71)</f>
        <v>4.2183303447646363E-3</v>
      </c>
      <c r="R71" s="3">
        <f>AVERAGEIFS(benchmark_gurobi_vs_cuts_grb_ol!AA:AA,benchmark_gurobi_vs_cuts_grb_ol!A:A,proc_old!A71,benchmark_gurobi_vs_cuts_grb_ol!C:C,proc_old!B71,benchmark_gurobi_vs_cuts_grb_ol!B:B,proc_old!C71,benchmark_gurobi_vs_cuts_grb_ol!D:D,proc_old!D71)</f>
        <v>33.571428571428569</v>
      </c>
      <c r="Y71" t="str">
        <f t="shared" ref="Y71:Y88" si="11">CONCATENATE("$", A71, "$ &amp; $", B71, "$ &amp; $", D71, "/p$ &amp; $", 100*ROUND(T71,4), "\%$ &amp; $", ROUND(U71,2), "$ &amp; $", ROUND(V71,0), "$ &amp; $", 100*ROUND(W71,4), "\%$ &amp; $", 100*ROUND(F71,4), "\%$ &amp; $", ROUND(G71,2), "$ &amp; $", ROUND(H71,0), "$ &amp; $", 100*ROUND(I71,4), "\%$ &amp; $", ROUND(J71,1), "$ &amp; $",100*ROUND(N71,4), "\%$ &amp; $", ROUND(O71,2), "$ &amp; $", ROUND(P71,0), "$ &amp; $", 100*ROUND(Q71,4), "\%$ &amp; $", ROUND(R71,1), "$\\")</f>
        <v>$10$ &amp; $0.2$ &amp; $100/p$ &amp; $0\%$ &amp; $0$ &amp; $0$ &amp; $0\%$ &amp; $0\%$ &amp; $0$ &amp; $0$ &amp; $0\%$ &amp; $0$ &amp; $89.23\%$ &amp; $23444.72$ &amp; $156548$ &amp; $0.42\%$ &amp; $33.6$\\</v>
      </c>
    </row>
    <row r="72" spans="1:25" x14ac:dyDescent="0.2">
      <c r="A72" s="4">
        <v>10</v>
      </c>
      <c r="B72" s="4">
        <v>0.3</v>
      </c>
      <c r="C72" s="4">
        <v>2</v>
      </c>
      <c r="D72" s="4">
        <v>100</v>
      </c>
      <c r="E72">
        <f>MIN(20, COUNTIFS(benchmark_gurobi_vs_cuts_grb_ol!A:A,proc_old!A72,benchmark_gurobi_vs_cuts_grb_ol!C:C,proc_old!B72,benchmark_gurobi_vs_cuts_grb_ol!B:B,proc_old!C72,benchmark_gurobi_vs_cuts_grb_ol!D:D,proc_old!D72))</f>
        <v>20</v>
      </c>
      <c r="L72" s="2">
        <f>AVERAGEIFS(benchmark_gurobi_vs_cuts_grb_ol!H:H,benchmark_gurobi_vs_cuts_grb_ol!A:A,proc_old!A72,benchmark_gurobi_vs_cuts_grb_ol!C:C,proc_old!B72,benchmark_gurobi_vs_cuts_grb_ol!B:B,proc_old!C72,benchmark_gurobi_vs_cuts_grb_ol!D:D,proc_old!D72)</f>
        <v>0.72987100226664892</v>
      </c>
      <c r="N72" s="2">
        <f>AVERAGEIFS(benchmark_gurobi_vs_cuts_grb_ol!V:V,benchmark_gurobi_vs_cuts_grb_ol!A:A,proc_old!A72,benchmark_gurobi_vs_cuts_grb_ol!C:C,proc_old!B72,benchmark_gurobi_vs_cuts_grb_ol!B:B,proc_old!C72,benchmark_gurobi_vs_cuts_grb_ol!D:D,proc_old!D72)</f>
        <v>0.73826360757430531</v>
      </c>
      <c r="O72" s="3">
        <f>AVERAGEIFS(benchmark_gurobi_vs_cuts_grb_ol!X:X,benchmark_gurobi_vs_cuts_grb_ol!A:A,proc_old!A72,benchmark_gurobi_vs_cuts_grb_ol!C:C,proc_old!B72,benchmark_gurobi_vs_cuts_grb_ol!B:B,proc_old!C72,benchmark_gurobi_vs_cuts_grb_ol!D:D,proc_old!D72)</f>
        <v>72196.081175710802</v>
      </c>
      <c r="P72" s="3">
        <f>AVERAGEIFS(benchmark_gurobi_vs_cuts_grb_ol!Y:Y,benchmark_gurobi_vs_cuts_grb_ol!A:A,proc_old!A72,benchmark_gurobi_vs_cuts_grb_ol!C:C,proc_old!B72,benchmark_gurobi_vs_cuts_grb_ol!B:B,proc_old!C72,benchmark_gurobi_vs_cuts_grb_ol!D:D,proc_old!D72)</f>
        <v>388414.33333333331</v>
      </c>
      <c r="Q72" s="2">
        <f>AVERAGEIFS(benchmark_gurobi_vs_cuts_grb_ol!Z:Z,benchmark_gurobi_vs_cuts_grb_ol!A:A,proc_old!A72,benchmark_gurobi_vs_cuts_grb_ol!C:C,proc_old!B72,benchmark_gurobi_vs_cuts_grb_ol!B:B,proc_old!C72,benchmark_gurobi_vs_cuts_grb_ol!D:D,proc_old!D72)</f>
        <v>1.8723352517297159E-2</v>
      </c>
      <c r="R72" s="3">
        <f>AVERAGEIFS(benchmark_gurobi_vs_cuts_grb_ol!AA:AA,benchmark_gurobi_vs_cuts_grb_ol!A:A,proc_old!A72,benchmark_gurobi_vs_cuts_grb_ol!C:C,proc_old!B72,benchmark_gurobi_vs_cuts_grb_ol!B:B,proc_old!C72,benchmark_gurobi_vs_cuts_grb_ol!D:D,proc_old!D72)</f>
        <v>96</v>
      </c>
      <c r="Y72" t="str">
        <f t="shared" si="11"/>
        <v>$10$ &amp; $0.3$ &amp; $100/p$ &amp; $0\%$ &amp; $0$ &amp; $0$ &amp; $0\%$ &amp; $0\%$ &amp; $0$ &amp; $0$ &amp; $0\%$ &amp; $0$ &amp; $73.83\%$ &amp; $72196.08$ &amp; $388414$ &amp; $1.87\%$ &amp; $96$\\</v>
      </c>
    </row>
    <row r="73" spans="1:25" x14ac:dyDescent="0.2">
      <c r="A73" s="4">
        <v>10</v>
      </c>
      <c r="B73" s="4">
        <v>0.4</v>
      </c>
      <c r="C73" s="4">
        <v>2</v>
      </c>
      <c r="D73" s="4">
        <v>100</v>
      </c>
      <c r="E73">
        <f>MIN(20, COUNTIFS(benchmark_gurobi_vs_cuts_grb_ol!A:A,proc_old!A73,benchmark_gurobi_vs_cuts_grb_ol!C:C,proc_old!B73,benchmark_gurobi_vs_cuts_grb_ol!B:B,proc_old!C73,benchmark_gurobi_vs_cuts_grb_ol!D:D,proc_old!D73))</f>
        <v>20</v>
      </c>
      <c r="L73" s="2">
        <f>AVERAGEIFS(benchmark_gurobi_vs_cuts_grb_ol!H:H,benchmark_gurobi_vs_cuts_grb_ol!A:A,proc_old!A73,benchmark_gurobi_vs_cuts_grb_ol!C:C,proc_old!B73,benchmark_gurobi_vs_cuts_grb_ol!B:B,proc_old!C73,benchmark_gurobi_vs_cuts_grb_ol!D:D,proc_old!D73)</f>
        <v>0.40032621725386819</v>
      </c>
      <c r="N73" s="2">
        <f>AVERAGEIFS(benchmark_gurobi_vs_cuts_grb_ol!V:V,benchmark_gurobi_vs_cuts_grb_ol!A:A,proc_old!A73,benchmark_gurobi_vs_cuts_grb_ol!C:C,proc_old!B73,benchmark_gurobi_vs_cuts_grb_ol!B:B,proc_old!C73,benchmark_gurobi_vs_cuts_grb_ol!D:D,proc_old!D73)</f>
        <v>0.52207652882103928</v>
      </c>
      <c r="O73" s="3">
        <f>AVERAGEIFS(benchmark_gurobi_vs_cuts_grb_ol!X:X,benchmark_gurobi_vs_cuts_grb_ol!A:A,proc_old!A73,benchmark_gurobi_vs_cuts_grb_ol!C:C,proc_old!B73,benchmark_gurobi_vs_cuts_grb_ol!B:B,proc_old!C73,benchmark_gurobi_vs_cuts_grb_ol!D:D,proc_old!D73)</f>
        <v>75394.907444904151</v>
      </c>
      <c r="P73" s="3">
        <f>AVERAGEIFS(benchmark_gurobi_vs_cuts_grb_ol!Y:Y,benchmark_gurobi_vs_cuts_grb_ol!A:A,proc_old!A73,benchmark_gurobi_vs_cuts_grb_ol!C:C,proc_old!B73,benchmark_gurobi_vs_cuts_grb_ol!B:B,proc_old!C73,benchmark_gurobi_vs_cuts_grb_ol!D:D,proc_old!D73)</f>
        <v>460522.20833333331</v>
      </c>
      <c r="Q73" s="2">
        <f>AVERAGEIFS(benchmark_gurobi_vs_cuts_grb_ol!Z:Z,benchmark_gurobi_vs_cuts_grb_ol!A:A,proc_old!A73,benchmark_gurobi_vs_cuts_grb_ol!C:C,proc_old!B73,benchmark_gurobi_vs_cuts_grb_ol!B:B,proc_old!C73,benchmark_gurobi_vs_cuts_grb_ol!D:D,proc_old!D73)</f>
        <v>3.0767288410780472E-2</v>
      </c>
      <c r="R73" s="3">
        <f>AVERAGEIFS(benchmark_gurobi_vs_cuts_grb_ol!AA:AA,benchmark_gurobi_vs_cuts_grb_ol!A:A,proc_old!A73,benchmark_gurobi_vs_cuts_grb_ol!C:C,proc_old!B73,benchmark_gurobi_vs_cuts_grb_ol!B:B,proc_old!C73,benchmark_gurobi_vs_cuts_grb_ol!D:D,proc_old!D73)</f>
        <v>100</v>
      </c>
      <c r="Y73" t="str">
        <f t="shared" si="11"/>
        <v>$10$ &amp; $0.4$ &amp; $100/p$ &amp; $0\%$ &amp; $0$ &amp; $0$ &amp; $0\%$ &amp; $0\%$ &amp; $0$ &amp; $0$ &amp; $0\%$ &amp; $0$ &amp; $52.21\%$ &amp; $75394.91$ &amp; $460522$ &amp; $3.08\%$ &amp; $100$\\</v>
      </c>
    </row>
    <row r="74" spans="1:25" x14ac:dyDescent="0.2">
      <c r="A74" s="4"/>
      <c r="B74" s="4"/>
      <c r="C74" s="4"/>
      <c r="D74" s="4"/>
      <c r="L74" s="2"/>
    </row>
    <row r="75" spans="1:25" x14ac:dyDescent="0.2">
      <c r="A75" s="4">
        <v>20</v>
      </c>
      <c r="B75" s="4">
        <v>0.1</v>
      </c>
      <c r="C75" s="4">
        <v>2</v>
      </c>
      <c r="D75" s="4">
        <v>100</v>
      </c>
      <c r="E75">
        <f>MIN(20, COUNTIFS(benchmark_gurobi_vs_cuts_grb_ol!A:A,proc_old!A75,benchmark_gurobi_vs_cuts_grb_ol!C:C,proc_old!B75,benchmark_gurobi_vs_cuts_grb_ol!B:B,proc_old!C75,benchmark_gurobi_vs_cuts_grb_ol!D:D,proc_old!D75))</f>
        <v>20</v>
      </c>
      <c r="L75" s="2">
        <f>AVERAGEIFS(benchmark_gurobi_vs_cuts_grb_ol!H:H,benchmark_gurobi_vs_cuts_grb_ol!A:A,proc_old!A75,benchmark_gurobi_vs_cuts_grb_ol!C:C,proc_old!B75,benchmark_gurobi_vs_cuts_grb_ol!B:B,proc_old!C75,benchmark_gurobi_vs_cuts_grb_ol!D:D,proc_old!D75)</f>
        <v>0.98998764181320009</v>
      </c>
      <c r="N75" s="2">
        <f>AVERAGEIFS(benchmark_gurobi_vs_cuts_grb_ol!V:V,benchmark_gurobi_vs_cuts_grb_ol!A:A,proc_old!A75,benchmark_gurobi_vs_cuts_grb_ol!C:C,proc_old!B75,benchmark_gurobi_vs_cuts_grb_ol!B:B,proc_old!C75,benchmark_gurobi_vs_cuts_grb_ol!D:D,proc_old!D75)</f>
        <v>1.0440181842218119</v>
      </c>
      <c r="O75" s="3">
        <f>AVERAGEIFS(benchmark_gurobi_vs_cuts_grb_ol!X:X,benchmark_gurobi_vs_cuts_grb_ol!A:A,proc_old!A75,benchmark_gurobi_vs_cuts_grb_ol!C:C,proc_old!B75,benchmark_gurobi_vs_cuts_grb_ol!B:B,proc_old!C75,benchmark_gurobi_vs_cuts_grb_ol!D:D,proc_old!D75)</f>
        <v>75322.756685487431</v>
      </c>
      <c r="P75" s="3">
        <f>AVERAGEIFS(benchmark_gurobi_vs_cuts_grb_ol!Y:Y,benchmark_gurobi_vs_cuts_grb_ol!A:A,proc_old!A75,benchmark_gurobi_vs_cuts_grb_ol!C:C,proc_old!B75,benchmark_gurobi_vs_cuts_grb_ol!B:B,proc_old!C75,benchmark_gurobi_vs_cuts_grb_ol!D:D,proc_old!D75)</f>
        <v>137212.39130434784</v>
      </c>
      <c r="Q75" s="2">
        <f>AVERAGEIFS(benchmark_gurobi_vs_cuts_grb_ol!Z:Z,benchmark_gurobi_vs_cuts_grb_ol!A:A,proc_old!A75,benchmark_gurobi_vs_cuts_grb_ol!C:C,proc_old!B75,benchmark_gurobi_vs_cuts_grb_ol!B:B,proc_old!C75,benchmark_gurobi_vs_cuts_grb_ol!D:D,proc_old!D75)</f>
        <v>7.7294040321926197E-3</v>
      </c>
      <c r="R75" s="3">
        <f>AVERAGEIFS(benchmark_gurobi_vs_cuts_grb_ol!AA:AA,benchmark_gurobi_vs_cuts_grb_ol!A:A,proc_old!A75,benchmark_gurobi_vs_cuts_grb_ol!C:C,proc_old!B75,benchmark_gurobi_vs_cuts_grb_ol!B:B,proc_old!C75,benchmark_gurobi_vs_cuts_grb_ol!D:D,proc_old!D75)</f>
        <v>100</v>
      </c>
      <c r="Y75" t="str">
        <f t="shared" si="11"/>
        <v>$20$ &amp; $0.1$ &amp; $100/p$ &amp; $0\%$ &amp; $0$ &amp; $0$ &amp; $0\%$ &amp; $0\%$ &amp; $0$ &amp; $0$ &amp; $0\%$ &amp; $0$ &amp; $104.4\%$ &amp; $75322.76$ &amp; $137212$ &amp; $0.77\%$ &amp; $100$\\</v>
      </c>
    </row>
    <row r="76" spans="1:25" x14ac:dyDescent="0.2">
      <c r="A76" s="4">
        <v>20</v>
      </c>
      <c r="B76" s="4">
        <v>0.2</v>
      </c>
      <c r="C76" s="4">
        <v>2</v>
      </c>
      <c r="D76" s="4">
        <v>100</v>
      </c>
      <c r="E76">
        <f>MIN(20, COUNTIFS(benchmark_gurobi_vs_cuts_grb_ol!A:A,proc_old!A76,benchmark_gurobi_vs_cuts_grb_ol!C:C,proc_old!B76,benchmark_gurobi_vs_cuts_grb_ol!B:B,proc_old!C76,benchmark_gurobi_vs_cuts_grb_ol!D:D,proc_old!D76))</f>
        <v>20</v>
      </c>
      <c r="L76" s="2">
        <f>AVERAGEIFS(benchmark_gurobi_vs_cuts_grb_ol!H:H,benchmark_gurobi_vs_cuts_grb_ol!A:A,proc_old!A76,benchmark_gurobi_vs_cuts_grb_ol!C:C,proc_old!B76,benchmark_gurobi_vs_cuts_grb_ol!B:B,proc_old!C76,benchmark_gurobi_vs_cuts_grb_ol!D:D,proc_old!D76)</f>
        <v>0.59261198349605249</v>
      </c>
      <c r="N76" s="2">
        <f>AVERAGEIFS(benchmark_gurobi_vs_cuts_grb_ol!V:V,benchmark_gurobi_vs_cuts_grb_ol!A:A,proc_old!A76,benchmark_gurobi_vs_cuts_grb_ol!C:C,proc_old!B76,benchmark_gurobi_vs_cuts_grb_ol!B:B,proc_old!C76,benchmark_gurobi_vs_cuts_grb_ol!D:D,proc_old!D76)</f>
        <v>0.64053834242470609</v>
      </c>
      <c r="O76" s="3">
        <f>AVERAGEIFS(benchmark_gurobi_vs_cuts_grb_ol!X:X,benchmark_gurobi_vs_cuts_grb_ol!A:A,proc_old!A76,benchmark_gurobi_vs_cuts_grb_ol!C:C,proc_old!B76,benchmark_gurobi_vs_cuts_grb_ol!B:B,proc_old!C76,benchmark_gurobi_vs_cuts_grb_ol!D:D,proc_old!D76)</f>
        <v>75579.805937869096</v>
      </c>
      <c r="P76" s="3">
        <f>AVERAGEIFS(benchmark_gurobi_vs_cuts_grb_ol!Y:Y,benchmark_gurobi_vs_cuts_grb_ol!A:A,proc_old!A76,benchmark_gurobi_vs_cuts_grb_ol!C:C,proc_old!B76,benchmark_gurobi_vs_cuts_grb_ol!B:B,proc_old!C76,benchmark_gurobi_vs_cuts_grb_ol!D:D,proc_old!D76)</f>
        <v>65310.521739130432</v>
      </c>
      <c r="Q76" s="2">
        <f>AVERAGEIFS(benchmark_gurobi_vs_cuts_grb_ol!Z:Z,benchmark_gurobi_vs_cuts_grb_ol!A:A,proc_old!A76,benchmark_gurobi_vs_cuts_grb_ol!C:C,proc_old!B76,benchmark_gurobi_vs_cuts_grb_ol!B:B,proc_old!C76,benchmark_gurobi_vs_cuts_grb_ol!D:D,proc_old!D76)</f>
        <v>0.11034747255283125</v>
      </c>
      <c r="R76" s="3">
        <f>AVERAGEIFS(benchmark_gurobi_vs_cuts_grb_ol!AA:AA,benchmark_gurobi_vs_cuts_grb_ol!A:A,proc_old!A76,benchmark_gurobi_vs_cuts_grb_ol!C:C,proc_old!B76,benchmark_gurobi_vs_cuts_grb_ol!B:B,proc_old!C76,benchmark_gurobi_vs_cuts_grb_ol!D:D,proc_old!D76)</f>
        <v>100</v>
      </c>
      <c r="Y76" t="str">
        <f t="shared" si="11"/>
        <v>$20$ &amp; $0.2$ &amp; $100/p$ &amp; $0\%$ &amp; $0$ &amp; $0$ &amp; $0\%$ &amp; $0\%$ &amp; $0$ &amp; $0$ &amp; $0\%$ &amp; $0$ &amp; $64.05\%$ &amp; $75579.81$ &amp; $65311$ &amp; $11.03\%$ &amp; $100$\\</v>
      </c>
    </row>
    <row r="77" spans="1:25" x14ac:dyDescent="0.2">
      <c r="A77" s="4">
        <v>20</v>
      </c>
      <c r="B77" s="4">
        <v>0.3</v>
      </c>
      <c r="C77" s="4">
        <v>2</v>
      </c>
      <c r="D77" s="4">
        <v>100</v>
      </c>
      <c r="E77">
        <f>MIN(20, COUNTIFS(benchmark_gurobi_vs_cuts_grb_ol!A:A,proc_old!A77,benchmark_gurobi_vs_cuts_grb_ol!C:C,proc_old!B77,benchmark_gurobi_vs_cuts_grb_ol!B:B,proc_old!C77,benchmark_gurobi_vs_cuts_grb_ol!D:D,proc_old!D77))</f>
        <v>20</v>
      </c>
      <c r="L77" s="2">
        <f>AVERAGEIFS(benchmark_gurobi_vs_cuts_grb_ol!H:H,benchmark_gurobi_vs_cuts_grb_ol!A:A,proc_old!A77,benchmark_gurobi_vs_cuts_grb_ol!C:C,proc_old!B77,benchmark_gurobi_vs_cuts_grb_ol!B:B,proc_old!C77,benchmark_gurobi_vs_cuts_grb_ol!D:D,proc_old!D77)</f>
        <v>0.11823394230291534</v>
      </c>
      <c r="N77" s="2">
        <f>AVERAGEIFS(benchmark_gurobi_vs_cuts_grb_ol!V:V,benchmark_gurobi_vs_cuts_grb_ol!A:A,proc_old!A77,benchmark_gurobi_vs_cuts_grb_ol!C:C,proc_old!B77,benchmark_gurobi_vs_cuts_grb_ol!B:B,proc_old!C77,benchmark_gurobi_vs_cuts_grb_ol!D:D,proc_old!D77)</f>
        <v>0.10953118147429686</v>
      </c>
      <c r="O77" s="3">
        <f>AVERAGEIFS(benchmark_gurobi_vs_cuts_grb_ol!X:X,benchmark_gurobi_vs_cuts_grb_ol!A:A,proc_old!A77,benchmark_gurobi_vs_cuts_grb_ol!C:C,proc_old!B77,benchmark_gurobi_vs_cuts_grb_ol!B:B,proc_old!C77,benchmark_gurobi_vs_cuts_grb_ol!D:D,proc_old!D77)</f>
        <v>75845.582533165216</v>
      </c>
      <c r="P77" s="3">
        <f>AVERAGEIFS(benchmark_gurobi_vs_cuts_grb_ol!Y:Y,benchmark_gurobi_vs_cuts_grb_ol!A:A,proc_old!A77,benchmark_gurobi_vs_cuts_grb_ol!C:C,proc_old!B77,benchmark_gurobi_vs_cuts_grb_ol!B:B,proc_old!C77,benchmark_gurobi_vs_cuts_grb_ol!D:D,proc_old!D77)</f>
        <v>54060.65217391304</v>
      </c>
      <c r="Q77" s="2">
        <f>AVERAGEIFS(benchmark_gurobi_vs_cuts_grb_ol!Z:Z,benchmark_gurobi_vs_cuts_grb_ol!A:A,proc_old!A77,benchmark_gurobi_vs_cuts_grb_ol!C:C,proc_old!B77,benchmark_gurobi_vs_cuts_grb_ol!B:B,proc_old!C77,benchmark_gurobi_vs_cuts_grb_ol!D:D,proc_old!D77)</f>
        <v>0.25808963544837971</v>
      </c>
      <c r="R77" s="3">
        <f>AVERAGEIFS(benchmark_gurobi_vs_cuts_grb_ol!AA:AA,benchmark_gurobi_vs_cuts_grb_ol!A:A,proc_old!A77,benchmark_gurobi_vs_cuts_grb_ol!C:C,proc_old!B77,benchmark_gurobi_vs_cuts_grb_ol!B:B,proc_old!C77,benchmark_gurobi_vs_cuts_grb_ol!D:D,proc_old!D77)</f>
        <v>100</v>
      </c>
      <c r="Y77" t="str">
        <f t="shared" si="11"/>
        <v>$20$ &amp; $0.3$ &amp; $100/p$ &amp; $0\%$ &amp; $0$ &amp; $0$ &amp; $0\%$ &amp; $0\%$ &amp; $0$ &amp; $0$ &amp; $0\%$ &amp; $0$ &amp; $10.95\%$ &amp; $75845.58$ &amp; $54061$ &amp; $25.81\%$ &amp; $100$\\</v>
      </c>
    </row>
    <row r="78" spans="1:25" x14ac:dyDescent="0.2">
      <c r="A78" s="4">
        <v>20</v>
      </c>
      <c r="B78" s="4">
        <v>0.4</v>
      </c>
      <c r="C78" s="4">
        <v>2</v>
      </c>
      <c r="D78" s="4">
        <v>100</v>
      </c>
      <c r="E78">
        <f>MIN(20, COUNTIFS(benchmark_gurobi_vs_cuts_grb_ol!A:A,proc_old!A78,benchmark_gurobi_vs_cuts_grb_ol!C:C,proc_old!B78,benchmark_gurobi_vs_cuts_grb_ol!B:B,proc_old!C78,benchmark_gurobi_vs_cuts_grb_ol!D:D,proc_old!D78))</f>
        <v>20</v>
      </c>
      <c r="L78" s="2">
        <f>AVERAGEIFS(benchmark_gurobi_vs_cuts_grb_ol!H:H,benchmark_gurobi_vs_cuts_grb_ol!A:A,proc_old!A78,benchmark_gurobi_vs_cuts_grb_ol!C:C,proc_old!B78,benchmark_gurobi_vs_cuts_grb_ol!B:B,proc_old!C78,benchmark_gurobi_vs_cuts_grb_ol!D:D,proc_old!D78)</f>
        <v>6.8402478631728797E-2</v>
      </c>
      <c r="N78" s="2">
        <f>AVERAGEIFS(benchmark_gurobi_vs_cuts_grb_ol!V:V,benchmark_gurobi_vs_cuts_grb_ol!A:A,proc_old!A78,benchmark_gurobi_vs_cuts_grb_ol!C:C,proc_old!B78,benchmark_gurobi_vs_cuts_grb_ol!B:B,proc_old!C78,benchmark_gurobi_vs_cuts_grb_ol!D:D,proc_old!D78)</f>
        <v>6.1644033020674872E-2</v>
      </c>
      <c r="O78" s="3">
        <f>AVERAGEIFS(benchmark_gurobi_vs_cuts_grb_ol!X:X,benchmark_gurobi_vs_cuts_grb_ol!A:A,proc_old!A78,benchmark_gurobi_vs_cuts_grb_ol!C:C,proc_old!B78,benchmark_gurobi_vs_cuts_grb_ol!B:B,proc_old!C78,benchmark_gurobi_vs_cuts_grb_ol!D:D,proc_old!D78)</f>
        <v>76274.053752785578</v>
      </c>
      <c r="P78" s="3">
        <f>AVERAGEIFS(benchmark_gurobi_vs_cuts_grb_ol!Y:Y,benchmark_gurobi_vs_cuts_grb_ol!A:A,proc_old!A78,benchmark_gurobi_vs_cuts_grb_ol!C:C,proc_old!B78,benchmark_gurobi_vs_cuts_grb_ol!B:B,proc_old!C78,benchmark_gurobi_vs_cuts_grb_ol!D:D,proc_old!D78)</f>
        <v>93064.095238095237</v>
      </c>
      <c r="Q78" s="2">
        <f>AVERAGEIFS(benchmark_gurobi_vs_cuts_grb_ol!Z:Z,benchmark_gurobi_vs_cuts_grb_ol!A:A,proc_old!A78,benchmark_gurobi_vs_cuts_grb_ol!C:C,proc_old!B78,benchmark_gurobi_vs_cuts_grb_ol!B:B,proc_old!C78,benchmark_gurobi_vs_cuts_grb_ol!D:D,proc_old!D78)</f>
        <v>0.26626083441020409</v>
      </c>
      <c r="R78" s="3">
        <f>AVERAGEIFS(benchmark_gurobi_vs_cuts_grb_ol!AA:AA,benchmark_gurobi_vs_cuts_grb_ol!A:A,proc_old!A78,benchmark_gurobi_vs_cuts_grb_ol!C:C,proc_old!B78,benchmark_gurobi_vs_cuts_grb_ol!B:B,proc_old!C78,benchmark_gurobi_vs_cuts_grb_ol!D:D,proc_old!D78)</f>
        <v>100</v>
      </c>
      <c r="Y78" t="str">
        <f t="shared" si="11"/>
        <v>$20$ &amp; $0.4$ &amp; $100/p$ &amp; $0\%$ &amp; $0$ &amp; $0$ &amp; $0\%$ &amp; $0\%$ &amp; $0$ &amp; $0$ &amp; $0\%$ &amp; $0$ &amp; $6.16\%$ &amp; $76274.05$ &amp; $93064$ &amp; $26.63\%$ &amp; $100$\\</v>
      </c>
    </row>
    <row r="79" spans="1:25" x14ac:dyDescent="0.2">
      <c r="A79" s="4"/>
      <c r="B79" s="4"/>
      <c r="C79" s="4"/>
      <c r="D79" s="4"/>
      <c r="L79" s="2"/>
    </row>
    <row r="80" spans="1:25" x14ac:dyDescent="0.2">
      <c r="A80" s="4">
        <v>30</v>
      </c>
      <c r="B80" s="4">
        <v>0.1</v>
      </c>
      <c r="C80" s="4">
        <v>2</v>
      </c>
      <c r="D80" s="4">
        <v>100</v>
      </c>
      <c r="E80">
        <f>MIN(20, COUNTIFS(benchmark_gurobi_vs_cuts_grb_ol!A:A,proc_old!A80,benchmark_gurobi_vs_cuts_grb_ol!C:C,proc_old!B80,benchmark_gurobi_vs_cuts_grb_ol!B:B,proc_old!C80,benchmark_gurobi_vs_cuts_grb_ol!D:D,proc_old!D80))</f>
        <v>20</v>
      </c>
      <c r="L80" s="2">
        <f>AVERAGEIFS(benchmark_gurobi_vs_cuts_grb_ol!H:H,benchmark_gurobi_vs_cuts_grb_ol!A:A,proc_old!A80,benchmark_gurobi_vs_cuts_grb_ol!C:C,proc_old!B80,benchmark_gurobi_vs_cuts_grb_ol!B:B,proc_old!C80,benchmark_gurobi_vs_cuts_grb_ol!D:D,proc_old!D80)</f>
        <v>0.85051800949377443</v>
      </c>
      <c r="N80" s="2">
        <f>AVERAGEIFS(benchmark_gurobi_vs_cuts_grb_ol!V:V,benchmark_gurobi_vs_cuts_grb_ol!A:A,proc_old!A80,benchmark_gurobi_vs_cuts_grb_ol!C:C,proc_old!B80,benchmark_gurobi_vs_cuts_grb_ol!B:B,proc_old!C80,benchmark_gurobi_vs_cuts_grb_ol!D:D,proc_old!D80)</f>
        <v>0.85127987503630287</v>
      </c>
      <c r="O80" s="3">
        <f>AVERAGEIFS(benchmark_gurobi_vs_cuts_grb_ol!X:X,benchmark_gurobi_vs_cuts_grb_ol!A:A,proc_old!A80,benchmark_gurobi_vs_cuts_grb_ol!C:C,proc_old!B80,benchmark_gurobi_vs_cuts_grb_ol!B:B,proc_old!C80,benchmark_gurobi_vs_cuts_grb_ol!D:D,proc_old!D80)</f>
        <v>76488.821584212128</v>
      </c>
      <c r="P80" s="3">
        <f>AVERAGEIFS(benchmark_gurobi_vs_cuts_grb_ol!Y:Y,benchmark_gurobi_vs_cuts_grb_ol!A:A,proc_old!A80,benchmark_gurobi_vs_cuts_grb_ol!C:C,proc_old!B80,benchmark_gurobi_vs_cuts_grb_ol!B:B,proc_old!C80,benchmark_gurobi_vs_cuts_grb_ol!D:D,proc_old!D80)</f>
        <v>36374.454545454544</v>
      </c>
      <c r="Q80" s="2">
        <f>AVERAGEIFS(benchmark_gurobi_vs_cuts_grb_ol!Z:Z,benchmark_gurobi_vs_cuts_grb_ol!A:A,proc_old!A80,benchmark_gurobi_vs_cuts_grb_ol!C:C,proc_old!B80,benchmark_gurobi_vs_cuts_grb_ol!B:B,proc_old!C80,benchmark_gurobi_vs_cuts_grb_ol!D:D,proc_old!D80)</f>
        <v>7.2817238564600539E-2</v>
      </c>
      <c r="R80" s="3">
        <f>AVERAGEIFS(benchmark_gurobi_vs_cuts_grb_ol!AA:AA,benchmark_gurobi_vs_cuts_grb_ol!A:A,proc_old!A80,benchmark_gurobi_vs_cuts_grb_ol!C:C,proc_old!B80,benchmark_gurobi_vs_cuts_grb_ol!B:B,proc_old!C80,benchmark_gurobi_vs_cuts_grb_ol!D:D,proc_old!D80)</f>
        <v>100</v>
      </c>
      <c r="Y80" t="str">
        <f t="shared" si="11"/>
        <v>$30$ &amp; $0.1$ &amp; $100/p$ &amp; $0\%$ &amp; $0$ &amp; $0$ &amp; $0\%$ &amp; $0\%$ &amp; $0$ &amp; $0$ &amp; $0\%$ &amp; $0$ &amp; $85.13\%$ &amp; $76488.82$ &amp; $36374$ &amp; $7.28\%$ &amp; $100$\\</v>
      </c>
    </row>
    <row r="81" spans="1:25" x14ac:dyDescent="0.2">
      <c r="A81" s="4">
        <v>30</v>
      </c>
      <c r="B81" s="4">
        <v>0.2</v>
      </c>
      <c r="C81" s="4">
        <v>2</v>
      </c>
      <c r="D81" s="4">
        <v>100</v>
      </c>
      <c r="E81">
        <f>MIN(20, COUNTIFS(benchmark_gurobi_vs_cuts_grb_ol!A:A,proc_old!A81,benchmark_gurobi_vs_cuts_grb_ol!C:C,proc_old!B81,benchmark_gurobi_vs_cuts_grb_ol!B:B,proc_old!C81,benchmark_gurobi_vs_cuts_grb_ol!D:D,proc_old!D81))</f>
        <v>20</v>
      </c>
      <c r="L81" s="2">
        <f>AVERAGEIFS(benchmark_gurobi_vs_cuts_grb_ol!H:H,benchmark_gurobi_vs_cuts_grb_ol!A:A,proc_old!A81,benchmark_gurobi_vs_cuts_grb_ol!C:C,proc_old!B81,benchmark_gurobi_vs_cuts_grb_ol!B:B,proc_old!C81,benchmark_gurobi_vs_cuts_grb_ol!D:D,proc_old!D81)</f>
        <v>0.1944688945079299</v>
      </c>
      <c r="N81" s="2">
        <f>AVERAGEIFS(benchmark_gurobi_vs_cuts_grb_ol!V:V,benchmark_gurobi_vs_cuts_grb_ol!A:A,proc_old!A81,benchmark_gurobi_vs_cuts_grb_ol!C:C,proc_old!B81,benchmark_gurobi_vs_cuts_grb_ol!B:B,proc_old!C81,benchmark_gurobi_vs_cuts_grb_ol!D:D,proc_old!D81)</f>
        <v>0.18722372070315429</v>
      </c>
      <c r="O81" s="3">
        <f>AVERAGEIFS(benchmark_gurobi_vs_cuts_grb_ol!X:X,benchmark_gurobi_vs_cuts_grb_ol!A:A,proc_old!A81,benchmark_gurobi_vs_cuts_grb_ol!C:C,proc_old!B81,benchmark_gurobi_vs_cuts_grb_ol!B:B,proc_old!C81,benchmark_gurobi_vs_cuts_grb_ol!D:D,proc_old!D81)</f>
        <v>77789.249144321904</v>
      </c>
      <c r="P81" s="3">
        <f>AVERAGEIFS(benchmark_gurobi_vs_cuts_grb_ol!Y:Y,benchmark_gurobi_vs_cuts_grb_ol!A:A,proc_old!A81,benchmark_gurobi_vs_cuts_grb_ol!C:C,proc_old!B81,benchmark_gurobi_vs_cuts_grb_ol!B:B,proc_old!C81,benchmark_gurobi_vs_cuts_grb_ol!D:D,proc_old!D81)</f>
        <v>18278</v>
      </c>
      <c r="Q81" s="2">
        <f>AVERAGEIFS(benchmark_gurobi_vs_cuts_grb_ol!Z:Z,benchmark_gurobi_vs_cuts_grb_ol!A:A,proc_old!A81,benchmark_gurobi_vs_cuts_grb_ol!C:C,proc_old!B81,benchmark_gurobi_vs_cuts_grb_ol!B:B,proc_old!C81,benchmark_gurobi_vs_cuts_grb_ol!D:D,proc_old!D81)</f>
        <v>0.98723465499888707</v>
      </c>
      <c r="R81" s="3">
        <f>AVERAGEIFS(benchmark_gurobi_vs_cuts_grb_ol!AA:AA,benchmark_gurobi_vs_cuts_grb_ol!A:A,proc_old!A81,benchmark_gurobi_vs_cuts_grb_ol!C:C,proc_old!B81,benchmark_gurobi_vs_cuts_grb_ol!B:B,proc_old!C81,benchmark_gurobi_vs_cuts_grb_ol!D:D,proc_old!D81)</f>
        <v>100</v>
      </c>
      <c r="Y81" t="str">
        <f t="shared" si="11"/>
        <v>$30$ &amp; $0.2$ &amp; $100/p$ &amp; $0\%$ &amp; $0$ &amp; $0$ &amp; $0\%$ &amp; $0\%$ &amp; $0$ &amp; $0$ &amp; $0\%$ &amp; $0$ &amp; $18.72\%$ &amp; $77789.25$ &amp; $18278$ &amp; $98.72\%$ &amp; $100$\\</v>
      </c>
    </row>
    <row r="82" spans="1:25" x14ac:dyDescent="0.2">
      <c r="A82" s="4">
        <v>30</v>
      </c>
      <c r="B82" s="4">
        <v>0.3</v>
      </c>
      <c r="C82" s="4">
        <v>2</v>
      </c>
      <c r="D82" s="4">
        <v>100</v>
      </c>
      <c r="E82">
        <f>MIN(20, COUNTIFS(benchmark_gurobi_vs_cuts_grb_ol!A:A,proc_old!A82,benchmark_gurobi_vs_cuts_grb_ol!C:C,proc_old!B82,benchmark_gurobi_vs_cuts_grb_ol!B:B,proc_old!C82,benchmark_gurobi_vs_cuts_grb_ol!D:D,proc_old!D82))</f>
        <v>20</v>
      </c>
      <c r="L82" s="2">
        <f>AVERAGEIFS(benchmark_gurobi_vs_cuts_grb_ol!H:H,benchmark_gurobi_vs_cuts_grb_ol!A:A,proc_old!A82,benchmark_gurobi_vs_cuts_grb_ol!C:C,proc_old!B82,benchmark_gurobi_vs_cuts_grb_ol!B:B,proc_old!C82,benchmark_gurobi_vs_cuts_grb_ol!D:D,proc_old!D82)</f>
        <v>5.8295991378052643E-2</v>
      </c>
      <c r="N82" s="2">
        <f>AVERAGEIFS(benchmark_gurobi_vs_cuts_grb_ol!V:V,benchmark_gurobi_vs_cuts_grb_ol!A:A,proc_old!A82,benchmark_gurobi_vs_cuts_grb_ol!C:C,proc_old!B82,benchmark_gurobi_vs_cuts_grb_ol!B:B,proc_old!C82,benchmark_gurobi_vs_cuts_grb_ol!D:D,proc_old!D82)</f>
        <v>5.0321767078854725E-2</v>
      </c>
      <c r="O82" s="3">
        <f>AVERAGEIFS(benchmark_gurobi_vs_cuts_grb_ol!X:X,benchmark_gurobi_vs_cuts_grb_ol!A:A,proc_old!A82,benchmark_gurobi_vs_cuts_grb_ol!C:C,proc_old!B82,benchmark_gurobi_vs_cuts_grb_ol!B:B,proc_old!C82,benchmark_gurobi_vs_cuts_grb_ol!D:D,proc_old!D82)</f>
        <v>77641.110711855508</v>
      </c>
      <c r="P82" s="3">
        <f>AVERAGEIFS(benchmark_gurobi_vs_cuts_grb_ol!Y:Y,benchmark_gurobi_vs_cuts_grb_ol!A:A,proc_old!A82,benchmark_gurobi_vs_cuts_grb_ol!C:C,proc_old!B82,benchmark_gurobi_vs_cuts_grb_ol!B:B,proc_old!C82,benchmark_gurobi_vs_cuts_grb_ol!D:D,proc_old!D82)</f>
        <v>17550.666666666668</v>
      </c>
      <c r="Q82" s="2">
        <f>AVERAGEIFS(benchmark_gurobi_vs_cuts_grb_ol!Z:Z,benchmark_gurobi_vs_cuts_grb_ol!A:A,proc_old!A82,benchmark_gurobi_vs_cuts_grb_ol!C:C,proc_old!B82,benchmark_gurobi_vs_cuts_grb_ol!B:B,proc_old!C82,benchmark_gurobi_vs_cuts_grb_ol!D:D,proc_old!D82)</f>
        <v>1.605907738224946</v>
      </c>
      <c r="R82" s="3">
        <f>AVERAGEIFS(benchmark_gurobi_vs_cuts_grb_ol!AA:AA,benchmark_gurobi_vs_cuts_grb_ol!A:A,proc_old!A82,benchmark_gurobi_vs_cuts_grb_ol!C:C,proc_old!B82,benchmark_gurobi_vs_cuts_grb_ol!B:B,proc_old!C82,benchmark_gurobi_vs_cuts_grb_ol!D:D,proc_old!D82)</f>
        <v>100</v>
      </c>
      <c r="Y82" t="str">
        <f t="shared" si="11"/>
        <v>$30$ &amp; $0.3$ &amp; $100/p$ &amp; $0\%$ &amp; $0$ &amp; $0$ &amp; $0\%$ &amp; $0\%$ &amp; $0$ &amp; $0$ &amp; $0\%$ &amp; $0$ &amp; $5.03\%$ &amp; $77641.11$ &amp; $17551$ &amp; $160.59\%$ &amp; $100$\\</v>
      </c>
    </row>
    <row r="83" spans="1:25" x14ac:dyDescent="0.2">
      <c r="A83" s="4">
        <v>30</v>
      </c>
      <c r="B83" s="4">
        <v>0.4</v>
      </c>
      <c r="C83" s="4">
        <v>2</v>
      </c>
      <c r="D83" s="4">
        <v>100</v>
      </c>
      <c r="E83">
        <f>MIN(20, COUNTIFS(benchmark_gurobi_vs_cuts_grb_ol!A:A,proc_old!A83,benchmark_gurobi_vs_cuts_grb_ol!C:C,proc_old!B83,benchmark_gurobi_vs_cuts_grb_ol!B:B,proc_old!C83,benchmark_gurobi_vs_cuts_grb_ol!D:D,proc_old!D83))</f>
        <v>20</v>
      </c>
      <c r="L83" s="2">
        <f>AVERAGEIFS(benchmark_gurobi_vs_cuts_grb_ol!H:H,benchmark_gurobi_vs_cuts_grb_ol!A:A,proc_old!A83,benchmark_gurobi_vs_cuts_grb_ol!C:C,proc_old!B83,benchmark_gurobi_vs_cuts_grb_ol!B:B,proc_old!C83,benchmark_gurobi_vs_cuts_grb_ol!D:D,proc_old!D83)</f>
        <v>2.8048542954360454E-2</v>
      </c>
      <c r="N83" s="2">
        <f>AVERAGEIFS(benchmark_gurobi_vs_cuts_grb_ol!V:V,benchmark_gurobi_vs_cuts_grb_ol!A:A,proc_old!A83,benchmark_gurobi_vs_cuts_grb_ol!C:C,proc_old!B83,benchmark_gurobi_vs_cuts_grb_ol!B:B,proc_old!C83,benchmark_gurobi_vs_cuts_grb_ol!D:D,proc_old!D83)</f>
        <v>2.1923811318126322E-2</v>
      </c>
      <c r="O83" s="3">
        <f>AVERAGEIFS(benchmark_gurobi_vs_cuts_grb_ol!X:X,benchmark_gurobi_vs_cuts_grb_ol!A:A,proc_old!A83,benchmark_gurobi_vs_cuts_grb_ol!C:C,proc_old!B83,benchmark_gurobi_vs_cuts_grb_ol!B:B,proc_old!C83,benchmark_gurobi_vs_cuts_grb_ol!D:D,proc_old!D83)</f>
        <v>77350.726380384673</v>
      </c>
      <c r="P83" s="3">
        <f>AVERAGEIFS(benchmark_gurobi_vs_cuts_grb_ol!Y:Y,benchmark_gurobi_vs_cuts_grb_ol!A:A,proc_old!A83,benchmark_gurobi_vs_cuts_grb_ol!C:C,proc_old!B83,benchmark_gurobi_vs_cuts_grb_ol!B:B,proc_old!C83,benchmark_gurobi_vs_cuts_grb_ol!D:D,proc_old!D83)</f>
        <v>13469.969696969696</v>
      </c>
      <c r="Q83" s="2">
        <f>AVERAGEIFS(benchmark_gurobi_vs_cuts_grb_ol!Z:Z,benchmark_gurobi_vs_cuts_grb_ol!A:A,proc_old!A83,benchmark_gurobi_vs_cuts_grb_ol!C:C,proc_old!B83,benchmark_gurobi_vs_cuts_grb_ol!B:B,proc_old!C83,benchmark_gurobi_vs_cuts_grb_ol!D:D,proc_old!D83)</f>
        <v>1.3547152208211892</v>
      </c>
      <c r="R83" s="3">
        <f>AVERAGEIFS(benchmark_gurobi_vs_cuts_grb_ol!AA:AA,benchmark_gurobi_vs_cuts_grb_ol!A:A,proc_old!A83,benchmark_gurobi_vs_cuts_grb_ol!C:C,proc_old!B83,benchmark_gurobi_vs_cuts_grb_ol!B:B,proc_old!C83,benchmark_gurobi_vs_cuts_grb_ol!D:D,proc_old!D83)</f>
        <v>100</v>
      </c>
      <c r="Y83" t="str">
        <f t="shared" si="11"/>
        <v>$30$ &amp; $0.4$ &amp; $100/p$ &amp; $0\%$ &amp; $0$ &amp; $0$ &amp; $0\%$ &amp; $0\%$ &amp; $0$ &amp; $0$ &amp; $0\%$ &amp; $0$ &amp; $2.19\%$ &amp; $77350.73$ &amp; $13470$ &amp; $135.47\%$ &amp; $100$\\</v>
      </c>
    </row>
    <row r="84" spans="1:25" x14ac:dyDescent="0.2">
      <c r="A84" s="4"/>
      <c r="B84" s="4"/>
      <c r="C84" s="4"/>
      <c r="D84" s="4"/>
      <c r="L84" s="2"/>
    </row>
    <row r="85" spans="1:25" x14ac:dyDescent="0.2">
      <c r="A85" s="4">
        <v>40</v>
      </c>
      <c r="B85" s="4">
        <v>0.1</v>
      </c>
      <c r="C85" s="4">
        <v>2</v>
      </c>
      <c r="D85" s="4">
        <v>100</v>
      </c>
      <c r="E85">
        <f>MIN(20, COUNTIFS(benchmark_gurobi_vs_cuts_grb_ol!A:A,proc_old!A85,benchmark_gurobi_vs_cuts_grb_ol!C:C,proc_old!B85,benchmark_gurobi_vs_cuts_grb_ol!B:B,proc_old!C85,benchmark_gurobi_vs_cuts_grb_ol!D:D,proc_old!D85))</f>
        <v>20</v>
      </c>
      <c r="L85" s="2">
        <f>AVERAGEIFS(benchmark_gurobi_vs_cuts_grb_ol!H:H,benchmark_gurobi_vs_cuts_grb_ol!A:A,proc_old!A85,benchmark_gurobi_vs_cuts_grb_ol!C:C,proc_old!B85,benchmark_gurobi_vs_cuts_grb_ol!B:B,proc_old!C85,benchmark_gurobi_vs_cuts_grb_ol!D:D,proc_old!D85)</f>
        <v>0.68437970729646658</v>
      </c>
      <c r="N85" s="2">
        <f>AVERAGEIFS(benchmark_gurobi_vs_cuts_grb_ol!V:V,benchmark_gurobi_vs_cuts_grb_ol!A:A,proc_old!A85,benchmark_gurobi_vs_cuts_grb_ol!C:C,proc_old!B85,benchmark_gurobi_vs_cuts_grb_ol!B:B,proc_old!C85,benchmark_gurobi_vs_cuts_grb_ol!D:D,proc_old!D85)</f>
        <v>0.68668921536171301</v>
      </c>
      <c r="O85" s="3">
        <f>AVERAGEIFS(benchmark_gurobi_vs_cuts_grb_ol!X:X,benchmark_gurobi_vs_cuts_grb_ol!A:A,proc_old!A85,benchmark_gurobi_vs_cuts_grb_ol!C:C,proc_old!B85,benchmark_gurobi_vs_cuts_grb_ol!B:B,proc_old!C85,benchmark_gurobi_vs_cuts_grb_ol!D:D,proc_old!D85)</f>
        <v>76260.217488904324</v>
      </c>
      <c r="P85" s="3">
        <f>AVERAGEIFS(benchmark_gurobi_vs_cuts_grb_ol!Y:Y,benchmark_gurobi_vs_cuts_grb_ol!A:A,proc_old!A85,benchmark_gurobi_vs_cuts_grb_ol!C:C,proc_old!B85,benchmark_gurobi_vs_cuts_grb_ol!B:B,proc_old!C85,benchmark_gurobi_vs_cuts_grb_ol!D:D,proc_old!D85)</f>
        <v>12678.565217391304</v>
      </c>
      <c r="Q85" s="2">
        <f>AVERAGEIFS(benchmark_gurobi_vs_cuts_grb_ol!Z:Z,benchmark_gurobi_vs_cuts_grb_ol!A:A,proc_old!A85,benchmark_gurobi_vs_cuts_grb_ol!C:C,proc_old!B85,benchmark_gurobi_vs_cuts_grb_ol!B:B,proc_old!C85,benchmark_gurobi_vs_cuts_grb_ol!D:D,proc_old!D85)</f>
        <v>0.47034425478320507</v>
      </c>
      <c r="R85" s="3">
        <f>AVERAGEIFS(benchmark_gurobi_vs_cuts_grb_ol!AA:AA,benchmark_gurobi_vs_cuts_grb_ol!A:A,proc_old!A85,benchmark_gurobi_vs_cuts_grb_ol!C:C,proc_old!B85,benchmark_gurobi_vs_cuts_grb_ol!B:B,proc_old!C85,benchmark_gurobi_vs_cuts_grb_ol!D:D,proc_old!D85)</f>
        <v>100</v>
      </c>
      <c r="Y85" t="str">
        <f t="shared" si="11"/>
        <v>$40$ &amp; $0.1$ &amp; $100/p$ &amp; $0\%$ &amp; $0$ &amp; $0$ &amp; $0\%$ &amp; $0\%$ &amp; $0$ &amp; $0$ &amp; $0\%$ &amp; $0$ &amp; $68.67\%$ &amp; $76260.22$ &amp; $12679$ &amp; $47.03\%$ &amp; $100$\\</v>
      </c>
    </row>
    <row r="86" spans="1:25" x14ac:dyDescent="0.2">
      <c r="A86" s="4">
        <v>40</v>
      </c>
      <c r="B86" s="4">
        <v>0.2</v>
      </c>
      <c r="C86" s="4">
        <v>2</v>
      </c>
      <c r="D86" s="4">
        <v>100</v>
      </c>
      <c r="E86">
        <f>MIN(20, COUNTIFS(benchmark_gurobi_vs_cuts_grb_ol!A:A,proc_old!A86,benchmark_gurobi_vs_cuts_grb_ol!C:C,proc_old!B86,benchmark_gurobi_vs_cuts_grb_ol!B:B,proc_old!C86,benchmark_gurobi_vs_cuts_grb_ol!D:D,proc_old!D86))</f>
        <v>17</v>
      </c>
      <c r="L86" s="2">
        <f>AVERAGEIFS(benchmark_gurobi_vs_cuts_grb_ol!H:H,benchmark_gurobi_vs_cuts_grb_ol!A:A,proc_old!A86,benchmark_gurobi_vs_cuts_grb_ol!C:C,proc_old!B86,benchmark_gurobi_vs_cuts_grb_ol!B:B,proc_old!C86,benchmark_gurobi_vs_cuts_grb_ol!D:D,proc_old!D86)</f>
        <v>8.2175963996866844E-2</v>
      </c>
      <c r="N86" s="2">
        <f>AVERAGEIFS(benchmark_gurobi_vs_cuts_grb_ol!V:V,benchmark_gurobi_vs_cuts_grb_ol!A:A,proc_old!A86,benchmark_gurobi_vs_cuts_grb_ol!C:C,proc_old!B86,benchmark_gurobi_vs_cuts_grb_ol!B:B,proc_old!C86,benchmark_gurobi_vs_cuts_grb_ol!D:D,proc_old!D86)</f>
        <v>7.4548856430790622E-2</v>
      </c>
      <c r="O86" s="3">
        <f>AVERAGEIFS(benchmark_gurobi_vs_cuts_grb_ol!X:X,benchmark_gurobi_vs_cuts_grb_ol!A:A,proc_old!A86,benchmark_gurobi_vs_cuts_grb_ol!C:C,proc_old!B86,benchmark_gurobi_vs_cuts_grb_ol!B:B,proc_old!C86,benchmark_gurobi_vs_cuts_grb_ol!D:D,proc_old!D86)</f>
        <v>76201.849212875895</v>
      </c>
      <c r="P86" s="3">
        <f>AVERAGEIFS(benchmark_gurobi_vs_cuts_grb_ol!Y:Y,benchmark_gurobi_vs_cuts_grb_ol!A:A,proc_old!A86,benchmark_gurobi_vs_cuts_grb_ol!C:C,proc_old!B86,benchmark_gurobi_vs_cuts_grb_ol!B:B,proc_old!C86,benchmark_gurobi_vs_cuts_grb_ol!D:D,proc_old!D86)</f>
        <v>2961.5294117647059</v>
      </c>
      <c r="Q86" s="2">
        <f>AVERAGEIFS(benchmark_gurobi_vs_cuts_grb_ol!Z:Z,benchmark_gurobi_vs_cuts_grb_ol!A:A,proc_old!A86,benchmark_gurobi_vs_cuts_grb_ol!C:C,proc_old!B86,benchmark_gurobi_vs_cuts_grb_ol!B:B,proc_old!C86,benchmark_gurobi_vs_cuts_grb_ol!D:D,proc_old!D86)</f>
        <v>2.3529411764705884E+99</v>
      </c>
      <c r="R86" s="3">
        <f>AVERAGEIFS(benchmark_gurobi_vs_cuts_grb_ol!AA:AA,benchmark_gurobi_vs_cuts_grb_ol!A:A,proc_old!A86,benchmark_gurobi_vs_cuts_grb_ol!C:C,proc_old!B86,benchmark_gurobi_vs_cuts_grb_ol!B:B,proc_old!C86,benchmark_gurobi_vs_cuts_grb_ol!D:D,proc_old!D86)</f>
        <v>100</v>
      </c>
      <c r="Y86" t="str">
        <f t="shared" si="11"/>
        <v>$40$ &amp; $0.2$ &amp; $100/p$ &amp; $0\%$ &amp; $0$ &amp; $0$ &amp; $0\%$ &amp; $0\%$ &amp; $0$ &amp; $0$ &amp; $0\%$ &amp; $0$ &amp; $7.45\%$ &amp; $76201.85$ &amp; $2962$ &amp; $2.3529411764706E+101\%$ &amp; $100$\\</v>
      </c>
    </row>
    <row r="87" spans="1:25" x14ac:dyDescent="0.2">
      <c r="A87" s="4">
        <v>40</v>
      </c>
      <c r="B87" s="4">
        <v>0.3</v>
      </c>
      <c r="C87" s="4">
        <v>2</v>
      </c>
      <c r="D87" s="4">
        <v>100</v>
      </c>
      <c r="E87">
        <f>MIN(20, COUNTIFS(benchmark_gurobi_vs_cuts_grb_ol!A:A,proc_old!A87,benchmark_gurobi_vs_cuts_grb_ol!C:C,proc_old!B87,benchmark_gurobi_vs_cuts_grb_ol!B:B,proc_old!C87,benchmark_gurobi_vs_cuts_grb_ol!D:D,proc_old!D87))</f>
        <v>15</v>
      </c>
      <c r="L87" s="2">
        <f>AVERAGEIFS(benchmark_gurobi_vs_cuts_grb_ol!H:H,benchmark_gurobi_vs_cuts_grb_ol!A:A,proc_old!A87,benchmark_gurobi_vs_cuts_grb_ol!C:C,proc_old!B87,benchmark_gurobi_vs_cuts_grb_ol!B:B,proc_old!C87,benchmark_gurobi_vs_cuts_grb_ol!D:D,proc_old!D87)</f>
        <v>2.7999992009588578E-2</v>
      </c>
      <c r="N87" s="2">
        <f>AVERAGEIFS(benchmark_gurobi_vs_cuts_grb_ol!V:V,benchmark_gurobi_vs_cuts_grb_ol!A:A,proc_old!A87,benchmark_gurobi_vs_cuts_grb_ol!C:C,proc_old!B87,benchmark_gurobi_vs_cuts_grb_ol!B:B,proc_old!C87,benchmark_gurobi_vs_cuts_grb_ol!D:D,proc_old!D87)</f>
        <v>2.2694721631622436E-2</v>
      </c>
      <c r="O87" s="3">
        <f>AVERAGEIFS(benchmark_gurobi_vs_cuts_grb_ol!X:X,benchmark_gurobi_vs_cuts_grb_ol!A:A,proc_old!A87,benchmark_gurobi_vs_cuts_grb_ol!C:C,proc_old!B87,benchmark_gurobi_vs_cuts_grb_ol!B:B,proc_old!C87,benchmark_gurobi_vs_cuts_grb_ol!D:D,proc_old!D87)</f>
        <v>75380.916624905076</v>
      </c>
      <c r="P87" s="3">
        <f>AVERAGEIFS(benchmark_gurobi_vs_cuts_grb_ol!Y:Y,benchmark_gurobi_vs_cuts_grb_ol!A:A,proc_old!A87,benchmark_gurobi_vs_cuts_grb_ol!C:C,proc_old!B87,benchmark_gurobi_vs_cuts_grb_ol!B:B,proc_old!C87,benchmark_gurobi_vs_cuts_grb_ol!D:D,proc_old!D87)</f>
        <v>297.93333333333334</v>
      </c>
      <c r="Q87" s="2">
        <f>AVERAGEIFS(benchmark_gurobi_vs_cuts_grb_ol!Z:Z,benchmark_gurobi_vs_cuts_grb_ol!A:A,proc_old!A87,benchmark_gurobi_vs_cuts_grb_ol!C:C,proc_old!B87,benchmark_gurobi_vs_cuts_grb_ol!B:B,proc_old!C87,benchmark_gurobi_vs_cuts_grb_ol!D:D,proc_old!D87)</f>
        <v>9.333333333333334E+99</v>
      </c>
      <c r="R87" s="3">
        <f>AVERAGEIFS(benchmark_gurobi_vs_cuts_grb_ol!AA:AA,benchmark_gurobi_vs_cuts_grb_ol!A:A,proc_old!A87,benchmark_gurobi_vs_cuts_grb_ol!C:C,proc_old!B87,benchmark_gurobi_vs_cuts_grb_ol!B:B,proc_old!C87,benchmark_gurobi_vs_cuts_grb_ol!D:D,proc_old!D87)</f>
        <v>100</v>
      </c>
      <c r="Y87" t="str">
        <f t="shared" si="11"/>
        <v>$40$ &amp; $0.3$ &amp; $100/p$ &amp; $0\%$ &amp; $0$ &amp; $0$ &amp; $0\%$ &amp; $0\%$ &amp; $0$ &amp; $0$ &amp; $0\%$ &amp; $0$ &amp; $2.27\%$ &amp; $75380.92$ &amp; $298$ &amp; $9.3333333333333E+101\%$ &amp; $100$\\</v>
      </c>
    </row>
    <row r="88" spans="1:25" x14ac:dyDescent="0.2">
      <c r="A88" s="4">
        <v>40</v>
      </c>
      <c r="B88" s="4">
        <v>0.4</v>
      </c>
      <c r="C88" s="4">
        <v>2</v>
      </c>
      <c r="D88" s="4">
        <v>100</v>
      </c>
      <c r="E88">
        <f>MIN(20, COUNTIFS(benchmark_gurobi_vs_cuts_grb_ol!A:A,proc_old!A88,benchmark_gurobi_vs_cuts_grb_ol!C:C,proc_old!B88,benchmark_gurobi_vs_cuts_grb_ol!B:B,proc_old!C88,benchmark_gurobi_vs_cuts_grb_ol!D:D,proc_old!D88))</f>
        <v>17</v>
      </c>
      <c r="L88" s="2">
        <f>AVERAGEIFS(benchmark_gurobi_vs_cuts_grb_ol!H:H,benchmark_gurobi_vs_cuts_grb_ol!A:A,proc_old!A88,benchmark_gurobi_vs_cuts_grb_ol!C:C,proc_old!B88,benchmark_gurobi_vs_cuts_grb_ol!B:B,proc_old!C88,benchmark_gurobi_vs_cuts_grb_ol!D:D,proc_old!D88)</f>
        <v>1.8915877477992563E-2</v>
      </c>
      <c r="N88" s="2">
        <f>AVERAGEIFS(benchmark_gurobi_vs_cuts_grb_ol!V:V,benchmark_gurobi_vs_cuts_grb_ol!A:A,proc_old!A88,benchmark_gurobi_vs_cuts_grb_ol!C:C,proc_old!B88,benchmark_gurobi_vs_cuts_grb_ol!B:B,proc_old!C88,benchmark_gurobi_vs_cuts_grb_ol!D:D,proc_old!D88)</f>
        <v>1.3350638024419636E-2</v>
      </c>
      <c r="O88" s="3">
        <f>AVERAGEIFS(benchmark_gurobi_vs_cuts_grb_ol!X:X,benchmark_gurobi_vs_cuts_grb_ol!A:A,proc_old!A88,benchmark_gurobi_vs_cuts_grb_ol!C:C,proc_old!B88,benchmark_gurobi_vs_cuts_grb_ol!B:B,proc_old!C88,benchmark_gurobi_vs_cuts_grb_ol!D:D,proc_old!D88)</f>
        <v>75318.16519027765</v>
      </c>
      <c r="P88" s="3">
        <f>AVERAGEIFS(benchmark_gurobi_vs_cuts_grb_ol!Y:Y,benchmark_gurobi_vs_cuts_grb_ol!A:A,proc_old!A88,benchmark_gurobi_vs_cuts_grb_ol!C:C,proc_old!B88,benchmark_gurobi_vs_cuts_grb_ol!B:B,proc_old!C88,benchmark_gurobi_vs_cuts_grb_ol!D:D,proc_old!D88)</f>
        <v>488</v>
      </c>
      <c r="Q88" s="2">
        <f>AVERAGEIFS(benchmark_gurobi_vs_cuts_grb_ol!Z:Z,benchmark_gurobi_vs_cuts_grb_ol!A:A,proc_old!A88,benchmark_gurobi_vs_cuts_grb_ol!C:C,proc_old!B88,benchmark_gurobi_vs_cuts_grb_ol!B:B,proc_old!C88,benchmark_gurobi_vs_cuts_grb_ol!D:D,proc_old!D88)</f>
        <v>9.4117647058823555E+99</v>
      </c>
      <c r="R88" s="3">
        <f>AVERAGEIFS(benchmark_gurobi_vs_cuts_grb_ol!AA:AA,benchmark_gurobi_vs_cuts_grb_ol!A:A,proc_old!A88,benchmark_gurobi_vs_cuts_grb_ol!C:C,proc_old!B88,benchmark_gurobi_vs_cuts_grb_ol!B:B,proc_old!C88,benchmark_gurobi_vs_cuts_grb_ol!D:D,proc_old!D88)</f>
        <v>100</v>
      </c>
      <c r="Y88" t="str">
        <f t="shared" si="11"/>
        <v>$40$ &amp; $0.4$ &amp; $100/p$ &amp; $0\%$ &amp; $0$ &amp; $0$ &amp; $0\%$ &amp; $0\%$ &amp; $0$ &amp; $0$ &amp; $0\%$ &amp; $0$ &amp; $1.34\%$ &amp; $75318.17$ &amp; $488$ &amp; $9.4117647058824E+101\%$ &amp; $100$\\</v>
      </c>
    </row>
    <row r="89" spans="1:25" x14ac:dyDescent="0.2">
      <c r="L89" s="2"/>
    </row>
    <row r="90" spans="1:25" x14ac:dyDescent="0.2">
      <c r="L90" s="2"/>
    </row>
    <row r="91" spans="1:25" x14ac:dyDescent="0.2">
      <c r="A91" t="s">
        <v>36</v>
      </c>
      <c r="L91" s="2"/>
    </row>
    <row r="92" spans="1:25" x14ac:dyDescent="0.2">
      <c r="A92" s="4"/>
      <c r="B92" s="4"/>
      <c r="C92" s="4"/>
      <c r="D92" s="4"/>
      <c r="L92" s="2"/>
    </row>
    <row r="93" spans="1:25" x14ac:dyDescent="0.2">
      <c r="A93" s="4">
        <v>10</v>
      </c>
      <c r="B93" s="4">
        <v>0.1</v>
      </c>
      <c r="C93" s="4">
        <v>3</v>
      </c>
      <c r="D93" s="4">
        <v>20</v>
      </c>
      <c r="E93">
        <f>MIN(20, COUNTIFS(benchmark_gurobi_vs_cuts_grb_ol!A:A,proc_old!A93,benchmark_gurobi_vs_cuts_grb_ol!C:C,proc_old!B93,benchmark_gurobi_vs_cuts_grb_ol!B:B,proc_old!C93,benchmark_gurobi_vs_cuts_grb_ol!D:D,proc_old!D93))</f>
        <v>20</v>
      </c>
      <c r="L93" s="2">
        <f>AVERAGEIFS(benchmark_gurobi_vs_cuts_grb_ol!H:H,benchmark_gurobi_vs_cuts_grb_ol!A:A,proc_old!A93,benchmark_gurobi_vs_cuts_grb_ol!C:C,proc_old!B93,benchmark_gurobi_vs_cuts_grb_ol!B:B,proc_old!C93,benchmark_gurobi_vs_cuts_grb_ol!D:D,proc_old!D93)</f>
        <v>0.95309438165058435</v>
      </c>
      <c r="N93" s="2">
        <f>AVERAGEIFS(benchmark_gurobi_vs_cuts_grb_ol!V:V,benchmark_gurobi_vs_cuts_grb_ol!A:A,proc_old!A93,benchmark_gurobi_vs_cuts_grb_ol!C:C,proc_old!B93,benchmark_gurobi_vs_cuts_grb_ol!B:B,proc_old!C93,benchmark_gurobi_vs_cuts_grb_ol!D:D,proc_old!D93)</f>
        <v>0.95900950563674681</v>
      </c>
      <c r="O93" s="3">
        <f>AVERAGEIFS(benchmark_gurobi_vs_cuts_grb_ol!X:X,benchmark_gurobi_vs_cuts_grb_ol!A:A,proc_old!A93,benchmark_gurobi_vs_cuts_grb_ol!C:C,proc_old!B93,benchmark_gurobi_vs_cuts_grb_ol!B:B,proc_old!C93,benchmark_gurobi_vs_cuts_grb_ol!D:D,proc_old!D93)</f>
        <v>44038.781332459563</v>
      </c>
      <c r="P93" s="3">
        <f>AVERAGEIFS(benchmark_gurobi_vs_cuts_grb_ol!Y:Y,benchmark_gurobi_vs_cuts_grb_ol!A:A,proc_old!A93,benchmark_gurobi_vs_cuts_grb_ol!C:C,proc_old!B93,benchmark_gurobi_vs_cuts_grb_ol!B:B,proc_old!C93,benchmark_gurobi_vs_cuts_grb_ol!D:D,proc_old!D93)</f>
        <v>445328.96</v>
      </c>
      <c r="Q93" s="2">
        <f>AVERAGEIFS(benchmark_gurobi_vs_cuts_grb_ol!Z:Z,benchmark_gurobi_vs_cuts_grb_ol!A:A,proc_old!A93,benchmark_gurobi_vs_cuts_grb_ol!C:C,proc_old!B93,benchmark_gurobi_vs_cuts_grb_ol!B:B,proc_old!C93,benchmark_gurobi_vs_cuts_grb_ol!D:D,proc_old!D93)</f>
        <v>2.0307078326789688E-2</v>
      </c>
      <c r="R93" s="3">
        <f>AVERAGEIFS(benchmark_gurobi_vs_cuts_grb_ol!AA:AA,benchmark_gurobi_vs_cuts_grb_ol!A:A,proc_old!A93,benchmark_gurobi_vs_cuts_grb_ol!C:C,proc_old!B93,benchmark_gurobi_vs_cuts_grb_ol!B:B,proc_old!C93,benchmark_gurobi_vs_cuts_grb_ol!D:D,proc_old!D93)</f>
        <v>59.6</v>
      </c>
      <c r="Y93" t="str">
        <f t="shared" ref="Y93:Y96" si="12">CONCATENATE("$", A93, "$ &amp; $", B93, "$ &amp; $", D93, "/p$ &amp; $", 100*ROUND(T93,4), "\%$ &amp; $", ROUND(U93,2), "$ &amp; $", ROUND(V93,0), "$ &amp; $", 100*ROUND(W93,4), "\%$ &amp; $", 100*ROUND(F93,4), "\%$ &amp; $", ROUND(G93,2), "$ &amp; $", ROUND(H93,0), "$ &amp; $", 100*ROUND(I93,4), "\%$ &amp; $", ROUND(J93,1), "$ &amp; $",100*ROUND(N93,4), "\%$ &amp; $", ROUND(O93,2), "$ &amp; $", ROUND(P93,0), "$ &amp; $", 100*ROUND(Q93,4), "\%$ &amp; $", ROUND(R93,1), "$\\")</f>
        <v>$10$ &amp; $0.1$ &amp; $20/p$ &amp; $0\%$ &amp; $0$ &amp; $0$ &amp; $0\%$ &amp; $0\%$ &amp; $0$ &amp; $0$ &amp; $0\%$ &amp; $0$ &amp; $95.9\%$ &amp; $44038.78$ &amp; $445329$ &amp; $2.03\%$ &amp; $59.6$\\</v>
      </c>
    </row>
    <row r="94" spans="1:25" x14ac:dyDescent="0.2">
      <c r="A94" s="4">
        <v>10</v>
      </c>
      <c r="B94" s="4">
        <v>0.2</v>
      </c>
      <c r="C94" s="4">
        <v>3</v>
      </c>
      <c r="D94" s="4">
        <v>20</v>
      </c>
      <c r="E94">
        <f>MIN(20, COUNTIFS(benchmark_gurobi_vs_cuts_grb_ol!A:A,proc_old!A94,benchmark_gurobi_vs_cuts_grb_ol!C:C,proc_old!B94,benchmark_gurobi_vs_cuts_grb_ol!B:B,proc_old!C94,benchmark_gurobi_vs_cuts_grb_ol!D:D,proc_old!D94))</f>
        <v>20</v>
      </c>
      <c r="L94" s="2">
        <f>AVERAGEIFS(benchmark_gurobi_vs_cuts_grb_ol!H:H,benchmark_gurobi_vs_cuts_grb_ol!A:A,proc_old!A94,benchmark_gurobi_vs_cuts_grb_ol!C:C,proc_old!B94,benchmark_gurobi_vs_cuts_grb_ol!B:B,proc_old!C94,benchmark_gurobi_vs_cuts_grb_ol!D:D,proc_old!D94)</f>
        <v>0.8881384187274638</v>
      </c>
      <c r="N94" s="2">
        <f>AVERAGEIFS(benchmark_gurobi_vs_cuts_grb_ol!V:V,benchmark_gurobi_vs_cuts_grb_ol!A:A,proc_old!A94,benchmark_gurobi_vs_cuts_grb_ol!C:C,proc_old!B94,benchmark_gurobi_vs_cuts_grb_ol!B:B,proc_old!C94,benchmark_gurobi_vs_cuts_grb_ol!D:D,proc_old!D94)</f>
        <v>0.90172473221872196</v>
      </c>
      <c r="O94" s="3">
        <f>AVERAGEIFS(benchmark_gurobi_vs_cuts_grb_ol!X:X,benchmark_gurobi_vs_cuts_grb_ol!A:A,proc_old!A94,benchmark_gurobi_vs_cuts_grb_ol!C:C,proc_old!B94,benchmark_gurobi_vs_cuts_grb_ol!B:B,proc_old!C94,benchmark_gurobi_vs_cuts_grb_ol!D:D,proc_old!D94)</f>
        <v>62193.948960819303</v>
      </c>
      <c r="P94" s="3">
        <f>AVERAGEIFS(benchmark_gurobi_vs_cuts_grb_ol!Y:Y,benchmark_gurobi_vs_cuts_grb_ol!A:A,proc_old!A94,benchmark_gurobi_vs_cuts_grb_ol!C:C,proc_old!B94,benchmark_gurobi_vs_cuts_grb_ol!B:B,proc_old!C94,benchmark_gurobi_vs_cuts_grb_ol!D:D,proc_old!D94)</f>
        <v>365889.18181818182</v>
      </c>
      <c r="Q94" s="2">
        <f>AVERAGEIFS(benchmark_gurobi_vs_cuts_grb_ol!Z:Z,benchmark_gurobi_vs_cuts_grb_ol!A:A,proc_old!A94,benchmark_gurobi_vs_cuts_grb_ol!C:C,proc_old!B94,benchmark_gurobi_vs_cuts_grb_ol!B:B,proc_old!C94,benchmark_gurobi_vs_cuts_grb_ol!D:D,proc_old!D94)</f>
        <v>0.12652160153152259</v>
      </c>
      <c r="R94" s="3">
        <f>AVERAGEIFS(benchmark_gurobi_vs_cuts_grb_ol!AA:AA,benchmark_gurobi_vs_cuts_grb_ol!A:A,proc_old!A94,benchmark_gurobi_vs_cuts_grb_ol!C:C,proc_old!B94,benchmark_gurobi_vs_cuts_grb_ol!B:B,proc_old!C94,benchmark_gurobi_vs_cuts_grb_ol!D:D,proc_old!D94)</f>
        <v>84.727272727272734</v>
      </c>
      <c r="Y94" t="str">
        <f t="shared" si="12"/>
        <v>$10$ &amp; $0.2$ &amp; $20/p$ &amp; $0\%$ &amp; $0$ &amp; $0$ &amp; $0\%$ &amp; $0\%$ &amp; $0$ &amp; $0$ &amp; $0\%$ &amp; $0$ &amp; $90.17\%$ &amp; $62193.95$ &amp; $365889$ &amp; $12.65\%$ &amp; $84.7$\\</v>
      </c>
    </row>
    <row r="95" spans="1:25" x14ac:dyDescent="0.2">
      <c r="A95" s="4">
        <v>10</v>
      </c>
      <c r="B95" s="4">
        <v>0.3</v>
      </c>
      <c r="C95" s="4">
        <v>3</v>
      </c>
      <c r="D95" s="4">
        <v>20</v>
      </c>
      <c r="E95">
        <f>MIN(20, COUNTIFS(benchmark_gurobi_vs_cuts_grb_ol!A:A,proc_old!A95,benchmark_gurobi_vs_cuts_grb_ol!C:C,proc_old!B95,benchmark_gurobi_vs_cuts_grb_ol!B:B,proc_old!C95,benchmark_gurobi_vs_cuts_grb_ol!D:D,proc_old!D95))</f>
        <v>20</v>
      </c>
      <c r="L95" s="2">
        <f>AVERAGEIFS(benchmark_gurobi_vs_cuts_grb_ol!H:H,benchmark_gurobi_vs_cuts_grb_ol!A:A,proc_old!A95,benchmark_gurobi_vs_cuts_grb_ol!C:C,proc_old!B95,benchmark_gurobi_vs_cuts_grb_ol!B:B,proc_old!C95,benchmark_gurobi_vs_cuts_grb_ol!D:D,proc_old!D95)</f>
        <v>0.82489307524018374</v>
      </c>
      <c r="N95" s="2">
        <f>AVERAGEIFS(benchmark_gurobi_vs_cuts_grb_ol!V:V,benchmark_gurobi_vs_cuts_grb_ol!A:A,proc_old!A95,benchmark_gurobi_vs_cuts_grb_ol!C:C,proc_old!B95,benchmark_gurobi_vs_cuts_grb_ol!B:B,proc_old!C95,benchmark_gurobi_vs_cuts_grb_ol!D:D,proc_old!D95)</f>
        <v>0.82739530406546669</v>
      </c>
      <c r="O95" s="3">
        <f>AVERAGEIFS(benchmark_gurobi_vs_cuts_grb_ol!X:X,benchmark_gurobi_vs_cuts_grb_ol!A:A,proc_old!A95,benchmark_gurobi_vs_cuts_grb_ol!C:C,proc_old!B95,benchmark_gurobi_vs_cuts_grb_ol!B:B,proc_old!C95,benchmark_gurobi_vs_cuts_grb_ol!D:D,proc_old!D95)</f>
        <v>75375.187453756109</v>
      </c>
      <c r="P95" s="3">
        <f>AVERAGEIFS(benchmark_gurobi_vs_cuts_grb_ol!Y:Y,benchmark_gurobi_vs_cuts_grb_ol!A:A,proc_old!A95,benchmark_gurobi_vs_cuts_grb_ol!C:C,proc_old!B95,benchmark_gurobi_vs_cuts_grb_ol!B:B,proc_old!C95,benchmark_gurobi_vs_cuts_grb_ol!D:D,proc_old!D95)</f>
        <v>397576.38461538462</v>
      </c>
      <c r="Q95" s="2">
        <f>AVERAGEIFS(benchmark_gurobi_vs_cuts_grb_ol!Z:Z,benchmark_gurobi_vs_cuts_grb_ol!A:A,proc_old!A95,benchmark_gurobi_vs_cuts_grb_ol!C:C,proc_old!B95,benchmark_gurobi_vs_cuts_grb_ol!B:B,proc_old!C95,benchmark_gurobi_vs_cuts_grb_ol!D:D,proc_old!D95)</f>
        <v>0.30823004910937707</v>
      </c>
      <c r="R95" s="3">
        <f>AVERAGEIFS(benchmark_gurobi_vs_cuts_grb_ol!AA:AA,benchmark_gurobi_vs_cuts_grb_ol!A:A,proc_old!A95,benchmark_gurobi_vs_cuts_grb_ol!C:C,proc_old!B95,benchmark_gurobi_vs_cuts_grb_ol!B:B,proc_old!C95,benchmark_gurobi_vs_cuts_grb_ol!D:D,proc_old!D95)</f>
        <v>100</v>
      </c>
      <c r="Y95" t="str">
        <f t="shared" si="12"/>
        <v>$10$ &amp; $0.3$ &amp; $20/p$ &amp; $0\%$ &amp; $0$ &amp; $0$ &amp; $0\%$ &amp; $0\%$ &amp; $0$ &amp; $0$ &amp; $0\%$ &amp; $0$ &amp; $82.74\%$ &amp; $75375.19$ &amp; $397576$ &amp; $30.82\%$ &amp; $100$\\</v>
      </c>
    </row>
    <row r="96" spans="1:25" x14ac:dyDescent="0.2">
      <c r="A96" s="4">
        <v>10</v>
      </c>
      <c r="B96" s="4">
        <v>0.4</v>
      </c>
      <c r="C96" s="4">
        <v>3</v>
      </c>
      <c r="D96" s="4">
        <v>20</v>
      </c>
      <c r="E96">
        <f>MIN(20, COUNTIFS(benchmark_gurobi_vs_cuts_grb_ol!A:A,proc_old!A96,benchmark_gurobi_vs_cuts_grb_ol!C:C,proc_old!B96,benchmark_gurobi_vs_cuts_grb_ol!B:B,proc_old!C96,benchmark_gurobi_vs_cuts_grb_ol!D:D,proc_old!D96))</f>
        <v>20</v>
      </c>
      <c r="L96" s="2">
        <f>AVERAGEIFS(benchmark_gurobi_vs_cuts_grb_ol!H:H,benchmark_gurobi_vs_cuts_grb_ol!A:A,proc_old!A96,benchmark_gurobi_vs_cuts_grb_ol!C:C,proc_old!B96,benchmark_gurobi_vs_cuts_grb_ol!B:B,proc_old!C96,benchmark_gurobi_vs_cuts_grb_ol!D:D,proc_old!D96)</f>
        <v>0.71072957331306885</v>
      </c>
      <c r="N96" s="2">
        <f>AVERAGEIFS(benchmark_gurobi_vs_cuts_grb_ol!V:V,benchmark_gurobi_vs_cuts_grb_ol!A:A,proc_old!A96,benchmark_gurobi_vs_cuts_grb_ol!C:C,proc_old!B96,benchmark_gurobi_vs_cuts_grb_ol!B:B,proc_old!C96,benchmark_gurobi_vs_cuts_grb_ol!D:D,proc_old!D96)</f>
        <v>0.70705800234393634</v>
      </c>
      <c r="O96" s="3">
        <f>AVERAGEIFS(benchmark_gurobi_vs_cuts_grb_ol!X:X,benchmark_gurobi_vs_cuts_grb_ol!A:A,proc_old!A96,benchmark_gurobi_vs_cuts_grb_ol!C:C,proc_old!B96,benchmark_gurobi_vs_cuts_grb_ol!B:B,proc_old!C96,benchmark_gurobi_vs_cuts_grb_ol!D:D,proc_old!D96)</f>
        <v>75720.436577348621</v>
      </c>
      <c r="P96" s="3">
        <f>AVERAGEIFS(benchmark_gurobi_vs_cuts_grb_ol!Y:Y,benchmark_gurobi_vs_cuts_grb_ol!A:A,proc_old!A96,benchmark_gurobi_vs_cuts_grb_ol!C:C,proc_old!B96,benchmark_gurobi_vs_cuts_grb_ol!B:B,proc_old!C96,benchmark_gurobi_vs_cuts_grb_ol!D:D,proc_old!D96)</f>
        <v>417007.46153846156</v>
      </c>
      <c r="Q96" s="2">
        <f>AVERAGEIFS(benchmark_gurobi_vs_cuts_grb_ol!Z:Z,benchmark_gurobi_vs_cuts_grb_ol!A:A,proc_old!A96,benchmark_gurobi_vs_cuts_grb_ol!C:C,proc_old!B96,benchmark_gurobi_vs_cuts_grb_ol!B:B,proc_old!C96,benchmark_gurobi_vs_cuts_grb_ol!D:D,proc_old!D96)</f>
        <v>0.53147734547871484</v>
      </c>
      <c r="R96" s="3">
        <f>AVERAGEIFS(benchmark_gurobi_vs_cuts_grb_ol!AA:AA,benchmark_gurobi_vs_cuts_grb_ol!A:A,proc_old!A96,benchmark_gurobi_vs_cuts_grb_ol!C:C,proc_old!B96,benchmark_gurobi_vs_cuts_grb_ol!B:B,proc_old!C96,benchmark_gurobi_vs_cuts_grb_ol!D:D,proc_old!D96)</f>
        <v>100</v>
      </c>
      <c r="Y96" t="str">
        <f t="shared" si="12"/>
        <v>$10$ &amp; $0.4$ &amp; $20/p$ &amp; $0\%$ &amp; $0$ &amp; $0$ &amp; $0\%$ &amp; $0\%$ &amp; $0$ &amp; $0$ &amp; $0\%$ &amp; $0$ &amp; $70.71\%$ &amp; $75720.44$ &amp; $417007$ &amp; $53.15\%$ &amp; $100$\\</v>
      </c>
    </row>
    <row r="97" spans="1:25" x14ac:dyDescent="0.2">
      <c r="A97" s="4"/>
      <c r="B97" s="4"/>
      <c r="C97" s="4"/>
      <c r="D97" s="4"/>
      <c r="L97" s="2"/>
    </row>
    <row r="98" spans="1:25" x14ac:dyDescent="0.2">
      <c r="A98" s="4">
        <v>20</v>
      </c>
      <c r="B98" s="4">
        <v>0.1</v>
      </c>
      <c r="C98" s="4">
        <v>3</v>
      </c>
      <c r="D98" s="4">
        <v>20</v>
      </c>
      <c r="E98">
        <f>MIN(20, COUNTIFS(benchmark_gurobi_vs_cuts_grb_ol!A:A,proc_old!A98,benchmark_gurobi_vs_cuts_grb_ol!C:C,proc_old!B98,benchmark_gurobi_vs_cuts_grb_ol!B:B,proc_old!C98,benchmark_gurobi_vs_cuts_grb_ol!D:D,proc_old!D98))</f>
        <v>20</v>
      </c>
      <c r="L98" s="2">
        <f>AVERAGEIFS(benchmark_gurobi_vs_cuts_grb_ol!H:H,benchmark_gurobi_vs_cuts_grb_ol!A:A,proc_old!A98,benchmark_gurobi_vs_cuts_grb_ol!C:C,proc_old!B98,benchmark_gurobi_vs_cuts_grb_ol!B:B,proc_old!C98,benchmark_gurobi_vs_cuts_grb_ol!D:D,proc_old!D98)</f>
        <v>0.98682968357418122</v>
      </c>
      <c r="N98" s="2">
        <f>AVERAGEIFS(benchmark_gurobi_vs_cuts_grb_ol!V:V,benchmark_gurobi_vs_cuts_grb_ol!A:A,proc_old!A98,benchmark_gurobi_vs_cuts_grb_ol!C:C,proc_old!B98,benchmark_gurobi_vs_cuts_grb_ol!B:B,proc_old!C98,benchmark_gurobi_vs_cuts_grb_ol!D:D,proc_old!D98)</f>
        <v>1.0106325569475734</v>
      </c>
      <c r="O98" s="3">
        <f>AVERAGEIFS(benchmark_gurobi_vs_cuts_grb_ol!X:X,benchmark_gurobi_vs_cuts_grb_ol!A:A,proc_old!A98,benchmark_gurobi_vs_cuts_grb_ol!C:C,proc_old!B98,benchmark_gurobi_vs_cuts_grb_ol!B:B,proc_old!C98,benchmark_gurobi_vs_cuts_grb_ol!D:D,proc_old!D98)</f>
        <v>68815.354476699082</v>
      </c>
      <c r="P98" s="3">
        <f>AVERAGEIFS(benchmark_gurobi_vs_cuts_grb_ol!Y:Y,benchmark_gurobi_vs_cuts_grb_ol!A:A,proc_old!A98,benchmark_gurobi_vs_cuts_grb_ol!C:C,proc_old!B98,benchmark_gurobi_vs_cuts_grb_ol!B:B,proc_old!C98,benchmark_gurobi_vs_cuts_grb_ol!D:D,proc_old!D98)</f>
        <v>112430.60869565218</v>
      </c>
      <c r="Q98" s="2">
        <f>AVERAGEIFS(benchmark_gurobi_vs_cuts_grb_ol!Z:Z,benchmark_gurobi_vs_cuts_grb_ol!A:A,proc_old!A98,benchmark_gurobi_vs_cuts_grb_ol!C:C,proc_old!B98,benchmark_gurobi_vs_cuts_grb_ol!B:B,proc_old!C98,benchmark_gurobi_vs_cuts_grb_ol!D:D,proc_old!D98)</f>
        <v>3.1880171375992535E-2</v>
      </c>
      <c r="R98" s="3">
        <f>AVERAGEIFS(benchmark_gurobi_vs_cuts_grb_ol!AA:AA,benchmark_gurobi_vs_cuts_grb_ol!A:A,proc_old!A98,benchmark_gurobi_vs_cuts_grb_ol!C:C,proc_old!B98,benchmark_gurobi_vs_cuts_grb_ol!B:B,proc_old!C98,benchmark_gurobi_vs_cuts_grb_ol!D:D,proc_old!D98)</f>
        <v>91.391304347826093</v>
      </c>
      <c r="Y98" t="str">
        <f t="shared" ref="Y98:Y101" si="13">CONCATENATE("$", A98, "$ &amp; $", B98, "$ &amp; $", D98, "/p$ &amp; $", 100*ROUND(T98,4), "\%$ &amp; $", ROUND(U98,2), "$ &amp; $", ROUND(V98,0), "$ &amp; $", 100*ROUND(W98,4), "\%$ &amp; $", 100*ROUND(F98,4), "\%$ &amp; $", ROUND(G98,2), "$ &amp; $", ROUND(H98,0), "$ &amp; $", 100*ROUND(I98,4), "\%$ &amp; $", ROUND(J98,1), "$ &amp; $",100*ROUND(N98,4), "\%$ &amp; $", ROUND(O98,2), "$ &amp; $", ROUND(P98,0), "$ &amp; $", 100*ROUND(Q98,4), "\%$ &amp; $", ROUND(R98,1), "$\\")</f>
        <v>$20$ &amp; $0.1$ &amp; $20/p$ &amp; $0\%$ &amp; $0$ &amp; $0$ &amp; $0\%$ &amp; $0\%$ &amp; $0$ &amp; $0$ &amp; $0\%$ &amp; $0$ &amp; $101.06\%$ &amp; $68815.35$ &amp; $112431$ &amp; $3.19\%$ &amp; $91.4$\\</v>
      </c>
    </row>
    <row r="99" spans="1:25" x14ac:dyDescent="0.2">
      <c r="A99" s="4">
        <v>20</v>
      </c>
      <c r="B99" s="4">
        <v>0.2</v>
      </c>
      <c r="C99" s="4">
        <v>3</v>
      </c>
      <c r="D99" s="4">
        <v>20</v>
      </c>
      <c r="E99">
        <f>MIN(20, COUNTIFS(benchmark_gurobi_vs_cuts_grb_ol!A:A,proc_old!A99,benchmark_gurobi_vs_cuts_grb_ol!C:C,proc_old!B99,benchmark_gurobi_vs_cuts_grb_ol!B:B,proc_old!C99,benchmark_gurobi_vs_cuts_grb_ol!D:D,proc_old!D99))</f>
        <v>20</v>
      </c>
      <c r="L99" s="2">
        <f>AVERAGEIFS(benchmark_gurobi_vs_cuts_grb_ol!H:H,benchmark_gurobi_vs_cuts_grb_ol!A:A,proc_old!A99,benchmark_gurobi_vs_cuts_grb_ol!C:C,proc_old!B99,benchmark_gurobi_vs_cuts_grb_ol!B:B,proc_old!C99,benchmark_gurobi_vs_cuts_grb_ol!D:D,proc_old!D99)</f>
        <v>0.89908249146227726</v>
      </c>
      <c r="N99" s="2">
        <f>AVERAGEIFS(benchmark_gurobi_vs_cuts_grb_ol!V:V,benchmark_gurobi_vs_cuts_grb_ol!A:A,proc_old!A99,benchmark_gurobi_vs_cuts_grb_ol!C:C,proc_old!B99,benchmark_gurobi_vs_cuts_grb_ol!B:B,proc_old!C99,benchmark_gurobi_vs_cuts_grb_ol!D:D,proc_old!D99)</f>
        <v>0.90392833634524161</v>
      </c>
      <c r="O99" s="3">
        <f>AVERAGEIFS(benchmark_gurobi_vs_cuts_grb_ol!X:X,benchmark_gurobi_vs_cuts_grb_ol!A:A,proc_old!A99,benchmark_gurobi_vs_cuts_grb_ol!C:C,proc_old!B99,benchmark_gurobi_vs_cuts_grb_ol!B:B,proc_old!C99,benchmark_gurobi_vs_cuts_grb_ol!D:D,proc_old!D99)</f>
        <v>76036.136853645978</v>
      </c>
      <c r="P99" s="3">
        <f>AVERAGEIFS(benchmark_gurobi_vs_cuts_grb_ol!Y:Y,benchmark_gurobi_vs_cuts_grb_ol!A:A,proc_old!A99,benchmark_gurobi_vs_cuts_grb_ol!C:C,proc_old!B99,benchmark_gurobi_vs_cuts_grb_ol!B:B,proc_old!C99,benchmark_gurobi_vs_cuts_grb_ol!D:D,proc_old!D99)</f>
        <v>45171.523809523809</v>
      </c>
      <c r="Q99" s="2">
        <f>AVERAGEIFS(benchmark_gurobi_vs_cuts_grb_ol!Z:Z,benchmark_gurobi_vs_cuts_grb_ol!A:A,proc_old!A99,benchmark_gurobi_vs_cuts_grb_ol!C:C,proc_old!B99,benchmark_gurobi_vs_cuts_grb_ol!B:B,proc_old!C99,benchmark_gurobi_vs_cuts_grb_ol!D:D,proc_old!D99)</f>
        <v>0.56285266605090079</v>
      </c>
      <c r="R99" s="3">
        <f>AVERAGEIFS(benchmark_gurobi_vs_cuts_grb_ol!AA:AA,benchmark_gurobi_vs_cuts_grb_ol!A:A,proc_old!A99,benchmark_gurobi_vs_cuts_grb_ol!C:C,proc_old!B99,benchmark_gurobi_vs_cuts_grb_ol!B:B,proc_old!C99,benchmark_gurobi_vs_cuts_grb_ol!D:D,proc_old!D99)</f>
        <v>100</v>
      </c>
      <c r="Y99" t="str">
        <f t="shared" si="13"/>
        <v>$20$ &amp; $0.2$ &amp; $20/p$ &amp; $0\%$ &amp; $0$ &amp; $0$ &amp; $0\%$ &amp; $0\%$ &amp; $0$ &amp; $0$ &amp; $0\%$ &amp; $0$ &amp; $90.39\%$ &amp; $76036.14$ &amp; $45172$ &amp; $56.29\%$ &amp; $100$\\</v>
      </c>
    </row>
    <row r="100" spans="1:25" x14ac:dyDescent="0.2">
      <c r="A100" s="4">
        <v>20</v>
      </c>
      <c r="B100" s="4">
        <v>0.3</v>
      </c>
      <c r="C100" s="4">
        <v>3</v>
      </c>
      <c r="D100" s="4">
        <v>20</v>
      </c>
      <c r="E100">
        <f>MIN(20, COUNTIFS(benchmark_gurobi_vs_cuts_grb_ol!A:A,proc_old!A100,benchmark_gurobi_vs_cuts_grb_ol!C:C,proc_old!B100,benchmark_gurobi_vs_cuts_grb_ol!B:B,proc_old!C100,benchmark_gurobi_vs_cuts_grb_ol!D:D,proc_old!D100))</f>
        <v>20</v>
      </c>
      <c r="L100" s="2">
        <f>AVERAGEIFS(benchmark_gurobi_vs_cuts_grb_ol!H:H,benchmark_gurobi_vs_cuts_grb_ol!A:A,proc_old!A100,benchmark_gurobi_vs_cuts_grb_ol!C:C,proc_old!B100,benchmark_gurobi_vs_cuts_grb_ol!B:B,proc_old!C100,benchmark_gurobi_vs_cuts_grb_ol!D:D,proc_old!D100)</f>
        <v>0.4975746099203569</v>
      </c>
      <c r="N100" s="2">
        <f>AVERAGEIFS(benchmark_gurobi_vs_cuts_grb_ol!V:V,benchmark_gurobi_vs_cuts_grb_ol!A:A,proc_old!A100,benchmark_gurobi_vs_cuts_grb_ol!C:C,proc_old!B100,benchmark_gurobi_vs_cuts_grb_ol!B:B,proc_old!C100,benchmark_gurobi_vs_cuts_grb_ol!D:D,proc_old!D100)</f>
        <v>0.49346010195008949</v>
      </c>
      <c r="O100" s="3">
        <f>AVERAGEIFS(benchmark_gurobi_vs_cuts_grb_ol!X:X,benchmark_gurobi_vs_cuts_grb_ol!A:A,proc_old!A100,benchmark_gurobi_vs_cuts_grb_ol!C:C,proc_old!B100,benchmark_gurobi_vs_cuts_grb_ol!B:B,proc_old!C100,benchmark_gurobi_vs_cuts_grb_ol!D:D,proc_old!D100)</f>
        <v>76203.408675107567</v>
      </c>
      <c r="P100" s="3">
        <f>AVERAGEIFS(benchmark_gurobi_vs_cuts_grb_ol!Y:Y,benchmark_gurobi_vs_cuts_grb_ol!A:A,proc_old!A100,benchmark_gurobi_vs_cuts_grb_ol!C:C,proc_old!B100,benchmark_gurobi_vs_cuts_grb_ol!B:B,proc_old!C100,benchmark_gurobi_vs_cuts_grb_ol!D:D,proc_old!D100)</f>
        <v>49014.956521739128</v>
      </c>
      <c r="Q100" s="2">
        <f>AVERAGEIFS(benchmark_gurobi_vs_cuts_grb_ol!Z:Z,benchmark_gurobi_vs_cuts_grb_ol!A:A,proc_old!A100,benchmark_gurobi_vs_cuts_grb_ol!C:C,proc_old!B100,benchmark_gurobi_vs_cuts_grb_ol!B:B,proc_old!C100,benchmark_gurobi_vs_cuts_grb_ol!D:D,proc_old!D100)</f>
        <v>1.9617518921304065</v>
      </c>
      <c r="R100" s="3">
        <f>AVERAGEIFS(benchmark_gurobi_vs_cuts_grb_ol!AA:AA,benchmark_gurobi_vs_cuts_grb_ol!A:A,proc_old!A100,benchmark_gurobi_vs_cuts_grb_ol!C:C,proc_old!B100,benchmark_gurobi_vs_cuts_grb_ol!B:B,proc_old!C100,benchmark_gurobi_vs_cuts_grb_ol!D:D,proc_old!D100)</f>
        <v>100</v>
      </c>
      <c r="Y100" t="str">
        <f t="shared" si="13"/>
        <v>$20$ &amp; $0.3$ &amp; $20/p$ &amp; $0\%$ &amp; $0$ &amp; $0$ &amp; $0\%$ &amp; $0\%$ &amp; $0$ &amp; $0$ &amp; $0\%$ &amp; $0$ &amp; $49.35\%$ &amp; $76203.41$ &amp; $49015$ &amp; $196.18\%$ &amp; $100$\\</v>
      </c>
    </row>
    <row r="101" spans="1:25" x14ac:dyDescent="0.2">
      <c r="A101" s="4">
        <v>20</v>
      </c>
      <c r="B101" s="4">
        <v>0.4</v>
      </c>
      <c r="C101" s="4">
        <v>3</v>
      </c>
      <c r="D101" s="4">
        <v>20</v>
      </c>
      <c r="E101">
        <f>MIN(20, COUNTIFS(benchmark_gurobi_vs_cuts_grb_ol!A:A,proc_old!A101,benchmark_gurobi_vs_cuts_grb_ol!C:C,proc_old!B101,benchmark_gurobi_vs_cuts_grb_ol!B:B,proc_old!C101,benchmark_gurobi_vs_cuts_grb_ol!D:D,proc_old!D101))</f>
        <v>20</v>
      </c>
      <c r="L101" s="2">
        <f>AVERAGEIFS(benchmark_gurobi_vs_cuts_grb_ol!H:H,benchmark_gurobi_vs_cuts_grb_ol!A:A,proc_old!A101,benchmark_gurobi_vs_cuts_grb_ol!C:C,proc_old!B101,benchmark_gurobi_vs_cuts_grb_ol!B:B,proc_old!C101,benchmark_gurobi_vs_cuts_grb_ol!D:D,proc_old!D101)</f>
        <v>0.23848095510521297</v>
      </c>
      <c r="N101" s="2">
        <f>AVERAGEIFS(benchmark_gurobi_vs_cuts_grb_ol!V:V,benchmark_gurobi_vs_cuts_grb_ol!A:A,proc_old!A101,benchmark_gurobi_vs_cuts_grb_ol!C:C,proc_old!B101,benchmark_gurobi_vs_cuts_grb_ol!B:B,proc_old!C101,benchmark_gurobi_vs_cuts_grb_ol!D:D,proc_old!D101)</f>
        <v>0.22103778098200413</v>
      </c>
      <c r="O101" s="3">
        <f>AVERAGEIFS(benchmark_gurobi_vs_cuts_grb_ol!X:X,benchmark_gurobi_vs_cuts_grb_ol!A:A,proc_old!A101,benchmark_gurobi_vs_cuts_grb_ol!C:C,proc_old!B101,benchmark_gurobi_vs_cuts_grb_ol!B:B,proc_old!C101,benchmark_gurobi_vs_cuts_grb_ol!D:D,proc_old!D101)</f>
        <v>75868.288793178872</v>
      </c>
      <c r="P101" s="3">
        <f>AVERAGEIFS(benchmark_gurobi_vs_cuts_grb_ol!Y:Y,benchmark_gurobi_vs_cuts_grb_ol!A:A,proc_old!A101,benchmark_gurobi_vs_cuts_grb_ol!C:C,proc_old!B101,benchmark_gurobi_vs_cuts_grb_ol!B:B,proc_old!C101,benchmark_gurobi_vs_cuts_grb_ol!D:D,proc_old!D101)</f>
        <v>34632.909090909088</v>
      </c>
      <c r="Q101" s="2">
        <f>AVERAGEIFS(benchmark_gurobi_vs_cuts_grb_ol!Z:Z,benchmark_gurobi_vs_cuts_grb_ol!A:A,proc_old!A101,benchmark_gurobi_vs_cuts_grb_ol!C:C,proc_old!B101,benchmark_gurobi_vs_cuts_grb_ol!B:B,proc_old!C101,benchmark_gurobi_vs_cuts_grb_ol!D:D,proc_old!D101)</f>
        <v>3.3699414433458572</v>
      </c>
      <c r="R101" s="3">
        <f>AVERAGEIFS(benchmark_gurobi_vs_cuts_grb_ol!AA:AA,benchmark_gurobi_vs_cuts_grb_ol!A:A,proc_old!A101,benchmark_gurobi_vs_cuts_grb_ol!C:C,proc_old!B101,benchmark_gurobi_vs_cuts_grb_ol!B:B,proc_old!C101,benchmark_gurobi_vs_cuts_grb_ol!D:D,proc_old!D101)</f>
        <v>100</v>
      </c>
      <c r="Y101" t="str">
        <f t="shared" si="13"/>
        <v>$20$ &amp; $0.4$ &amp; $20/p$ &amp; $0\%$ &amp; $0$ &amp; $0$ &amp; $0\%$ &amp; $0\%$ &amp; $0$ &amp; $0$ &amp; $0\%$ &amp; $0$ &amp; $22.1\%$ &amp; $75868.29$ &amp; $34633$ &amp; $336.99\%$ &amp; $100$\\</v>
      </c>
    </row>
    <row r="102" spans="1:25" x14ac:dyDescent="0.2">
      <c r="A102" s="4"/>
      <c r="B102" s="4"/>
      <c r="C102" s="4"/>
      <c r="D102" s="4"/>
      <c r="L102" s="2"/>
    </row>
    <row r="103" spans="1:25" x14ac:dyDescent="0.2">
      <c r="A103" s="4">
        <v>30</v>
      </c>
      <c r="B103" s="4">
        <v>0.1</v>
      </c>
      <c r="C103" s="4">
        <v>3</v>
      </c>
      <c r="D103" s="4">
        <v>20</v>
      </c>
      <c r="E103">
        <f>MIN(20, COUNTIFS(benchmark_gurobi_vs_cuts_grb_ol!A:A,proc_old!A103,benchmark_gurobi_vs_cuts_grb_ol!C:C,proc_old!B103,benchmark_gurobi_vs_cuts_grb_ol!B:B,proc_old!C103,benchmark_gurobi_vs_cuts_grb_ol!D:D,proc_old!D103))</f>
        <v>3</v>
      </c>
      <c r="L103" s="2">
        <f>AVERAGEIFS(benchmark_gurobi_vs_cuts_grb_ol!H:H,benchmark_gurobi_vs_cuts_grb_ol!A:A,proc_old!A103,benchmark_gurobi_vs_cuts_grb_ol!C:C,proc_old!B103,benchmark_gurobi_vs_cuts_grb_ol!B:B,proc_old!C103,benchmark_gurobi_vs_cuts_grb_ol!D:D,proc_old!D103)</f>
        <v>0.98263886005108514</v>
      </c>
      <c r="N103" s="2">
        <f>AVERAGEIFS(benchmark_gurobi_vs_cuts_grb_ol!V:V,benchmark_gurobi_vs_cuts_grb_ol!A:A,proc_old!A103,benchmark_gurobi_vs_cuts_grb_ol!C:C,proc_old!B103,benchmark_gurobi_vs_cuts_grb_ol!B:B,proc_old!C103,benchmark_gurobi_vs_cuts_grb_ol!D:D,proc_old!D103)</f>
        <v>0.98521973496141146</v>
      </c>
      <c r="O103" s="3">
        <f>AVERAGEIFS(benchmark_gurobi_vs_cuts_grb_ol!X:X,benchmark_gurobi_vs_cuts_grb_ol!A:A,proc_old!A103,benchmark_gurobi_vs_cuts_grb_ol!C:C,proc_old!B103,benchmark_gurobi_vs_cuts_grb_ol!B:B,proc_old!C103,benchmark_gurobi_vs_cuts_grb_ol!D:D,proc_old!D103)</f>
        <v>76182.953891130659</v>
      </c>
      <c r="P103" s="3">
        <f>AVERAGEIFS(benchmark_gurobi_vs_cuts_grb_ol!Y:Y,benchmark_gurobi_vs_cuts_grb_ol!A:A,proc_old!A103,benchmark_gurobi_vs_cuts_grb_ol!C:C,proc_old!B103,benchmark_gurobi_vs_cuts_grb_ol!B:B,proc_old!C103,benchmark_gurobi_vs_cuts_grb_ol!D:D,proc_old!D103)</f>
        <v>18813.333333333332</v>
      </c>
      <c r="Q103" s="2">
        <f>AVERAGEIFS(benchmark_gurobi_vs_cuts_grb_ol!Z:Z,benchmark_gurobi_vs_cuts_grb_ol!A:A,proc_old!A103,benchmark_gurobi_vs_cuts_grb_ol!C:C,proc_old!B103,benchmark_gurobi_vs_cuts_grb_ol!B:B,proc_old!C103,benchmark_gurobi_vs_cuts_grb_ol!D:D,proc_old!D103)</f>
        <v>0.20023485858913267</v>
      </c>
      <c r="R103" s="3">
        <f>AVERAGEIFS(benchmark_gurobi_vs_cuts_grb_ol!AA:AA,benchmark_gurobi_vs_cuts_grb_ol!A:A,proc_old!A103,benchmark_gurobi_vs_cuts_grb_ol!C:C,proc_old!B103,benchmark_gurobi_vs_cuts_grb_ol!B:B,proc_old!C103,benchmark_gurobi_vs_cuts_grb_ol!D:D,proc_old!D103)</f>
        <v>100</v>
      </c>
      <c r="Y103" t="str">
        <f t="shared" ref="Y103:Y106" si="14">CONCATENATE("$", A103, "$ &amp; $", B103, "$ &amp; $", D103, "/p$ &amp; $", 100*ROUND(T103,4), "\%$ &amp; $", ROUND(U103,2), "$ &amp; $", ROUND(V103,0), "$ &amp; $", 100*ROUND(W103,4), "\%$ &amp; $", 100*ROUND(F103,4), "\%$ &amp; $", ROUND(G103,2), "$ &amp; $", ROUND(H103,0), "$ &amp; $", 100*ROUND(I103,4), "\%$ &amp; $", ROUND(J103,1), "$ &amp; $",100*ROUND(N103,4), "\%$ &amp; $", ROUND(O103,2), "$ &amp; $", ROUND(P103,0), "$ &amp; $", 100*ROUND(Q103,4), "\%$ &amp; $", ROUND(R103,1), "$\\")</f>
        <v>$30$ &amp; $0.1$ &amp; $20/p$ &amp; $0\%$ &amp; $0$ &amp; $0$ &amp; $0\%$ &amp; $0\%$ &amp; $0$ &amp; $0$ &amp; $0\%$ &amp; $0$ &amp; $98.52\%$ &amp; $76182.95$ &amp; $18813$ &amp; $20.02\%$ &amp; $100$\\</v>
      </c>
    </row>
    <row r="104" spans="1:25" x14ac:dyDescent="0.2">
      <c r="A104" s="4">
        <v>30</v>
      </c>
      <c r="B104" s="4">
        <v>0.2</v>
      </c>
      <c r="C104" s="4">
        <v>3</v>
      </c>
      <c r="D104" s="4">
        <v>20</v>
      </c>
      <c r="E104">
        <f>MIN(20, COUNTIFS(benchmark_gurobi_vs_cuts_grb_ol!A:A,proc_old!A104,benchmark_gurobi_vs_cuts_grb_ol!C:C,proc_old!B104,benchmark_gurobi_vs_cuts_grb_ol!B:B,proc_old!C104,benchmark_gurobi_vs_cuts_grb_ol!D:D,proc_old!D104))</f>
        <v>1</v>
      </c>
      <c r="L104" s="2">
        <f>AVERAGEIFS(benchmark_gurobi_vs_cuts_grb_ol!H:H,benchmark_gurobi_vs_cuts_grb_ol!A:A,proc_old!A104,benchmark_gurobi_vs_cuts_grb_ol!C:C,proc_old!B104,benchmark_gurobi_vs_cuts_grb_ol!B:B,proc_old!C104,benchmark_gurobi_vs_cuts_grb_ol!D:D,proc_old!D104)</f>
        <v>0.80946903999999997</v>
      </c>
      <c r="N104" s="2">
        <f>AVERAGEIFS(benchmark_gurobi_vs_cuts_grb_ol!V:V,benchmark_gurobi_vs_cuts_grb_ol!A:A,proc_old!A104,benchmark_gurobi_vs_cuts_grb_ol!C:C,proc_old!B104,benchmark_gurobi_vs_cuts_grb_ol!B:B,proc_old!C104,benchmark_gurobi_vs_cuts_grb_ol!D:D,proc_old!D104)</f>
        <v>0.81572423999999999</v>
      </c>
      <c r="O104" s="3">
        <f>AVERAGEIFS(benchmark_gurobi_vs_cuts_grb_ol!X:X,benchmark_gurobi_vs_cuts_grb_ol!A:A,proc_old!A104,benchmark_gurobi_vs_cuts_grb_ol!C:C,proc_old!B104,benchmark_gurobi_vs_cuts_grb_ol!B:B,proc_old!C104,benchmark_gurobi_vs_cuts_grb_ol!D:D,proc_old!D104)</f>
        <v>78367.780199999994</v>
      </c>
      <c r="P104" s="3">
        <f>AVERAGEIFS(benchmark_gurobi_vs_cuts_grb_ol!Y:Y,benchmark_gurobi_vs_cuts_grb_ol!A:A,proc_old!A104,benchmark_gurobi_vs_cuts_grb_ol!C:C,proc_old!B104,benchmark_gurobi_vs_cuts_grb_ol!B:B,proc_old!C104,benchmark_gurobi_vs_cuts_grb_ol!D:D,proc_old!D104)</f>
        <v>2736</v>
      </c>
      <c r="Q104" s="2">
        <f>AVERAGEIFS(benchmark_gurobi_vs_cuts_grb_ol!Z:Z,benchmark_gurobi_vs_cuts_grb_ol!A:A,proc_old!A104,benchmark_gurobi_vs_cuts_grb_ol!C:C,proc_old!B104,benchmark_gurobi_vs_cuts_grb_ol!B:B,proc_old!C104,benchmark_gurobi_vs_cuts_grb_ol!D:D,proc_old!D104)</f>
        <v>3.64450838</v>
      </c>
      <c r="R104" s="3">
        <f>AVERAGEIFS(benchmark_gurobi_vs_cuts_grb_ol!AA:AA,benchmark_gurobi_vs_cuts_grb_ol!A:A,proc_old!A104,benchmark_gurobi_vs_cuts_grb_ol!C:C,proc_old!B104,benchmark_gurobi_vs_cuts_grb_ol!B:B,proc_old!C104,benchmark_gurobi_vs_cuts_grb_ol!D:D,proc_old!D104)</f>
        <v>100</v>
      </c>
      <c r="Y104" t="str">
        <f t="shared" si="14"/>
        <v>$30$ &amp; $0.2$ &amp; $20/p$ &amp; $0\%$ &amp; $0$ &amp; $0$ &amp; $0\%$ &amp; $0\%$ &amp; $0$ &amp; $0$ &amp; $0\%$ &amp; $0$ &amp; $81.57\%$ &amp; $78367.78$ &amp; $2736$ &amp; $364.45\%$ &amp; $100$\\</v>
      </c>
    </row>
    <row r="105" spans="1:25" x14ac:dyDescent="0.2">
      <c r="A105" s="4">
        <v>30</v>
      </c>
      <c r="B105" s="4">
        <v>0.3</v>
      </c>
      <c r="C105" s="4">
        <v>3</v>
      </c>
      <c r="D105" s="4">
        <v>20</v>
      </c>
      <c r="E105">
        <f>MIN(20, COUNTIFS(benchmark_gurobi_vs_cuts_grb_ol!A:A,proc_old!A105,benchmark_gurobi_vs_cuts_grb_ol!C:C,proc_old!B105,benchmark_gurobi_vs_cuts_grb_ol!B:B,proc_old!C105,benchmark_gurobi_vs_cuts_grb_ol!D:D,proc_old!D105))</f>
        <v>0</v>
      </c>
      <c r="L105" s="2" t="e">
        <f>AVERAGEIFS(benchmark_gurobi_vs_cuts_grb_ol!H:H,benchmark_gurobi_vs_cuts_grb_ol!A:A,proc_old!A105,benchmark_gurobi_vs_cuts_grb_ol!C:C,proc_old!B105,benchmark_gurobi_vs_cuts_grb_ol!B:B,proc_old!C105,benchmark_gurobi_vs_cuts_grb_ol!D:D,proc_old!D105)</f>
        <v>#DIV/0!</v>
      </c>
      <c r="N105" s="2" t="e">
        <f>AVERAGEIFS(benchmark_gurobi_vs_cuts_grb_ol!V:V,benchmark_gurobi_vs_cuts_grb_ol!A:A,proc_old!A105,benchmark_gurobi_vs_cuts_grb_ol!C:C,proc_old!B105,benchmark_gurobi_vs_cuts_grb_ol!B:B,proc_old!C105,benchmark_gurobi_vs_cuts_grb_ol!D:D,proc_old!D105)</f>
        <v>#DIV/0!</v>
      </c>
      <c r="O105" s="3" t="e">
        <f>AVERAGEIFS(benchmark_gurobi_vs_cuts_grb_ol!X:X,benchmark_gurobi_vs_cuts_grb_ol!A:A,proc_old!A105,benchmark_gurobi_vs_cuts_grb_ol!C:C,proc_old!B105,benchmark_gurobi_vs_cuts_grb_ol!B:B,proc_old!C105,benchmark_gurobi_vs_cuts_grb_ol!D:D,proc_old!D105)</f>
        <v>#DIV/0!</v>
      </c>
      <c r="P105" s="3" t="e">
        <f>AVERAGEIFS(benchmark_gurobi_vs_cuts_grb_ol!Y:Y,benchmark_gurobi_vs_cuts_grb_ol!A:A,proc_old!A105,benchmark_gurobi_vs_cuts_grb_ol!C:C,proc_old!B105,benchmark_gurobi_vs_cuts_grb_ol!B:B,proc_old!C105,benchmark_gurobi_vs_cuts_grb_ol!D:D,proc_old!D105)</f>
        <v>#DIV/0!</v>
      </c>
      <c r="Q105" s="2" t="e">
        <f>AVERAGEIFS(benchmark_gurobi_vs_cuts_grb_ol!Z:Z,benchmark_gurobi_vs_cuts_grb_ol!A:A,proc_old!A105,benchmark_gurobi_vs_cuts_grb_ol!C:C,proc_old!B105,benchmark_gurobi_vs_cuts_grb_ol!B:B,proc_old!C105,benchmark_gurobi_vs_cuts_grb_ol!D:D,proc_old!D105)</f>
        <v>#DIV/0!</v>
      </c>
      <c r="R105" s="3" t="e">
        <f>AVERAGEIFS(benchmark_gurobi_vs_cuts_grb_ol!AA:AA,benchmark_gurobi_vs_cuts_grb_ol!A:A,proc_old!A105,benchmark_gurobi_vs_cuts_grb_ol!C:C,proc_old!B105,benchmark_gurobi_vs_cuts_grb_ol!B:B,proc_old!C105,benchmark_gurobi_vs_cuts_grb_ol!D:D,proc_old!D105)</f>
        <v>#DIV/0!</v>
      </c>
      <c r="Y105" t="e">
        <f t="shared" si="14"/>
        <v>#DIV/0!</v>
      </c>
    </row>
    <row r="106" spans="1:25" x14ac:dyDescent="0.2">
      <c r="A106" s="4">
        <v>30</v>
      </c>
      <c r="B106" s="4">
        <v>0.4</v>
      </c>
      <c r="C106" s="4">
        <v>3</v>
      </c>
      <c r="D106" s="4">
        <v>20</v>
      </c>
      <c r="E106">
        <f>MIN(20, COUNTIFS(benchmark_gurobi_vs_cuts_grb_ol!A:A,proc_old!A106,benchmark_gurobi_vs_cuts_grb_ol!C:C,proc_old!B106,benchmark_gurobi_vs_cuts_grb_ol!B:B,proc_old!C106,benchmark_gurobi_vs_cuts_grb_ol!D:D,proc_old!D106))</f>
        <v>0</v>
      </c>
      <c r="L106" s="2" t="e">
        <f>AVERAGEIFS(benchmark_gurobi_vs_cuts_grb_ol!H:H,benchmark_gurobi_vs_cuts_grb_ol!A:A,proc_old!A106,benchmark_gurobi_vs_cuts_grb_ol!C:C,proc_old!B106,benchmark_gurobi_vs_cuts_grb_ol!B:B,proc_old!C106,benchmark_gurobi_vs_cuts_grb_ol!D:D,proc_old!D106)</f>
        <v>#DIV/0!</v>
      </c>
      <c r="N106" s="2" t="e">
        <f>AVERAGEIFS(benchmark_gurobi_vs_cuts_grb_ol!V:V,benchmark_gurobi_vs_cuts_grb_ol!A:A,proc_old!A106,benchmark_gurobi_vs_cuts_grb_ol!C:C,proc_old!B106,benchmark_gurobi_vs_cuts_grb_ol!B:B,proc_old!C106,benchmark_gurobi_vs_cuts_grb_ol!D:D,proc_old!D106)</f>
        <v>#DIV/0!</v>
      </c>
      <c r="O106" s="3" t="e">
        <f>AVERAGEIFS(benchmark_gurobi_vs_cuts_grb_ol!X:X,benchmark_gurobi_vs_cuts_grb_ol!A:A,proc_old!A106,benchmark_gurobi_vs_cuts_grb_ol!C:C,proc_old!B106,benchmark_gurobi_vs_cuts_grb_ol!B:B,proc_old!C106,benchmark_gurobi_vs_cuts_grb_ol!D:D,proc_old!D106)</f>
        <v>#DIV/0!</v>
      </c>
      <c r="P106" s="3" t="e">
        <f>AVERAGEIFS(benchmark_gurobi_vs_cuts_grb_ol!Y:Y,benchmark_gurobi_vs_cuts_grb_ol!A:A,proc_old!A106,benchmark_gurobi_vs_cuts_grb_ol!C:C,proc_old!B106,benchmark_gurobi_vs_cuts_grb_ol!B:B,proc_old!C106,benchmark_gurobi_vs_cuts_grb_ol!D:D,proc_old!D106)</f>
        <v>#DIV/0!</v>
      </c>
      <c r="Q106" s="2" t="e">
        <f>AVERAGEIFS(benchmark_gurobi_vs_cuts_grb_ol!Z:Z,benchmark_gurobi_vs_cuts_grb_ol!A:A,proc_old!A106,benchmark_gurobi_vs_cuts_grb_ol!C:C,proc_old!B106,benchmark_gurobi_vs_cuts_grb_ol!B:B,proc_old!C106,benchmark_gurobi_vs_cuts_grb_ol!D:D,proc_old!D106)</f>
        <v>#DIV/0!</v>
      </c>
      <c r="R106" s="3" t="e">
        <f>AVERAGEIFS(benchmark_gurobi_vs_cuts_grb_ol!AA:AA,benchmark_gurobi_vs_cuts_grb_ol!A:A,proc_old!A106,benchmark_gurobi_vs_cuts_grb_ol!C:C,proc_old!B106,benchmark_gurobi_vs_cuts_grb_ol!B:B,proc_old!C106,benchmark_gurobi_vs_cuts_grb_ol!D:D,proc_old!D106)</f>
        <v>#DIV/0!</v>
      </c>
      <c r="Y106" t="e">
        <f t="shared" si="14"/>
        <v>#DIV/0!</v>
      </c>
    </row>
    <row r="107" spans="1:25" x14ac:dyDescent="0.2">
      <c r="L107" s="2"/>
    </row>
    <row r="108" spans="1:25" x14ac:dyDescent="0.2">
      <c r="A108" s="4">
        <v>40</v>
      </c>
      <c r="B108" s="4">
        <v>0.1</v>
      </c>
      <c r="C108" s="4">
        <v>3</v>
      </c>
      <c r="D108" s="4">
        <v>20</v>
      </c>
      <c r="E108">
        <f>MIN(20, COUNTIFS(benchmark_gurobi_vs_cuts_grb_ol!A:A,proc_old!A108,benchmark_gurobi_vs_cuts_grb_ol!C:C,proc_old!B108,benchmark_gurobi_vs_cuts_grb_ol!B:B,proc_old!C108,benchmark_gurobi_vs_cuts_grb_ol!D:D,proc_old!D108))</f>
        <v>20</v>
      </c>
      <c r="L108" s="2">
        <f>AVERAGEIFS(benchmark_gurobi_vs_cuts_grb_ol!H:H,benchmark_gurobi_vs_cuts_grb_ol!A:A,proc_old!A108,benchmark_gurobi_vs_cuts_grb_ol!C:C,proc_old!B108,benchmark_gurobi_vs_cuts_grb_ol!B:B,proc_old!C108,benchmark_gurobi_vs_cuts_grb_ol!D:D,proc_old!D108)</f>
        <v>0.94800805695379231</v>
      </c>
      <c r="N108" s="2">
        <f>AVERAGEIFS(benchmark_gurobi_vs_cuts_grb_ol!V:V,benchmark_gurobi_vs_cuts_grb_ol!A:A,proc_old!A108,benchmark_gurobi_vs_cuts_grb_ol!C:C,proc_old!B108,benchmark_gurobi_vs_cuts_grb_ol!B:B,proc_old!C108,benchmark_gurobi_vs_cuts_grb_ol!D:D,proc_old!D108)</f>
        <v>0.95323185206169614</v>
      </c>
      <c r="O108" s="3">
        <f>AVERAGEIFS(benchmark_gurobi_vs_cuts_grb_ol!X:X,benchmark_gurobi_vs_cuts_grb_ol!A:A,proc_old!A108,benchmark_gurobi_vs_cuts_grb_ol!C:C,proc_old!B108,benchmark_gurobi_vs_cuts_grb_ol!B:B,proc_old!C108,benchmark_gurobi_vs_cuts_grb_ol!D:D,proc_old!D108)</f>
        <v>85927.686763855323</v>
      </c>
      <c r="P108" s="3">
        <f>AVERAGEIFS(benchmark_gurobi_vs_cuts_grb_ol!Y:Y,benchmark_gurobi_vs_cuts_grb_ol!A:A,proc_old!A108,benchmark_gurobi_vs_cuts_grb_ol!C:C,proc_old!B108,benchmark_gurobi_vs_cuts_grb_ol!B:B,proc_old!C108,benchmark_gurobi_vs_cuts_grb_ol!D:D,proc_old!D108)</f>
        <v>10990.315789473685</v>
      </c>
      <c r="Q108" s="2">
        <f>AVERAGEIFS(benchmark_gurobi_vs_cuts_grb_ol!Z:Z,benchmark_gurobi_vs_cuts_grb_ol!A:A,proc_old!A108,benchmark_gurobi_vs_cuts_grb_ol!C:C,proc_old!B108,benchmark_gurobi_vs_cuts_grb_ol!B:B,proc_old!C108,benchmark_gurobi_vs_cuts_grb_ol!D:D,proc_old!D108)</f>
        <v>8.7719298245614032E+98</v>
      </c>
      <c r="R108" s="3">
        <f>AVERAGEIFS(benchmark_gurobi_vs_cuts_grb_ol!AA:AA,benchmark_gurobi_vs_cuts_grb_ol!A:A,proc_old!A108,benchmark_gurobi_vs_cuts_grb_ol!C:C,proc_old!B108,benchmark_gurobi_vs_cuts_grb_ol!B:B,proc_old!C108,benchmark_gurobi_vs_cuts_grb_ol!D:D,proc_old!D108)</f>
        <v>73.684210526315795</v>
      </c>
      <c r="Y108" t="str">
        <f t="shared" ref="Y108:Y111" si="15">CONCATENATE("$", A108, "$ &amp; $", B108, "$ &amp; $", D108, "/p$ &amp; $", 100*ROUND(T108,4), "\%$ &amp; $", ROUND(U108,2), "$ &amp; $", ROUND(V108,0), "$ &amp; $", 100*ROUND(W108,4), "\%$ &amp; $", 100*ROUND(F108,4), "\%$ &amp; $", ROUND(G108,2), "$ &amp; $", ROUND(H108,0), "$ &amp; $", 100*ROUND(I108,4), "\%$ &amp; $", ROUND(J108,1), "$ &amp; $",100*ROUND(N108,4), "\%$ &amp; $", ROUND(O108,2), "$ &amp; $", ROUND(P108,0), "$ &amp; $", 100*ROUND(Q108,4), "\%$ &amp; $", ROUND(R108,1), "$\\")</f>
        <v>$40$ &amp; $0.1$ &amp; $20/p$ &amp; $0\%$ &amp; $0$ &amp; $0$ &amp; $0\%$ &amp; $0\%$ &amp; $0$ &amp; $0$ &amp; $0\%$ &amp; $0$ &amp; $95.32\%$ &amp; $85927.69$ &amp; $10990$ &amp; $8.7719298245614E+100\%$ &amp; $73.7$\\</v>
      </c>
    </row>
    <row r="109" spans="1:25" x14ac:dyDescent="0.2">
      <c r="A109" s="4">
        <v>40</v>
      </c>
      <c r="B109" s="4">
        <v>0.2</v>
      </c>
      <c r="C109" s="4">
        <v>3</v>
      </c>
      <c r="D109" s="4">
        <v>20</v>
      </c>
      <c r="E109">
        <f>MIN(20, COUNTIFS(benchmark_gurobi_vs_cuts_grb_ol!A:A,proc_old!A109,benchmark_gurobi_vs_cuts_grb_ol!C:C,proc_old!B109,benchmark_gurobi_vs_cuts_grb_ol!B:B,proc_old!C109,benchmark_gurobi_vs_cuts_grb_ol!D:D,proc_old!D109))</f>
        <v>20</v>
      </c>
      <c r="L109" s="2">
        <f>AVERAGEIFS(benchmark_gurobi_vs_cuts_grb_ol!H:H,benchmark_gurobi_vs_cuts_grb_ol!A:A,proc_old!A109,benchmark_gurobi_vs_cuts_grb_ol!C:C,proc_old!B109,benchmark_gurobi_vs_cuts_grb_ol!B:B,proc_old!C109,benchmark_gurobi_vs_cuts_grb_ol!D:D,proc_old!D109)</f>
        <v>0.29423858261803387</v>
      </c>
      <c r="N109" s="2">
        <f>AVERAGEIFS(benchmark_gurobi_vs_cuts_grb_ol!V:V,benchmark_gurobi_vs_cuts_grb_ol!A:A,proc_old!A109,benchmark_gurobi_vs_cuts_grb_ol!C:C,proc_old!B109,benchmark_gurobi_vs_cuts_grb_ol!B:B,proc_old!C109,benchmark_gurobi_vs_cuts_grb_ol!D:D,proc_old!D109)</f>
        <v>0.2759904150033442</v>
      </c>
      <c r="O109" s="3">
        <f>AVERAGEIFS(benchmark_gurobi_vs_cuts_grb_ol!X:X,benchmark_gurobi_vs_cuts_grb_ol!A:A,proc_old!A109,benchmark_gurobi_vs_cuts_grb_ol!C:C,proc_old!B109,benchmark_gurobi_vs_cuts_grb_ol!B:B,proc_old!C109,benchmark_gurobi_vs_cuts_grb_ol!D:D,proc_old!D109)</f>
        <v>87364.943469355407</v>
      </c>
      <c r="P109" s="3">
        <f>AVERAGEIFS(benchmark_gurobi_vs_cuts_grb_ol!Y:Y,benchmark_gurobi_vs_cuts_grb_ol!A:A,proc_old!A109,benchmark_gurobi_vs_cuts_grb_ol!C:C,proc_old!B109,benchmark_gurobi_vs_cuts_grb_ol!B:B,proc_old!C109,benchmark_gurobi_vs_cuts_grb_ol!D:D,proc_old!D109)</f>
        <v>5577.5862068965516</v>
      </c>
      <c r="Q109" s="2">
        <f>AVERAGEIFS(benchmark_gurobi_vs_cuts_grb_ol!Z:Z,benchmark_gurobi_vs_cuts_grb_ol!A:A,proc_old!A109,benchmark_gurobi_vs_cuts_grb_ol!C:C,proc_old!B109,benchmark_gurobi_vs_cuts_grb_ol!B:B,proc_old!C109,benchmark_gurobi_vs_cuts_grb_ol!D:D,proc_old!D109)</f>
        <v>5.000000000000002E+99</v>
      </c>
      <c r="R109" s="3">
        <f>AVERAGEIFS(benchmark_gurobi_vs_cuts_grb_ol!AA:AA,benchmark_gurobi_vs_cuts_grb_ol!A:A,proc_old!A109,benchmark_gurobi_vs_cuts_grb_ol!C:C,proc_old!B109,benchmark_gurobi_vs_cuts_grb_ol!B:B,proc_old!C109,benchmark_gurobi_vs_cuts_grb_ol!D:D,proc_old!D109)</f>
        <v>74.137931034482762</v>
      </c>
      <c r="Y109" t="str">
        <f t="shared" si="15"/>
        <v>$40$ &amp; $0.2$ &amp; $20/p$ &amp; $0\%$ &amp; $0$ &amp; $0$ &amp; $0\%$ &amp; $0\%$ &amp; $0$ &amp; $0$ &amp; $0\%$ &amp; $0$ &amp; $27.6\%$ &amp; $87364.94$ &amp; $5578$ &amp; $5E+101\%$ &amp; $74.1$\\</v>
      </c>
    </row>
    <row r="110" spans="1:25" x14ac:dyDescent="0.2">
      <c r="A110" s="4">
        <v>40</v>
      </c>
      <c r="B110" s="4">
        <v>0.3</v>
      </c>
      <c r="C110" s="4">
        <v>3</v>
      </c>
      <c r="D110" s="4">
        <v>20</v>
      </c>
      <c r="E110">
        <f>MIN(20, COUNTIFS(benchmark_gurobi_vs_cuts_grb_ol!A:A,proc_old!A110,benchmark_gurobi_vs_cuts_grb_ol!C:C,proc_old!B110,benchmark_gurobi_vs_cuts_grb_ol!B:B,proc_old!C110,benchmark_gurobi_vs_cuts_grb_ol!D:D,proc_old!D110))</f>
        <v>20</v>
      </c>
      <c r="L110" s="2">
        <f>AVERAGEIFS(benchmark_gurobi_vs_cuts_grb_ol!H:H,benchmark_gurobi_vs_cuts_grb_ol!A:A,proc_old!A110,benchmark_gurobi_vs_cuts_grb_ol!C:C,proc_old!B110,benchmark_gurobi_vs_cuts_grb_ol!B:B,proc_old!C110,benchmark_gurobi_vs_cuts_grb_ol!D:D,proc_old!D110)</f>
        <v>0.15044977671918552</v>
      </c>
      <c r="N110" s="2">
        <f>AVERAGEIFS(benchmark_gurobi_vs_cuts_grb_ol!V:V,benchmark_gurobi_vs_cuts_grb_ol!A:A,proc_old!A110,benchmark_gurobi_vs_cuts_grb_ol!C:C,proc_old!B110,benchmark_gurobi_vs_cuts_grb_ol!B:B,proc_old!C110,benchmark_gurobi_vs_cuts_grb_ol!D:D,proc_old!D110)</f>
        <v>0.12767472407875533</v>
      </c>
      <c r="O110" s="3">
        <f>AVERAGEIFS(benchmark_gurobi_vs_cuts_grb_ol!X:X,benchmark_gurobi_vs_cuts_grb_ol!A:A,proc_old!A110,benchmark_gurobi_vs_cuts_grb_ol!C:C,proc_old!B110,benchmark_gurobi_vs_cuts_grb_ol!B:B,proc_old!C110,benchmark_gurobi_vs_cuts_grb_ol!D:D,proc_old!D110)</f>
        <v>86629.012717220408</v>
      </c>
      <c r="P110" s="3">
        <f>AVERAGEIFS(benchmark_gurobi_vs_cuts_grb_ol!Y:Y,benchmark_gurobi_vs_cuts_grb_ol!A:A,proc_old!A110,benchmark_gurobi_vs_cuts_grb_ol!C:C,proc_old!B110,benchmark_gurobi_vs_cuts_grb_ol!B:B,proc_old!C110,benchmark_gurobi_vs_cuts_grb_ol!D:D,proc_old!D110)</f>
        <v>6124.5263157894733</v>
      </c>
      <c r="Q110" s="2">
        <f>AVERAGEIFS(benchmark_gurobi_vs_cuts_grb_ol!Z:Z,benchmark_gurobi_vs_cuts_grb_ol!A:A,proc_old!A110,benchmark_gurobi_vs_cuts_grb_ol!C:C,proc_old!B110,benchmark_gurobi_vs_cuts_grb_ol!B:B,proc_old!C110,benchmark_gurobi_vs_cuts_grb_ol!D:D,proc_old!D110)</f>
        <v>5.6140350877193002E+99</v>
      </c>
      <c r="R110" s="3">
        <f>AVERAGEIFS(benchmark_gurobi_vs_cuts_grb_ol!AA:AA,benchmark_gurobi_vs_cuts_grb_ol!A:A,proc_old!A110,benchmark_gurobi_vs_cuts_grb_ol!C:C,proc_old!B110,benchmark_gurobi_vs_cuts_grb_ol!B:B,proc_old!C110,benchmark_gurobi_vs_cuts_grb_ol!D:D,proc_old!D110)</f>
        <v>73.684210526315795</v>
      </c>
      <c r="Y110" t="str">
        <f t="shared" si="15"/>
        <v>$40$ &amp; $0.3$ &amp; $20/p$ &amp; $0\%$ &amp; $0$ &amp; $0$ &amp; $0\%$ &amp; $0\%$ &amp; $0$ &amp; $0$ &amp; $0\%$ &amp; $0$ &amp; $12.77\%$ &amp; $86629.01$ &amp; $6125$ &amp; $5.6140350877193E+101\%$ &amp; $73.7$\\</v>
      </c>
    </row>
    <row r="111" spans="1:25" x14ac:dyDescent="0.2">
      <c r="A111" s="4">
        <v>40</v>
      </c>
      <c r="B111" s="4">
        <v>0.4</v>
      </c>
      <c r="C111" s="4">
        <v>3</v>
      </c>
      <c r="D111" s="4">
        <v>20</v>
      </c>
      <c r="E111">
        <f>MIN(20, COUNTIFS(benchmark_gurobi_vs_cuts_grb_ol!A:A,proc_old!A111,benchmark_gurobi_vs_cuts_grb_ol!C:C,proc_old!B111,benchmark_gurobi_vs_cuts_grb_ol!B:B,proc_old!C111,benchmark_gurobi_vs_cuts_grb_ol!D:D,proc_old!D111))</f>
        <v>20</v>
      </c>
      <c r="L111" s="2">
        <f>AVERAGEIFS(benchmark_gurobi_vs_cuts_grb_ol!H:H,benchmark_gurobi_vs_cuts_grb_ol!A:A,proc_old!A111,benchmark_gurobi_vs_cuts_grb_ol!C:C,proc_old!B111,benchmark_gurobi_vs_cuts_grb_ol!B:B,proc_old!C111,benchmark_gurobi_vs_cuts_grb_ol!D:D,proc_old!D111)</f>
        <v>9.9530496738613278E-2</v>
      </c>
      <c r="N111" s="2">
        <f>AVERAGEIFS(benchmark_gurobi_vs_cuts_grb_ol!V:V,benchmark_gurobi_vs_cuts_grb_ol!A:A,proc_old!A111,benchmark_gurobi_vs_cuts_grb_ol!C:C,proc_old!B111,benchmark_gurobi_vs_cuts_grb_ol!B:B,proc_old!C111,benchmark_gurobi_vs_cuts_grb_ol!D:D,proc_old!D111)</f>
        <v>7.5907622612191E-2</v>
      </c>
      <c r="O111" s="3">
        <f>AVERAGEIFS(benchmark_gurobi_vs_cuts_grb_ol!X:X,benchmark_gurobi_vs_cuts_grb_ol!A:A,proc_old!A111,benchmark_gurobi_vs_cuts_grb_ol!C:C,proc_old!B111,benchmark_gurobi_vs_cuts_grb_ol!B:B,proc_old!C111,benchmark_gurobi_vs_cuts_grb_ol!D:D,proc_old!D111)</f>
        <v>87497.961921913797</v>
      </c>
      <c r="P111" s="3">
        <f>AVERAGEIFS(benchmark_gurobi_vs_cuts_grb_ol!Y:Y,benchmark_gurobi_vs_cuts_grb_ol!A:A,proc_old!A111,benchmark_gurobi_vs_cuts_grb_ol!C:C,proc_old!B111,benchmark_gurobi_vs_cuts_grb_ol!B:B,proc_old!C111,benchmark_gurobi_vs_cuts_grb_ol!D:D,proc_old!D111)</f>
        <v>11218.403846153846</v>
      </c>
      <c r="Q111" s="2">
        <f>AVERAGEIFS(benchmark_gurobi_vs_cuts_grb_ol!Z:Z,benchmark_gurobi_vs_cuts_grb_ol!A:A,proc_old!A111,benchmark_gurobi_vs_cuts_grb_ol!C:C,proc_old!B111,benchmark_gurobi_vs_cuts_grb_ol!B:B,proc_old!C111,benchmark_gurobi_vs_cuts_grb_ol!D:D,proc_old!D111)</f>
        <v>4.8076923076923095E+99</v>
      </c>
      <c r="R111" s="3">
        <f>AVERAGEIFS(benchmark_gurobi_vs_cuts_grb_ol!AA:AA,benchmark_gurobi_vs_cuts_grb_ol!A:A,proc_old!A111,benchmark_gurobi_vs_cuts_grb_ol!C:C,proc_old!B111,benchmark_gurobi_vs_cuts_grb_ol!B:B,proc_old!C111,benchmark_gurobi_vs_cuts_grb_ol!D:D,proc_old!D111)</f>
        <v>71.15384615384616</v>
      </c>
      <c r="Y111" t="str">
        <f t="shared" si="15"/>
        <v>$40$ &amp; $0.4$ &amp; $20/p$ &amp; $0\%$ &amp; $0$ &amp; $0$ &amp; $0\%$ &amp; $0\%$ &amp; $0$ &amp; $0$ &amp; $0\%$ &amp; $0$ &amp; $7.59\%$ &amp; $87497.96$ &amp; $11218$ &amp; $4.8076923076923E+101\%$ &amp; $71.2$\\</v>
      </c>
    </row>
    <row r="112" spans="1:25" x14ac:dyDescent="0.2">
      <c r="L112" s="2"/>
    </row>
    <row r="113" spans="1:25" x14ac:dyDescent="0.2">
      <c r="A113" s="4">
        <v>10</v>
      </c>
      <c r="B113" s="4">
        <v>0.1</v>
      </c>
      <c r="C113" s="4">
        <v>3</v>
      </c>
      <c r="D113" s="4">
        <v>100</v>
      </c>
      <c r="E113">
        <f>MIN(20, COUNTIFS(benchmark_gurobi_vs_cuts_grb_ol!A:A,proc_old!A113,benchmark_gurobi_vs_cuts_grb_ol!C:C,proc_old!B113,benchmark_gurobi_vs_cuts_grb_ol!B:B,proc_old!C113,benchmark_gurobi_vs_cuts_grb_ol!D:D,proc_old!D113))</f>
        <v>20</v>
      </c>
      <c r="L113" s="2">
        <f>AVERAGEIFS(benchmark_gurobi_vs_cuts_grb_ol!H:H,benchmark_gurobi_vs_cuts_grb_ol!A:A,proc_old!A113,benchmark_gurobi_vs_cuts_grb_ol!C:C,proc_old!B113,benchmark_gurobi_vs_cuts_grb_ol!B:B,proc_old!C113,benchmark_gurobi_vs_cuts_grb_ol!D:D,proc_old!D113)</f>
        <v>0.96821629753871896</v>
      </c>
      <c r="N113" s="2">
        <f>AVERAGEIFS(benchmark_gurobi_vs_cuts_grb_ol!V:V,benchmark_gurobi_vs_cuts_grb_ol!A:A,proc_old!A113,benchmark_gurobi_vs_cuts_grb_ol!C:C,proc_old!B113,benchmark_gurobi_vs_cuts_grb_ol!B:B,proc_old!C113,benchmark_gurobi_vs_cuts_grb_ol!D:D,proc_old!D113)</f>
        <v>0.97275630907674793</v>
      </c>
      <c r="O113" s="3">
        <f>AVERAGEIFS(benchmark_gurobi_vs_cuts_grb_ol!X:X,benchmark_gurobi_vs_cuts_grb_ol!A:A,proc_old!A113,benchmark_gurobi_vs_cuts_grb_ol!C:C,proc_old!B113,benchmark_gurobi_vs_cuts_grb_ol!B:B,proc_old!C113,benchmark_gurobi_vs_cuts_grb_ol!D:D,proc_old!D113)</f>
        <v>14555.674491876318</v>
      </c>
      <c r="P113" s="3">
        <f>AVERAGEIFS(benchmark_gurobi_vs_cuts_grb_ol!Y:Y,benchmark_gurobi_vs_cuts_grb_ol!A:A,proc_old!A113,benchmark_gurobi_vs_cuts_grb_ol!C:C,proc_old!B113,benchmark_gurobi_vs_cuts_grb_ol!B:B,proc_old!C113,benchmark_gurobi_vs_cuts_grb_ol!D:D,proc_old!D113)</f>
        <v>114858.63636363637</v>
      </c>
      <c r="Q113" s="2">
        <f>AVERAGEIFS(benchmark_gurobi_vs_cuts_grb_ol!Z:Z,benchmark_gurobi_vs_cuts_grb_ol!A:A,proc_old!A113,benchmark_gurobi_vs_cuts_grb_ol!C:C,proc_old!B113,benchmark_gurobi_vs_cuts_grb_ol!B:B,proc_old!C113,benchmark_gurobi_vs_cuts_grb_ol!D:D,proc_old!D113)</f>
        <v>2.740216875969175E-3</v>
      </c>
      <c r="R113" s="3">
        <f>AVERAGEIFS(benchmark_gurobi_vs_cuts_grb_ol!AA:AA,benchmark_gurobi_vs_cuts_grb_ol!A:A,proc_old!A113,benchmark_gurobi_vs_cuts_grb_ol!C:C,proc_old!B113,benchmark_gurobi_vs_cuts_grb_ol!B:B,proc_old!C113,benchmark_gurobi_vs_cuts_grb_ol!D:D,proc_old!D113)</f>
        <v>19.545454545454547</v>
      </c>
      <c r="Y113" t="str">
        <f>CONCATENATE("$", A113, "$ &amp; $", B113, "$ &amp; $", D113, "/p$ &amp; $", 100*ROUND(T113,4), "\%$ &amp; $", ROUND(U113,2), "$ &amp; $", ROUND(V113,0), "$ &amp; $", 100*ROUND(W113,4), "\%$ &amp; $", 100*ROUND(F113,4), "\%$ &amp; $", ROUND(G113,2), "$ &amp; $", ROUND(H113,0), "$ &amp; $", 100*ROUND(I113,4), "\%$ &amp; $", ROUND(J113,1), "$ &amp; $",100*ROUND(N113,4), "\%$ &amp; $", ROUND(O113,2), "$ &amp; $", ROUND(P113,0), "$ &amp; $", 100*ROUND(Q113,4), "\%$ &amp; $", ROUND(R113,1), "$\\")</f>
        <v>$10$ &amp; $0.1$ &amp; $100/p$ &amp; $0\%$ &amp; $0$ &amp; $0$ &amp; $0\%$ &amp; $0\%$ &amp; $0$ &amp; $0$ &amp; $0\%$ &amp; $0$ &amp; $97.28\%$ &amp; $14555.67$ &amp; $114859$ &amp; $0.27\%$ &amp; $19.5$\\</v>
      </c>
    </row>
    <row r="114" spans="1:25" x14ac:dyDescent="0.2">
      <c r="A114" s="4">
        <v>10</v>
      </c>
      <c r="B114" s="4">
        <v>0.2</v>
      </c>
      <c r="C114" s="4">
        <v>3</v>
      </c>
      <c r="D114" s="4">
        <v>100</v>
      </c>
      <c r="E114">
        <f>MIN(20, COUNTIFS(benchmark_gurobi_vs_cuts_grb_ol!A:A,proc_old!A114,benchmark_gurobi_vs_cuts_grb_ol!C:C,proc_old!B114,benchmark_gurobi_vs_cuts_grb_ol!B:B,proc_old!C114,benchmark_gurobi_vs_cuts_grb_ol!D:D,proc_old!D114))</f>
        <v>20</v>
      </c>
      <c r="L114" s="2">
        <f>AVERAGEIFS(benchmark_gurobi_vs_cuts_grb_ol!H:H,benchmark_gurobi_vs_cuts_grb_ol!A:A,proc_old!A114,benchmark_gurobi_vs_cuts_grb_ol!C:C,proc_old!B114,benchmark_gurobi_vs_cuts_grb_ol!B:B,proc_old!C114,benchmark_gurobi_vs_cuts_grb_ol!D:D,proc_old!D114)</f>
        <v>0.92246562741515503</v>
      </c>
      <c r="N114" s="2">
        <f>AVERAGEIFS(benchmark_gurobi_vs_cuts_grb_ol!V:V,benchmark_gurobi_vs_cuts_grb_ol!A:A,proc_old!A114,benchmark_gurobi_vs_cuts_grb_ol!C:C,proc_old!B114,benchmark_gurobi_vs_cuts_grb_ol!B:B,proc_old!C114,benchmark_gurobi_vs_cuts_grb_ol!D:D,proc_old!D114)</f>
        <v>0.95398912347599418</v>
      </c>
      <c r="O114" s="3">
        <f>AVERAGEIFS(benchmark_gurobi_vs_cuts_grb_ol!X:X,benchmark_gurobi_vs_cuts_grb_ol!A:A,proc_old!A114,benchmark_gurobi_vs_cuts_grb_ol!C:C,proc_old!B114,benchmark_gurobi_vs_cuts_grb_ol!B:B,proc_old!C114,benchmark_gurobi_vs_cuts_grb_ol!D:D,proc_old!D114)</f>
        <v>38168.523593046782</v>
      </c>
      <c r="P114" s="3">
        <f>AVERAGEIFS(benchmark_gurobi_vs_cuts_grb_ol!Y:Y,benchmark_gurobi_vs_cuts_grb_ol!A:A,proc_old!A114,benchmark_gurobi_vs_cuts_grb_ol!C:C,proc_old!B114,benchmark_gurobi_vs_cuts_grb_ol!B:B,proc_old!C114,benchmark_gurobi_vs_cuts_grb_ol!D:D,proc_old!D114)</f>
        <v>209293.23913043478</v>
      </c>
      <c r="Q114" s="2">
        <f>AVERAGEIFS(benchmark_gurobi_vs_cuts_grb_ol!Z:Z,benchmark_gurobi_vs_cuts_grb_ol!A:A,proc_old!A114,benchmark_gurobi_vs_cuts_grb_ol!C:C,proc_old!B114,benchmark_gurobi_vs_cuts_grb_ol!B:B,proc_old!C114,benchmark_gurobi_vs_cuts_grb_ol!D:D,proc_old!D114)</f>
        <v>1.3079748527758782E-2</v>
      </c>
      <c r="R114" s="3">
        <f>AVERAGEIFS(benchmark_gurobi_vs_cuts_grb_ol!AA:AA,benchmark_gurobi_vs_cuts_grb_ol!A:A,proc_old!A114,benchmark_gurobi_vs_cuts_grb_ol!C:C,proc_old!B114,benchmark_gurobi_vs_cuts_grb_ol!B:B,proc_old!C114,benchmark_gurobi_vs_cuts_grb_ol!D:D,proc_old!D114)</f>
        <v>50.869565217391305</v>
      </c>
      <c r="Y114" t="str">
        <f t="shared" ref="Y114:Y116" si="16">CONCATENATE("$", A114, "$ &amp; $", B114, "$ &amp; $", D114, "/p$ &amp; $", 100*ROUND(T114,4), "\%$ &amp; $", ROUND(U114,2), "$ &amp; $", ROUND(V114,0), "$ &amp; $", 100*ROUND(W114,4), "\%$ &amp; $", 100*ROUND(F114,4), "\%$ &amp; $", ROUND(G114,2), "$ &amp; $", ROUND(H114,0), "$ &amp; $", 100*ROUND(I114,4), "\%$ &amp; $", ROUND(J114,1), "$ &amp; $",100*ROUND(N114,4), "\%$ &amp; $", ROUND(O114,2), "$ &amp; $", ROUND(P114,0), "$ &amp; $", 100*ROUND(Q114,4), "\%$ &amp; $", ROUND(R114,1), "$\\")</f>
        <v>$10$ &amp; $0.2$ &amp; $100/p$ &amp; $0\%$ &amp; $0$ &amp; $0$ &amp; $0\%$ &amp; $0\%$ &amp; $0$ &amp; $0$ &amp; $0\%$ &amp; $0$ &amp; $95.4\%$ &amp; $38168.52$ &amp; $209293$ &amp; $1.31\%$ &amp; $50.9$\\</v>
      </c>
    </row>
    <row r="115" spans="1:25" x14ac:dyDescent="0.2">
      <c r="A115" s="4">
        <v>10</v>
      </c>
      <c r="B115" s="4">
        <v>0.3</v>
      </c>
      <c r="C115" s="4">
        <v>3</v>
      </c>
      <c r="D115" s="4">
        <v>100</v>
      </c>
      <c r="E115">
        <f>MIN(20, COUNTIFS(benchmark_gurobi_vs_cuts_grb_ol!A:A,proc_old!A115,benchmark_gurobi_vs_cuts_grb_ol!C:C,proc_old!B115,benchmark_gurobi_vs_cuts_grb_ol!B:B,proc_old!C115,benchmark_gurobi_vs_cuts_grb_ol!D:D,proc_old!D115))</f>
        <v>20</v>
      </c>
      <c r="L115" s="2">
        <f>AVERAGEIFS(benchmark_gurobi_vs_cuts_grb_ol!H:H,benchmark_gurobi_vs_cuts_grb_ol!A:A,proc_old!A115,benchmark_gurobi_vs_cuts_grb_ol!C:C,proc_old!B115,benchmark_gurobi_vs_cuts_grb_ol!B:B,proc_old!C115,benchmark_gurobi_vs_cuts_grb_ol!D:D,proc_old!D115)</f>
        <v>0.85265640816568167</v>
      </c>
      <c r="N115" s="2">
        <f>AVERAGEIFS(benchmark_gurobi_vs_cuts_grb_ol!V:V,benchmark_gurobi_vs_cuts_grb_ol!A:A,proc_old!A115,benchmark_gurobi_vs_cuts_grb_ol!C:C,proc_old!B115,benchmark_gurobi_vs_cuts_grb_ol!B:B,proc_old!C115,benchmark_gurobi_vs_cuts_grb_ol!D:D,proc_old!D115)</f>
        <v>0.8669096745471736</v>
      </c>
      <c r="O115" s="3">
        <f>AVERAGEIFS(benchmark_gurobi_vs_cuts_grb_ol!X:X,benchmark_gurobi_vs_cuts_grb_ol!A:A,proc_old!A115,benchmark_gurobi_vs_cuts_grb_ol!C:C,proc_old!B115,benchmark_gurobi_vs_cuts_grb_ol!B:B,proc_old!C115,benchmark_gurobi_vs_cuts_grb_ol!D:D,proc_old!D115)</f>
        <v>69926.626631947176</v>
      </c>
      <c r="P115" s="3">
        <f>AVERAGEIFS(benchmark_gurobi_vs_cuts_grb_ol!Y:Y,benchmark_gurobi_vs_cuts_grb_ol!A:A,proc_old!A115,benchmark_gurobi_vs_cuts_grb_ol!C:C,proc_old!B115,benchmark_gurobi_vs_cuts_grb_ol!B:B,proc_old!C115,benchmark_gurobi_vs_cuts_grb_ol!D:D,proc_old!D115)</f>
        <v>361950.11320754717</v>
      </c>
      <c r="Q115" s="2">
        <f>AVERAGEIFS(benchmark_gurobi_vs_cuts_grb_ol!Z:Z,benchmark_gurobi_vs_cuts_grb_ol!A:A,proc_old!A115,benchmark_gurobi_vs_cuts_grb_ol!C:C,proc_old!B115,benchmark_gurobi_vs_cuts_grb_ol!B:B,proc_old!C115,benchmark_gurobi_vs_cuts_grb_ol!D:D,proc_old!D115)</f>
        <v>5.1963281236349253E-2</v>
      </c>
      <c r="R115" s="3">
        <f>AVERAGEIFS(benchmark_gurobi_vs_cuts_grb_ol!AA:AA,benchmark_gurobi_vs_cuts_grb_ol!A:A,proc_old!A115,benchmark_gurobi_vs_cuts_grb_ol!C:C,proc_old!B115,benchmark_gurobi_vs_cuts_grb_ol!B:B,proc_old!C115,benchmark_gurobi_vs_cuts_grb_ol!D:D,proc_old!D115)</f>
        <v>93.245283018867923</v>
      </c>
      <c r="Y115" t="str">
        <f t="shared" si="16"/>
        <v>$10$ &amp; $0.3$ &amp; $100/p$ &amp; $0\%$ &amp; $0$ &amp; $0$ &amp; $0\%$ &amp; $0\%$ &amp; $0$ &amp; $0$ &amp; $0\%$ &amp; $0$ &amp; $86.69\%$ &amp; $69926.63$ &amp; $361950$ &amp; $5.2\%$ &amp; $93.2$\\</v>
      </c>
    </row>
    <row r="116" spans="1:25" x14ac:dyDescent="0.2">
      <c r="A116" s="4">
        <v>10</v>
      </c>
      <c r="B116" s="4">
        <v>0.4</v>
      </c>
      <c r="C116" s="4">
        <v>3</v>
      </c>
      <c r="D116" s="4">
        <v>100</v>
      </c>
      <c r="E116">
        <f>MIN(20, COUNTIFS(benchmark_gurobi_vs_cuts_grb_ol!A:A,proc_old!A116,benchmark_gurobi_vs_cuts_grb_ol!C:C,proc_old!B116,benchmark_gurobi_vs_cuts_grb_ol!B:B,proc_old!C116,benchmark_gurobi_vs_cuts_grb_ol!D:D,proc_old!D116))</f>
        <v>20</v>
      </c>
      <c r="L116" s="2">
        <f>AVERAGEIFS(benchmark_gurobi_vs_cuts_grb_ol!H:H,benchmark_gurobi_vs_cuts_grb_ol!A:A,proc_old!A116,benchmark_gurobi_vs_cuts_grb_ol!C:C,proc_old!B116,benchmark_gurobi_vs_cuts_grb_ol!B:B,proc_old!C116,benchmark_gurobi_vs_cuts_grb_ol!D:D,proc_old!D116)</f>
        <v>0.70911986351932155</v>
      </c>
      <c r="N116" s="2">
        <f>AVERAGEIFS(benchmark_gurobi_vs_cuts_grb_ol!V:V,benchmark_gurobi_vs_cuts_grb_ol!A:A,proc_old!A116,benchmark_gurobi_vs_cuts_grb_ol!C:C,proc_old!B116,benchmark_gurobi_vs_cuts_grb_ol!B:B,proc_old!C116,benchmark_gurobi_vs_cuts_grb_ol!D:D,proc_old!D116)</f>
        <v>0.73913100143376831</v>
      </c>
      <c r="O116" s="3">
        <f>AVERAGEIFS(benchmark_gurobi_vs_cuts_grb_ol!X:X,benchmark_gurobi_vs_cuts_grb_ol!A:A,proc_old!A116,benchmark_gurobi_vs_cuts_grb_ol!C:C,proc_old!B116,benchmark_gurobi_vs_cuts_grb_ol!B:B,proc_old!C116,benchmark_gurobi_vs_cuts_grb_ol!D:D,proc_old!D116)</f>
        <v>75211.974429701426</v>
      </c>
      <c r="P116" s="3">
        <f>AVERAGEIFS(benchmark_gurobi_vs_cuts_grb_ol!Y:Y,benchmark_gurobi_vs_cuts_grb_ol!A:A,proc_old!A116,benchmark_gurobi_vs_cuts_grb_ol!C:C,proc_old!B116,benchmark_gurobi_vs_cuts_grb_ol!B:B,proc_old!C116,benchmark_gurobi_vs_cuts_grb_ol!D:D,proc_old!D116)</f>
        <v>397077.03703703702</v>
      </c>
      <c r="Q116" s="2">
        <f>AVERAGEIFS(benchmark_gurobi_vs_cuts_grb_ol!Z:Z,benchmark_gurobi_vs_cuts_grb_ol!A:A,proc_old!A116,benchmark_gurobi_vs_cuts_grb_ol!C:C,proc_old!B116,benchmark_gurobi_vs_cuts_grb_ol!B:B,proc_old!C116,benchmark_gurobi_vs_cuts_grb_ol!D:D,proc_old!D116)</f>
        <v>0.14396842898042528</v>
      </c>
      <c r="R116" s="3">
        <f>AVERAGEIFS(benchmark_gurobi_vs_cuts_grb_ol!AA:AA,benchmark_gurobi_vs_cuts_grb_ol!A:A,proc_old!A116,benchmark_gurobi_vs_cuts_grb_ol!C:C,proc_old!B116,benchmark_gurobi_vs_cuts_grb_ol!B:B,proc_old!C116,benchmark_gurobi_vs_cuts_grb_ol!D:D,proc_old!D116)</f>
        <v>100</v>
      </c>
      <c r="Y116" t="str">
        <f t="shared" si="16"/>
        <v>$10$ &amp; $0.4$ &amp; $100/p$ &amp; $0\%$ &amp; $0$ &amp; $0$ &amp; $0\%$ &amp; $0\%$ &amp; $0$ &amp; $0$ &amp; $0\%$ &amp; $0$ &amp; $73.91\%$ &amp; $75211.97$ &amp; $397077$ &amp; $14.4\%$ &amp; $100$\\</v>
      </c>
    </row>
    <row r="117" spans="1:25" x14ac:dyDescent="0.2">
      <c r="A117" s="4"/>
      <c r="B117" s="4"/>
      <c r="C117" s="4"/>
      <c r="D117" s="4"/>
      <c r="L117" s="2"/>
    </row>
    <row r="118" spans="1:25" x14ac:dyDescent="0.2">
      <c r="A118" s="4">
        <v>20</v>
      </c>
      <c r="B118" s="4">
        <v>0.1</v>
      </c>
      <c r="C118" s="4">
        <v>3</v>
      </c>
      <c r="D118" s="4">
        <v>100</v>
      </c>
      <c r="E118">
        <f>MIN(20, COUNTIFS(benchmark_gurobi_vs_cuts_grb_ol!A:A,proc_old!A118,benchmark_gurobi_vs_cuts_grb_ol!C:C,proc_old!B118,benchmark_gurobi_vs_cuts_grb_ol!B:B,proc_old!C118,benchmark_gurobi_vs_cuts_grb_ol!D:D,proc_old!D118))</f>
        <v>20</v>
      </c>
      <c r="L118" s="2">
        <f>AVERAGEIFS(benchmark_gurobi_vs_cuts_grb_ol!H:H,benchmark_gurobi_vs_cuts_grb_ol!A:A,proc_old!A118,benchmark_gurobi_vs_cuts_grb_ol!C:C,proc_old!B118,benchmark_gurobi_vs_cuts_grb_ol!B:B,proc_old!C118,benchmark_gurobi_vs_cuts_grb_ol!D:D,proc_old!D118)</f>
        <v>0.98010552150508923</v>
      </c>
      <c r="N118" s="2">
        <f>AVERAGEIFS(benchmark_gurobi_vs_cuts_grb_ol!V:V,benchmark_gurobi_vs_cuts_grb_ol!A:A,proc_old!A118,benchmark_gurobi_vs_cuts_grb_ol!C:C,proc_old!B118,benchmark_gurobi_vs_cuts_grb_ol!B:B,proc_old!C118,benchmark_gurobi_vs_cuts_grb_ol!D:D,proc_old!D118)</f>
        <v>1.0372331176901475</v>
      </c>
      <c r="O118" s="3">
        <f>AVERAGEIFS(benchmark_gurobi_vs_cuts_grb_ol!X:X,benchmark_gurobi_vs_cuts_grb_ol!A:A,proc_old!A118,benchmark_gurobi_vs_cuts_grb_ol!C:C,proc_old!B118,benchmark_gurobi_vs_cuts_grb_ol!B:B,proc_old!C118,benchmark_gurobi_vs_cuts_grb_ol!D:D,proc_old!D118)</f>
        <v>70461.35586502224</v>
      </c>
      <c r="P118" s="3">
        <f>AVERAGEIFS(benchmark_gurobi_vs_cuts_grb_ol!Y:Y,benchmark_gurobi_vs_cuts_grb_ol!A:A,proc_old!A118,benchmark_gurobi_vs_cuts_grb_ol!C:C,proc_old!B118,benchmark_gurobi_vs_cuts_grb_ol!B:B,proc_old!C118,benchmark_gurobi_vs_cuts_grb_ol!D:D,proc_old!D118)</f>
        <v>108367.51111111112</v>
      </c>
      <c r="Q118" s="2">
        <f>AVERAGEIFS(benchmark_gurobi_vs_cuts_grb_ol!Z:Z,benchmark_gurobi_vs_cuts_grb_ol!A:A,proc_old!A118,benchmark_gurobi_vs_cuts_grb_ol!C:C,proc_old!B118,benchmark_gurobi_vs_cuts_grb_ol!B:B,proc_old!C118,benchmark_gurobi_vs_cuts_grb_ol!D:D,proc_old!D118)</f>
        <v>1.0529397632708142E-2</v>
      </c>
      <c r="R118" s="3">
        <f>AVERAGEIFS(benchmark_gurobi_vs_cuts_grb_ol!AA:AA,benchmark_gurobi_vs_cuts_grb_ol!A:A,proc_old!A118,benchmark_gurobi_vs_cuts_grb_ol!C:C,proc_old!B118,benchmark_gurobi_vs_cuts_grb_ol!B:B,proc_old!C118,benchmark_gurobi_vs_cuts_grb_ol!D:D,proc_old!D118)</f>
        <v>93.533333333333331</v>
      </c>
      <c r="Y118" t="str">
        <f t="shared" ref="Y118:Y121" si="17">CONCATENATE("$", A118, "$ &amp; $", B118, "$ &amp; $", D118, "/p$ &amp; $", 100*ROUND(T118,4), "\%$ &amp; $", ROUND(U118,2), "$ &amp; $", ROUND(V118,0), "$ &amp; $", 100*ROUND(W118,4), "\%$ &amp; $", 100*ROUND(F118,4), "\%$ &amp; $", ROUND(G118,2), "$ &amp; $", ROUND(H118,0), "$ &amp; $", 100*ROUND(I118,4), "\%$ &amp; $", ROUND(J118,1), "$ &amp; $",100*ROUND(N118,4), "\%$ &amp; $", ROUND(O118,2), "$ &amp; $", ROUND(P118,0), "$ &amp; $", 100*ROUND(Q118,4), "\%$ &amp; $", ROUND(R118,1), "$\\")</f>
        <v>$20$ &amp; $0.1$ &amp; $100/p$ &amp; $0\%$ &amp; $0$ &amp; $0$ &amp; $0\%$ &amp; $0\%$ &amp; $0$ &amp; $0$ &amp; $0\%$ &amp; $0$ &amp; $103.72\%$ &amp; $70461.36$ &amp; $108368$ &amp; $1.05\%$ &amp; $93.5$\\</v>
      </c>
    </row>
    <row r="119" spans="1:25" x14ac:dyDescent="0.2">
      <c r="A119" s="4">
        <v>20</v>
      </c>
      <c r="B119" s="4">
        <v>0.2</v>
      </c>
      <c r="C119" s="4">
        <v>3</v>
      </c>
      <c r="D119" s="4">
        <v>100</v>
      </c>
      <c r="E119">
        <f>MIN(20, COUNTIFS(benchmark_gurobi_vs_cuts_grb_ol!A:A,proc_old!A119,benchmark_gurobi_vs_cuts_grb_ol!C:C,proc_old!B119,benchmark_gurobi_vs_cuts_grb_ol!B:B,proc_old!C119,benchmark_gurobi_vs_cuts_grb_ol!D:D,proc_old!D119))</f>
        <v>20</v>
      </c>
      <c r="L119" s="2">
        <f>AVERAGEIFS(benchmark_gurobi_vs_cuts_grb_ol!H:H,benchmark_gurobi_vs_cuts_grb_ol!A:A,proc_old!A119,benchmark_gurobi_vs_cuts_grb_ol!C:C,proc_old!B119,benchmark_gurobi_vs_cuts_grb_ol!B:B,proc_old!C119,benchmark_gurobi_vs_cuts_grb_ol!D:D,proc_old!D119)</f>
        <v>0.867747350727746</v>
      </c>
      <c r="N119" s="2">
        <f>AVERAGEIFS(benchmark_gurobi_vs_cuts_grb_ol!V:V,benchmark_gurobi_vs_cuts_grb_ol!A:A,proc_old!A119,benchmark_gurobi_vs_cuts_grb_ol!C:C,proc_old!B119,benchmark_gurobi_vs_cuts_grb_ol!B:B,proc_old!C119,benchmark_gurobi_vs_cuts_grb_ol!D:D,proc_old!D119)</f>
        <v>0.86926485637102469</v>
      </c>
      <c r="O119" s="3">
        <f>AVERAGEIFS(benchmark_gurobi_vs_cuts_grb_ol!X:X,benchmark_gurobi_vs_cuts_grb_ol!A:A,proc_old!A119,benchmark_gurobi_vs_cuts_grb_ol!C:C,proc_old!B119,benchmark_gurobi_vs_cuts_grb_ol!B:B,proc_old!C119,benchmark_gurobi_vs_cuts_grb_ol!D:D,proc_old!D119)</f>
        <v>75884.536732264271</v>
      </c>
      <c r="P119" s="3">
        <f>AVERAGEIFS(benchmark_gurobi_vs_cuts_grb_ol!Y:Y,benchmark_gurobi_vs_cuts_grb_ol!A:A,proc_old!A119,benchmark_gurobi_vs_cuts_grb_ol!C:C,proc_old!B119,benchmark_gurobi_vs_cuts_grb_ol!B:B,proc_old!C119,benchmark_gurobi_vs_cuts_grb_ol!D:D,proc_old!D119)</f>
        <v>50118.51063829787</v>
      </c>
      <c r="Q119" s="2">
        <f>AVERAGEIFS(benchmark_gurobi_vs_cuts_grb_ol!Z:Z,benchmark_gurobi_vs_cuts_grb_ol!A:A,proc_old!A119,benchmark_gurobi_vs_cuts_grb_ol!C:C,proc_old!B119,benchmark_gurobi_vs_cuts_grb_ol!B:B,proc_old!C119,benchmark_gurobi_vs_cuts_grb_ol!D:D,proc_old!D119)</f>
        <v>0.12611972039359634</v>
      </c>
      <c r="R119" s="3">
        <f>AVERAGEIFS(benchmark_gurobi_vs_cuts_grb_ol!AA:AA,benchmark_gurobi_vs_cuts_grb_ol!A:A,proc_old!A119,benchmark_gurobi_vs_cuts_grb_ol!C:C,proc_old!B119,benchmark_gurobi_vs_cuts_grb_ol!B:B,proc_old!C119,benchmark_gurobi_vs_cuts_grb_ol!D:D,proc_old!D119)</f>
        <v>100</v>
      </c>
      <c r="Y119" t="str">
        <f t="shared" si="17"/>
        <v>$20$ &amp; $0.2$ &amp; $100/p$ &amp; $0\%$ &amp; $0$ &amp; $0$ &amp; $0\%$ &amp; $0\%$ &amp; $0$ &amp; $0$ &amp; $0\%$ &amp; $0$ &amp; $86.93\%$ &amp; $75884.54$ &amp; $50119$ &amp; $12.61\%$ &amp; $100$\\</v>
      </c>
    </row>
    <row r="120" spans="1:25" x14ac:dyDescent="0.2">
      <c r="A120" s="4">
        <v>20</v>
      </c>
      <c r="B120" s="4">
        <v>0.3</v>
      </c>
      <c r="C120" s="4">
        <v>3</v>
      </c>
      <c r="D120" s="4">
        <v>100</v>
      </c>
      <c r="E120">
        <f>MIN(20, COUNTIFS(benchmark_gurobi_vs_cuts_grb_ol!A:A,proc_old!A120,benchmark_gurobi_vs_cuts_grb_ol!C:C,proc_old!B120,benchmark_gurobi_vs_cuts_grb_ol!B:B,proc_old!C120,benchmark_gurobi_vs_cuts_grb_ol!D:D,proc_old!D120))</f>
        <v>20</v>
      </c>
      <c r="L120" s="2">
        <f>AVERAGEIFS(benchmark_gurobi_vs_cuts_grb_ol!H:H,benchmark_gurobi_vs_cuts_grb_ol!A:A,proc_old!A120,benchmark_gurobi_vs_cuts_grb_ol!C:C,proc_old!B120,benchmark_gurobi_vs_cuts_grb_ol!B:B,proc_old!C120,benchmark_gurobi_vs_cuts_grb_ol!D:D,proc_old!D120)</f>
        <v>0.44252055665070328</v>
      </c>
      <c r="N120" s="2">
        <f>AVERAGEIFS(benchmark_gurobi_vs_cuts_grb_ol!V:V,benchmark_gurobi_vs_cuts_grb_ol!A:A,proc_old!A120,benchmark_gurobi_vs_cuts_grb_ol!C:C,proc_old!B120,benchmark_gurobi_vs_cuts_grb_ol!B:B,proc_old!C120,benchmark_gurobi_vs_cuts_grb_ol!D:D,proc_old!D120)</f>
        <v>0.44198079820208319</v>
      </c>
      <c r="O120" s="3">
        <f>AVERAGEIFS(benchmark_gurobi_vs_cuts_grb_ol!X:X,benchmark_gurobi_vs_cuts_grb_ol!A:A,proc_old!A120,benchmark_gurobi_vs_cuts_grb_ol!C:C,proc_old!B120,benchmark_gurobi_vs_cuts_grb_ol!B:B,proc_old!C120,benchmark_gurobi_vs_cuts_grb_ol!D:D,proc_old!D120)</f>
        <v>75926.207067187992</v>
      </c>
      <c r="P120" s="3">
        <f>AVERAGEIFS(benchmark_gurobi_vs_cuts_grb_ol!Y:Y,benchmark_gurobi_vs_cuts_grb_ol!A:A,proc_old!A120,benchmark_gurobi_vs_cuts_grb_ol!C:C,proc_old!B120,benchmark_gurobi_vs_cuts_grb_ol!B:B,proc_old!C120,benchmark_gurobi_vs_cuts_grb_ol!D:D,proc_old!D120)</f>
        <v>62086.170212765959</v>
      </c>
      <c r="Q120" s="2">
        <f>AVERAGEIFS(benchmark_gurobi_vs_cuts_grb_ol!Z:Z,benchmark_gurobi_vs_cuts_grb_ol!A:A,proc_old!A120,benchmark_gurobi_vs_cuts_grb_ol!C:C,proc_old!B120,benchmark_gurobi_vs_cuts_grb_ol!B:B,proc_old!C120,benchmark_gurobi_vs_cuts_grb_ol!D:D,proc_old!D120)</f>
        <v>0.45377153238198803</v>
      </c>
      <c r="R120" s="3">
        <f>AVERAGEIFS(benchmark_gurobi_vs_cuts_grb_ol!AA:AA,benchmark_gurobi_vs_cuts_grb_ol!A:A,proc_old!A120,benchmark_gurobi_vs_cuts_grb_ol!C:C,proc_old!B120,benchmark_gurobi_vs_cuts_grb_ol!B:B,proc_old!C120,benchmark_gurobi_vs_cuts_grb_ol!D:D,proc_old!D120)</f>
        <v>100</v>
      </c>
      <c r="Y120" t="str">
        <f t="shared" si="17"/>
        <v>$20$ &amp; $0.3$ &amp; $100/p$ &amp; $0\%$ &amp; $0$ &amp; $0$ &amp; $0\%$ &amp; $0\%$ &amp; $0$ &amp; $0$ &amp; $0\%$ &amp; $0$ &amp; $44.2\%$ &amp; $75926.21$ &amp; $62086$ &amp; $45.38\%$ &amp; $100$\\</v>
      </c>
    </row>
    <row r="121" spans="1:25" x14ac:dyDescent="0.2">
      <c r="A121" s="4">
        <v>20</v>
      </c>
      <c r="B121" s="4">
        <v>0.4</v>
      </c>
      <c r="C121" s="4">
        <v>3</v>
      </c>
      <c r="D121" s="4">
        <v>100</v>
      </c>
      <c r="E121">
        <f>MIN(20, COUNTIFS(benchmark_gurobi_vs_cuts_grb_ol!A:A,proc_old!A121,benchmark_gurobi_vs_cuts_grb_ol!C:C,proc_old!B121,benchmark_gurobi_vs_cuts_grb_ol!B:B,proc_old!C121,benchmark_gurobi_vs_cuts_grb_ol!D:D,proc_old!D121))</f>
        <v>20</v>
      </c>
      <c r="L121" s="2">
        <f>AVERAGEIFS(benchmark_gurobi_vs_cuts_grb_ol!H:H,benchmark_gurobi_vs_cuts_grb_ol!A:A,proc_old!A121,benchmark_gurobi_vs_cuts_grb_ol!C:C,proc_old!B121,benchmark_gurobi_vs_cuts_grb_ol!B:B,proc_old!C121,benchmark_gurobi_vs_cuts_grb_ol!D:D,proc_old!D121)</f>
        <v>0.12224994677697158</v>
      </c>
      <c r="N121" s="2">
        <f>AVERAGEIFS(benchmark_gurobi_vs_cuts_grb_ol!V:V,benchmark_gurobi_vs_cuts_grb_ol!A:A,proc_old!A121,benchmark_gurobi_vs_cuts_grb_ol!C:C,proc_old!B121,benchmark_gurobi_vs_cuts_grb_ol!B:B,proc_old!C121,benchmark_gurobi_vs_cuts_grb_ol!D:D,proc_old!D121)</f>
        <v>0.11442445543207269</v>
      </c>
      <c r="O121" s="3">
        <f>AVERAGEIFS(benchmark_gurobi_vs_cuts_grb_ol!X:X,benchmark_gurobi_vs_cuts_grb_ol!A:A,proc_old!A121,benchmark_gurobi_vs_cuts_grb_ol!C:C,proc_old!B121,benchmark_gurobi_vs_cuts_grb_ol!B:B,proc_old!C121,benchmark_gurobi_vs_cuts_grb_ol!D:D,proc_old!D121)</f>
        <v>76085.45606020643</v>
      </c>
      <c r="P121" s="3">
        <f>AVERAGEIFS(benchmark_gurobi_vs_cuts_grb_ol!Y:Y,benchmark_gurobi_vs_cuts_grb_ol!A:A,proc_old!A121,benchmark_gurobi_vs_cuts_grb_ol!C:C,proc_old!B121,benchmark_gurobi_vs_cuts_grb_ol!B:B,proc_old!C121,benchmark_gurobi_vs_cuts_grb_ol!D:D,proc_old!D121)</f>
        <v>74505.369565217392</v>
      </c>
      <c r="Q121" s="2">
        <f>AVERAGEIFS(benchmark_gurobi_vs_cuts_grb_ol!Z:Z,benchmark_gurobi_vs_cuts_grb_ol!A:A,proc_old!A121,benchmark_gurobi_vs_cuts_grb_ol!C:C,proc_old!B121,benchmark_gurobi_vs_cuts_grb_ol!B:B,proc_old!C121,benchmark_gurobi_vs_cuts_grb_ol!D:D,proc_old!D121)</f>
        <v>0.69314326774794277</v>
      </c>
      <c r="R121" s="3">
        <f>AVERAGEIFS(benchmark_gurobi_vs_cuts_grb_ol!AA:AA,benchmark_gurobi_vs_cuts_grb_ol!A:A,proc_old!A121,benchmark_gurobi_vs_cuts_grb_ol!C:C,proc_old!B121,benchmark_gurobi_vs_cuts_grb_ol!B:B,proc_old!C121,benchmark_gurobi_vs_cuts_grb_ol!D:D,proc_old!D121)</f>
        <v>100</v>
      </c>
      <c r="Y121" t="str">
        <f t="shared" si="17"/>
        <v>$20$ &amp; $0.4$ &amp; $100/p$ &amp; $0\%$ &amp; $0$ &amp; $0$ &amp; $0\%$ &amp; $0\%$ &amp; $0$ &amp; $0$ &amp; $0\%$ &amp; $0$ &amp; $11.44\%$ &amp; $76085.46$ &amp; $74505$ &amp; $69.31\%$ &amp; $100$\\</v>
      </c>
    </row>
    <row r="122" spans="1:25" x14ac:dyDescent="0.2">
      <c r="A122" s="4"/>
      <c r="B122" s="4"/>
      <c r="C122" s="4"/>
      <c r="D122" s="4"/>
      <c r="L122" s="2"/>
    </row>
    <row r="123" spans="1:25" x14ac:dyDescent="0.2">
      <c r="A123" s="4">
        <v>30</v>
      </c>
      <c r="B123" s="4">
        <v>0.1</v>
      </c>
      <c r="C123" s="4">
        <v>3</v>
      </c>
      <c r="D123" s="4">
        <v>100</v>
      </c>
      <c r="E123">
        <f>MIN(20, COUNTIFS(benchmark_gurobi_vs_cuts_grb_ol!A:A,proc_old!A123,benchmark_gurobi_vs_cuts_grb_ol!C:C,proc_old!B123,benchmark_gurobi_vs_cuts_grb_ol!B:B,proc_old!C123,benchmark_gurobi_vs_cuts_grb_ol!D:D,proc_old!D123))</f>
        <v>20</v>
      </c>
      <c r="L123" s="2">
        <f>AVERAGEIFS(benchmark_gurobi_vs_cuts_grb_ol!H:H,benchmark_gurobi_vs_cuts_grb_ol!A:A,proc_old!A123,benchmark_gurobi_vs_cuts_grb_ol!C:C,proc_old!B123,benchmark_gurobi_vs_cuts_grb_ol!B:B,proc_old!C123,benchmark_gurobi_vs_cuts_grb_ol!D:D,proc_old!D123)</f>
        <v>0.97454319797687228</v>
      </c>
      <c r="N123" s="2">
        <f>AVERAGEIFS(benchmark_gurobi_vs_cuts_grb_ol!V:V,benchmark_gurobi_vs_cuts_grb_ol!A:A,proc_old!A123,benchmark_gurobi_vs_cuts_grb_ol!C:C,proc_old!B123,benchmark_gurobi_vs_cuts_grb_ol!B:B,proc_old!C123,benchmark_gurobi_vs_cuts_grb_ol!D:D,proc_old!D123)</f>
        <v>0.97523771763492317</v>
      </c>
      <c r="O123" s="3">
        <f>AVERAGEIFS(benchmark_gurobi_vs_cuts_grb_ol!X:X,benchmark_gurobi_vs_cuts_grb_ol!A:A,proc_old!A123,benchmark_gurobi_vs_cuts_grb_ol!C:C,proc_old!B123,benchmark_gurobi_vs_cuts_grb_ol!B:B,proc_old!C123,benchmark_gurobi_vs_cuts_grb_ol!D:D,proc_old!D123)</f>
        <v>76335.353373775812</v>
      </c>
      <c r="P123" s="3">
        <f>AVERAGEIFS(benchmark_gurobi_vs_cuts_grb_ol!Y:Y,benchmark_gurobi_vs_cuts_grb_ol!A:A,proc_old!A123,benchmark_gurobi_vs_cuts_grb_ol!C:C,proc_old!B123,benchmark_gurobi_vs_cuts_grb_ol!B:B,proc_old!C123,benchmark_gurobi_vs_cuts_grb_ol!D:D,proc_old!D123)</f>
        <v>23674.625</v>
      </c>
      <c r="Q123" s="2">
        <f>AVERAGEIFS(benchmark_gurobi_vs_cuts_grb_ol!Z:Z,benchmark_gurobi_vs_cuts_grb_ol!A:A,proc_old!A123,benchmark_gurobi_vs_cuts_grb_ol!C:C,proc_old!B123,benchmark_gurobi_vs_cuts_grb_ol!B:B,proc_old!C123,benchmark_gurobi_vs_cuts_grb_ol!D:D,proc_old!D123)</f>
        <v>9.3988472855663696E-2</v>
      </c>
      <c r="R123" s="3">
        <f>AVERAGEIFS(benchmark_gurobi_vs_cuts_grb_ol!AA:AA,benchmark_gurobi_vs_cuts_grb_ol!A:A,proc_old!A123,benchmark_gurobi_vs_cuts_grb_ol!C:C,proc_old!B123,benchmark_gurobi_vs_cuts_grb_ol!B:B,proc_old!C123,benchmark_gurobi_vs_cuts_grb_ol!D:D,proc_old!D123)</f>
        <v>100</v>
      </c>
      <c r="Y123" t="str">
        <f t="shared" ref="Y123:Y126" si="18">CONCATENATE("$", A123, "$ &amp; $", B123, "$ &amp; $", D123, "/p$ &amp; $", 100*ROUND(T123,4), "\%$ &amp; $", ROUND(U123,2), "$ &amp; $", ROUND(V123,0), "$ &amp; $", 100*ROUND(W123,4), "\%$ &amp; $", 100*ROUND(F123,4), "\%$ &amp; $", ROUND(G123,2), "$ &amp; $", ROUND(H123,0), "$ &amp; $", 100*ROUND(I123,4), "\%$ &amp; $", ROUND(J123,1), "$ &amp; $",100*ROUND(N123,4), "\%$ &amp; $", ROUND(O123,2), "$ &amp; $", ROUND(P123,0), "$ &amp; $", 100*ROUND(Q123,4), "\%$ &amp; $", ROUND(R123,1), "$\\")</f>
        <v>$30$ &amp; $0.1$ &amp; $100/p$ &amp; $0\%$ &amp; $0$ &amp; $0$ &amp; $0\%$ &amp; $0\%$ &amp; $0$ &amp; $0$ &amp; $0\%$ &amp; $0$ &amp; $97.52\%$ &amp; $76335.35$ &amp; $23675$ &amp; $9.4\%$ &amp; $100$\\</v>
      </c>
    </row>
    <row r="124" spans="1:25" x14ac:dyDescent="0.2">
      <c r="A124" s="4">
        <v>30</v>
      </c>
      <c r="B124" s="4">
        <v>0.2</v>
      </c>
      <c r="C124" s="4">
        <v>3</v>
      </c>
      <c r="D124" s="4">
        <v>100</v>
      </c>
      <c r="E124">
        <f>MIN(20, COUNTIFS(benchmark_gurobi_vs_cuts_grb_ol!A:A,proc_old!A124,benchmark_gurobi_vs_cuts_grb_ol!C:C,proc_old!B124,benchmark_gurobi_vs_cuts_grb_ol!B:B,proc_old!C124,benchmark_gurobi_vs_cuts_grb_ol!D:D,proc_old!D124))</f>
        <v>20</v>
      </c>
      <c r="L124" s="2">
        <f>AVERAGEIFS(benchmark_gurobi_vs_cuts_grb_ol!H:H,benchmark_gurobi_vs_cuts_grb_ol!A:A,proc_old!A124,benchmark_gurobi_vs_cuts_grb_ol!C:C,proc_old!B124,benchmark_gurobi_vs_cuts_grb_ol!B:B,proc_old!C124,benchmark_gurobi_vs_cuts_grb_ol!D:D,proc_old!D124)</f>
        <v>0.46214210889993329</v>
      </c>
      <c r="N124" s="2">
        <f>AVERAGEIFS(benchmark_gurobi_vs_cuts_grb_ol!V:V,benchmark_gurobi_vs_cuts_grb_ol!A:A,proc_old!A124,benchmark_gurobi_vs_cuts_grb_ol!C:C,proc_old!B124,benchmark_gurobi_vs_cuts_grb_ol!B:B,proc_old!C124,benchmark_gurobi_vs_cuts_grb_ol!D:D,proc_old!D124)</f>
        <v>0.46274288852154932</v>
      </c>
      <c r="O124" s="3">
        <f>AVERAGEIFS(benchmark_gurobi_vs_cuts_grb_ol!X:X,benchmark_gurobi_vs_cuts_grb_ol!A:A,proc_old!A124,benchmark_gurobi_vs_cuts_grb_ol!C:C,proc_old!B124,benchmark_gurobi_vs_cuts_grb_ol!B:B,proc_old!C124,benchmark_gurobi_vs_cuts_grb_ol!D:D,proc_old!D124)</f>
        <v>77167.114232721142</v>
      </c>
      <c r="P124" s="3">
        <f>AVERAGEIFS(benchmark_gurobi_vs_cuts_grb_ol!Y:Y,benchmark_gurobi_vs_cuts_grb_ol!A:A,proc_old!A124,benchmark_gurobi_vs_cuts_grb_ol!C:C,proc_old!B124,benchmark_gurobi_vs_cuts_grb_ol!B:B,proc_old!C124,benchmark_gurobi_vs_cuts_grb_ol!D:D,proc_old!D124)</f>
        <v>22554.166666666668</v>
      </c>
      <c r="Q124" s="2">
        <f>AVERAGEIFS(benchmark_gurobi_vs_cuts_grb_ol!Z:Z,benchmark_gurobi_vs_cuts_grb_ol!A:A,proc_old!A124,benchmark_gurobi_vs_cuts_grb_ol!C:C,proc_old!B124,benchmark_gurobi_vs_cuts_grb_ol!B:B,proc_old!C124,benchmark_gurobi_vs_cuts_grb_ol!D:D,proc_old!D124)</f>
        <v>1.4771772122928688</v>
      </c>
      <c r="R124" s="3">
        <f>AVERAGEIFS(benchmark_gurobi_vs_cuts_grb_ol!AA:AA,benchmark_gurobi_vs_cuts_grb_ol!A:A,proc_old!A124,benchmark_gurobi_vs_cuts_grb_ol!C:C,proc_old!B124,benchmark_gurobi_vs_cuts_grb_ol!B:B,proc_old!C124,benchmark_gurobi_vs_cuts_grb_ol!D:D,proc_old!D124)</f>
        <v>100</v>
      </c>
      <c r="Y124" t="str">
        <f t="shared" si="18"/>
        <v>$30$ &amp; $0.2$ &amp; $100/p$ &amp; $0\%$ &amp; $0$ &amp; $0$ &amp; $0\%$ &amp; $0\%$ &amp; $0$ &amp; $0$ &amp; $0\%$ &amp; $0$ &amp; $46.27\%$ &amp; $77167.11$ &amp; $22554$ &amp; $147.72\%$ &amp; $100$\\</v>
      </c>
    </row>
    <row r="125" spans="1:25" x14ac:dyDescent="0.2">
      <c r="A125" s="4">
        <v>30</v>
      </c>
      <c r="B125" s="4">
        <v>0.3</v>
      </c>
      <c r="C125" s="4">
        <v>3</v>
      </c>
      <c r="D125" s="4">
        <v>100</v>
      </c>
      <c r="E125">
        <f>MIN(20, COUNTIFS(benchmark_gurobi_vs_cuts_grb_ol!A:A,proc_old!A125,benchmark_gurobi_vs_cuts_grb_ol!C:C,proc_old!B125,benchmark_gurobi_vs_cuts_grb_ol!B:B,proc_old!C125,benchmark_gurobi_vs_cuts_grb_ol!D:D,proc_old!D125))</f>
        <v>20</v>
      </c>
      <c r="L125" s="2">
        <f>AVERAGEIFS(benchmark_gurobi_vs_cuts_grb_ol!H:H,benchmark_gurobi_vs_cuts_grb_ol!A:A,proc_old!A125,benchmark_gurobi_vs_cuts_grb_ol!C:C,proc_old!B125,benchmark_gurobi_vs_cuts_grb_ol!B:B,proc_old!C125,benchmark_gurobi_vs_cuts_grb_ol!D:D,proc_old!D125)</f>
        <v>0.11191758339489116</v>
      </c>
      <c r="N125" s="2">
        <f>AVERAGEIFS(benchmark_gurobi_vs_cuts_grb_ol!V:V,benchmark_gurobi_vs_cuts_grb_ol!A:A,proc_old!A125,benchmark_gurobi_vs_cuts_grb_ol!C:C,proc_old!B125,benchmark_gurobi_vs_cuts_grb_ol!B:B,proc_old!C125,benchmark_gurobi_vs_cuts_grb_ol!D:D,proc_old!D125)</f>
        <v>0.10420929014262786</v>
      </c>
      <c r="O125" s="3">
        <f>AVERAGEIFS(benchmark_gurobi_vs_cuts_grb_ol!X:X,benchmark_gurobi_vs_cuts_grb_ol!A:A,proc_old!A125,benchmark_gurobi_vs_cuts_grb_ol!C:C,proc_old!B125,benchmark_gurobi_vs_cuts_grb_ol!B:B,proc_old!C125,benchmark_gurobi_vs_cuts_grb_ol!D:D,proc_old!D125)</f>
        <v>76715.59378708135</v>
      </c>
      <c r="P125" s="3">
        <f>AVERAGEIFS(benchmark_gurobi_vs_cuts_grb_ol!Y:Y,benchmark_gurobi_vs_cuts_grb_ol!A:A,proc_old!A125,benchmark_gurobi_vs_cuts_grb_ol!C:C,proc_old!B125,benchmark_gurobi_vs_cuts_grb_ol!B:B,proc_old!C125,benchmark_gurobi_vs_cuts_grb_ol!D:D,proc_old!D125)</f>
        <v>22991.1875</v>
      </c>
      <c r="Q125" s="2">
        <f>AVERAGEIFS(benchmark_gurobi_vs_cuts_grb_ol!Z:Z,benchmark_gurobi_vs_cuts_grb_ol!A:A,proc_old!A125,benchmark_gurobi_vs_cuts_grb_ol!C:C,proc_old!B125,benchmark_gurobi_vs_cuts_grb_ol!B:B,proc_old!C125,benchmark_gurobi_vs_cuts_grb_ol!D:D,proc_old!D125)</f>
        <v>3.3801076762417686</v>
      </c>
      <c r="R125" s="3">
        <f>AVERAGEIFS(benchmark_gurobi_vs_cuts_grb_ol!AA:AA,benchmark_gurobi_vs_cuts_grb_ol!A:A,proc_old!A125,benchmark_gurobi_vs_cuts_grb_ol!C:C,proc_old!B125,benchmark_gurobi_vs_cuts_grb_ol!B:B,proc_old!C125,benchmark_gurobi_vs_cuts_grb_ol!D:D,proc_old!D125)</f>
        <v>100</v>
      </c>
      <c r="Y125" t="str">
        <f t="shared" si="18"/>
        <v>$30$ &amp; $0.3$ &amp; $100/p$ &amp; $0\%$ &amp; $0$ &amp; $0$ &amp; $0\%$ &amp; $0\%$ &amp; $0$ &amp; $0$ &amp; $0\%$ &amp; $0$ &amp; $10.42\%$ &amp; $76715.59$ &amp; $22991$ &amp; $338.01\%$ &amp; $100$\\</v>
      </c>
    </row>
    <row r="126" spans="1:25" x14ac:dyDescent="0.2">
      <c r="A126" s="4">
        <v>30</v>
      </c>
      <c r="B126" s="4">
        <v>0.4</v>
      </c>
      <c r="C126" s="4">
        <v>3</v>
      </c>
      <c r="D126" s="4">
        <v>100</v>
      </c>
      <c r="E126">
        <f>MIN(20, COUNTIFS(benchmark_gurobi_vs_cuts_grb_ol!A:A,proc_old!A126,benchmark_gurobi_vs_cuts_grb_ol!C:C,proc_old!B126,benchmark_gurobi_vs_cuts_grb_ol!B:B,proc_old!C126,benchmark_gurobi_vs_cuts_grb_ol!D:D,proc_old!D126))</f>
        <v>20</v>
      </c>
      <c r="L126" s="2">
        <f>AVERAGEIFS(benchmark_gurobi_vs_cuts_grb_ol!H:H,benchmark_gurobi_vs_cuts_grb_ol!A:A,proc_old!A126,benchmark_gurobi_vs_cuts_grb_ol!C:C,proc_old!B126,benchmark_gurobi_vs_cuts_grb_ol!B:B,proc_old!C126,benchmark_gurobi_vs_cuts_grb_ol!D:D,proc_old!D126)</f>
        <v>5.551552007014144E-2</v>
      </c>
      <c r="N126" s="2">
        <f>AVERAGEIFS(benchmark_gurobi_vs_cuts_grb_ol!V:V,benchmark_gurobi_vs_cuts_grb_ol!A:A,proc_old!A126,benchmark_gurobi_vs_cuts_grb_ol!C:C,proc_old!B126,benchmark_gurobi_vs_cuts_grb_ol!B:B,proc_old!C126,benchmark_gurobi_vs_cuts_grb_ol!D:D,proc_old!D126)</f>
        <v>4.7957400169043568E-2</v>
      </c>
      <c r="O126" s="3">
        <f>AVERAGEIFS(benchmark_gurobi_vs_cuts_grb_ol!X:X,benchmark_gurobi_vs_cuts_grb_ol!A:A,proc_old!A126,benchmark_gurobi_vs_cuts_grb_ol!C:C,proc_old!B126,benchmark_gurobi_vs_cuts_grb_ol!B:B,proc_old!C126,benchmark_gurobi_vs_cuts_grb_ol!D:D,proc_old!D126)</f>
        <v>76198.165594906925</v>
      </c>
      <c r="P126" s="3">
        <f>AVERAGEIFS(benchmark_gurobi_vs_cuts_grb_ol!Y:Y,benchmark_gurobi_vs_cuts_grb_ol!A:A,proc_old!A126,benchmark_gurobi_vs_cuts_grb_ol!C:C,proc_old!B126,benchmark_gurobi_vs_cuts_grb_ol!B:B,proc_old!C126,benchmark_gurobi_vs_cuts_grb_ol!D:D,proc_old!D126)</f>
        <v>17374.413793103449</v>
      </c>
      <c r="Q126" s="2">
        <f>AVERAGEIFS(benchmark_gurobi_vs_cuts_grb_ol!Z:Z,benchmark_gurobi_vs_cuts_grb_ol!A:A,proc_old!A126,benchmark_gurobi_vs_cuts_grb_ol!C:C,proc_old!B126,benchmark_gurobi_vs_cuts_grb_ol!B:B,proc_old!C126,benchmark_gurobi_vs_cuts_grb_ol!D:D,proc_old!D126)</f>
        <v>5.2700675118596729</v>
      </c>
      <c r="R126" s="3">
        <f>AVERAGEIFS(benchmark_gurobi_vs_cuts_grb_ol!AA:AA,benchmark_gurobi_vs_cuts_grb_ol!A:A,proc_old!A126,benchmark_gurobi_vs_cuts_grb_ol!C:C,proc_old!B126,benchmark_gurobi_vs_cuts_grb_ol!B:B,proc_old!C126,benchmark_gurobi_vs_cuts_grb_ol!D:D,proc_old!D126)</f>
        <v>100</v>
      </c>
      <c r="Y126" t="str">
        <f t="shared" si="18"/>
        <v>$30$ &amp; $0.4$ &amp; $100/p$ &amp; $0\%$ &amp; $0$ &amp; $0$ &amp; $0\%$ &amp; $0\%$ &amp; $0$ &amp; $0$ &amp; $0\%$ &amp; $0$ &amp; $4.8\%$ &amp; $76198.17$ &amp; $17374$ &amp; $527.01\%$ &amp; $100$\\</v>
      </c>
    </row>
    <row r="127" spans="1:25" x14ac:dyDescent="0.2">
      <c r="A127" s="4"/>
      <c r="B127" s="4"/>
      <c r="C127" s="4"/>
      <c r="D127" s="4"/>
      <c r="L127" s="2"/>
    </row>
    <row r="128" spans="1:25" x14ac:dyDescent="0.2">
      <c r="A128" s="4">
        <v>40</v>
      </c>
      <c r="B128" s="4">
        <v>0.1</v>
      </c>
      <c r="C128" s="4">
        <v>3</v>
      </c>
      <c r="D128" s="4">
        <v>100</v>
      </c>
      <c r="E128">
        <f>MIN(20, COUNTIFS(benchmark_gurobi_vs_cuts_grb_ol!A:A,proc_old!A128,benchmark_gurobi_vs_cuts_grb_ol!C:C,proc_old!B128,benchmark_gurobi_vs_cuts_grb_ol!B:B,proc_old!C128,benchmark_gurobi_vs_cuts_grb_ol!D:D,proc_old!D128))</f>
        <v>0</v>
      </c>
      <c r="L128" s="2" t="e">
        <f>AVERAGEIFS(benchmark_gurobi_vs_cuts_grb_ol!H:H,benchmark_gurobi_vs_cuts_grb_ol!A:A,proc_old!A128,benchmark_gurobi_vs_cuts_grb_ol!C:C,proc_old!B128,benchmark_gurobi_vs_cuts_grb_ol!B:B,proc_old!C128,benchmark_gurobi_vs_cuts_grb_ol!D:D,proc_old!D128)</f>
        <v>#DIV/0!</v>
      </c>
      <c r="N128" s="2" t="e">
        <f>AVERAGEIFS(benchmark_gurobi_vs_cuts_grb_ol!V:V,benchmark_gurobi_vs_cuts_grb_ol!A:A,proc_old!A128,benchmark_gurobi_vs_cuts_grb_ol!C:C,proc_old!B128,benchmark_gurobi_vs_cuts_grb_ol!B:B,proc_old!C128,benchmark_gurobi_vs_cuts_grb_ol!D:D,proc_old!D128)</f>
        <v>#DIV/0!</v>
      </c>
      <c r="O128" s="3" t="e">
        <f>AVERAGEIFS(benchmark_gurobi_vs_cuts_grb_ol!X:X,benchmark_gurobi_vs_cuts_grb_ol!A:A,proc_old!A128,benchmark_gurobi_vs_cuts_grb_ol!C:C,proc_old!B128,benchmark_gurobi_vs_cuts_grb_ol!B:B,proc_old!C128,benchmark_gurobi_vs_cuts_grb_ol!D:D,proc_old!D128)</f>
        <v>#DIV/0!</v>
      </c>
      <c r="P128" s="3" t="e">
        <f>AVERAGEIFS(benchmark_gurobi_vs_cuts_grb_ol!Y:Y,benchmark_gurobi_vs_cuts_grb_ol!A:A,proc_old!A128,benchmark_gurobi_vs_cuts_grb_ol!C:C,proc_old!B128,benchmark_gurobi_vs_cuts_grb_ol!B:B,proc_old!C128,benchmark_gurobi_vs_cuts_grb_ol!D:D,proc_old!D128)</f>
        <v>#DIV/0!</v>
      </c>
      <c r="Q128" s="2" t="e">
        <f>AVERAGEIFS(benchmark_gurobi_vs_cuts_grb_ol!Z:Z,benchmark_gurobi_vs_cuts_grb_ol!A:A,proc_old!A128,benchmark_gurobi_vs_cuts_grb_ol!C:C,proc_old!B128,benchmark_gurobi_vs_cuts_grb_ol!B:B,proc_old!C128,benchmark_gurobi_vs_cuts_grb_ol!D:D,proc_old!D128)</f>
        <v>#DIV/0!</v>
      </c>
      <c r="R128" s="3" t="e">
        <f>AVERAGEIFS(benchmark_gurobi_vs_cuts_grb_ol!AA:AA,benchmark_gurobi_vs_cuts_grb_ol!A:A,proc_old!A128,benchmark_gurobi_vs_cuts_grb_ol!C:C,proc_old!B128,benchmark_gurobi_vs_cuts_grb_ol!B:B,proc_old!C128,benchmark_gurobi_vs_cuts_grb_ol!D:D,proc_old!D128)</f>
        <v>#DIV/0!</v>
      </c>
      <c r="Y128" t="e">
        <f t="shared" ref="Y128:Y131" si="19">CONCATENATE("$", A128, "$ &amp; $", B128, "$ &amp; $", D128, "/p$ &amp; $", 100*ROUND(T128,4), "\%$ &amp; $", ROUND(U128,2), "$ &amp; $", ROUND(V128,0), "$ &amp; $", 100*ROUND(W128,4), "\%$ &amp; $", 100*ROUND(F128,4), "\%$ &amp; $", ROUND(G128,2), "$ &amp; $", ROUND(H128,0), "$ &amp; $", 100*ROUND(I128,4), "\%$ &amp; $", ROUND(J128,1), "$ &amp; $",100*ROUND(N128,4), "\%$ &amp; $", ROUND(O128,2), "$ &amp; $", ROUND(P128,0), "$ &amp; $", 100*ROUND(Q128,4), "\%$ &amp; $", ROUND(R128,1), "$\\")</f>
        <v>#DIV/0!</v>
      </c>
    </row>
    <row r="129" spans="1:25" x14ac:dyDescent="0.2">
      <c r="A129" s="4">
        <v>40</v>
      </c>
      <c r="B129" s="4">
        <v>0.2</v>
      </c>
      <c r="C129" s="4">
        <v>3</v>
      </c>
      <c r="D129" s="4">
        <v>100</v>
      </c>
      <c r="E129">
        <f>MIN(20, COUNTIFS(benchmark_gurobi_vs_cuts_grb_ol!A:A,proc_old!A129,benchmark_gurobi_vs_cuts_grb_ol!C:C,proc_old!B129,benchmark_gurobi_vs_cuts_grb_ol!B:B,proc_old!C129,benchmark_gurobi_vs_cuts_grb_ol!D:D,proc_old!D129))</f>
        <v>0</v>
      </c>
      <c r="L129" s="2" t="e">
        <f>AVERAGEIFS(benchmark_gurobi_vs_cuts_grb_ol!H:H,benchmark_gurobi_vs_cuts_grb_ol!A:A,proc_old!A129,benchmark_gurobi_vs_cuts_grb_ol!C:C,proc_old!B129,benchmark_gurobi_vs_cuts_grb_ol!B:B,proc_old!C129,benchmark_gurobi_vs_cuts_grb_ol!D:D,proc_old!D129)</f>
        <v>#DIV/0!</v>
      </c>
      <c r="N129" s="2" t="e">
        <f>AVERAGEIFS(benchmark_gurobi_vs_cuts_grb_ol!V:V,benchmark_gurobi_vs_cuts_grb_ol!A:A,proc_old!A129,benchmark_gurobi_vs_cuts_grb_ol!C:C,proc_old!B129,benchmark_gurobi_vs_cuts_grb_ol!B:B,proc_old!C129,benchmark_gurobi_vs_cuts_grb_ol!D:D,proc_old!D129)</f>
        <v>#DIV/0!</v>
      </c>
      <c r="O129" s="3" t="e">
        <f>AVERAGEIFS(benchmark_gurobi_vs_cuts_grb_ol!X:X,benchmark_gurobi_vs_cuts_grb_ol!A:A,proc_old!A129,benchmark_gurobi_vs_cuts_grb_ol!C:C,proc_old!B129,benchmark_gurobi_vs_cuts_grb_ol!B:B,proc_old!C129,benchmark_gurobi_vs_cuts_grb_ol!D:D,proc_old!D129)</f>
        <v>#DIV/0!</v>
      </c>
      <c r="P129" s="3" t="e">
        <f>AVERAGEIFS(benchmark_gurobi_vs_cuts_grb_ol!Y:Y,benchmark_gurobi_vs_cuts_grb_ol!A:A,proc_old!A129,benchmark_gurobi_vs_cuts_grb_ol!C:C,proc_old!B129,benchmark_gurobi_vs_cuts_grb_ol!B:B,proc_old!C129,benchmark_gurobi_vs_cuts_grb_ol!D:D,proc_old!D129)</f>
        <v>#DIV/0!</v>
      </c>
      <c r="Q129" s="2" t="e">
        <f>AVERAGEIFS(benchmark_gurobi_vs_cuts_grb_ol!Z:Z,benchmark_gurobi_vs_cuts_grb_ol!A:A,proc_old!A129,benchmark_gurobi_vs_cuts_grb_ol!C:C,proc_old!B129,benchmark_gurobi_vs_cuts_grb_ol!B:B,proc_old!C129,benchmark_gurobi_vs_cuts_grb_ol!D:D,proc_old!D129)</f>
        <v>#DIV/0!</v>
      </c>
      <c r="R129" s="3" t="e">
        <f>AVERAGEIFS(benchmark_gurobi_vs_cuts_grb_ol!AA:AA,benchmark_gurobi_vs_cuts_grb_ol!A:A,proc_old!A129,benchmark_gurobi_vs_cuts_grb_ol!C:C,proc_old!B129,benchmark_gurobi_vs_cuts_grb_ol!B:B,proc_old!C129,benchmark_gurobi_vs_cuts_grb_ol!D:D,proc_old!D129)</f>
        <v>#DIV/0!</v>
      </c>
      <c r="Y129" t="e">
        <f t="shared" si="19"/>
        <v>#DIV/0!</v>
      </c>
    </row>
    <row r="130" spans="1:25" x14ac:dyDescent="0.2">
      <c r="A130" s="4">
        <v>40</v>
      </c>
      <c r="B130" s="4">
        <v>0.3</v>
      </c>
      <c r="C130" s="4">
        <v>3</v>
      </c>
      <c r="D130" s="4">
        <v>100</v>
      </c>
      <c r="E130">
        <f>MIN(20, COUNTIFS(benchmark_gurobi_vs_cuts_grb_ol!A:A,proc_old!A130,benchmark_gurobi_vs_cuts_grb_ol!C:C,proc_old!B130,benchmark_gurobi_vs_cuts_grb_ol!B:B,proc_old!C130,benchmark_gurobi_vs_cuts_grb_ol!D:D,proc_old!D130))</f>
        <v>0</v>
      </c>
      <c r="L130" s="2" t="e">
        <f>AVERAGEIFS(benchmark_gurobi_vs_cuts_grb_ol!H:H,benchmark_gurobi_vs_cuts_grb_ol!A:A,proc_old!A130,benchmark_gurobi_vs_cuts_grb_ol!C:C,proc_old!B130,benchmark_gurobi_vs_cuts_grb_ol!B:B,proc_old!C130,benchmark_gurobi_vs_cuts_grb_ol!D:D,proc_old!D130)</f>
        <v>#DIV/0!</v>
      </c>
      <c r="N130" s="2" t="e">
        <f>AVERAGEIFS(benchmark_gurobi_vs_cuts_grb_ol!V:V,benchmark_gurobi_vs_cuts_grb_ol!A:A,proc_old!A130,benchmark_gurobi_vs_cuts_grb_ol!C:C,proc_old!B130,benchmark_gurobi_vs_cuts_grb_ol!B:B,proc_old!C130,benchmark_gurobi_vs_cuts_grb_ol!D:D,proc_old!D130)</f>
        <v>#DIV/0!</v>
      </c>
      <c r="O130" s="3" t="e">
        <f>AVERAGEIFS(benchmark_gurobi_vs_cuts_grb_ol!X:X,benchmark_gurobi_vs_cuts_grb_ol!A:A,proc_old!A130,benchmark_gurobi_vs_cuts_grb_ol!C:C,proc_old!B130,benchmark_gurobi_vs_cuts_grb_ol!B:B,proc_old!C130,benchmark_gurobi_vs_cuts_grb_ol!D:D,proc_old!D130)</f>
        <v>#DIV/0!</v>
      </c>
      <c r="P130" s="3" t="e">
        <f>AVERAGEIFS(benchmark_gurobi_vs_cuts_grb_ol!Y:Y,benchmark_gurobi_vs_cuts_grb_ol!A:A,proc_old!A130,benchmark_gurobi_vs_cuts_grb_ol!C:C,proc_old!B130,benchmark_gurobi_vs_cuts_grb_ol!B:B,proc_old!C130,benchmark_gurobi_vs_cuts_grb_ol!D:D,proc_old!D130)</f>
        <v>#DIV/0!</v>
      </c>
      <c r="Q130" s="2" t="e">
        <f>AVERAGEIFS(benchmark_gurobi_vs_cuts_grb_ol!Z:Z,benchmark_gurobi_vs_cuts_grb_ol!A:A,proc_old!A130,benchmark_gurobi_vs_cuts_grb_ol!C:C,proc_old!B130,benchmark_gurobi_vs_cuts_grb_ol!B:B,proc_old!C130,benchmark_gurobi_vs_cuts_grb_ol!D:D,proc_old!D130)</f>
        <v>#DIV/0!</v>
      </c>
      <c r="R130" s="3" t="e">
        <f>AVERAGEIFS(benchmark_gurobi_vs_cuts_grb_ol!AA:AA,benchmark_gurobi_vs_cuts_grb_ol!A:A,proc_old!A130,benchmark_gurobi_vs_cuts_grb_ol!C:C,proc_old!B130,benchmark_gurobi_vs_cuts_grb_ol!B:B,proc_old!C130,benchmark_gurobi_vs_cuts_grb_ol!D:D,proc_old!D130)</f>
        <v>#DIV/0!</v>
      </c>
      <c r="Y130" t="e">
        <f t="shared" si="19"/>
        <v>#DIV/0!</v>
      </c>
    </row>
    <row r="131" spans="1:25" x14ac:dyDescent="0.2">
      <c r="A131" s="4">
        <v>40</v>
      </c>
      <c r="B131" s="4">
        <v>0.4</v>
      </c>
      <c r="C131" s="4">
        <v>3</v>
      </c>
      <c r="D131" s="4">
        <v>100</v>
      </c>
      <c r="E131">
        <f>MIN(20, COUNTIFS(benchmark_gurobi_vs_cuts_grb_ol!A:A,proc_old!A131,benchmark_gurobi_vs_cuts_grb_ol!C:C,proc_old!B131,benchmark_gurobi_vs_cuts_grb_ol!B:B,proc_old!C131,benchmark_gurobi_vs_cuts_grb_ol!D:D,proc_old!D131))</f>
        <v>0</v>
      </c>
      <c r="L131" s="2" t="e">
        <f>AVERAGEIFS(benchmark_gurobi_vs_cuts_grb_ol!H:H,benchmark_gurobi_vs_cuts_grb_ol!A:A,proc_old!A131,benchmark_gurobi_vs_cuts_grb_ol!C:C,proc_old!B131,benchmark_gurobi_vs_cuts_grb_ol!B:B,proc_old!C131,benchmark_gurobi_vs_cuts_grb_ol!D:D,proc_old!D131)</f>
        <v>#DIV/0!</v>
      </c>
      <c r="N131" s="2" t="e">
        <f>AVERAGEIFS(benchmark_gurobi_vs_cuts_grb_ol!V:V,benchmark_gurobi_vs_cuts_grb_ol!A:A,proc_old!A131,benchmark_gurobi_vs_cuts_grb_ol!C:C,proc_old!B131,benchmark_gurobi_vs_cuts_grb_ol!B:B,proc_old!C131,benchmark_gurobi_vs_cuts_grb_ol!D:D,proc_old!D131)</f>
        <v>#DIV/0!</v>
      </c>
      <c r="O131" s="3" t="e">
        <f>AVERAGEIFS(benchmark_gurobi_vs_cuts_grb_ol!X:X,benchmark_gurobi_vs_cuts_grb_ol!A:A,proc_old!A131,benchmark_gurobi_vs_cuts_grb_ol!C:C,proc_old!B131,benchmark_gurobi_vs_cuts_grb_ol!B:B,proc_old!C131,benchmark_gurobi_vs_cuts_grb_ol!D:D,proc_old!D131)</f>
        <v>#DIV/0!</v>
      </c>
      <c r="P131" s="3" t="e">
        <f>AVERAGEIFS(benchmark_gurobi_vs_cuts_grb_ol!Y:Y,benchmark_gurobi_vs_cuts_grb_ol!A:A,proc_old!A131,benchmark_gurobi_vs_cuts_grb_ol!C:C,proc_old!B131,benchmark_gurobi_vs_cuts_grb_ol!B:B,proc_old!C131,benchmark_gurobi_vs_cuts_grb_ol!D:D,proc_old!D131)</f>
        <v>#DIV/0!</v>
      </c>
      <c r="Q131" s="2" t="e">
        <f>AVERAGEIFS(benchmark_gurobi_vs_cuts_grb_ol!Z:Z,benchmark_gurobi_vs_cuts_grb_ol!A:A,proc_old!A131,benchmark_gurobi_vs_cuts_grb_ol!C:C,proc_old!B131,benchmark_gurobi_vs_cuts_grb_ol!B:B,proc_old!C131,benchmark_gurobi_vs_cuts_grb_ol!D:D,proc_old!D131)</f>
        <v>#DIV/0!</v>
      </c>
      <c r="R131" s="3" t="e">
        <f>AVERAGEIFS(benchmark_gurobi_vs_cuts_grb_ol!AA:AA,benchmark_gurobi_vs_cuts_grb_ol!A:A,proc_old!A131,benchmark_gurobi_vs_cuts_grb_ol!C:C,proc_old!B131,benchmark_gurobi_vs_cuts_grb_ol!B:B,proc_old!C131,benchmark_gurobi_vs_cuts_grb_ol!D:D,proc_old!D131)</f>
        <v>#DIV/0!</v>
      </c>
      <c r="Y131" t="e">
        <f t="shared" si="19"/>
        <v>#DIV/0!</v>
      </c>
    </row>
    <row r="134" spans="1:25" x14ac:dyDescent="0.2">
      <c r="D134" t="s">
        <v>38</v>
      </c>
      <c r="E134" s="2">
        <f>SUM(E4:E131)/(20*4*2*4*3)</f>
        <v>0.90156250000000004</v>
      </c>
    </row>
  </sheetData>
  <conditionalFormatting sqref="E37:E40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0:E8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5:E6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4:E19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2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3:E4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9:E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9:E6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13:E131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08:E11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2:E10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2:E11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:E1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:E2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:E3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:E46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E9A2C-AC45-A54B-B488-DD7E2F52CFFF}">
  <dimension ref="A1:AA1737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E3" sqref="E3"/>
    </sheetView>
  </sheetViews>
  <sheetFormatPr baseColWidth="10" defaultRowHeight="16" x14ac:dyDescent="0.2"/>
  <cols>
    <col min="16" max="16" width="10.83203125" style="5"/>
    <col min="22" max="22" width="10.83203125" style="5"/>
  </cols>
  <sheetData>
    <row r="1" spans="1:27" x14ac:dyDescent="0.2">
      <c r="P1" s="5" t="s">
        <v>0</v>
      </c>
      <c r="V1" s="5" t="s">
        <v>1</v>
      </c>
    </row>
    <row r="2" spans="1:27" x14ac:dyDescent="0.2">
      <c r="A2" t="s">
        <v>2</v>
      </c>
      <c r="B2" t="s">
        <v>3</v>
      </c>
      <c r="C2" t="s">
        <v>4</v>
      </c>
      <c r="D2" t="s">
        <v>26</v>
      </c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t="s">
        <v>12</v>
      </c>
      <c r="M2" t="s">
        <v>13</v>
      </c>
      <c r="N2" t="s">
        <v>14</v>
      </c>
      <c r="O2" t="s">
        <v>15</v>
      </c>
      <c r="P2" s="5" t="s">
        <v>16</v>
      </c>
      <c r="Q2" t="s">
        <v>17</v>
      </c>
      <c r="R2" t="s">
        <v>18</v>
      </c>
      <c r="S2" t="s">
        <v>19</v>
      </c>
      <c r="T2" t="s">
        <v>20</v>
      </c>
      <c r="U2" t="s">
        <v>21</v>
      </c>
      <c r="V2" s="5" t="s">
        <v>16</v>
      </c>
      <c r="W2" t="s">
        <v>17</v>
      </c>
      <c r="X2" t="s">
        <v>18</v>
      </c>
      <c r="Y2" t="s">
        <v>22</v>
      </c>
      <c r="Z2" t="s">
        <v>20</v>
      </c>
      <c r="AA2" t="s">
        <v>21</v>
      </c>
    </row>
    <row r="3" spans="1:27" x14ac:dyDescent="0.2">
      <c r="A3">
        <v>10</v>
      </c>
      <c r="B3">
        <v>2</v>
      </c>
      <c r="C3">
        <v>0.1</v>
      </c>
      <c r="D3">
        <v>20</v>
      </c>
      <c r="E3">
        <v>0.96572116599677604</v>
      </c>
      <c r="F3">
        <v>2</v>
      </c>
      <c r="G3">
        <v>25.634119423000001</v>
      </c>
      <c r="H3">
        <v>0.965721165996827</v>
      </c>
      <c r="I3">
        <v>2</v>
      </c>
      <c r="J3">
        <v>4.0239723999999998E-2</v>
      </c>
      <c r="P3"/>
      <c r="V3">
        <v>1.02592545360914</v>
      </c>
      <c r="W3">
        <v>2</v>
      </c>
      <c r="X3">
        <v>39.538420342999999</v>
      </c>
      <c r="Y3">
        <v>6449</v>
      </c>
      <c r="Z3">
        <v>4.4008721831756398E-4</v>
      </c>
      <c r="AA3">
        <v>1</v>
      </c>
    </row>
    <row r="4" spans="1:27" x14ac:dyDescent="0.2">
      <c r="A4">
        <v>10</v>
      </c>
      <c r="B4">
        <v>2</v>
      </c>
      <c r="C4">
        <v>0.2</v>
      </c>
      <c r="D4">
        <v>20</v>
      </c>
      <c r="E4">
        <v>1.0284010795270899</v>
      </c>
      <c r="F4">
        <v>2</v>
      </c>
      <c r="G4">
        <v>25.566709470999999</v>
      </c>
      <c r="H4">
        <v>1.02695624355075</v>
      </c>
      <c r="I4">
        <v>2</v>
      </c>
      <c r="J4">
        <v>0.10897000799999999</v>
      </c>
      <c r="P4"/>
      <c r="V4">
        <v>1.0285721437033799</v>
      </c>
      <c r="W4">
        <v>2</v>
      </c>
      <c r="X4">
        <v>48.484912002999998</v>
      </c>
      <c r="Y4">
        <v>1396</v>
      </c>
      <c r="Z4">
        <v>7.7857814519004497E-3</v>
      </c>
      <c r="AA4">
        <v>1</v>
      </c>
    </row>
    <row r="5" spans="1:27" x14ac:dyDescent="0.2">
      <c r="A5">
        <v>10</v>
      </c>
      <c r="B5">
        <v>2</v>
      </c>
      <c r="C5">
        <v>0.1</v>
      </c>
      <c r="D5">
        <v>20</v>
      </c>
      <c r="E5">
        <v>0.95064135850263298</v>
      </c>
      <c r="F5">
        <v>2</v>
      </c>
      <c r="G5">
        <v>34.367990313999996</v>
      </c>
      <c r="H5">
        <v>0.95064135850263298</v>
      </c>
      <c r="I5">
        <v>2</v>
      </c>
      <c r="J5">
        <v>5.6296071000000003E-2</v>
      </c>
      <c r="P5"/>
      <c r="V5">
        <v>0.96224539446808299</v>
      </c>
      <c r="W5">
        <v>2</v>
      </c>
      <c r="X5">
        <v>37.393257067999997</v>
      </c>
      <c r="Y5">
        <v>1014</v>
      </c>
      <c r="Z5" s="1">
        <v>4.6834767199376002E-5</v>
      </c>
      <c r="AA5">
        <v>1</v>
      </c>
    </row>
    <row r="6" spans="1:27" x14ac:dyDescent="0.2">
      <c r="A6">
        <v>10</v>
      </c>
      <c r="B6">
        <v>2</v>
      </c>
      <c r="C6">
        <v>0.1</v>
      </c>
      <c r="D6">
        <v>20</v>
      </c>
      <c r="E6">
        <v>0.94957832389063601</v>
      </c>
      <c r="F6">
        <v>2</v>
      </c>
      <c r="G6">
        <v>25.502693356000002</v>
      </c>
      <c r="H6">
        <v>0.94930609722508896</v>
      </c>
      <c r="I6">
        <v>2</v>
      </c>
      <c r="J6">
        <v>3.9975777999999997E-2</v>
      </c>
      <c r="P6"/>
      <c r="V6">
        <v>0.99949171392605896</v>
      </c>
      <c r="W6">
        <v>2</v>
      </c>
      <c r="X6">
        <v>45.115427744000002</v>
      </c>
      <c r="Y6">
        <v>6247</v>
      </c>
      <c r="Z6">
        <v>1.1797805473122401E-3</v>
      </c>
      <c r="AA6">
        <v>1</v>
      </c>
    </row>
    <row r="7" spans="1:27" x14ac:dyDescent="0.2">
      <c r="A7">
        <v>10</v>
      </c>
      <c r="B7">
        <v>2</v>
      </c>
      <c r="C7">
        <v>0.1</v>
      </c>
      <c r="D7">
        <v>20</v>
      </c>
      <c r="E7">
        <v>1.0116277345292599</v>
      </c>
      <c r="F7">
        <v>2</v>
      </c>
      <c r="G7">
        <v>25.320832813999999</v>
      </c>
      <c r="H7">
        <v>1.01596611809212</v>
      </c>
      <c r="I7">
        <v>2</v>
      </c>
      <c r="J7">
        <v>9.4772082999999993E-2</v>
      </c>
      <c r="P7"/>
      <c r="V7">
        <v>1.01651178788339</v>
      </c>
      <c r="W7">
        <v>2</v>
      </c>
      <c r="X7">
        <v>46.861671653999998</v>
      </c>
      <c r="Y7">
        <v>3918</v>
      </c>
      <c r="Z7">
        <v>5.3837865555075798E-3</v>
      </c>
      <c r="AA7">
        <v>1</v>
      </c>
    </row>
    <row r="8" spans="1:27" x14ac:dyDescent="0.2">
      <c r="A8">
        <v>10</v>
      </c>
      <c r="B8">
        <v>2</v>
      </c>
      <c r="C8">
        <v>0.1</v>
      </c>
      <c r="D8">
        <v>20</v>
      </c>
      <c r="E8">
        <v>0.94520206808491403</v>
      </c>
      <c r="F8">
        <v>2</v>
      </c>
      <c r="G8">
        <v>32.521798218000001</v>
      </c>
      <c r="H8">
        <v>0.94309927132578997</v>
      </c>
      <c r="I8">
        <v>2</v>
      </c>
      <c r="J8">
        <v>0.107802039</v>
      </c>
      <c r="P8"/>
      <c r="V8">
        <v>0.90374910764919403</v>
      </c>
      <c r="W8">
        <v>2</v>
      </c>
      <c r="X8">
        <v>54.997693407</v>
      </c>
      <c r="Y8">
        <v>1</v>
      </c>
      <c r="Z8">
        <v>1.4525461704633499E-3</v>
      </c>
      <c r="AA8">
        <v>2</v>
      </c>
    </row>
    <row r="9" spans="1:27" x14ac:dyDescent="0.2">
      <c r="A9">
        <v>10</v>
      </c>
      <c r="B9">
        <v>2</v>
      </c>
      <c r="C9">
        <v>0.1</v>
      </c>
      <c r="D9">
        <v>20</v>
      </c>
      <c r="E9">
        <v>1.0906160181905</v>
      </c>
      <c r="F9">
        <v>2</v>
      </c>
      <c r="G9">
        <v>27.609613839000001</v>
      </c>
      <c r="H9">
        <v>1.0000614261374099</v>
      </c>
      <c r="I9">
        <v>2</v>
      </c>
      <c r="J9">
        <v>0.21082311300000001</v>
      </c>
      <c r="P9"/>
      <c r="V9">
        <v>0.99558433837597105</v>
      </c>
      <c r="W9">
        <v>2</v>
      </c>
      <c r="X9">
        <v>55.475234532999998</v>
      </c>
      <c r="Y9">
        <v>1</v>
      </c>
      <c r="Z9">
        <v>1.6119466927193499E-3</v>
      </c>
      <c r="AA9">
        <v>2</v>
      </c>
    </row>
    <row r="10" spans="1:27" x14ac:dyDescent="0.2">
      <c r="A10">
        <v>10</v>
      </c>
      <c r="B10">
        <v>2</v>
      </c>
      <c r="C10">
        <v>0.1</v>
      </c>
      <c r="D10">
        <v>20</v>
      </c>
      <c r="E10">
        <v>0.92465114806920901</v>
      </c>
      <c r="F10">
        <v>2</v>
      </c>
      <c r="G10">
        <v>25.391497893</v>
      </c>
      <c r="H10">
        <v>0.92486434481120605</v>
      </c>
      <c r="I10">
        <v>2</v>
      </c>
      <c r="J10">
        <v>0.18846807900000001</v>
      </c>
      <c r="P10"/>
      <c r="V10">
        <v>0.96983693240899405</v>
      </c>
      <c r="W10">
        <v>2</v>
      </c>
      <c r="X10">
        <v>110.59966488000001</v>
      </c>
      <c r="Y10">
        <v>13394</v>
      </c>
      <c r="Z10">
        <v>2.1368330846763899E-3</v>
      </c>
      <c r="AA10">
        <v>2</v>
      </c>
    </row>
    <row r="11" spans="1:27" x14ac:dyDescent="0.2">
      <c r="A11">
        <v>10</v>
      </c>
      <c r="B11">
        <v>2</v>
      </c>
      <c r="C11">
        <v>0.2</v>
      </c>
      <c r="D11">
        <v>20</v>
      </c>
      <c r="E11">
        <v>1.0657616839225601</v>
      </c>
      <c r="F11">
        <v>2</v>
      </c>
      <c r="G11">
        <v>32.802746648999999</v>
      </c>
      <c r="H11">
        <v>1.08159444126417</v>
      </c>
      <c r="I11">
        <v>2</v>
      </c>
      <c r="J11">
        <v>0.29078936399999999</v>
      </c>
      <c r="P11"/>
      <c r="V11">
        <v>1.0852090270999499</v>
      </c>
      <c r="W11">
        <v>2</v>
      </c>
      <c r="X11">
        <v>56.329255881999998</v>
      </c>
      <c r="Y11">
        <v>2860</v>
      </c>
      <c r="Z11">
        <v>7.1884232791157299E-3</v>
      </c>
      <c r="AA11">
        <v>1</v>
      </c>
    </row>
    <row r="12" spans="1:27" x14ac:dyDescent="0.2">
      <c r="A12">
        <v>10</v>
      </c>
      <c r="B12">
        <v>2</v>
      </c>
      <c r="C12">
        <v>0.1</v>
      </c>
      <c r="D12">
        <v>20</v>
      </c>
      <c r="E12">
        <v>0.97761671832507602</v>
      </c>
      <c r="F12">
        <v>2</v>
      </c>
      <c r="G12">
        <v>29.935439014</v>
      </c>
      <c r="H12">
        <v>0.96897009883927299</v>
      </c>
      <c r="I12">
        <v>2</v>
      </c>
      <c r="J12">
        <v>0.17554304900000001</v>
      </c>
      <c r="P12"/>
      <c r="V12">
        <v>0.94966744824888905</v>
      </c>
      <c r="W12">
        <v>2</v>
      </c>
      <c r="X12">
        <v>49.497662644000002</v>
      </c>
      <c r="Y12">
        <v>6178</v>
      </c>
      <c r="Z12">
        <v>4.5456869857930701E-4</v>
      </c>
      <c r="AA12">
        <v>1</v>
      </c>
    </row>
    <row r="13" spans="1:27" x14ac:dyDescent="0.2">
      <c r="A13">
        <v>10</v>
      </c>
      <c r="B13">
        <v>2</v>
      </c>
      <c r="C13">
        <v>0.1</v>
      </c>
      <c r="D13">
        <v>20</v>
      </c>
      <c r="E13">
        <v>0.97190931409209802</v>
      </c>
      <c r="F13">
        <v>2</v>
      </c>
      <c r="G13">
        <v>25.844892478999999</v>
      </c>
      <c r="H13">
        <v>0.97430694170566701</v>
      </c>
      <c r="I13">
        <v>2</v>
      </c>
      <c r="J13">
        <v>4.2940431000000001E-2</v>
      </c>
      <c r="P13"/>
      <c r="V13">
        <v>0.97954806110385595</v>
      </c>
      <c r="W13">
        <v>2</v>
      </c>
      <c r="X13">
        <v>1549.1363347720001</v>
      </c>
      <c r="Y13">
        <v>70741</v>
      </c>
      <c r="Z13">
        <v>2.76932354449552E-3</v>
      </c>
      <c r="AA13">
        <v>3</v>
      </c>
    </row>
    <row r="14" spans="1:27" x14ac:dyDescent="0.2">
      <c r="A14">
        <v>10</v>
      </c>
      <c r="B14">
        <v>2</v>
      </c>
      <c r="C14">
        <v>0.1</v>
      </c>
      <c r="D14">
        <v>20</v>
      </c>
      <c r="E14">
        <v>0.94009843257374204</v>
      </c>
      <c r="F14">
        <v>2</v>
      </c>
      <c r="G14">
        <v>25.291320555999999</v>
      </c>
      <c r="H14">
        <v>0.94153055197646596</v>
      </c>
      <c r="I14">
        <v>2</v>
      </c>
      <c r="J14">
        <v>4.0022386E-2</v>
      </c>
      <c r="P14"/>
      <c r="V14">
        <v>0.93799225501967898</v>
      </c>
      <c r="W14">
        <v>2</v>
      </c>
      <c r="X14">
        <v>45649.170704272001</v>
      </c>
      <c r="Y14">
        <v>116041</v>
      </c>
      <c r="Z14">
        <v>9.7664471057241006E-3</v>
      </c>
      <c r="AA14">
        <v>13</v>
      </c>
    </row>
    <row r="15" spans="1:27" x14ac:dyDescent="0.2">
      <c r="A15">
        <v>10</v>
      </c>
      <c r="B15">
        <v>2</v>
      </c>
      <c r="C15">
        <v>0.1</v>
      </c>
      <c r="D15">
        <v>20</v>
      </c>
      <c r="E15">
        <v>0.94449203527221104</v>
      </c>
      <c r="F15">
        <v>2</v>
      </c>
      <c r="G15">
        <v>25.390185702</v>
      </c>
      <c r="H15">
        <v>0.94449534212974195</v>
      </c>
      <c r="I15">
        <v>2</v>
      </c>
      <c r="J15">
        <v>3.993679E-2</v>
      </c>
      <c r="P15"/>
      <c r="V15">
        <v>0.95565144988512196</v>
      </c>
      <c r="W15">
        <v>2</v>
      </c>
      <c r="X15">
        <v>49.174257480000001</v>
      </c>
      <c r="Y15">
        <v>3</v>
      </c>
      <c r="Z15">
        <v>1.33691725654734E-3</v>
      </c>
      <c r="AA15">
        <v>2</v>
      </c>
    </row>
    <row r="16" spans="1:27" x14ac:dyDescent="0.2">
      <c r="A16">
        <v>10</v>
      </c>
      <c r="B16">
        <v>2</v>
      </c>
      <c r="C16">
        <v>0.2</v>
      </c>
      <c r="D16">
        <v>20</v>
      </c>
      <c r="E16">
        <v>0.97502951334469001</v>
      </c>
      <c r="F16">
        <v>2</v>
      </c>
      <c r="G16">
        <v>25.493226534000001</v>
      </c>
      <c r="H16">
        <v>0.95405090376593404</v>
      </c>
      <c r="I16">
        <v>2</v>
      </c>
      <c r="J16">
        <v>0.16515713600000001</v>
      </c>
      <c r="P16"/>
      <c r="V16">
        <v>0.95744362746080502</v>
      </c>
      <c r="W16">
        <v>2</v>
      </c>
      <c r="X16">
        <v>47.436911655999999</v>
      </c>
      <c r="Y16">
        <v>1760</v>
      </c>
      <c r="Z16">
        <v>4.7349283261780501E-3</v>
      </c>
      <c r="AA16">
        <v>1</v>
      </c>
    </row>
    <row r="17" spans="1:27" x14ac:dyDescent="0.2">
      <c r="A17">
        <v>40</v>
      </c>
      <c r="B17">
        <v>1</v>
      </c>
      <c r="C17">
        <v>0.4</v>
      </c>
      <c r="D17">
        <v>20</v>
      </c>
      <c r="E17">
        <v>5.1208319581343399E-2</v>
      </c>
      <c r="F17">
        <v>1</v>
      </c>
      <c r="G17">
        <v>33.492265220999997</v>
      </c>
      <c r="H17">
        <v>5.99485227128266E-2</v>
      </c>
      <c r="I17">
        <v>1</v>
      </c>
      <c r="J17">
        <v>0.39767128299999999</v>
      </c>
      <c r="P17"/>
      <c r="V17">
        <v>3.8364563345092001E-2</v>
      </c>
      <c r="W17">
        <v>1</v>
      </c>
      <c r="X17">
        <v>531.16622688200005</v>
      </c>
      <c r="Y17">
        <v>221</v>
      </c>
      <c r="Z17">
        <v>2.02030266947872E-4</v>
      </c>
      <c r="AA17">
        <v>7</v>
      </c>
    </row>
    <row r="18" spans="1:27" x14ac:dyDescent="0.2">
      <c r="A18">
        <v>10</v>
      </c>
      <c r="B18">
        <v>2</v>
      </c>
      <c r="C18">
        <v>0.3</v>
      </c>
      <c r="D18">
        <v>20</v>
      </c>
      <c r="E18">
        <v>0.68656194420472905</v>
      </c>
      <c r="F18">
        <v>2</v>
      </c>
      <c r="G18">
        <v>25.575696840999999</v>
      </c>
      <c r="H18">
        <v>0.67824012420379898</v>
      </c>
      <c r="I18">
        <v>2</v>
      </c>
      <c r="J18">
        <v>7.3742074000000005E-2</v>
      </c>
      <c r="P18"/>
      <c r="V18">
        <v>0.67690048223072796</v>
      </c>
      <c r="W18">
        <v>2</v>
      </c>
      <c r="X18">
        <v>292257.63113279</v>
      </c>
      <c r="Y18">
        <v>140246</v>
      </c>
      <c r="Z18">
        <v>9.5756887305469704E-2</v>
      </c>
      <c r="AA18">
        <v>50</v>
      </c>
    </row>
    <row r="19" spans="1:27" x14ac:dyDescent="0.2">
      <c r="A19">
        <v>10</v>
      </c>
      <c r="B19">
        <v>2</v>
      </c>
      <c r="C19">
        <v>0.3</v>
      </c>
      <c r="D19">
        <v>20</v>
      </c>
      <c r="E19">
        <v>0.53276833490041697</v>
      </c>
      <c r="F19">
        <v>2</v>
      </c>
      <c r="G19">
        <v>25.417852789000001</v>
      </c>
      <c r="H19">
        <v>0.53125497971456803</v>
      </c>
      <c r="I19">
        <v>2</v>
      </c>
      <c r="J19">
        <v>0.292246167</v>
      </c>
      <c r="P19"/>
      <c r="V19">
        <v>0.42982208947754502</v>
      </c>
      <c r="W19">
        <v>2</v>
      </c>
      <c r="X19">
        <v>295258.80770549597</v>
      </c>
      <c r="Y19">
        <v>95684</v>
      </c>
      <c r="Z19">
        <v>6.5685715038520998E-2</v>
      </c>
      <c r="AA19">
        <v>50</v>
      </c>
    </row>
    <row r="20" spans="1:27" x14ac:dyDescent="0.2">
      <c r="A20">
        <v>10</v>
      </c>
      <c r="B20">
        <v>2</v>
      </c>
      <c r="C20">
        <v>0.2</v>
      </c>
      <c r="D20">
        <v>20</v>
      </c>
      <c r="E20">
        <v>1.1050751606375999</v>
      </c>
      <c r="F20">
        <v>2</v>
      </c>
      <c r="G20">
        <v>25.637028099999998</v>
      </c>
      <c r="H20">
        <v>1.0452466701855501</v>
      </c>
      <c r="I20">
        <v>2</v>
      </c>
      <c r="J20">
        <v>0.26435544399999999</v>
      </c>
      <c r="P20"/>
      <c r="V20">
        <v>0.89758004479739495</v>
      </c>
      <c r="W20">
        <v>2</v>
      </c>
      <c r="X20">
        <v>297479.33090208902</v>
      </c>
      <c r="Y20">
        <v>204057</v>
      </c>
      <c r="Z20">
        <v>8.5756886666764603E-3</v>
      </c>
      <c r="AA20">
        <v>50</v>
      </c>
    </row>
    <row r="21" spans="1:27" x14ac:dyDescent="0.2">
      <c r="A21">
        <v>10</v>
      </c>
      <c r="B21">
        <v>2</v>
      </c>
      <c r="C21">
        <v>0.2</v>
      </c>
      <c r="D21">
        <v>20</v>
      </c>
      <c r="E21">
        <v>0.89652929739106102</v>
      </c>
      <c r="F21">
        <v>2</v>
      </c>
      <c r="G21">
        <v>25.327523371000002</v>
      </c>
      <c r="H21">
        <v>0.86823578131014501</v>
      </c>
      <c r="I21">
        <v>2</v>
      </c>
      <c r="J21">
        <v>0.22679871500000001</v>
      </c>
      <c r="P21"/>
      <c r="V21">
        <v>0.88389413546687601</v>
      </c>
      <c r="W21">
        <v>2</v>
      </c>
      <c r="X21">
        <v>298558.56465669401</v>
      </c>
      <c r="Y21">
        <v>175683</v>
      </c>
      <c r="Z21">
        <v>7.7022512138158805E-2</v>
      </c>
      <c r="AA21">
        <v>50</v>
      </c>
    </row>
    <row r="22" spans="1:27" x14ac:dyDescent="0.2">
      <c r="A22">
        <v>10</v>
      </c>
      <c r="B22">
        <v>2</v>
      </c>
      <c r="C22">
        <v>0.4</v>
      </c>
      <c r="D22">
        <v>20</v>
      </c>
      <c r="E22">
        <v>0.83938877149527502</v>
      </c>
      <c r="F22">
        <v>2</v>
      </c>
      <c r="G22">
        <v>25.477249587999999</v>
      </c>
      <c r="H22">
        <v>1.1305969779685401</v>
      </c>
      <c r="I22">
        <v>2</v>
      </c>
      <c r="J22">
        <v>0.220618863</v>
      </c>
      <c r="P22"/>
      <c r="V22">
        <v>0.69505843526057998</v>
      </c>
      <c r="W22">
        <v>2</v>
      </c>
      <c r="X22">
        <v>299461.52010470699</v>
      </c>
      <c r="Y22">
        <v>161840</v>
      </c>
      <c r="Z22">
        <v>0.166025943211905</v>
      </c>
      <c r="AA22">
        <v>50</v>
      </c>
    </row>
    <row r="23" spans="1:27" x14ac:dyDescent="0.2">
      <c r="A23">
        <v>10</v>
      </c>
      <c r="B23">
        <v>2</v>
      </c>
      <c r="C23">
        <v>0.2</v>
      </c>
      <c r="D23">
        <v>20</v>
      </c>
      <c r="E23">
        <v>0.81736692953502099</v>
      </c>
      <c r="F23">
        <v>2</v>
      </c>
      <c r="G23">
        <v>35.577669665999998</v>
      </c>
      <c r="H23">
        <v>0.83178250830783396</v>
      </c>
      <c r="I23">
        <v>2</v>
      </c>
      <c r="J23">
        <v>0.12105985800000001</v>
      </c>
      <c r="P23"/>
      <c r="V23">
        <v>0.833877330484875</v>
      </c>
      <c r="W23">
        <v>2</v>
      </c>
      <c r="X23">
        <v>301261.07790999202</v>
      </c>
      <c r="Y23">
        <v>230559</v>
      </c>
      <c r="Z23">
        <v>2.3075170340234701E-2</v>
      </c>
      <c r="AA23">
        <v>50</v>
      </c>
    </row>
    <row r="24" spans="1:27" x14ac:dyDescent="0.2">
      <c r="A24">
        <v>10</v>
      </c>
      <c r="B24">
        <v>2</v>
      </c>
      <c r="C24">
        <v>0.2</v>
      </c>
      <c r="D24">
        <v>20</v>
      </c>
      <c r="E24">
        <v>0.85234730241284595</v>
      </c>
      <c r="F24">
        <v>2</v>
      </c>
      <c r="G24">
        <v>34.239316451999997</v>
      </c>
      <c r="H24">
        <v>0.85528780834817897</v>
      </c>
      <c r="I24">
        <v>2</v>
      </c>
      <c r="J24">
        <v>0.36736128699999998</v>
      </c>
      <c r="P24"/>
      <c r="V24">
        <v>0.90884635136991998</v>
      </c>
      <c r="W24">
        <v>2</v>
      </c>
      <c r="X24">
        <v>302163.97893907502</v>
      </c>
      <c r="Y24">
        <v>122643</v>
      </c>
      <c r="Z24">
        <v>5.09257352579391E-2</v>
      </c>
      <c r="AA24">
        <v>50</v>
      </c>
    </row>
    <row r="25" spans="1:27" x14ac:dyDescent="0.2">
      <c r="A25">
        <v>10</v>
      </c>
      <c r="B25">
        <v>2</v>
      </c>
      <c r="C25">
        <v>0.3</v>
      </c>
      <c r="D25">
        <v>20</v>
      </c>
      <c r="E25">
        <v>0.85990719011782701</v>
      </c>
      <c r="F25">
        <v>2</v>
      </c>
      <c r="G25">
        <v>25.217840308</v>
      </c>
      <c r="H25">
        <v>0.74414727052384</v>
      </c>
      <c r="I25">
        <v>2</v>
      </c>
      <c r="J25">
        <v>0.16616149599999999</v>
      </c>
      <c r="P25"/>
      <c r="V25">
        <v>0.743339184729364</v>
      </c>
      <c r="W25">
        <v>2</v>
      </c>
      <c r="X25">
        <v>302758.85268758598</v>
      </c>
      <c r="Y25">
        <v>113185</v>
      </c>
      <c r="Z25">
        <v>7.5293808452971997E-2</v>
      </c>
      <c r="AA25">
        <v>50</v>
      </c>
    </row>
    <row r="26" spans="1:27" x14ac:dyDescent="0.2">
      <c r="A26">
        <v>10</v>
      </c>
      <c r="B26">
        <v>2</v>
      </c>
      <c r="C26">
        <v>0.2</v>
      </c>
      <c r="D26">
        <v>20</v>
      </c>
      <c r="E26">
        <v>0.95227825491685603</v>
      </c>
      <c r="F26">
        <v>2</v>
      </c>
      <c r="G26">
        <v>33.534739051000003</v>
      </c>
      <c r="H26">
        <v>0.97801999065519096</v>
      </c>
      <c r="I26">
        <v>2</v>
      </c>
      <c r="J26">
        <v>0.31217632099999998</v>
      </c>
      <c r="P26"/>
      <c r="V26">
        <v>0.98685611032670095</v>
      </c>
      <c r="W26">
        <v>2</v>
      </c>
      <c r="X26">
        <v>302853.74060038303</v>
      </c>
      <c r="Y26">
        <v>162545</v>
      </c>
      <c r="Z26">
        <v>6.2455652067758202E-3</v>
      </c>
      <c r="AA26">
        <v>50</v>
      </c>
    </row>
    <row r="27" spans="1:27" x14ac:dyDescent="0.2">
      <c r="A27">
        <v>10</v>
      </c>
      <c r="B27">
        <v>2</v>
      </c>
      <c r="C27">
        <v>0.2</v>
      </c>
      <c r="D27">
        <v>20</v>
      </c>
      <c r="E27">
        <v>0.92306432958342299</v>
      </c>
      <c r="F27">
        <v>2</v>
      </c>
      <c r="G27">
        <v>25.378524542000001</v>
      </c>
      <c r="H27">
        <v>0.945424839801004</v>
      </c>
      <c r="I27">
        <v>2</v>
      </c>
      <c r="J27">
        <v>0.20043910000000001</v>
      </c>
      <c r="P27"/>
      <c r="V27">
        <v>0.98748896798390595</v>
      </c>
      <c r="W27">
        <v>2</v>
      </c>
      <c r="X27">
        <v>303658.342291896</v>
      </c>
      <c r="Y27">
        <v>125283</v>
      </c>
      <c r="Z27">
        <v>5.0502693064921798E-2</v>
      </c>
      <c r="AA27">
        <v>50</v>
      </c>
    </row>
    <row r="28" spans="1:27" x14ac:dyDescent="0.2">
      <c r="A28">
        <v>10</v>
      </c>
      <c r="B28">
        <v>2</v>
      </c>
      <c r="C28">
        <v>0.3</v>
      </c>
      <c r="D28">
        <v>20</v>
      </c>
      <c r="E28">
        <v>0.84554522554316303</v>
      </c>
      <c r="F28">
        <v>2</v>
      </c>
      <c r="G28">
        <v>26.711477544000001</v>
      </c>
      <c r="H28">
        <v>0.75079878036072001</v>
      </c>
      <c r="I28">
        <v>2</v>
      </c>
      <c r="J28">
        <v>0.19195068200000001</v>
      </c>
      <c r="P28"/>
      <c r="V28">
        <v>0.75811902364625405</v>
      </c>
      <c r="W28">
        <v>2</v>
      </c>
      <c r="X28">
        <v>305158.67292225099</v>
      </c>
      <c r="Y28">
        <v>105418</v>
      </c>
      <c r="Z28">
        <v>5.9721121466693103E-2</v>
      </c>
      <c r="AA28">
        <v>50</v>
      </c>
    </row>
    <row r="29" spans="1:27" x14ac:dyDescent="0.2">
      <c r="A29">
        <v>10</v>
      </c>
      <c r="B29">
        <v>2</v>
      </c>
      <c r="C29">
        <v>0.3</v>
      </c>
      <c r="D29">
        <v>20</v>
      </c>
      <c r="E29">
        <v>0.74115409091510698</v>
      </c>
      <c r="F29">
        <v>2</v>
      </c>
      <c r="G29">
        <v>35.00696104</v>
      </c>
      <c r="H29">
        <v>0.69714391194383896</v>
      </c>
      <c r="I29">
        <v>2</v>
      </c>
      <c r="J29">
        <v>0.22357677000000001</v>
      </c>
      <c r="P29"/>
      <c r="V29">
        <v>0.69286034529697405</v>
      </c>
      <c r="W29">
        <v>2</v>
      </c>
      <c r="X29">
        <v>305465.45262812497</v>
      </c>
      <c r="Y29">
        <v>113166</v>
      </c>
      <c r="Z29">
        <v>8.0591784373196404E-2</v>
      </c>
      <c r="AA29">
        <v>50</v>
      </c>
    </row>
    <row r="30" spans="1:27" x14ac:dyDescent="0.2">
      <c r="A30">
        <v>10</v>
      </c>
      <c r="B30">
        <v>2</v>
      </c>
      <c r="C30">
        <v>0.3</v>
      </c>
      <c r="D30">
        <v>20</v>
      </c>
      <c r="E30">
        <v>0.852205033880306</v>
      </c>
      <c r="F30">
        <v>2</v>
      </c>
      <c r="G30">
        <v>34.529356120999999</v>
      </c>
      <c r="H30">
        <v>0.86375091200873899</v>
      </c>
      <c r="I30">
        <v>2</v>
      </c>
      <c r="J30">
        <v>0.244172106</v>
      </c>
      <c r="P30"/>
      <c r="V30">
        <v>0.86531826979457105</v>
      </c>
      <c r="W30">
        <v>2</v>
      </c>
      <c r="X30">
        <v>304865.14027911599</v>
      </c>
      <c r="Y30">
        <v>130031</v>
      </c>
      <c r="Z30">
        <v>4.8591369089848201E-2</v>
      </c>
      <c r="AA30">
        <v>50</v>
      </c>
    </row>
    <row r="31" spans="1:27" x14ac:dyDescent="0.2">
      <c r="A31">
        <v>10</v>
      </c>
      <c r="B31">
        <v>2</v>
      </c>
      <c r="C31">
        <v>0.2</v>
      </c>
      <c r="D31">
        <v>20</v>
      </c>
      <c r="E31">
        <v>0.94858898363518196</v>
      </c>
      <c r="F31">
        <v>2</v>
      </c>
      <c r="G31">
        <v>25.159901803</v>
      </c>
      <c r="H31">
        <v>0.96334457764266401</v>
      </c>
      <c r="I31">
        <v>2</v>
      </c>
      <c r="J31">
        <v>0.21617352400000001</v>
      </c>
      <c r="P31"/>
      <c r="V31">
        <v>0.96532921493991497</v>
      </c>
      <c r="W31">
        <v>2</v>
      </c>
      <c r="X31">
        <v>309959.49110554199</v>
      </c>
      <c r="Y31">
        <v>170403</v>
      </c>
      <c r="Z31">
        <v>1.4360993393778001E-2</v>
      </c>
      <c r="AA31">
        <v>50</v>
      </c>
    </row>
    <row r="32" spans="1:27" x14ac:dyDescent="0.2">
      <c r="A32">
        <v>10</v>
      </c>
      <c r="B32">
        <v>2</v>
      </c>
      <c r="C32">
        <v>0.4</v>
      </c>
      <c r="D32">
        <v>20</v>
      </c>
      <c r="E32">
        <v>0.54128138713221796</v>
      </c>
      <c r="F32">
        <v>2</v>
      </c>
      <c r="G32">
        <v>25.485725866999999</v>
      </c>
      <c r="H32">
        <v>0.47137914074628001</v>
      </c>
      <c r="I32">
        <v>2</v>
      </c>
      <c r="J32">
        <v>0.16733035499999999</v>
      </c>
      <c r="P32"/>
      <c r="V32">
        <v>0.466106926784571</v>
      </c>
      <c r="W32">
        <v>2</v>
      </c>
      <c r="X32">
        <v>306958.54555713199</v>
      </c>
      <c r="Y32">
        <v>115083</v>
      </c>
      <c r="Z32">
        <v>0.13523929729897899</v>
      </c>
      <c r="AA32">
        <v>50</v>
      </c>
    </row>
    <row r="33" spans="1:27" x14ac:dyDescent="0.2">
      <c r="A33">
        <v>10</v>
      </c>
      <c r="B33">
        <v>2</v>
      </c>
      <c r="C33">
        <v>0.3</v>
      </c>
      <c r="D33">
        <v>20</v>
      </c>
      <c r="E33">
        <v>0.79065797072472599</v>
      </c>
      <c r="F33">
        <v>2</v>
      </c>
      <c r="G33">
        <v>25.143155767</v>
      </c>
      <c r="H33">
        <v>0.91820633721924105</v>
      </c>
      <c r="I33">
        <v>2</v>
      </c>
      <c r="J33">
        <v>0.308185125</v>
      </c>
      <c r="P33"/>
      <c r="V33">
        <v>0.83632300859338804</v>
      </c>
      <c r="W33">
        <v>2</v>
      </c>
      <c r="X33">
        <v>297057.86984275503</v>
      </c>
      <c r="Y33">
        <v>116119</v>
      </c>
      <c r="Z33">
        <v>9.0734052190332704E-2</v>
      </c>
      <c r="AA33">
        <v>50</v>
      </c>
    </row>
    <row r="34" spans="1:27" x14ac:dyDescent="0.2">
      <c r="A34">
        <v>10</v>
      </c>
      <c r="B34">
        <v>2</v>
      </c>
      <c r="C34">
        <v>0.1</v>
      </c>
      <c r="D34">
        <v>20</v>
      </c>
      <c r="E34">
        <v>0.98827295283865002</v>
      </c>
      <c r="F34">
        <v>2</v>
      </c>
      <c r="G34">
        <v>36.283587265000001</v>
      </c>
      <c r="H34">
        <v>0.988233051412163</v>
      </c>
      <c r="I34">
        <v>2</v>
      </c>
      <c r="J34">
        <v>8.1058476000000004E-2</v>
      </c>
      <c r="P34"/>
      <c r="V34">
        <v>1.00995719264994</v>
      </c>
      <c r="W34">
        <v>2</v>
      </c>
      <c r="X34">
        <v>54.560488618999997</v>
      </c>
      <c r="Y34">
        <v>6076</v>
      </c>
      <c r="Z34">
        <v>5.8439312124018705E-4</v>
      </c>
      <c r="AA34">
        <v>1</v>
      </c>
    </row>
    <row r="35" spans="1:27" x14ac:dyDescent="0.2">
      <c r="A35">
        <v>10</v>
      </c>
      <c r="B35">
        <v>2</v>
      </c>
      <c r="C35">
        <v>0.1</v>
      </c>
      <c r="D35">
        <v>20</v>
      </c>
      <c r="E35">
        <v>0.97861453957299105</v>
      </c>
      <c r="F35">
        <v>2</v>
      </c>
      <c r="G35">
        <v>37.628204431999997</v>
      </c>
      <c r="H35">
        <v>0.963880195034719</v>
      </c>
      <c r="I35">
        <v>2</v>
      </c>
      <c r="J35">
        <v>0.23749573099999999</v>
      </c>
      <c r="P35"/>
      <c r="V35">
        <v>0.97918725111449201</v>
      </c>
      <c r="W35">
        <v>2</v>
      </c>
      <c r="X35">
        <v>59.517243413999999</v>
      </c>
      <c r="Y35">
        <v>1</v>
      </c>
      <c r="Z35">
        <v>2.7738898108051099E-4</v>
      </c>
      <c r="AA35">
        <v>2</v>
      </c>
    </row>
    <row r="36" spans="1:27" x14ac:dyDescent="0.2">
      <c r="A36">
        <v>10</v>
      </c>
      <c r="B36">
        <v>2</v>
      </c>
      <c r="C36">
        <v>0.2</v>
      </c>
      <c r="D36">
        <v>20</v>
      </c>
      <c r="E36">
        <v>0.91005108282367297</v>
      </c>
      <c r="F36">
        <v>2</v>
      </c>
      <c r="G36">
        <v>31.653991353999999</v>
      </c>
      <c r="H36">
        <v>0.91121932804570005</v>
      </c>
      <c r="I36">
        <v>2</v>
      </c>
      <c r="J36">
        <v>7.6680365E-2</v>
      </c>
      <c r="P36"/>
      <c r="V36">
        <v>0.91192068674849303</v>
      </c>
      <c r="W36">
        <v>2</v>
      </c>
      <c r="X36">
        <v>51.522765966000001</v>
      </c>
      <c r="Y36">
        <v>2098</v>
      </c>
      <c r="Z36">
        <v>2.50563365443667E-3</v>
      </c>
      <c r="AA36">
        <v>1</v>
      </c>
    </row>
    <row r="37" spans="1:27" x14ac:dyDescent="0.2">
      <c r="A37">
        <v>10</v>
      </c>
      <c r="B37">
        <v>2</v>
      </c>
      <c r="C37">
        <v>0.1</v>
      </c>
      <c r="D37">
        <v>20</v>
      </c>
      <c r="E37">
        <v>1.0175406896383801</v>
      </c>
      <c r="F37">
        <v>2</v>
      </c>
      <c r="G37">
        <v>31.330077533000001</v>
      </c>
      <c r="H37">
        <v>0.99363065019052199</v>
      </c>
      <c r="I37">
        <v>2</v>
      </c>
      <c r="J37">
        <v>0.11715745299999999</v>
      </c>
      <c r="P37"/>
      <c r="V37">
        <v>1.0908861873926099</v>
      </c>
      <c r="W37">
        <v>2</v>
      </c>
      <c r="X37">
        <v>455.12645678899997</v>
      </c>
      <c r="Y37">
        <v>67375</v>
      </c>
      <c r="Z37">
        <v>6.8645861234880397E-4</v>
      </c>
      <c r="AA37">
        <v>3</v>
      </c>
    </row>
    <row r="38" spans="1:27" x14ac:dyDescent="0.2">
      <c r="A38">
        <v>10</v>
      </c>
      <c r="B38">
        <v>2</v>
      </c>
      <c r="C38">
        <v>0.1</v>
      </c>
      <c r="D38">
        <v>20</v>
      </c>
      <c r="E38">
        <v>1.0790058110416301</v>
      </c>
      <c r="F38">
        <v>2</v>
      </c>
      <c r="G38">
        <v>34.983010018000002</v>
      </c>
      <c r="H38">
        <v>1.05673629591796</v>
      </c>
      <c r="I38">
        <v>2</v>
      </c>
      <c r="J38">
        <v>0.34652098100000001</v>
      </c>
      <c r="P38"/>
      <c r="V38">
        <v>1.05137452843857</v>
      </c>
      <c r="W38">
        <v>2</v>
      </c>
      <c r="X38">
        <v>56.685622629999997</v>
      </c>
      <c r="Y38">
        <v>0</v>
      </c>
      <c r="Z38">
        <v>1.7359072639165599E-3</v>
      </c>
      <c r="AA38">
        <v>3</v>
      </c>
    </row>
    <row r="39" spans="1:27" x14ac:dyDescent="0.2">
      <c r="A39">
        <v>10</v>
      </c>
      <c r="B39">
        <v>2</v>
      </c>
      <c r="C39">
        <v>0.2</v>
      </c>
      <c r="D39">
        <v>20</v>
      </c>
      <c r="E39">
        <v>0.85487486684027103</v>
      </c>
      <c r="F39">
        <v>2</v>
      </c>
      <c r="G39">
        <v>39.139031465000002</v>
      </c>
      <c r="H39">
        <v>0.86550860829407394</v>
      </c>
      <c r="I39">
        <v>2</v>
      </c>
      <c r="J39">
        <v>0.191177021</v>
      </c>
      <c r="P39"/>
      <c r="V39">
        <v>0.86448550743369501</v>
      </c>
      <c r="W39">
        <v>2</v>
      </c>
      <c r="X39">
        <v>56.110346663999998</v>
      </c>
      <c r="Y39">
        <v>1121</v>
      </c>
      <c r="Z39">
        <v>6.0786582616856296E-3</v>
      </c>
      <c r="AA39">
        <v>1</v>
      </c>
    </row>
    <row r="40" spans="1:27" x14ac:dyDescent="0.2">
      <c r="A40">
        <v>10</v>
      </c>
      <c r="B40">
        <v>2</v>
      </c>
      <c r="C40">
        <v>0.1</v>
      </c>
      <c r="D40">
        <v>20</v>
      </c>
      <c r="E40">
        <v>0.98850014774832895</v>
      </c>
      <c r="F40">
        <v>2</v>
      </c>
      <c r="G40">
        <v>45.642867864999999</v>
      </c>
      <c r="H40">
        <v>0.98850014774832895</v>
      </c>
      <c r="I40">
        <v>2</v>
      </c>
      <c r="J40">
        <v>0.187930507</v>
      </c>
      <c r="P40"/>
      <c r="V40">
        <v>0.982154854221445</v>
      </c>
      <c r="W40">
        <v>2</v>
      </c>
      <c r="X40">
        <v>658.82099428799995</v>
      </c>
      <c r="Y40">
        <v>34107</v>
      </c>
      <c r="Z40">
        <v>4.3859491943294398E-3</v>
      </c>
      <c r="AA40">
        <v>2</v>
      </c>
    </row>
    <row r="41" spans="1:27" x14ac:dyDescent="0.2">
      <c r="A41">
        <v>10</v>
      </c>
      <c r="B41">
        <v>2</v>
      </c>
      <c r="C41">
        <v>0.1</v>
      </c>
      <c r="D41">
        <v>20</v>
      </c>
      <c r="E41">
        <v>0.99142873994944503</v>
      </c>
      <c r="F41">
        <v>2</v>
      </c>
      <c r="G41">
        <v>43.456505784999997</v>
      </c>
      <c r="H41">
        <v>1.0438596903825501</v>
      </c>
      <c r="I41">
        <v>2</v>
      </c>
      <c r="J41">
        <v>0.34586004300000001</v>
      </c>
      <c r="P41"/>
      <c r="V41">
        <v>1.02862150343992</v>
      </c>
      <c r="W41">
        <v>2</v>
      </c>
      <c r="X41">
        <v>54.495403949</v>
      </c>
      <c r="Y41">
        <v>5452</v>
      </c>
      <c r="Z41">
        <v>1.80205938213204E-4</v>
      </c>
      <c r="AA41">
        <v>1</v>
      </c>
    </row>
    <row r="42" spans="1:27" x14ac:dyDescent="0.2">
      <c r="A42">
        <v>10</v>
      </c>
      <c r="B42">
        <v>2</v>
      </c>
      <c r="C42">
        <v>0.2</v>
      </c>
      <c r="D42">
        <v>20</v>
      </c>
      <c r="E42">
        <v>0.73392453909276101</v>
      </c>
      <c r="F42">
        <v>2</v>
      </c>
      <c r="G42">
        <v>42.549722645999999</v>
      </c>
      <c r="H42">
        <v>0.759472442743368</v>
      </c>
      <c r="I42">
        <v>2</v>
      </c>
      <c r="J42">
        <v>0.40102243500000001</v>
      </c>
      <c r="P42"/>
      <c r="V42">
        <v>0.76181678758541305</v>
      </c>
      <c r="W42">
        <v>2</v>
      </c>
      <c r="X42">
        <v>59.233937363000003</v>
      </c>
      <c r="Y42">
        <v>1256</v>
      </c>
      <c r="Z42">
        <v>7.1656970874700498E-3</v>
      </c>
      <c r="AA42">
        <v>1</v>
      </c>
    </row>
    <row r="43" spans="1:27" x14ac:dyDescent="0.2">
      <c r="A43">
        <v>10</v>
      </c>
      <c r="B43">
        <v>2</v>
      </c>
      <c r="C43">
        <v>0.1</v>
      </c>
      <c r="D43">
        <v>20</v>
      </c>
      <c r="E43">
        <v>0.949245834685427</v>
      </c>
      <c r="F43">
        <v>2</v>
      </c>
      <c r="G43">
        <v>36.960739621999998</v>
      </c>
      <c r="H43">
        <v>0.94921446458993897</v>
      </c>
      <c r="I43">
        <v>2</v>
      </c>
      <c r="J43">
        <v>9.7120551999999999E-2</v>
      </c>
      <c r="P43"/>
      <c r="V43">
        <v>1.0326438632856201</v>
      </c>
      <c r="W43">
        <v>2</v>
      </c>
      <c r="X43">
        <v>286.52152995900002</v>
      </c>
      <c r="Y43">
        <v>40996</v>
      </c>
      <c r="Z43">
        <v>3.3743150006863001E-3</v>
      </c>
      <c r="AA43">
        <v>2</v>
      </c>
    </row>
    <row r="44" spans="1:27" x14ac:dyDescent="0.2">
      <c r="A44">
        <v>10</v>
      </c>
      <c r="B44">
        <v>2</v>
      </c>
      <c r="C44">
        <v>0.1</v>
      </c>
      <c r="D44">
        <v>20</v>
      </c>
      <c r="E44">
        <v>0.98894416944450403</v>
      </c>
      <c r="F44">
        <v>2</v>
      </c>
      <c r="G44">
        <v>48.136336477</v>
      </c>
      <c r="H44">
        <v>0.98939613516528202</v>
      </c>
      <c r="I44">
        <v>2</v>
      </c>
      <c r="J44">
        <v>0.455874736</v>
      </c>
      <c r="P44"/>
      <c r="V44">
        <v>0.97876880756255602</v>
      </c>
      <c r="W44">
        <v>2</v>
      </c>
      <c r="X44">
        <v>664.96342215300001</v>
      </c>
      <c r="Y44">
        <v>53367</v>
      </c>
      <c r="Z44">
        <v>1.26202301851133E-3</v>
      </c>
      <c r="AA44">
        <v>2</v>
      </c>
    </row>
    <row r="45" spans="1:27" x14ac:dyDescent="0.2">
      <c r="A45">
        <v>10</v>
      </c>
      <c r="B45">
        <v>2</v>
      </c>
      <c r="C45">
        <v>0.1</v>
      </c>
      <c r="D45">
        <v>20</v>
      </c>
      <c r="E45">
        <v>0.859856228615822</v>
      </c>
      <c r="F45">
        <v>2</v>
      </c>
      <c r="G45">
        <v>26.062988752999999</v>
      </c>
      <c r="H45">
        <v>0.81965619679430701</v>
      </c>
      <c r="I45">
        <v>2</v>
      </c>
      <c r="J45">
        <v>0.183992817</v>
      </c>
      <c r="P45"/>
      <c r="V45">
        <v>0.90965246768040298</v>
      </c>
      <c r="W45">
        <v>2</v>
      </c>
      <c r="X45">
        <v>1141.454726914</v>
      </c>
      <c r="Y45">
        <v>50500</v>
      </c>
      <c r="Z45">
        <v>9.6289300158253696E-3</v>
      </c>
      <c r="AA45">
        <v>3</v>
      </c>
    </row>
    <row r="46" spans="1:27" x14ac:dyDescent="0.2">
      <c r="A46">
        <v>10</v>
      </c>
      <c r="B46">
        <v>2</v>
      </c>
      <c r="C46">
        <v>0.1</v>
      </c>
      <c r="D46">
        <v>20</v>
      </c>
      <c r="E46">
        <v>0.97021077227511199</v>
      </c>
      <c r="F46">
        <v>2</v>
      </c>
      <c r="G46">
        <v>26.058161932000001</v>
      </c>
      <c r="H46">
        <v>0.970094352585811</v>
      </c>
      <c r="I46">
        <v>2</v>
      </c>
      <c r="J46">
        <v>4.1789683000000001E-2</v>
      </c>
      <c r="P46"/>
      <c r="V46">
        <v>0.97722644209975995</v>
      </c>
      <c r="W46">
        <v>2</v>
      </c>
      <c r="X46">
        <v>47.147713254000003</v>
      </c>
      <c r="Y46">
        <v>6835</v>
      </c>
      <c r="Z46">
        <v>1.76513401931677E-3</v>
      </c>
      <c r="AA46">
        <v>1</v>
      </c>
    </row>
    <row r="47" spans="1:27" x14ac:dyDescent="0.2">
      <c r="A47">
        <v>10</v>
      </c>
      <c r="B47">
        <v>2</v>
      </c>
      <c r="C47">
        <v>0.1</v>
      </c>
      <c r="D47">
        <v>20</v>
      </c>
      <c r="E47">
        <v>0.92720459958636103</v>
      </c>
      <c r="F47">
        <v>2</v>
      </c>
      <c r="G47">
        <v>26.98727478</v>
      </c>
      <c r="H47">
        <v>0.928610904691065</v>
      </c>
      <c r="I47">
        <v>2</v>
      </c>
      <c r="J47">
        <v>6.0076592999999998E-2</v>
      </c>
      <c r="P47"/>
      <c r="V47">
        <v>0.96074811773925095</v>
      </c>
      <c r="W47">
        <v>2</v>
      </c>
      <c r="X47">
        <v>87.022067630999999</v>
      </c>
      <c r="Y47">
        <v>3968</v>
      </c>
      <c r="Z47">
        <v>7.5951081680003096E-4</v>
      </c>
      <c r="AA47">
        <v>2</v>
      </c>
    </row>
    <row r="48" spans="1:27" x14ac:dyDescent="0.2">
      <c r="A48">
        <v>10</v>
      </c>
      <c r="B48">
        <v>2</v>
      </c>
      <c r="C48">
        <v>0.1</v>
      </c>
      <c r="D48">
        <v>20</v>
      </c>
      <c r="E48">
        <v>1.1189915384884199</v>
      </c>
      <c r="F48">
        <v>2</v>
      </c>
      <c r="G48">
        <v>26.070472056</v>
      </c>
      <c r="H48">
        <v>0.98565572172051696</v>
      </c>
      <c r="I48">
        <v>2</v>
      </c>
      <c r="J48">
        <v>0.51474905900000001</v>
      </c>
      <c r="P48"/>
      <c r="V48">
        <v>1.0143047768228</v>
      </c>
      <c r="W48">
        <v>2</v>
      </c>
      <c r="X48">
        <v>49.146787539999998</v>
      </c>
      <c r="Y48">
        <v>0</v>
      </c>
      <c r="Z48">
        <v>1.80274317474476E-3</v>
      </c>
      <c r="AA48">
        <v>2</v>
      </c>
    </row>
    <row r="49" spans="1:27" x14ac:dyDescent="0.2">
      <c r="A49">
        <v>10</v>
      </c>
      <c r="B49">
        <v>2</v>
      </c>
      <c r="C49">
        <v>0.1</v>
      </c>
      <c r="D49">
        <v>20</v>
      </c>
      <c r="E49">
        <v>0.95695524390472797</v>
      </c>
      <c r="F49">
        <v>2</v>
      </c>
      <c r="G49">
        <v>31.229453055</v>
      </c>
      <c r="H49">
        <v>0.95696327420779204</v>
      </c>
      <c r="I49">
        <v>2</v>
      </c>
      <c r="J49">
        <v>6.6586456000000002E-2</v>
      </c>
      <c r="P49"/>
      <c r="V49">
        <v>0.98458183716596104</v>
      </c>
      <c r="W49">
        <v>2</v>
      </c>
      <c r="X49">
        <v>50.601344042999997</v>
      </c>
      <c r="Y49">
        <v>5246</v>
      </c>
      <c r="Z49">
        <v>5.2261641915865499E-4</v>
      </c>
      <c r="AA49">
        <v>1</v>
      </c>
    </row>
    <row r="50" spans="1:27" x14ac:dyDescent="0.2">
      <c r="A50">
        <v>10</v>
      </c>
      <c r="B50">
        <v>2</v>
      </c>
      <c r="C50">
        <v>0.1</v>
      </c>
      <c r="D50">
        <v>20</v>
      </c>
      <c r="E50">
        <v>0.96405272046284396</v>
      </c>
      <c r="F50">
        <v>2</v>
      </c>
      <c r="G50">
        <v>25.540700648000001</v>
      </c>
      <c r="H50">
        <v>0.964050263567096</v>
      </c>
      <c r="I50">
        <v>2</v>
      </c>
      <c r="J50">
        <v>4.8789683E-2</v>
      </c>
      <c r="P50"/>
      <c r="V50">
        <v>0.96859573474653404</v>
      </c>
      <c r="W50">
        <v>2</v>
      </c>
      <c r="X50">
        <v>647.04473075999999</v>
      </c>
      <c r="Y50">
        <v>31702</v>
      </c>
      <c r="Z50">
        <v>6.5214463229494798E-3</v>
      </c>
      <c r="AA50">
        <v>2</v>
      </c>
    </row>
    <row r="51" spans="1:27" x14ac:dyDescent="0.2">
      <c r="A51">
        <v>10</v>
      </c>
      <c r="B51">
        <v>2</v>
      </c>
      <c r="C51">
        <v>0.1</v>
      </c>
      <c r="D51">
        <v>100</v>
      </c>
      <c r="E51">
        <v>0.85345385794775697</v>
      </c>
      <c r="F51">
        <v>2</v>
      </c>
      <c r="G51">
        <v>46.724503925</v>
      </c>
      <c r="H51">
        <v>0.85203463995040896</v>
      </c>
      <c r="I51">
        <v>2</v>
      </c>
      <c r="J51">
        <v>0.57291097599999996</v>
      </c>
      <c r="P51"/>
      <c r="V51">
        <v>0.85217912249655003</v>
      </c>
      <c r="W51">
        <v>2</v>
      </c>
      <c r="X51">
        <v>60.529296422000002</v>
      </c>
      <c r="Y51">
        <v>3282</v>
      </c>
      <c r="Z51">
        <v>5.3152503223827799E-3</v>
      </c>
      <c r="AA51">
        <v>1</v>
      </c>
    </row>
    <row r="52" spans="1:27" x14ac:dyDescent="0.2">
      <c r="A52">
        <v>10</v>
      </c>
      <c r="B52">
        <v>2</v>
      </c>
      <c r="C52">
        <v>0.1</v>
      </c>
      <c r="D52">
        <v>100</v>
      </c>
      <c r="E52">
        <v>0.95831469785184398</v>
      </c>
      <c r="F52">
        <v>2</v>
      </c>
      <c r="G52">
        <v>46.022457041999999</v>
      </c>
      <c r="H52">
        <v>0.99944629030993604</v>
      </c>
      <c r="I52">
        <v>2</v>
      </c>
      <c r="J52">
        <v>0.40572343199999999</v>
      </c>
      <c r="P52"/>
      <c r="V52">
        <v>0.99959965894015901</v>
      </c>
      <c r="W52">
        <v>2</v>
      </c>
      <c r="X52">
        <v>61.692783499999997</v>
      </c>
      <c r="Y52">
        <v>3035</v>
      </c>
      <c r="Z52">
        <v>8.8777906104252607E-3</v>
      </c>
      <c r="AA52">
        <v>1</v>
      </c>
    </row>
    <row r="53" spans="1:27" x14ac:dyDescent="0.2">
      <c r="A53">
        <v>10</v>
      </c>
      <c r="B53">
        <v>2</v>
      </c>
      <c r="C53">
        <v>0.2</v>
      </c>
      <c r="D53">
        <v>100</v>
      </c>
      <c r="E53">
        <v>0.86238127893629102</v>
      </c>
      <c r="F53">
        <v>2</v>
      </c>
      <c r="G53">
        <v>38.514864471000003</v>
      </c>
      <c r="H53">
        <v>0.86966795520643103</v>
      </c>
      <c r="I53">
        <v>2</v>
      </c>
      <c r="J53">
        <v>0.162722334</v>
      </c>
      <c r="P53"/>
      <c r="V53">
        <v>0.87062053071698797</v>
      </c>
      <c r="W53">
        <v>2</v>
      </c>
      <c r="X53">
        <v>56.303553121</v>
      </c>
      <c r="Y53">
        <v>959</v>
      </c>
      <c r="Z53">
        <v>1.7181824748917201E-3</v>
      </c>
      <c r="AA53">
        <v>1</v>
      </c>
    </row>
    <row r="54" spans="1:27" x14ac:dyDescent="0.2">
      <c r="A54">
        <v>10</v>
      </c>
      <c r="B54">
        <v>2</v>
      </c>
      <c r="C54">
        <v>0.1</v>
      </c>
      <c r="D54">
        <v>100</v>
      </c>
      <c r="E54">
        <v>0.96584256397274704</v>
      </c>
      <c r="F54">
        <v>2</v>
      </c>
      <c r="G54">
        <v>38.806768671</v>
      </c>
      <c r="H54">
        <v>0.96578265817740305</v>
      </c>
      <c r="I54">
        <v>2</v>
      </c>
      <c r="J54">
        <v>8.8955746000000002E-2</v>
      </c>
      <c r="P54"/>
      <c r="V54">
        <v>0.96189761305389099</v>
      </c>
      <c r="W54">
        <v>2</v>
      </c>
      <c r="X54">
        <v>53.302722559000003</v>
      </c>
      <c r="Y54">
        <v>6143</v>
      </c>
      <c r="Z54" s="1">
        <v>5.1401193711467397E-5</v>
      </c>
      <c r="AA54">
        <v>1</v>
      </c>
    </row>
    <row r="55" spans="1:27" x14ac:dyDescent="0.2">
      <c r="A55">
        <v>10</v>
      </c>
      <c r="B55">
        <v>2</v>
      </c>
      <c r="C55">
        <v>0.2</v>
      </c>
      <c r="D55">
        <v>100</v>
      </c>
      <c r="E55">
        <v>1.04058059848146</v>
      </c>
      <c r="F55">
        <v>2</v>
      </c>
      <c r="G55">
        <v>45.804629581</v>
      </c>
      <c r="H55">
        <v>1.0519112136411599</v>
      </c>
      <c r="I55">
        <v>2</v>
      </c>
      <c r="J55">
        <v>0.928327075</v>
      </c>
      <c r="P55"/>
      <c r="V55">
        <v>1.05248840472395</v>
      </c>
      <c r="W55">
        <v>2</v>
      </c>
      <c r="X55">
        <v>64.302221549999999</v>
      </c>
      <c r="Y55">
        <v>2842</v>
      </c>
      <c r="Z55">
        <v>6.6510964351888602E-3</v>
      </c>
      <c r="AA55">
        <v>1</v>
      </c>
    </row>
    <row r="56" spans="1:27" x14ac:dyDescent="0.2">
      <c r="A56">
        <v>10</v>
      </c>
      <c r="B56">
        <v>2</v>
      </c>
      <c r="C56">
        <v>0.1</v>
      </c>
      <c r="D56">
        <v>100</v>
      </c>
      <c r="E56">
        <v>0.98428238674617996</v>
      </c>
      <c r="F56">
        <v>2</v>
      </c>
      <c r="G56">
        <v>31.062465464999999</v>
      </c>
      <c r="H56">
        <v>0.98428181553708505</v>
      </c>
      <c r="I56">
        <v>2</v>
      </c>
      <c r="J56">
        <v>0.129262135</v>
      </c>
      <c r="P56"/>
      <c r="V56">
        <v>0.97432040703590095</v>
      </c>
      <c r="W56">
        <v>2</v>
      </c>
      <c r="X56">
        <v>55.861093975999999</v>
      </c>
      <c r="Y56">
        <v>0</v>
      </c>
      <c r="Z56">
        <v>1.37010094594951E-4</v>
      </c>
      <c r="AA56">
        <v>2</v>
      </c>
    </row>
    <row r="57" spans="1:27" x14ac:dyDescent="0.2">
      <c r="A57">
        <v>10</v>
      </c>
      <c r="B57">
        <v>2</v>
      </c>
      <c r="C57">
        <v>0.2</v>
      </c>
      <c r="D57">
        <v>100</v>
      </c>
      <c r="E57">
        <v>1.1925229788551399</v>
      </c>
      <c r="F57">
        <v>2</v>
      </c>
      <c r="G57">
        <v>32.622142891999999</v>
      </c>
      <c r="H57">
        <v>0.87239903810814001</v>
      </c>
      <c r="I57">
        <v>2</v>
      </c>
      <c r="J57">
        <v>0.51289601100000004</v>
      </c>
      <c r="P57"/>
      <c r="V57">
        <v>0.87264065568762605</v>
      </c>
      <c r="W57">
        <v>2</v>
      </c>
      <c r="X57">
        <v>52.877088643999997</v>
      </c>
      <c r="Y57">
        <v>2395</v>
      </c>
      <c r="Z57">
        <v>6.7553899698395902E-3</v>
      </c>
      <c r="AA57">
        <v>1</v>
      </c>
    </row>
    <row r="58" spans="1:27" x14ac:dyDescent="0.2">
      <c r="A58">
        <v>10</v>
      </c>
      <c r="B58">
        <v>2</v>
      </c>
      <c r="C58">
        <v>0.1</v>
      </c>
      <c r="D58">
        <v>100</v>
      </c>
      <c r="E58">
        <v>0.98116588979857899</v>
      </c>
      <c r="F58">
        <v>2</v>
      </c>
      <c r="G58">
        <v>30.740666666999999</v>
      </c>
      <c r="H58">
        <v>0.98063475136716705</v>
      </c>
      <c r="I58">
        <v>2</v>
      </c>
      <c r="J58">
        <v>0.18198493099999999</v>
      </c>
      <c r="P58"/>
      <c r="V58">
        <v>1.0170005149439301</v>
      </c>
      <c r="W58">
        <v>2</v>
      </c>
      <c r="X58">
        <v>51.077353412000001</v>
      </c>
      <c r="Y58">
        <v>5178</v>
      </c>
      <c r="Z58">
        <v>6.2607624224483502E-4</v>
      </c>
      <c r="AA58">
        <v>1</v>
      </c>
    </row>
    <row r="59" spans="1:27" x14ac:dyDescent="0.2">
      <c r="A59">
        <v>10</v>
      </c>
      <c r="B59">
        <v>2</v>
      </c>
      <c r="C59">
        <v>0.2</v>
      </c>
      <c r="D59">
        <v>100</v>
      </c>
      <c r="E59">
        <v>1.2842815607447999</v>
      </c>
      <c r="F59">
        <v>2</v>
      </c>
      <c r="G59">
        <v>46.195100496999999</v>
      </c>
      <c r="H59">
        <v>0.99532214388805795</v>
      </c>
      <c r="I59">
        <v>2</v>
      </c>
      <c r="J59">
        <v>0.75513741099999998</v>
      </c>
      <c r="P59"/>
      <c r="V59">
        <v>0.83375735750171998</v>
      </c>
      <c r="W59">
        <v>2</v>
      </c>
      <c r="X59">
        <v>2205.724394848</v>
      </c>
      <c r="Y59">
        <v>21159</v>
      </c>
      <c r="Z59">
        <v>4.6406806768751297E-4</v>
      </c>
      <c r="AA59">
        <v>6</v>
      </c>
    </row>
    <row r="60" spans="1:27" x14ac:dyDescent="0.2">
      <c r="A60">
        <v>10</v>
      </c>
      <c r="B60">
        <v>2</v>
      </c>
      <c r="C60">
        <v>0.2</v>
      </c>
      <c r="D60">
        <v>100</v>
      </c>
      <c r="E60">
        <v>0.93038363439459904</v>
      </c>
      <c r="F60">
        <v>2</v>
      </c>
      <c r="G60">
        <v>30.656517634</v>
      </c>
      <c r="H60">
        <v>0.92838145643040104</v>
      </c>
      <c r="I60">
        <v>2</v>
      </c>
      <c r="J60">
        <v>0.121917467</v>
      </c>
      <c r="P60"/>
      <c r="V60">
        <v>0.96103577387792005</v>
      </c>
      <c r="W60">
        <v>2</v>
      </c>
      <c r="X60">
        <v>263.60044187599999</v>
      </c>
      <c r="Y60">
        <v>8470</v>
      </c>
      <c r="Z60">
        <v>1.2474423115458101E-3</v>
      </c>
      <c r="AA60">
        <v>3</v>
      </c>
    </row>
    <row r="61" spans="1:27" x14ac:dyDescent="0.2">
      <c r="A61">
        <v>50</v>
      </c>
      <c r="B61">
        <v>1</v>
      </c>
      <c r="C61">
        <v>0.4</v>
      </c>
      <c r="D61">
        <v>100</v>
      </c>
      <c r="E61">
        <v>1.05844902726912E-2</v>
      </c>
      <c r="F61">
        <v>1</v>
      </c>
      <c r="G61">
        <v>51.216419008999999</v>
      </c>
      <c r="H61">
        <v>1.18844058716126E-2</v>
      </c>
      <c r="I61">
        <v>1</v>
      </c>
      <c r="J61">
        <v>0.50167737099999998</v>
      </c>
      <c r="P61"/>
      <c r="V61">
        <v>6.9855170256758001E-3</v>
      </c>
      <c r="W61">
        <v>1</v>
      </c>
      <c r="X61">
        <v>2086.086506307</v>
      </c>
      <c r="Y61">
        <v>181</v>
      </c>
      <c r="Z61">
        <v>4.1289794288523702E-4</v>
      </c>
      <c r="AA61">
        <v>4</v>
      </c>
    </row>
    <row r="62" spans="1:27" x14ac:dyDescent="0.2">
      <c r="A62">
        <v>10</v>
      </c>
      <c r="B62">
        <v>2</v>
      </c>
      <c r="C62">
        <v>0.1</v>
      </c>
      <c r="D62">
        <v>100</v>
      </c>
      <c r="E62">
        <v>0.97146750754724898</v>
      </c>
      <c r="F62">
        <v>2</v>
      </c>
      <c r="G62">
        <v>40.060317783999999</v>
      </c>
      <c r="H62">
        <v>0.98747520971921399</v>
      </c>
      <c r="I62">
        <v>2</v>
      </c>
      <c r="J62">
        <v>0.82145745599999997</v>
      </c>
      <c r="P62"/>
      <c r="V62">
        <v>0.995014816509461</v>
      </c>
      <c r="W62">
        <v>2</v>
      </c>
      <c r="X62">
        <v>56.908639280000003</v>
      </c>
      <c r="Y62">
        <v>5210</v>
      </c>
      <c r="Z62">
        <v>1.19701683871291E-4</v>
      </c>
      <c r="AA62">
        <v>1</v>
      </c>
    </row>
    <row r="63" spans="1:27" x14ac:dyDescent="0.2">
      <c r="A63">
        <v>10</v>
      </c>
      <c r="B63">
        <v>2</v>
      </c>
      <c r="C63">
        <v>0.2</v>
      </c>
      <c r="D63">
        <v>100</v>
      </c>
      <c r="E63">
        <v>1.0941029299907701</v>
      </c>
      <c r="F63">
        <v>2</v>
      </c>
      <c r="G63">
        <v>39.711155873999999</v>
      </c>
      <c r="H63">
        <v>0.95987929215649803</v>
      </c>
      <c r="I63">
        <v>2</v>
      </c>
      <c r="J63">
        <v>0.56331931400000002</v>
      </c>
      <c r="P63"/>
      <c r="V63">
        <v>0.96031330736339604</v>
      </c>
      <c r="W63">
        <v>2</v>
      </c>
      <c r="X63">
        <v>61.185235941000002</v>
      </c>
      <c r="Y63">
        <v>2085</v>
      </c>
      <c r="Z63">
        <v>2.3653548296546701E-3</v>
      </c>
      <c r="AA63">
        <v>1</v>
      </c>
    </row>
    <row r="64" spans="1:27" x14ac:dyDescent="0.2">
      <c r="A64">
        <v>10</v>
      </c>
      <c r="B64">
        <v>2</v>
      </c>
      <c r="C64">
        <v>0.1</v>
      </c>
      <c r="D64">
        <v>100</v>
      </c>
      <c r="E64">
        <v>0.86864940941371604</v>
      </c>
      <c r="F64">
        <v>2</v>
      </c>
      <c r="G64">
        <v>31.175158268000001</v>
      </c>
      <c r="H64">
        <v>0.85692092530030195</v>
      </c>
      <c r="I64">
        <v>2</v>
      </c>
      <c r="J64">
        <v>0.164784979</v>
      </c>
      <c r="P64"/>
      <c r="V64">
        <v>0.90765709754300605</v>
      </c>
      <c r="W64">
        <v>2</v>
      </c>
      <c r="X64">
        <v>55.731320719000003</v>
      </c>
      <c r="Y64">
        <v>0</v>
      </c>
      <c r="Z64">
        <v>5.8492868849595802E-4</v>
      </c>
      <c r="AA64">
        <v>2</v>
      </c>
    </row>
    <row r="65" spans="1:27" x14ac:dyDescent="0.2">
      <c r="A65">
        <v>10</v>
      </c>
      <c r="B65">
        <v>2</v>
      </c>
      <c r="C65">
        <v>0.1</v>
      </c>
      <c r="D65">
        <v>100</v>
      </c>
      <c r="E65">
        <v>0.91691058161129901</v>
      </c>
      <c r="F65">
        <v>2</v>
      </c>
      <c r="G65">
        <v>40.901600303999999</v>
      </c>
      <c r="H65">
        <v>1.1955028353225601</v>
      </c>
      <c r="I65">
        <v>2</v>
      </c>
      <c r="J65">
        <v>0.37818693599999997</v>
      </c>
      <c r="P65"/>
      <c r="V65">
        <v>0.99829452030836696</v>
      </c>
      <c r="W65">
        <v>2</v>
      </c>
      <c r="X65">
        <v>58.289716376999998</v>
      </c>
      <c r="Y65">
        <v>6507</v>
      </c>
      <c r="Z65">
        <v>5.6562902924242701E-3</v>
      </c>
      <c r="AA65">
        <v>1</v>
      </c>
    </row>
    <row r="66" spans="1:27" x14ac:dyDescent="0.2">
      <c r="A66">
        <v>10</v>
      </c>
      <c r="B66">
        <v>2</v>
      </c>
      <c r="C66">
        <v>0.2</v>
      </c>
      <c r="D66">
        <v>100</v>
      </c>
      <c r="E66">
        <v>1.03584868807613</v>
      </c>
      <c r="F66">
        <v>2</v>
      </c>
      <c r="G66">
        <v>55.115511513000001</v>
      </c>
      <c r="H66">
        <v>1.0006834350209199</v>
      </c>
      <c r="I66">
        <v>2</v>
      </c>
      <c r="J66">
        <v>0.95548785400000003</v>
      </c>
      <c r="P66"/>
      <c r="V66">
        <v>1.0007709068438799</v>
      </c>
      <c r="W66">
        <v>2</v>
      </c>
      <c r="X66">
        <v>90.150288279999998</v>
      </c>
      <c r="Y66">
        <v>1</v>
      </c>
      <c r="Z66">
        <v>4.3575705094553996E-3</v>
      </c>
      <c r="AA66">
        <v>1</v>
      </c>
    </row>
    <row r="67" spans="1:27" x14ac:dyDescent="0.2">
      <c r="A67">
        <v>10</v>
      </c>
      <c r="B67">
        <v>2</v>
      </c>
      <c r="C67">
        <v>0.1</v>
      </c>
      <c r="D67">
        <v>100</v>
      </c>
      <c r="E67">
        <v>0.95830646347675497</v>
      </c>
      <c r="F67">
        <v>2</v>
      </c>
      <c r="G67">
        <v>46.176042502999998</v>
      </c>
      <c r="H67">
        <v>0.96560992695602399</v>
      </c>
      <c r="I67">
        <v>2</v>
      </c>
      <c r="J67">
        <v>0.35386398200000002</v>
      </c>
      <c r="P67"/>
      <c r="V67">
        <v>0.98984529426335299</v>
      </c>
      <c r="W67">
        <v>2</v>
      </c>
      <c r="X67">
        <v>62.851136556999997</v>
      </c>
      <c r="Y67">
        <v>0</v>
      </c>
      <c r="Z67">
        <v>2.8584772738762798E-4</v>
      </c>
      <c r="AA67">
        <v>2</v>
      </c>
    </row>
    <row r="68" spans="1:27" x14ac:dyDescent="0.2">
      <c r="A68">
        <v>10</v>
      </c>
      <c r="B68">
        <v>2</v>
      </c>
      <c r="C68">
        <v>0.1</v>
      </c>
      <c r="D68">
        <v>100</v>
      </c>
      <c r="E68">
        <v>0.94050063649978499</v>
      </c>
      <c r="F68">
        <v>2</v>
      </c>
      <c r="G68">
        <v>44.500474552999997</v>
      </c>
      <c r="H68">
        <v>0.94050063649978499</v>
      </c>
      <c r="I68">
        <v>2</v>
      </c>
      <c r="J68">
        <v>0.111758046</v>
      </c>
      <c r="P68"/>
      <c r="V68">
        <v>0.99609569638639195</v>
      </c>
      <c r="W68">
        <v>2</v>
      </c>
      <c r="X68">
        <v>64.225765311000004</v>
      </c>
      <c r="Y68">
        <v>0</v>
      </c>
      <c r="Z68">
        <v>6.0963029038155203E-4</v>
      </c>
      <c r="AA68">
        <v>2</v>
      </c>
    </row>
    <row r="69" spans="1:27" x14ac:dyDescent="0.2">
      <c r="A69">
        <v>10</v>
      </c>
      <c r="B69">
        <v>2</v>
      </c>
      <c r="C69">
        <v>0.2</v>
      </c>
      <c r="D69">
        <v>100</v>
      </c>
      <c r="E69">
        <v>0.95180956819531604</v>
      </c>
      <c r="F69">
        <v>2</v>
      </c>
      <c r="G69">
        <v>43.061804809000002</v>
      </c>
      <c r="H69">
        <v>0.95097047037870697</v>
      </c>
      <c r="I69">
        <v>2</v>
      </c>
      <c r="J69">
        <v>8.9221727000000001E-2</v>
      </c>
      <c r="P69"/>
      <c r="V69">
        <v>0.95232968767975201</v>
      </c>
      <c r="W69">
        <v>2</v>
      </c>
      <c r="X69">
        <v>42.739900575</v>
      </c>
      <c r="Y69">
        <v>1</v>
      </c>
      <c r="Z69">
        <v>1.13074658293044E-3</v>
      </c>
      <c r="AA69">
        <v>1</v>
      </c>
    </row>
    <row r="70" spans="1:27" x14ac:dyDescent="0.2">
      <c r="A70">
        <v>10</v>
      </c>
      <c r="B70">
        <v>2</v>
      </c>
      <c r="C70">
        <v>0.1</v>
      </c>
      <c r="D70">
        <v>100</v>
      </c>
      <c r="E70">
        <v>0.98251489424469396</v>
      </c>
      <c r="F70">
        <v>2</v>
      </c>
      <c r="G70">
        <v>44.376433986000002</v>
      </c>
      <c r="H70">
        <v>0.98299248883193302</v>
      </c>
      <c r="I70">
        <v>2</v>
      </c>
      <c r="J70">
        <v>0.19916582999999999</v>
      </c>
      <c r="P70"/>
      <c r="V70">
        <v>1.0105566175609599</v>
      </c>
      <c r="W70">
        <v>2</v>
      </c>
      <c r="X70">
        <v>62.656582911999998</v>
      </c>
      <c r="Y70">
        <v>1</v>
      </c>
      <c r="Z70">
        <v>2.2113286276671999E-4</v>
      </c>
      <c r="AA70">
        <v>2</v>
      </c>
    </row>
    <row r="71" spans="1:27" x14ac:dyDescent="0.2">
      <c r="A71">
        <v>10</v>
      </c>
      <c r="B71">
        <v>1</v>
      </c>
      <c r="C71">
        <v>0.4</v>
      </c>
      <c r="D71">
        <v>20</v>
      </c>
      <c r="E71">
        <v>0.109080368819861</v>
      </c>
      <c r="F71">
        <v>1</v>
      </c>
      <c r="G71">
        <v>35.666204063999999</v>
      </c>
      <c r="H71">
        <v>0.11002497840921401</v>
      </c>
      <c r="I71">
        <v>1</v>
      </c>
      <c r="J71">
        <v>0.151686348</v>
      </c>
      <c r="P71"/>
      <c r="V71">
        <v>7.7982913688233596E-2</v>
      </c>
      <c r="W71">
        <v>1</v>
      </c>
      <c r="X71">
        <v>35.048236166000002</v>
      </c>
      <c r="Y71">
        <v>1</v>
      </c>
      <c r="Z71">
        <v>3.9386765127278301E-3</v>
      </c>
      <c r="AA71">
        <v>1</v>
      </c>
    </row>
    <row r="72" spans="1:27" x14ac:dyDescent="0.2">
      <c r="A72">
        <v>10</v>
      </c>
      <c r="B72">
        <v>1</v>
      </c>
      <c r="C72">
        <v>0.1</v>
      </c>
      <c r="D72">
        <v>20</v>
      </c>
      <c r="E72">
        <v>0.96090275253241697</v>
      </c>
      <c r="F72">
        <v>1</v>
      </c>
      <c r="G72">
        <v>32.159621135000002</v>
      </c>
      <c r="H72">
        <v>0.84293615423866897</v>
      </c>
      <c r="I72">
        <v>1</v>
      </c>
      <c r="J72">
        <v>0.223040405</v>
      </c>
      <c r="P72"/>
      <c r="V72">
        <v>0.82418062454848096</v>
      </c>
      <c r="W72">
        <v>1</v>
      </c>
      <c r="X72">
        <v>31.548158117</v>
      </c>
      <c r="Y72">
        <v>723</v>
      </c>
      <c r="Z72">
        <v>1.08371712961401E-4</v>
      </c>
      <c r="AA72">
        <v>1</v>
      </c>
    </row>
    <row r="73" spans="1:27" x14ac:dyDescent="0.2">
      <c r="A73">
        <v>10</v>
      </c>
      <c r="B73">
        <v>1</v>
      </c>
      <c r="C73">
        <v>0.1</v>
      </c>
      <c r="D73">
        <v>20</v>
      </c>
      <c r="E73">
        <v>0.89654762149826495</v>
      </c>
      <c r="F73">
        <v>1</v>
      </c>
      <c r="G73">
        <v>42.434101630999997</v>
      </c>
      <c r="H73">
        <v>0.89242610987537296</v>
      </c>
      <c r="I73">
        <v>1</v>
      </c>
      <c r="J73">
        <v>0.16431949500000001</v>
      </c>
      <c r="P73"/>
      <c r="V73">
        <v>1.06953821818327</v>
      </c>
      <c r="W73">
        <v>1</v>
      </c>
      <c r="X73">
        <v>64.449842218000001</v>
      </c>
      <c r="Y73">
        <v>1</v>
      </c>
      <c r="Z73">
        <v>1.1378610082428901E-3</v>
      </c>
      <c r="AA73">
        <v>6</v>
      </c>
    </row>
    <row r="74" spans="1:27" x14ac:dyDescent="0.2">
      <c r="A74">
        <v>10</v>
      </c>
      <c r="B74">
        <v>1</v>
      </c>
      <c r="C74">
        <v>0.2</v>
      </c>
      <c r="D74">
        <v>20</v>
      </c>
      <c r="E74">
        <v>0.65540185062595402</v>
      </c>
      <c r="F74">
        <v>1</v>
      </c>
      <c r="G74">
        <v>40.319394041000002</v>
      </c>
      <c r="H74">
        <v>0.53737978080801896</v>
      </c>
      <c r="I74">
        <v>1</v>
      </c>
      <c r="J74">
        <v>0.41580309599999998</v>
      </c>
      <c r="P74"/>
      <c r="V74">
        <v>0.523421085219551</v>
      </c>
      <c r="W74">
        <v>1</v>
      </c>
      <c r="X74">
        <v>39.334955258000001</v>
      </c>
      <c r="Y74">
        <v>1</v>
      </c>
      <c r="Z74">
        <v>3.81977630190677E-3</v>
      </c>
      <c r="AA74">
        <v>1</v>
      </c>
    </row>
    <row r="75" spans="1:27" x14ac:dyDescent="0.2">
      <c r="A75">
        <v>10</v>
      </c>
      <c r="B75">
        <v>1</v>
      </c>
      <c r="C75">
        <v>0.1</v>
      </c>
      <c r="D75">
        <v>20</v>
      </c>
      <c r="E75">
        <v>0.91130958112195704</v>
      </c>
      <c r="F75">
        <v>1</v>
      </c>
      <c r="G75">
        <v>39.480919737000001</v>
      </c>
      <c r="H75">
        <v>0.91131093711021605</v>
      </c>
      <c r="I75">
        <v>1</v>
      </c>
      <c r="J75">
        <v>0.15885433299999999</v>
      </c>
      <c r="P75"/>
      <c r="V75">
        <v>1.03247411868634</v>
      </c>
      <c r="W75">
        <v>1</v>
      </c>
      <c r="X75">
        <v>48.984788725999998</v>
      </c>
      <c r="Y75">
        <v>1565</v>
      </c>
      <c r="Z75" s="1">
        <v>1.4059266759125499E-7</v>
      </c>
      <c r="AA75">
        <v>1</v>
      </c>
    </row>
    <row r="76" spans="1:27" x14ac:dyDescent="0.2">
      <c r="A76">
        <v>10</v>
      </c>
      <c r="B76">
        <v>1</v>
      </c>
      <c r="C76">
        <v>0.2</v>
      </c>
      <c r="D76">
        <v>20</v>
      </c>
      <c r="E76">
        <v>0.80322242773560704</v>
      </c>
      <c r="F76">
        <v>1</v>
      </c>
      <c r="G76">
        <v>38.682373376999998</v>
      </c>
      <c r="H76">
        <v>0.751037361674469</v>
      </c>
      <c r="I76">
        <v>1</v>
      </c>
      <c r="J76">
        <v>0.24588226899999999</v>
      </c>
      <c r="P76"/>
      <c r="V76">
        <v>0.341428546283715</v>
      </c>
      <c r="W76">
        <v>1</v>
      </c>
      <c r="X76">
        <v>60.577946283000003</v>
      </c>
      <c r="Y76">
        <v>1083</v>
      </c>
      <c r="Z76">
        <v>1.3183261016346899E-3</v>
      </c>
      <c r="AA76">
        <v>1</v>
      </c>
    </row>
    <row r="77" spans="1:27" x14ac:dyDescent="0.2">
      <c r="A77">
        <v>10</v>
      </c>
      <c r="B77">
        <v>1</v>
      </c>
      <c r="C77">
        <v>0.3</v>
      </c>
      <c r="D77">
        <v>20</v>
      </c>
      <c r="E77">
        <v>0.165780664897274</v>
      </c>
      <c r="F77">
        <v>1</v>
      </c>
      <c r="G77">
        <v>40.565252352000002</v>
      </c>
      <c r="H77">
        <v>0.17556506891967</v>
      </c>
      <c r="I77">
        <v>1</v>
      </c>
      <c r="J77">
        <v>0.19724117999999999</v>
      </c>
      <c r="P77"/>
      <c r="V77">
        <v>0.20634881511372</v>
      </c>
      <c r="W77">
        <v>1</v>
      </c>
      <c r="X77">
        <v>1397.501958995</v>
      </c>
      <c r="Y77">
        <v>11249</v>
      </c>
      <c r="Z77">
        <v>2.9870113955048302E-3</v>
      </c>
      <c r="AA77">
        <v>15</v>
      </c>
    </row>
    <row r="78" spans="1:27" x14ac:dyDescent="0.2">
      <c r="A78">
        <v>10</v>
      </c>
      <c r="B78">
        <v>1</v>
      </c>
      <c r="C78">
        <v>0.4</v>
      </c>
      <c r="D78">
        <v>20</v>
      </c>
      <c r="E78">
        <v>0.282889512539651</v>
      </c>
      <c r="F78">
        <v>1</v>
      </c>
      <c r="G78">
        <v>34.949865004000003</v>
      </c>
      <c r="H78">
        <v>0.25054021511722002</v>
      </c>
      <c r="I78">
        <v>1</v>
      </c>
      <c r="J78">
        <v>0.14154393200000001</v>
      </c>
      <c r="P78"/>
      <c r="V78">
        <v>0.23524342674273399</v>
      </c>
      <c r="W78">
        <v>1</v>
      </c>
      <c r="X78">
        <v>80.542831552999999</v>
      </c>
      <c r="Y78">
        <v>1272</v>
      </c>
      <c r="Z78">
        <v>6.4863329485541597E-3</v>
      </c>
      <c r="AA78">
        <v>10</v>
      </c>
    </row>
    <row r="79" spans="1:27" x14ac:dyDescent="0.2">
      <c r="A79">
        <v>10</v>
      </c>
      <c r="B79">
        <v>1</v>
      </c>
      <c r="C79">
        <v>0.1</v>
      </c>
      <c r="D79">
        <v>20</v>
      </c>
      <c r="E79">
        <v>0.97575283556718395</v>
      </c>
      <c r="F79">
        <v>1</v>
      </c>
      <c r="G79">
        <v>35.743541002000001</v>
      </c>
      <c r="H79">
        <v>0.97575283768296595</v>
      </c>
      <c r="I79">
        <v>1</v>
      </c>
      <c r="J79">
        <v>5.1263857000000003E-2</v>
      </c>
      <c r="P79"/>
      <c r="V79">
        <v>0.80906147093381497</v>
      </c>
      <c r="W79">
        <v>1</v>
      </c>
      <c r="X79">
        <v>46.384716949000001</v>
      </c>
      <c r="Y79">
        <v>2569</v>
      </c>
      <c r="Z79" s="1">
        <v>4.3027670227182903E-5</v>
      </c>
      <c r="AA79">
        <v>1</v>
      </c>
    </row>
    <row r="80" spans="1:27" x14ac:dyDescent="0.2">
      <c r="A80">
        <v>10</v>
      </c>
      <c r="B80">
        <v>1</v>
      </c>
      <c r="C80">
        <v>0.2</v>
      </c>
      <c r="D80">
        <v>20</v>
      </c>
      <c r="E80">
        <v>0.59627527497786903</v>
      </c>
      <c r="F80">
        <v>1</v>
      </c>
      <c r="G80">
        <v>34.196333144</v>
      </c>
      <c r="H80">
        <v>0.56973525708156503</v>
      </c>
      <c r="I80">
        <v>1</v>
      </c>
      <c r="J80">
        <v>6.5984373999999998E-2</v>
      </c>
      <c r="P80"/>
      <c r="V80">
        <v>0.747565691150469</v>
      </c>
      <c r="W80">
        <v>1</v>
      </c>
      <c r="X80">
        <v>62.706529602000003</v>
      </c>
      <c r="Y80">
        <v>1</v>
      </c>
      <c r="Z80">
        <v>2.04249886335727E-3</v>
      </c>
      <c r="AA80">
        <v>4</v>
      </c>
    </row>
    <row r="81" spans="1:27" x14ac:dyDescent="0.2">
      <c r="A81">
        <v>10</v>
      </c>
      <c r="B81">
        <v>1</v>
      </c>
      <c r="C81">
        <v>0.3</v>
      </c>
      <c r="D81">
        <v>20</v>
      </c>
      <c r="E81">
        <v>0.27523056807313001</v>
      </c>
      <c r="F81">
        <v>1</v>
      </c>
      <c r="G81">
        <v>32.798579601</v>
      </c>
      <c r="H81">
        <v>0.25140735703416001</v>
      </c>
      <c r="I81">
        <v>1</v>
      </c>
      <c r="J81">
        <v>0.16410018600000001</v>
      </c>
      <c r="P81"/>
      <c r="V81">
        <v>0.27339144614774502</v>
      </c>
      <c r="W81">
        <v>1</v>
      </c>
      <c r="X81">
        <v>42.979454204</v>
      </c>
      <c r="Y81">
        <v>1</v>
      </c>
      <c r="Z81">
        <v>4.6984890450403301E-3</v>
      </c>
      <c r="AA81">
        <v>3</v>
      </c>
    </row>
    <row r="82" spans="1:27" x14ac:dyDescent="0.2">
      <c r="A82">
        <v>10</v>
      </c>
      <c r="B82">
        <v>1</v>
      </c>
      <c r="C82">
        <v>0.4</v>
      </c>
      <c r="D82">
        <v>20</v>
      </c>
      <c r="E82">
        <v>0.38339951623973501</v>
      </c>
      <c r="F82">
        <v>1</v>
      </c>
      <c r="G82">
        <v>34.157814092999999</v>
      </c>
      <c r="H82">
        <v>0.38370772886809201</v>
      </c>
      <c r="I82">
        <v>1</v>
      </c>
      <c r="J82">
        <v>7.0453458999999996E-2</v>
      </c>
      <c r="P82"/>
      <c r="V82">
        <v>0.38218668831839703</v>
      </c>
      <c r="W82">
        <v>1</v>
      </c>
      <c r="X82">
        <v>32.907487070000002</v>
      </c>
      <c r="Y82">
        <v>13</v>
      </c>
      <c r="Z82">
        <v>9.1115344668088395E-4</v>
      </c>
      <c r="AA82">
        <v>1</v>
      </c>
    </row>
    <row r="83" spans="1:27" x14ac:dyDescent="0.2">
      <c r="A83">
        <v>10</v>
      </c>
      <c r="B83">
        <v>1</v>
      </c>
      <c r="C83">
        <v>0.1</v>
      </c>
      <c r="D83">
        <v>20</v>
      </c>
      <c r="E83">
        <v>0.98618957550749098</v>
      </c>
      <c r="F83">
        <v>1</v>
      </c>
      <c r="G83">
        <v>34.162931223999998</v>
      </c>
      <c r="H83">
        <v>0.98618984787499697</v>
      </c>
      <c r="I83">
        <v>1</v>
      </c>
      <c r="J83">
        <v>5.2161118999999999E-2</v>
      </c>
      <c r="P83"/>
      <c r="V83">
        <v>0.98412112722407696</v>
      </c>
      <c r="W83">
        <v>1</v>
      </c>
      <c r="X83">
        <v>43.427976569000002</v>
      </c>
      <c r="Y83">
        <v>2280</v>
      </c>
      <c r="Z83" s="1">
        <v>1.24421395101409E-6</v>
      </c>
      <c r="AA83">
        <v>1</v>
      </c>
    </row>
    <row r="84" spans="1:27" x14ac:dyDescent="0.2">
      <c r="A84">
        <v>10</v>
      </c>
      <c r="B84">
        <v>1</v>
      </c>
      <c r="C84">
        <v>0.2</v>
      </c>
      <c r="D84">
        <v>20</v>
      </c>
      <c r="E84">
        <v>0.12520064649541199</v>
      </c>
      <c r="F84">
        <v>1</v>
      </c>
      <c r="G84">
        <v>33.393013115999999</v>
      </c>
      <c r="H84">
        <v>0.180364094897036</v>
      </c>
      <c r="I84">
        <v>1</v>
      </c>
      <c r="J84">
        <v>9.8261747999999996E-2</v>
      </c>
      <c r="P84"/>
      <c r="V84">
        <v>0.17278480200566601</v>
      </c>
      <c r="W84">
        <v>1</v>
      </c>
      <c r="X84">
        <v>30.814933731</v>
      </c>
      <c r="Y84">
        <v>1</v>
      </c>
      <c r="Z84">
        <v>8.8039574565117098E-4</v>
      </c>
      <c r="AA84">
        <v>1</v>
      </c>
    </row>
    <row r="85" spans="1:27" x14ac:dyDescent="0.2">
      <c r="A85">
        <v>10</v>
      </c>
      <c r="B85">
        <v>1</v>
      </c>
      <c r="C85">
        <v>0.4</v>
      </c>
      <c r="D85">
        <v>20</v>
      </c>
      <c r="E85">
        <v>5.86089502723771E-2</v>
      </c>
      <c r="F85">
        <v>1</v>
      </c>
      <c r="G85">
        <v>33.937725387</v>
      </c>
      <c r="H85">
        <v>7.2390530084368104E-2</v>
      </c>
      <c r="I85">
        <v>1</v>
      </c>
      <c r="J85">
        <v>5.5286908000000003E-2</v>
      </c>
      <c r="P85"/>
      <c r="V85">
        <v>5.6876981989860603E-2</v>
      </c>
      <c r="W85">
        <v>1</v>
      </c>
      <c r="X85">
        <v>35.758549434999999</v>
      </c>
      <c r="Y85">
        <v>1</v>
      </c>
      <c r="Z85">
        <v>4.9596668050071397E-3</v>
      </c>
      <c r="AA85">
        <v>1</v>
      </c>
    </row>
    <row r="86" spans="1:27" x14ac:dyDescent="0.2">
      <c r="A86">
        <v>10</v>
      </c>
      <c r="B86">
        <v>1</v>
      </c>
      <c r="C86">
        <v>0.4</v>
      </c>
      <c r="D86">
        <v>20</v>
      </c>
      <c r="E86">
        <v>0.12083424421235001</v>
      </c>
      <c r="F86">
        <v>1</v>
      </c>
      <c r="G86">
        <v>43.129680952999998</v>
      </c>
      <c r="H86">
        <v>0.106137726692398</v>
      </c>
      <c r="I86">
        <v>1</v>
      </c>
      <c r="J86">
        <v>0.15125374799999999</v>
      </c>
      <c r="P86"/>
      <c r="V86">
        <v>8.7919722330504199E-2</v>
      </c>
      <c r="W86">
        <v>1</v>
      </c>
      <c r="X86">
        <v>155.117498504</v>
      </c>
      <c r="Y86">
        <v>496</v>
      </c>
      <c r="Z86">
        <v>9.7931630303673602E-3</v>
      </c>
      <c r="AA86">
        <v>15</v>
      </c>
    </row>
    <row r="87" spans="1:27" x14ac:dyDescent="0.2">
      <c r="A87">
        <v>10</v>
      </c>
      <c r="B87">
        <v>1</v>
      </c>
      <c r="C87">
        <v>0.3</v>
      </c>
      <c r="D87">
        <v>20</v>
      </c>
      <c r="E87">
        <v>0.18665273479965899</v>
      </c>
      <c r="F87">
        <v>1</v>
      </c>
      <c r="G87">
        <v>33.912167316999998</v>
      </c>
      <c r="H87">
        <v>0.138917860943715</v>
      </c>
      <c r="I87">
        <v>1</v>
      </c>
      <c r="J87">
        <v>7.4724783000000003E-2</v>
      </c>
      <c r="P87"/>
      <c r="V87">
        <v>0.161269461233228</v>
      </c>
      <c r="W87">
        <v>1</v>
      </c>
      <c r="X87">
        <v>271.985008333</v>
      </c>
      <c r="Y87">
        <v>2642</v>
      </c>
      <c r="Z87">
        <v>4.3515149139550201E-3</v>
      </c>
      <c r="AA87">
        <v>13</v>
      </c>
    </row>
    <row r="88" spans="1:27" x14ac:dyDescent="0.2">
      <c r="A88">
        <v>10</v>
      </c>
      <c r="B88">
        <v>1</v>
      </c>
      <c r="C88">
        <v>0.1</v>
      </c>
      <c r="D88">
        <v>20</v>
      </c>
      <c r="E88">
        <v>0.91250553088828601</v>
      </c>
      <c r="F88">
        <v>1</v>
      </c>
      <c r="G88">
        <v>33.717422161000002</v>
      </c>
      <c r="H88">
        <v>0.91248730248498999</v>
      </c>
      <c r="I88">
        <v>1</v>
      </c>
      <c r="J88">
        <v>6.3758898999999994E-2</v>
      </c>
      <c r="P88"/>
      <c r="V88">
        <v>0.88259014580831596</v>
      </c>
      <c r="W88">
        <v>1</v>
      </c>
      <c r="X88">
        <v>34.102302215999998</v>
      </c>
      <c r="Y88">
        <v>942</v>
      </c>
      <c r="Z88">
        <v>6.8713792054056401E-4</v>
      </c>
      <c r="AA88">
        <v>1</v>
      </c>
    </row>
    <row r="89" spans="1:27" x14ac:dyDescent="0.2">
      <c r="A89">
        <v>10</v>
      </c>
      <c r="B89">
        <v>1</v>
      </c>
      <c r="C89">
        <v>0.4</v>
      </c>
      <c r="D89">
        <v>20</v>
      </c>
      <c r="E89">
        <v>7.9644487990666701E-2</v>
      </c>
      <c r="F89">
        <v>1</v>
      </c>
      <c r="G89">
        <v>33.640535481999997</v>
      </c>
      <c r="H89">
        <v>9.0172000227679905E-2</v>
      </c>
      <c r="I89">
        <v>1</v>
      </c>
      <c r="J89">
        <v>0.119289404</v>
      </c>
      <c r="P89"/>
      <c r="V89">
        <v>7.4264317524477694E-2</v>
      </c>
      <c r="W89">
        <v>1</v>
      </c>
      <c r="X89">
        <v>31.891598052999999</v>
      </c>
      <c r="Y89">
        <v>13</v>
      </c>
      <c r="Z89">
        <v>7.8053623440608099E-3</v>
      </c>
      <c r="AA89">
        <v>1</v>
      </c>
    </row>
    <row r="90" spans="1:27" x14ac:dyDescent="0.2">
      <c r="A90">
        <v>10</v>
      </c>
      <c r="B90">
        <v>1</v>
      </c>
      <c r="C90">
        <v>0.1</v>
      </c>
      <c r="D90">
        <v>20</v>
      </c>
      <c r="E90">
        <v>0.99495523013875198</v>
      </c>
      <c r="F90">
        <v>1</v>
      </c>
      <c r="G90">
        <v>33.925755723999998</v>
      </c>
      <c r="H90">
        <v>0.99495523013875198</v>
      </c>
      <c r="I90">
        <v>1</v>
      </c>
      <c r="J90">
        <v>7.4416019999999999E-2</v>
      </c>
      <c r="P90"/>
      <c r="V90">
        <v>0.98035346266141898</v>
      </c>
      <c r="W90">
        <v>1</v>
      </c>
      <c r="X90">
        <v>39.571239873000003</v>
      </c>
      <c r="Y90">
        <v>1721</v>
      </c>
      <c r="Z90" s="1">
        <v>9.1247601843452708E-6</v>
      </c>
      <c r="AA90">
        <v>1</v>
      </c>
    </row>
    <row r="91" spans="1:27" x14ac:dyDescent="0.2">
      <c r="A91">
        <v>10</v>
      </c>
      <c r="B91">
        <v>1</v>
      </c>
      <c r="C91">
        <v>0.1</v>
      </c>
      <c r="D91">
        <v>20</v>
      </c>
      <c r="E91">
        <v>0.923723755434115</v>
      </c>
      <c r="F91">
        <v>1</v>
      </c>
      <c r="G91">
        <v>42.059610796999998</v>
      </c>
      <c r="H91">
        <v>0.91735305551897495</v>
      </c>
      <c r="I91">
        <v>1</v>
      </c>
      <c r="J91">
        <v>0.37498695999999998</v>
      </c>
      <c r="P91"/>
      <c r="V91">
        <v>1.0767416930571601</v>
      </c>
      <c r="W91">
        <v>1</v>
      </c>
      <c r="X91">
        <v>77.679705882999997</v>
      </c>
      <c r="Y91">
        <v>1</v>
      </c>
      <c r="Z91">
        <v>1.41772750702116E-3</v>
      </c>
      <c r="AA91">
        <v>3</v>
      </c>
    </row>
    <row r="92" spans="1:27" x14ac:dyDescent="0.2">
      <c r="A92">
        <v>10</v>
      </c>
      <c r="B92">
        <v>1</v>
      </c>
      <c r="C92">
        <v>0.1</v>
      </c>
      <c r="D92">
        <v>20</v>
      </c>
      <c r="E92">
        <v>0.88517507515375005</v>
      </c>
      <c r="F92">
        <v>1</v>
      </c>
      <c r="G92">
        <v>41.262878774000001</v>
      </c>
      <c r="H92">
        <v>0.88517516618793002</v>
      </c>
      <c r="I92">
        <v>1</v>
      </c>
      <c r="J92">
        <v>0.53272523900000002</v>
      </c>
      <c r="P92"/>
      <c r="V92">
        <v>0.813192878528333</v>
      </c>
      <c r="W92">
        <v>1</v>
      </c>
      <c r="X92">
        <v>67.900965663999997</v>
      </c>
      <c r="Y92">
        <v>3</v>
      </c>
      <c r="Z92">
        <v>3.6295826384900301E-3</v>
      </c>
      <c r="AA92">
        <v>3</v>
      </c>
    </row>
    <row r="93" spans="1:27" x14ac:dyDescent="0.2">
      <c r="A93">
        <v>10</v>
      </c>
      <c r="B93">
        <v>1</v>
      </c>
      <c r="C93">
        <v>0.2</v>
      </c>
      <c r="D93">
        <v>20</v>
      </c>
      <c r="E93">
        <v>0.72784472222671903</v>
      </c>
      <c r="F93">
        <v>1</v>
      </c>
      <c r="G93">
        <v>43.484321649999998</v>
      </c>
      <c r="H93">
        <v>0.72665822898343502</v>
      </c>
      <c r="I93">
        <v>1</v>
      </c>
      <c r="J93">
        <v>0.329050079</v>
      </c>
      <c r="P93"/>
      <c r="V93">
        <v>1.0356604118643</v>
      </c>
      <c r="W93">
        <v>1</v>
      </c>
      <c r="X93">
        <v>71.047174317</v>
      </c>
      <c r="Y93">
        <v>3</v>
      </c>
      <c r="Z93">
        <v>1.78177588009867E-2</v>
      </c>
      <c r="AA93">
        <v>2</v>
      </c>
    </row>
    <row r="94" spans="1:27" x14ac:dyDescent="0.2">
      <c r="A94">
        <v>10</v>
      </c>
      <c r="B94">
        <v>1</v>
      </c>
      <c r="C94">
        <v>0.4</v>
      </c>
      <c r="D94">
        <v>20</v>
      </c>
      <c r="E94">
        <v>0.30611128506616397</v>
      </c>
      <c r="F94">
        <v>1</v>
      </c>
      <c r="G94">
        <v>37.801699601000003</v>
      </c>
      <c r="H94">
        <v>0.30620840556066897</v>
      </c>
      <c r="I94">
        <v>1</v>
      </c>
      <c r="J94">
        <v>0.189562756</v>
      </c>
      <c r="P94"/>
      <c r="V94">
        <v>0.227503163820788</v>
      </c>
      <c r="W94">
        <v>1</v>
      </c>
      <c r="X94">
        <v>2044.049398763</v>
      </c>
      <c r="Y94">
        <v>25712</v>
      </c>
      <c r="Z94">
        <v>5.0488634556381503E-3</v>
      </c>
      <c r="AA94">
        <v>16</v>
      </c>
    </row>
    <row r="95" spans="1:27" x14ac:dyDescent="0.2">
      <c r="A95">
        <v>10</v>
      </c>
      <c r="B95">
        <v>1</v>
      </c>
      <c r="C95">
        <v>0.3</v>
      </c>
      <c r="D95">
        <v>20</v>
      </c>
      <c r="E95">
        <v>0.211841207602808</v>
      </c>
      <c r="F95">
        <v>1</v>
      </c>
      <c r="G95">
        <v>40.868394711000001</v>
      </c>
      <c r="H95">
        <v>0.17750721873614</v>
      </c>
      <c r="I95">
        <v>1</v>
      </c>
      <c r="J95">
        <v>0.43982353200000002</v>
      </c>
      <c r="P95"/>
      <c r="V95">
        <v>0.13723931097688699</v>
      </c>
      <c r="W95">
        <v>1</v>
      </c>
      <c r="X95">
        <v>2169.6957832190001</v>
      </c>
      <c r="Y95">
        <v>15338</v>
      </c>
      <c r="Z95">
        <v>3.03024846969501E-3</v>
      </c>
      <c r="AA95">
        <v>18</v>
      </c>
    </row>
    <row r="96" spans="1:27" x14ac:dyDescent="0.2">
      <c r="A96">
        <v>10</v>
      </c>
      <c r="B96">
        <v>1</v>
      </c>
      <c r="C96">
        <v>0.1</v>
      </c>
      <c r="D96">
        <v>20</v>
      </c>
      <c r="E96">
        <v>0.96711432845814105</v>
      </c>
      <c r="F96">
        <v>1</v>
      </c>
      <c r="G96">
        <v>44.206193200999998</v>
      </c>
      <c r="H96">
        <v>0.96569715978552395</v>
      </c>
      <c r="I96">
        <v>1</v>
      </c>
      <c r="J96">
        <v>0.17633913000000001</v>
      </c>
      <c r="P96"/>
      <c r="V96">
        <v>1.1303691628075401</v>
      </c>
      <c r="W96">
        <v>1</v>
      </c>
      <c r="X96">
        <v>70.577044087000004</v>
      </c>
      <c r="Y96">
        <v>1</v>
      </c>
      <c r="Z96" s="1">
        <v>9.7059933456628E-5</v>
      </c>
      <c r="AA96">
        <v>2</v>
      </c>
    </row>
    <row r="97" spans="1:27" x14ac:dyDescent="0.2">
      <c r="A97">
        <v>10</v>
      </c>
      <c r="B97">
        <v>1</v>
      </c>
      <c r="C97">
        <v>0.4</v>
      </c>
      <c r="D97">
        <v>20</v>
      </c>
      <c r="E97">
        <v>0.17512457033402901</v>
      </c>
      <c r="F97">
        <v>1</v>
      </c>
      <c r="G97">
        <v>37.915759196000003</v>
      </c>
      <c r="H97">
        <v>0.165092544532428</v>
      </c>
      <c r="I97">
        <v>1</v>
      </c>
      <c r="J97">
        <v>9.0811551000000004E-2</v>
      </c>
      <c r="P97"/>
      <c r="V97">
        <v>0.15604565446061899</v>
      </c>
      <c r="W97">
        <v>1</v>
      </c>
      <c r="X97">
        <v>129.621519503</v>
      </c>
      <c r="Y97">
        <v>520</v>
      </c>
      <c r="Z97">
        <v>8.0398078758450106E-3</v>
      </c>
      <c r="AA97">
        <v>11</v>
      </c>
    </row>
    <row r="98" spans="1:27" x14ac:dyDescent="0.2">
      <c r="A98">
        <v>10</v>
      </c>
      <c r="B98">
        <v>1</v>
      </c>
      <c r="C98">
        <v>0.3</v>
      </c>
      <c r="D98">
        <v>20</v>
      </c>
      <c r="E98">
        <v>0.35619242205805401</v>
      </c>
      <c r="F98">
        <v>1</v>
      </c>
      <c r="G98">
        <v>37.777742433</v>
      </c>
      <c r="H98">
        <v>0.35582301440734798</v>
      </c>
      <c r="I98">
        <v>1</v>
      </c>
      <c r="J98">
        <v>0.128016361</v>
      </c>
      <c r="P98"/>
      <c r="V98">
        <v>0.349133332126424</v>
      </c>
      <c r="W98">
        <v>1</v>
      </c>
      <c r="X98">
        <v>35.889736925999998</v>
      </c>
      <c r="Y98">
        <v>1</v>
      </c>
      <c r="Z98">
        <v>3.23155908682348E-3</v>
      </c>
      <c r="AA98">
        <v>1</v>
      </c>
    </row>
    <row r="99" spans="1:27" x14ac:dyDescent="0.2">
      <c r="A99">
        <v>10</v>
      </c>
      <c r="B99">
        <v>1</v>
      </c>
      <c r="C99">
        <v>0.3</v>
      </c>
      <c r="D99">
        <v>20</v>
      </c>
      <c r="E99">
        <v>0.42074201794694899</v>
      </c>
      <c r="F99">
        <v>1</v>
      </c>
      <c r="G99">
        <v>33.553637821999999</v>
      </c>
      <c r="H99">
        <v>0.25970078501757299</v>
      </c>
      <c r="I99">
        <v>1</v>
      </c>
      <c r="J99">
        <v>9.0637810999999999E-2</v>
      </c>
      <c r="P99"/>
      <c r="V99">
        <v>0.33439097887924901</v>
      </c>
      <c r="W99">
        <v>1</v>
      </c>
      <c r="X99">
        <v>15278.301714339999</v>
      </c>
      <c r="Y99">
        <v>217314</v>
      </c>
      <c r="Z99">
        <v>1.1218097597257199E-3</v>
      </c>
      <c r="AA99">
        <v>15</v>
      </c>
    </row>
    <row r="100" spans="1:27" x14ac:dyDescent="0.2">
      <c r="A100">
        <v>10</v>
      </c>
      <c r="B100">
        <v>1</v>
      </c>
      <c r="C100">
        <v>0.1</v>
      </c>
      <c r="D100">
        <v>20</v>
      </c>
      <c r="E100">
        <v>0.93130725368865697</v>
      </c>
      <c r="F100">
        <v>1</v>
      </c>
      <c r="G100">
        <v>42.134029130999998</v>
      </c>
      <c r="H100">
        <v>0.93130742614362005</v>
      </c>
      <c r="I100">
        <v>1</v>
      </c>
      <c r="J100">
        <v>6.3014727000000006E-2</v>
      </c>
      <c r="P100"/>
      <c r="V100">
        <v>1.1239925391897401</v>
      </c>
      <c r="W100">
        <v>1</v>
      </c>
      <c r="X100">
        <v>329.61132926099998</v>
      </c>
      <c r="Y100">
        <v>21570</v>
      </c>
      <c r="Z100">
        <v>9.4415733615310605E-4</v>
      </c>
      <c r="AA100">
        <v>9</v>
      </c>
    </row>
    <row r="101" spans="1:27" x14ac:dyDescent="0.2">
      <c r="A101">
        <v>10</v>
      </c>
      <c r="B101">
        <v>1</v>
      </c>
      <c r="C101">
        <v>0.2</v>
      </c>
      <c r="D101">
        <v>20</v>
      </c>
      <c r="E101">
        <v>0.68595225343750299</v>
      </c>
      <c r="F101">
        <v>1</v>
      </c>
      <c r="G101">
        <v>40.517707397999999</v>
      </c>
      <c r="H101">
        <v>0.68889099182772195</v>
      </c>
      <c r="I101">
        <v>1</v>
      </c>
      <c r="J101">
        <v>0.165262347</v>
      </c>
      <c r="P101"/>
      <c r="V101">
        <v>0.69096466707344295</v>
      </c>
      <c r="W101">
        <v>1</v>
      </c>
      <c r="X101">
        <v>3909.8935773439998</v>
      </c>
      <c r="Y101">
        <v>26270</v>
      </c>
      <c r="Z101">
        <v>1.8271045297292799E-3</v>
      </c>
      <c r="AA101">
        <v>18</v>
      </c>
    </row>
    <row r="102" spans="1:27" x14ac:dyDescent="0.2">
      <c r="A102">
        <v>10</v>
      </c>
      <c r="B102">
        <v>1</v>
      </c>
      <c r="C102">
        <v>0.3</v>
      </c>
      <c r="D102">
        <v>20</v>
      </c>
      <c r="E102">
        <v>0.57718549235452499</v>
      </c>
      <c r="F102">
        <v>1</v>
      </c>
      <c r="G102">
        <v>39.309255446999998</v>
      </c>
      <c r="H102">
        <v>0.494658688181909</v>
      </c>
      <c r="I102">
        <v>1</v>
      </c>
      <c r="J102">
        <v>0.18601113999999999</v>
      </c>
      <c r="P102"/>
      <c r="V102">
        <v>0.46005817993355702</v>
      </c>
      <c r="W102">
        <v>1</v>
      </c>
      <c r="X102">
        <v>5002.9599274109996</v>
      </c>
      <c r="Y102">
        <v>65188</v>
      </c>
      <c r="Z102">
        <v>1.6961579198115299E-3</v>
      </c>
      <c r="AA102">
        <v>15</v>
      </c>
    </row>
    <row r="103" spans="1:27" x14ac:dyDescent="0.2">
      <c r="A103">
        <v>10</v>
      </c>
      <c r="B103">
        <v>1</v>
      </c>
      <c r="C103">
        <v>0.4</v>
      </c>
      <c r="D103">
        <v>20</v>
      </c>
      <c r="E103">
        <v>0.14449807109221799</v>
      </c>
      <c r="F103">
        <v>1</v>
      </c>
      <c r="G103">
        <v>40.652244449999998</v>
      </c>
      <c r="H103">
        <v>0.16297363434342199</v>
      </c>
      <c r="I103">
        <v>1</v>
      </c>
      <c r="J103">
        <v>0.23309148499999999</v>
      </c>
      <c r="P103"/>
      <c r="V103">
        <v>0.130205033036802</v>
      </c>
      <c r="W103">
        <v>1</v>
      </c>
      <c r="X103">
        <v>3794.2746683999999</v>
      </c>
      <c r="Y103">
        <v>12772</v>
      </c>
      <c r="Z103">
        <v>7.6817172207903602E-3</v>
      </c>
      <c r="AA103">
        <v>23</v>
      </c>
    </row>
    <row r="104" spans="1:27" x14ac:dyDescent="0.2">
      <c r="A104">
        <v>10</v>
      </c>
      <c r="B104">
        <v>1</v>
      </c>
      <c r="C104">
        <v>0.4</v>
      </c>
      <c r="D104">
        <v>20</v>
      </c>
      <c r="E104">
        <v>9.6133029753663404E-2</v>
      </c>
      <c r="F104">
        <v>1</v>
      </c>
      <c r="G104">
        <v>43.425306763999998</v>
      </c>
      <c r="H104">
        <v>0.10397505850484801</v>
      </c>
      <c r="I104">
        <v>1</v>
      </c>
      <c r="J104">
        <v>0.124499629</v>
      </c>
      <c r="P104"/>
      <c r="V104">
        <v>7.6956580079243997E-2</v>
      </c>
      <c r="W104">
        <v>1</v>
      </c>
      <c r="X104">
        <v>40.194168785000002</v>
      </c>
      <c r="Y104">
        <v>13</v>
      </c>
      <c r="Z104">
        <v>6.6963941083693001E-3</v>
      </c>
      <c r="AA104">
        <v>1</v>
      </c>
    </row>
    <row r="105" spans="1:27" x14ac:dyDescent="0.2">
      <c r="A105">
        <v>10</v>
      </c>
      <c r="B105">
        <v>1</v>
      </c>
      <c r="C105">
        <v>0.1</v>
      </c>
      <c r="D105">
        <v>20</v>
      </c>
      <c r="E105">
        <v>0.969066474197115</v>
      </c>
      <c r="F105">
        <v>1</v>
      </c>
      <c r="G105">
        <v>38.734152512999998</v>
      </c>
      <c r="H105">
        <v>0.969066474197115</v>
      </c>
      <c r="I105">
        <v>1</v>
      </c>
      <c r="J105">
        <v>7.8433185000000002E-2</v>
      </c>
      <c r="P105"/>
      <c r="V105">
        <v>0.92686014507991499</v>
      </c>
      <c r="W105">
        <v>1</v>
      </c>
      <c r="X105">
        <v>43.725082036000003</v>
      </c>
      <c r="Y105">
        <v>1008</v>
      </c>
      <c r="Z105">
        <v>4.40293199443692E-4</v>
      </c>
      <c r="AA105">
        <v>1</v>
      </c>
    </row>
    <row r="106" spans="1:27" x14ac:dyDescent="0.2">
      <c r="A106">
        <v>10</v>
      </c>
      <c r="B106">
        <v>1</v>
      </c>
      <c r="C106">
        <v>0.2</v>
      </c>
      <c r="D106">
        <v>20</v>
      </c>
      <c r="E106">
        <v>0.36072927843652203</v>
      </c>
      <c r="F106">
        <v>1</v>
      </c>
      <c r="G106">
        <v>39.940627411000001</v>
      </c>
      <c r="H106">
        <v>0.29243729165154903</v>
      </c>
      <c r="I106">
        <v>1</v>
      </c>
      <c r="J106">
        <v>0.28519344400000002</v>
      </c>
      <c r="P106"/>
      <c r="V106">
        <v>0.71951914862991795</v>
      </c>
      <c r="W106">
        <v>1</v>
      </c>
      <c r="X106">
        <v>44.996182343999997</v>
      </c>
      <c r="Y106">
        <v>581</v>
      </c>
      <c r="Z106">
        <v>1.9446132356442901E-3</v>
      </c>
      <c r="AA106">
        <v>1</v>
      </c>
    </row>
    <row r="107" spans="1:27" x14ac:dyDescent="0.2">
      <c r="A107">
        <v>10</v>
      </c>
      <c r="B107">
        <v>1</v>
      </c>
      <c r="C107">
        <v>0.3</v>
      </c>
      <c r="D107">
        <v>20</v>
      </c>
      <c r="E107">
        <v>0.23758270640986001</v>
      </c>
      <c r="F107">
        <v>1</v>
      </c>
      <c r="G107">
        <v>40.416360769999997</v>
      </c>
      <c r="H107">
        <v>0.235064630656803</v>
      </c>
      <c r="I107">
        <v>1</v>
      </c>
      <c r="J107">
        <v>0.113981055</v>
      </c>
      <c r="P107"/>
      <c r="V107">
        <v>0.22124009790108001</v>
      </c>
      <c r="W107">
        <v>1</v>
      </c>
      <c r="X107">
        <v>59.444463509000002</v>
      </c>
      <c r="Y107">
        <v>732</v>
      </c>
      <c r="Z107">
        <v>6.4718547240510604E-3</v>
      </c>
      <c r="AA107">
        <v>1</v>
      </c>
    </row>
    <row r="108" spans="1:27" x14ac:dyDescent="0.2">
      <c r="A108">
        <v>10</v>
      </c>
      <c r="B108">
        <v>1</v>
      </c>
      <c r="C108">
        <v>0.1</v>
      </c>
      <c r="D108">
        <v>20</v>
      </c>
      <c r="E108">
        <v>0.99236907883970005</v>
      </c>
      <c r="F108">
        <v>1</v>
      </c>
      <c r="G108">
        <v>42.713171770999999</v>
      </c>
      <c r="H108">
        <v>0.99236907883970005</v>
      </c>
      <c r="I108">
        <v>1</v>
      </c>
      <c r="J108">
        <v>0.102603785</v>
      </c>
      <c r="P108"/>
      <c r="V108">
        <v>1.0241622057323101</v>
      </c>
      <c r="W108">
        <v>1</v>
      </c>
      <c r="X108">
        <v>67.906571353000004</v>
      </c>
      <c r="Y108">
        <v>1</v>
      </c>
      <c r="Z108">
        <v>5.5796274322746E-4</v>
      </c>
      <c r="AA108">
        <v>2</v>
      </c>
    </row>
    <row r="109" spans="1:27" x14ac:dyDescent="0.2">
      <c r="A109">
        <v>10</v>
      </c>
      <c r="B109">
        <v>1</v>
      </c>
      <c r="C109">
        <v>0.2</v>
      </c>
      <c r="D109">
        <v>20</v>
      </c>
      <c r="E109">
        <v>0.46526092782233403</v>
      </c>
      <c r="F109">
        <v>1</v>
      </c>
      <c r="G109">
        <v>44.250793745000003</v>
      </c>
      <c r="H109">
        <v>0.48786402668161499</v>
      </c>
      <c r="I109">
        <v>1</v>
      </c>
      <c r="J109">
        <v>0.52130841800000005</v>
      </c>
      <c r="P109"/>
      <c r="V109">
        <v>0.52324178342858496</v>
      </c>
      <c r="W109">
        <v>1</v>
      </c>
      <c r="X109">
        <v>339.83864466199998</v>
      </c>
      <c r="Y109">
        <v>11322</v>
      </c>
      <c r="Z109">
        <v>1.24071692100419E-3</v>
      </c>
      <c r="AA109">
        <v>10</v>
      </c>
    </row>
    <row r="110" spans="1:27" x14ac:dyDescent="0.2">
      <c r="A110">
        <v>10</v>
      </c>
      <c r="B110">
        <v>1</v>
      </c>
      <c r="C110">
        <v>0.3</v>
      </c>
      <c r="D110">
        <v>20</v>
      </c>
      <c r="E110">
        <v>8.63667879410384E-2</v>
      </c>
      <c r="F110">
        <v>1</v>
      </c>
      <c r="G110">
        <v>41.742463104000002</v>
      </c>
      <c r="H110">
        <v>0.115074874522594</v>
      </c>
      <c r="I110">
        <v>1</v>
      </c>
      <c r="J110">
        <v>0.15295535900000001</v>
      </c>
      <c r="P110"/>
      <c r="V110">
        <v>0.101452411147643</v>
      </c>
      <c r="W110">
        <v>1</v>
      </c>
      <c r="X110">
        <v>39.788548093999999</v>
      </c>
      <c r="Y110">
        <v>15</v>
      </c>
      <c r="Z110">
        <v>3.8894201078184501E-3</v>
      </c>
      <c r="AA110">
        <v>1</v>
      </c>
    </row>
    <row r="111" spans="1:27" x14ac:dyDescent="0.2">
      <c r="A111">
        <v>20</v>
      </c>
      <c r="B111">
        <v>1</v>
      </c>
      <c r="C111">
        <v>0.1</v>
      </c>
      <c r="D111">
        <v>100</v>
      </c>
      <c r="E111">
        <v>0.71007984680037906</v>
      </c>
      <c r="F111">
        <v>1</v>
      </c>
      <c r="G111">
        <v>40.134917790000003</v>
      </c>
      <c r="H111">
        <v>0.70012518001379698</v>
      </c>
      <c r="I111">
        <v>1</v>
      </c>
      <c r="J111">
        <v>0.121634901</v>
      </c>
      <c r="P111"/>
      <c r="V111">
        <v>0.77291109490821597</v>
      </c>
      <c r="W111">
        <v>1</v>
      </c>
      <c r="X111">
        <v>192.055085362</v>
      </c>
      <c r="Y111">
        <v>1</v>
      </c>
      <c r="Z111">
        <v>1.06706430479824E-3</v>
      </c>
      <c r="AA111">
        <v>5</v>
      </c>
    </row>
    <row r="112" spans="1:27" x14ac:dyDescent="0.2">
      <c r="A112">
        <v>10</v>
      </c>
      <c r="B112">
        <v>1</v>
      </c>
      <c r="C112">
        <v>0.3</v>
      </c>
      <c r="D112">
        <v>20</v>
      </c>
      <c r="E112">
        <v>0.178678701432989</v>
      </c>
      <c r="F112">
        <v>1</v>
      </c>
      <c r="G112">
        <v>40.890017223999997</v>
      </c>
      <c r="H112">
        <v>0.24705890090875601</v>
      </c>
      <c r="I112">
        <v>1</v>
      </c>
      <c r="J112">
        <v>0.208603502</v>
      </c>
      <c r="P112"/>
      <c r="V112">
        <v>0.25121308199419101</v>
      </c>
      <c r="W112">
        <v>1</v>
      </c>
      <c r="X112">
        <v>2389.1352687509998</v>
      </c>
      <c r="Y112">
        <v>15543</v>
      </c>
      <c r="Z112">
        <v>3.8058260649988999E-3</v>
      </c>
      <c r="AA112">
        <v>23</v>
      </c>
    </row>
    <row r="113" spans="1:27" x14ac:dyDescent="0.2">
      <c r="A113">
        <v>10</v>
      </c>
      <c r="B113">
        <v>1</v>
      </c>
      <c r="C113">
        <v>0.3</v>
      </c>
      <c r="D113">
        <v>20</v>
      </c>
      <c r="E113">
        <v>0.484975848545802</v>
      </c>
      <c r="F113">
        <v>1</v>
      </c>
      <c r="G113">
        <v>33.398896207999996</v>
      </c>
      <c r="H113">
        <v>0.41854835556175002</v>
      </c>
      <c r="I113">
        <v>1</v>
      </c>
      <c r="J113">
        <v>0.122709004</v>
      </c>
      <c r="P113"/>
      <c r="V113">
        <v>0.40132201301553999</v>
      </c>
      <c r="W113">
        <v>1</v>
      </c>
      <c r="X113">
        <v>7069.7164337149998</v>
      </c>
      <c r="Y113">
        <v>34812</v>
      </c>
      <c r="Z113">
        <v>1.54152209986446E-3</v>
      </c>
      <c r="AA113">
        <v>34</v>
      </c>
    </row>
    <row r="114" spans="1:27" x14ac:dyDescent="0.2">
      <c r="A114">
        <v>10</v>
      </c>
      <c r="B114">
        <v>1</v>
      </c>
      <c r="C114">
        <v>0.1</v>
      </c>
      <c r="D114">
        <v>20</v>
      </c>
      <c r="E114">
        <v>0.95121684285056296</v>
      </c>
      <c r="F114">
        <v>1</v>
      </c>
      <c r="G114">
        <v>43.688854818999999</v>
      </c>
      <c r="H114">
        <v>0.95121811768829101</v>
      </c>
      <c r="I114">
        <v>1</v>
      </c>
      <c r="J114">
        <v>0.133505441</v>
      </c>
      <c r="P114"/>
      <c r="V114">
        <v>1.20348122056836</v>
      </c>
      <c r="W114">
        <v>1</v>
      </c>
      <c r="X114">
        <v>58.812188188</v>
      </c>
      <c r="Y114">
        <v>1724</v>
      </c>
      <c r="Z114">
        <v>4.1618398995371599E-4</v>
      </c>
      <c r="AA114">
        <v>1</v>
      </c>
    </row>
    <row r="115" spans="1:27" x14ac:dyDescent="0.2">
      <c r="A115">
        <v>10</v>
      </c>
      <c r="B115">
        <v>1</v>
      </c>
      <c r="C115">
        <v>0.3</v>
      </c>
      <c r="D115">
        <v>20</v>
      </c>
      <c r="E115">
        <v>0.14816242559501799</v>
      </c>
      <c r="F115">
        <v>1</v>
      </c>
      <c r="G115">
        <v>44.109414708000003</v>
      </c>
      <c r="H115">
        <v>0.13945421777057901</v>
      </c>
      <c r="I115">
        <v>1</v>
      </c>
      <c r="J115">
        <v>0.173210644</v>
      </c>
      <c r="P115"/>
      <c r="V115">
        <v>7.2911389043135003E-2</v>
      </c>
      <c r="W115">
        <v>1</v>
      </c>
      <c r="X115">
        <v>51.731393298999997</v>
      </c>
      <c r="Y115">
        <v>1</v>
      </c>
      <c r="Z115">
        <v>3.31076626389403E-3</v>
      </c>
      <c r="AA115">
        <v>3</v>
      </c>
    </row>
    <row r="116" spans="1:27" x14ac:dyDescent="0.2">
      <c r="A116">
        <v>10</v>
      </c>
      <c r="B116">
        <v>1</v>
      </c>
      <c r="C116">
        <v>0.2</v>
      </c>
      <c r="D116">
        <v>20</v>
      </c>
      <c r="E116">
        <v>0.69772511259450398</v>
      </c>
      <c r="F116">
        <v>1</v>
      </c>
      <c r="G116">
        <v>32.845423068000002</v>
      </c>
      <c r="H116">
        <v>0.64471804995464199</v>
      </c>
      <c r="I116">
        <v>1</v>
      </c>
      <c r="J116">
        <v>0.24165720099999999</v>
      </c>
      <c r="P116"/>
      <c r="V116">
        <v>0.96905962266005397</v>
      </c>
      <c r="W116">
        <v>1</v>
      </c>
      <c r="X116">
        <v>74.843939841999997</v>
      </c>
      <c r="Y116">
        <v>1</v>
      </c>
      <c r="Z116">
        <v>2.6816047357048301E-3</v>
      </c>
      <c r="AA116">
        <v>8</v>
      </c>
    </row>
    <row r="117" spans="1:27" x14ac:dyDescent="0.2">
      <c r="A117">
        <v>10</v>
      </c>
      <c r="B117">
        <v>1</v>
      </c>
      <c r="C117">
        <v>0.4</v>
      </c>
      <c r="D117">
        <v>20</v>
      </c>
      <c r="E117">
        <v>0.16241024132315801</v>
      </c>
      <c r="F117">
        <v>1</v>
      </c>
      <c r="G117">
        <v>32.635296844000003</v>
      </c>
      <c r="H117">
        <v>0.110363240557057</v>
      </c>
      <c r="I117">
        <v>1</v>
      </c>
      <c r="J117">
        <v>0.111979999</v>
      </c>
      <c r="P117"/>
      <c r="V117">
        <v>9.6262964291310205E-2</v>
      </c>
      <c r="W117">
        <v>1</v>
      </c>
      <c r="X117">
        <v>30.592494286000001</v>
      </c>
      <c r="Y117">
        <v>1</v>
      </c>
      <c r="Z117">
        <v>7.7997676326049198E-3</v>
      </c>
      <c r="AA117">
        <v>1</v>
      </c>
    </row>
    <row r="118" spans="1:27" x14ac:dyDescent="0.2">
      <c r="A118">
        <v>10</v>
      </c>
      <c r="B118">
        <v>1</v>
      </c>
      <c r="C118">
        <v>0.1</v>
      </c>
      <c r="D118">
        <v>20</v>
      </c>
      <c r="E118">
        <v>0.85879276952115702</v>
      </c>
      <c r="F118">
        <v>1</v>
      </c>
      <c r="G118">
        <v>44.628707407999997</v>
      </c>
      <c r="H118">
        <v>0.856417887689921</v>
      </c>
      <c r="I118">
        <v>1</v>
      </c>
      <c r="J118">
        <v>0.15496677</v>
      </c>
      <c r="P118"/>
      <c r="V118">
        <v>0.83929027515324806</v>
      </c>
      <c r="W118">
        <v>1</v>
      </c>
      <c r="X118">
        <v>45.990315381000002</v>
      </c>
      <c r="Y118">
        <v>0</v>
      </c>
      <c r="Z118">
        <v>2.3388337389571401E-3</v>
      </c>
      <c r="AA118">
        <v>3</v>
      </c>
    </row>
    <row r="119" spans="1:27" x14ac:dyDescent="0.2">
      <c r="A119">
        <v>10</v>
      </c>
      <c r="B119">
        <v>1</v>
      </c>
      <c r="C119">
        <v>0.2</v>
      </c>
      <c r="D119">
        <v>20</v>
      </c>
      <c r="E119">
        <v>0.603497729287234</v>
      </c>
      <c r="F119">
        <v>1</v>
      </c>
      <c r="G119">
        <v>38.027500838000002</v>
      </c>
      <c r="H119">
        <v>0.54294952404309604</v>
      </c>
      <c r="I119">
        <v>1</v>
      </c>
      <c r="J119">
        <v>0.18029494400000001</v>
      </c>
      <c r="P119"/>
      <c r="V119">
        <v>0.55036280965936302</v>
      </c>
      <c r="W119">
        <v>1</v>
      </c>
      <c r="X119">
        <v>7253.3682401710003</v>
      </c>
      <c r="Y119">
        <v>92689</v>
      </c>
      <c r="Z119">
        <v>1.15434060198982E-3</v>
      </c>
      <c r="AA119">
        <v>24</v>
      </c>
    </row>
    <row r="120" spans="1:27" x14ac:dyDescent="0.2">
      <c r="A120">
        <v>10</v>
      </c>
      <c r="B120">
        <v>1</v>
      </c>
      <c r="C120">
        <v>0.4</v>
      </c>
      <c r="D120">
        <v>20</v>
      </c>
      <c r="E120">
        <v>8.5886804653496907E-2</v>
      </c>
      <c r="F120">
        <v>1</v>
      </c>
      <c r="G120">
        <v>42.330406277999998</v>
      </c>
      <c r="H120">
        <v>9.5746285429957695E-2</v>
      </c>
      <c r="I120">
        <v>1</v>
      </c>
      <c r="J120">
        <v>0.31015966499999997</v>
      </c>
      <c r="P120"/>
      <c r="V120">
        <v>6.6097219996018405E-2</v>
      </c>
      <c r="W120">
        <v>1</v>
      </c>
      <c r="X120">
        <v>40.164074724000002</v>
      </c>
      <c r="Y120">
        <v>23</v>
      </c>
      <c r="Z120">
        <v>7.4744647404851802E-3</v>
      </c>
      <c r="AA120">
        <v>1</v>
      </c>
    </row>
    <row r="121" spans="1:27" x14ac:dyDescent="0.2">
      <c r="A121">
        <v>10</v>
      </c>
      <c r="B121">
        <v>1</v>
      </c>
      <c r="C121">
        <v>0.1</v>
      </c>
      <c r="D121">
        <v>20</v>
      </c>
      <c r="E121">
        <v>0.97644068438083698</v>
      </c>
      <c r="F121">
        <v>1</v>
      </c>
      <c r="G121">
        <v>41.464703045999997</v>
      </c>
      <c r="H121">
        <v>0.96680972782799901</v>
      </c>
      <c r="I121">
        <v>1</v>
      </c>
      <c r="J121">
        <v>0.22459881100000001</v>
      </c>
      <c r="P121"/>
      <c r="V121">
        <v>1.0824962153037201</v>
      </c>
      <c r="W121">
        <v>1</v>
      </c>
      <c r="X121">
        <v>63.932369153000003</v>
      </c>
      <c r="Y121">
        <v>1</v>
      </c>
      <c r="Z121">
        <v>8.0681819539836497E-4</v>
      </c>
      <c r="AA121">
        <v>2</v>
      </c>
    </row>
    <row r="122" spans="1:27" x14ac:dyDescent="0.2">
      <c r="A122">
        <v>10</v>
      </c>
      <c r="B122">
        <v>1</v>
      </c>
      <c r="C122">
        <v>0.2</v>
      </c>
      <c r="D122">
        <v>20</v>
      </c>
      <c r="E122">
        <v>0.221679485272989</v>
      </c>
      <c r="F122">
        <v>1</v>
      </c>
      <c r="G122">
        <v>40.547887879999998</v>
      </c>
      <c r="H122">
        <v>0.22507007517158401</v>
      </c>
      <c r="I122">
        <v>1</v>
      </c>
      <c r="J122">
        <v>0.100129676</v>
      </c>
      <c r="P122"/>
      <c r="V122">
        <v>0.21908004757251801</v>
      </c>
      <c r="W122">
        <v>1</v>
      </c>
      <c r="X122">
        <v>37.597353644999998</v>
      </c>
      <c r="Y122">
        <v>1</v>
      </c>
      <c r="Z122">
        <v>2.8448873953393298E-3</v>
      </c>
      <c r="AA122">
        <v>1</v>
      </c>
    </row>
    <row r="123" spans="1:27" x14ac:dyDescent="0.2">
      <c r="A123">
        <v>10</v>
      </c>
      <c r="B123">
        <v>1</v>
      </c>
      <c r="C123">
        <v>0.3</v>
      </c>
      <c r="D123">
        <v>20</v>
      </c>
      <c r="E123">
        <v>0.20622888041416401</v>
      </c>
      <c r="F123">
        <v>1</v>
      </c>
      <c r="G123">
        <v>41.395682608000001</v>
      </c>
      <c r="H123">
        <v>0.124030608961634</v>
      </c>
      <c r="I123">
        <v>1</v>
      </c>
      <c r="J123">
        <v>0.18158812199999999</v>
      </c>
      <c r="P123"/>
      <c r="V123">
        <v>6.9792876334923204E-2</v>
      </c>
      <c r="W123">
        <v>1</v>
      </c>
      <c r="X123">
        <v>176.39805985300001</v>
      </c>
      <c r="Y123">
        <v>4224</v>
      </c>
      <c r="Z123">
        <v>3.6640916051983701E-3</v>
      </c>
      <c r="AA123">
        <v>9</v>
      </c>
    </row>
    <row r="124" spans="1:27" x14ac:dyDescent="0.2">
      <c r="A124">
        <v>10</v>
      </c>
      <c r="B124">
        <v>1</v>
      </c>
      <c r="C124">
        <v>0.4</v>
      </c>
      <c r="D124">
        <v>20</v>
      </c>
      <c r="E124">
        <v>0.42750923955981901</v>
      </c>
      <c r="F124">
        <v>1</v>
      </c>
      <c r="G124">
        <v>40.995889091999999</v>
      </c>
      <c r="H124">
        <v>0.42644172660308299</v>
      </c>
      <c r="I124">
        <v>1</v>
      </c>
      <c r="J124">
        <v>8.9932313E-2</v>
      </c>
      <c r="P124"/>
      <c r="V124">
        <v>0.384470817889209</v>
      </c>
      <c r="W124">
        <v>1</v>
      </c>
      <c r="X124">
        <v>38.230273156000003</v>
      </c>
      <c r="Y124">
        <v>15</v>
      </c>
      <c r="Z124">
        <v>1.2819265798779101E-3</v>
      </c>
      <c r="AA124">
        <v>1</v>
      </c>
    </row>
    <row r="125" spans="1:27" x14ac:dyDescent="0.2">
      <c r="A125">
        <v>10</v>
      </c>
      <c r="B125">
        <v>1</v>
      </c>
      <c r="C125">
        <v>0.1</v>
      </c>
      <c r="D125">
        <v>20</v>
      </c>
      <c r="E125">
        <v>0.98275472254226104</v>
      </c>
      <c r="F125">
        <v>1</v>
      </c>
      <c r="G125">
        <v>41.914381378000002</v>
      </c>
      <c r="H125">
        <v>0.98275472254226104</v>
      </c>
      <c r="I125">
        <v>1</v>
      </c>
      <c r="J125">
        <v>0.14135535499999999</v>
      </c>
      <c r="P125"/>
      <c r="V125">
        <v>1.1012117744966099</v>
      </c>
      <c r="W125">
        <v>1</v>
      </c>
      <c r="X125">
        <v>50.099820737000002</v>
      </c>
      <c r="Y125">
        <v>2006</v>
      </c>
      <c r="Z125" s="1">
        <v>2.6593852943606401E-5</v>
      </c>
      <c r="AA125">
        <v>1</v>
      </c>
    </row>
    <row r="126" spans="1:27" x14ac:dyDescent="0.2">
      <c r="A126">
        <v>10</v>
      </c>
      <c r="B126">
        <v>1</v>
      </c>
      <c r="C126">
        <v>0.2</v>
      </c>
      <c r="D126">
        <v>20</v>
      </c>
      <c r="E126">
        <v>0.43160746215339701</v>
      </c>
      <c r="F126">
        <v>1</v>
      </c>
      <c r="G126">
        <v>45.474746754999998</v>
      </c>
      <c r="H126">
        <v>0.30485965853997898</v>
      </c>
      <c r="I126">
        <v>1</v>
      </c>
      <c r="J126">
        <v>0.91926524200000004</v>
      </c>
      <c r="P126"/>
      <c r="V126">
        <v>0.31945094516707101</v>
      </c>
      <c r="W126">
        <v>1</v>
      </c>
      <c r="X126">
        <v>6056.8089333409998</v>
      </c>
      <c r="Y126">
        <v>28048</v>
      </c>
      <c r="Z126">
        <v>2.44501281525044E-3</v>
      </c>
      <c r="AA126">
        <v>33</v>
      </c>
    </row>
    <row r="127" spans="1:27" x14ac:dyDescent="0.2">
      <c r="A127">
        <v>10</v>
      </c>
      <c r="B127">
        <v>1</v>
      </c>
      <c r="C127">
        <v>0.2</v>
      </c>
      <c r="D127">
        <v>20</v>
      </c>
      <c r="E127">
        <v>0.58237473544502505</v>
      </c>
      <c r="F127">
        <v>1</v>
      </c>
      <c r="G127">
        <v>43.230340589000001</v>
      </c>
      <c r="H127">
        <v>0.57708598800220701</v>
      </c>
      <c r="I127">
        <v>1</v>
      </c>
      <c r="J127">
        <v>0.132459775</v>
      </c>
      <c r="P127"/>
      <c r="V127">
        <v>0.87946170067454599</v>
      </c>
      <c r="W127">
        <v>1</v>
      </c>
      <c r="X127">
        <v>5894.0850273799997</v>
      </c>
      <c r="Y127">
        <v>44718</v>
      </c>
      <c r="Z127">
        <v>1.5913195155600099E-3</v>
      </c>
      <c r="AA127">
        <v>18</v>
      </c>
    </row>
    <row r="128" spans="1:27" x14ac:dyDescent="0.2">
      <c r="A128">
        <v>10</v>
      </c>
      <c r="B128">
        <v>1</v>
      </c>
      <c r="C128">
        <v>0.3</v>
      </c>
      <c r="D128">
        <v>20</v>
      </c>
      <c r="E128">
        <v>0.21770682403328701</v>
      </c>
      <c r="F128">
        <v>1</v>
      </c>
      <c r="G128">
        <v>32.159925977</v>
      </c>
      <c r="H128">
        <v>0.16201653003741501</v>
      </c>
      <c r="I128">
        <v>1</v>
      </c>
      <c r="J128">
        <v>0.116101302</v>
      </c>
      <c r="P128"/>
      <c r="V128">
        <v>0.12720247900288001</v>
      </c>
      <c r="W128">
        <v>1</v>
      </c>
      <c r="X128">
        <v>18398.483081539001</v>
      </c>
      <c r="Y128">
        <v>64044</v>
      </c>
      <c r="Z128">
        <v>1.4636696730256299E-3</v>
      </c>
      <c r="AA128">
        <v>31</v>
      </c>
    </row>
    <row r="129" spans="1:27" x14ac:dyDescent="0.2">
      <c r="A129">
        <v>10</v>
      </c>
      <c r="B129">
        <v>1</v>
      </c>
      <c r="C129">
        <v>0.1</v>
      </c>
      <c r="D129">
        <v>20</v>
      </c>
      <c r="E129">
        <v>0.98646944189235197</v>
      </c>
      <c r="F129">
        <v>1</v>
      </c>
      <c r="G129">
        <v>36.121045457000001</v>
      </c>
      <c r="H129">
        <v>0.98646948109309796</v>
      </c>
      <c r="I129">
        <v>1</v>
      </c>
      <c r="J129">
        <v>0.12430932</v>
      </c>
      <c r="P129"/>
      <c r="V129">
        <v>0.998334570937781</v>
      </c>
      <c r="W129">
        <v>1</v>
      </c>
      <c r="X129">
        <v>36.362115516999999</v>
      </c>
      <c r="Y129">
        <v>612</v>
      </c>
      <c r="Z129" s="1">
        <v>7.8073668834936704E-5</v>
      </c>
      <c r="AA129">
        <v>1</v>
      </c>
    </row>
    <row r="130" spans="1:27" x14ac:dyDescent="0.2">
      <c r="A130">
        <v>10</v>
      </c>
      <c r="B130">
        <v>1</v>
      </c>
      <c r="C130">
        <v>0.2</v>
      </c>
      <c r="D130">
        <v>20</v>
      </c>
      <c r="E130">
        <v>0.68863938107110001</v>
      </c>
      <c r="F130">
        <v>1</v>
      </c>
      <c r="G130">
        <v>36.453396005999998</v>
      </c>
      <c r="H130">
        <v>0.74576568166508705</v>
      </c>
      <c r="I130">
        <v>1</v>
      </c>
      <c r="J130">
        <v>0.241680691</v>
      </c>
      <c r="P130"/>
      <c r="V130">
        <v>0.76318297205077001</v>
      </c>
      <c r="W130">
        <v>1</v>
      </c>
      <c r="X130">
        <v>42.461337722000003</v>
      </c>
      <c r="Y130">
        <v>963</v>
      </c>
      <c r="Z130">
        <v>4.8301395816703602E-4</v>
      </c>
      <c r="AA130">
        <v>1</v>
      </c>
    </row>
    <row r="131" spans="1:27" x14ac:dyDescent="0.2">
      <c r="A131">
        <v>10</v>
      </c>
      <c r="B131">
        <v>1</v>
      </c>
      <c r="C131">
        <v>0.3</v>
      </c>
      <c r="D131">
        <v>20</v>
      </c>
      <c r="E131">
        <v>0.19880969290425399</v>
      </c>
      <c r="F131">
        <v>1</v>
      </c>
      <c r="G131">
        <v>36.435112965999998</v>
      </c>
      <c r="H131">
        <v>0.21957308362349401</v>
      </c>
      <c r="I131">
        <v>1</v>
      </c>
      <c r="J131">
        <v>0.180486111</v>
      </c>
      <c r="P131"/>
      <c r="V131">
        <v>0.203226373952273</v>
      </c>
      <c r="W131">
        <v>1</v>
      </c>
      <c r="X131">
        <v>41.133253549000003</v>
      </c>
      <c r="Y131">
        <v>524</v>
      </c>
      <c r="Z131">
        <v>7.1833761921879999E-3</v>
      </c>
      <c r="AA131">
        <v>1</v>
      </c>
    </row>
    <row r="132" spans="1:27" x14ac:dyDescent="0.2">
      <c r="A132">
        <v>10</v>
      </c>
      <c r="B132">
        <v>1</v>
      </c>
      <c r="C132">
        <v>0.4</v>
      </c>
      <c r="D132">
        <v>20</v>
      </c>
      <c r="E132">
        <v>9.1995372908161593E-2</v>
      </c>
      <c r="F132">
        <v>1</v>
      </c>
      <c r="G132">
        <v>35.961699666999998</v>
      </c>
      <c r="H132">
        <v>7.3491187845309697E-2</v>
      </c>
      <c r="I132">
        <v>1</v>
      </c>
      <c r="J132">
        <v>0.16221929400000001</v>
      </c>
      <c r="P132"/>
      <c r="V132">
        <v>6.2753162702006995E-2</v>
      </c>
      <c r="W132">
        <v>1</v>
      </c>
      <c r="X132">
        <v>35.167322460999998</v>
      </c>
      <c r="Y132">
        <v>15</v>
      </c>
      <c r="Z132">
        <v>8.3032434628189603E-3</v>
      </c>
      <c r="AA132">
        <v>1</v>
      </c>
    </row>
    <row r="133" spans="1:27" x14ac:dyDescent="0.2">
      <c r="A133">
        <v>10</v>
      </c>
      <c r="B133">
        <v>1</v>
      </c>
      <c r="C133">
        <v>0.2</v>
      </c>
      <c r="D133">
        <v>20</v>
      </c>
      <c r="E133">
        <v>0.33423349809606701</v>
      </c>
      <c r="F133">
        <v>1</v>
      </c>
      <c r="G133">
        <v>33.369813006000001</v>
      </c>
      <c r="H133">
        <v>0.20184761595804199</v>
      </c>
      <c r="I133">
        <v>1</v>
      </c>
      <c r="J133">
        <v>0.121374462</v>
      </c>
      <c r="P133"/>
      <c r="V133">
        <v>0.19722808195560701</v>
      </c>
      <c r="W133">
        <v>1</v>
      </c>
      <c r="X133">
        <v>22223.022638725</v>
      </c>
      <c r="Y133">
        <v>35415</v>
      </c>
      <c r="Z133">
        <v>1.2502662215173499E-3</v>
      </c>
      <c r="AA133">
        <v>39</v>
      </c>
    </row>
    <row r="134" spans="1:27" x14ac:dyDescent="0.2">
      <c r="A134">
        <v>10</v>
      </c>
      <c r="B134">
        <v>1</v>
      </c>
      <c r="C134">
        <v>0.2</v>
      </c>
      <c r="D134">
        <v>20</v>
      </c>
      <c r="E134">
        <v>0.44043679035084998</v>
      </c>
      <c r="F134">
        <v>1</v>
      </c>
      <c r="G134">
        <v>32.130078898000001</v>
      </c>
      <c r="H134">
        <v>0.38891258883896901</v>
      </c>
      <c r="I134">
        <v>1</v>
      </c>
      <c r="J134">
        <v>9.8501180999999993E-2</v>
      </c>
      <c r="P134"/>
      <c r="V134">
        <v>0.37759084781759</v>
      </c>
      <c r="W134">
        <v>1</v>
      </c>
      <c r="X134">
        <v>30653.004571051999</v>
      </c>
      <c r="Y134">
        <v>123146</v>
      </c>
      <c r="Z134">
        <v>1.1765714044810101E-3</v>
      </c>
      <c r="AA134">
        <v>50</v>
      </c>
    </row>
    <row r="135" spans="1:27" x14ac:dyDescent="0.2">
      <c r="A135">
        <v>10</v>
      </c>
      <c r="B135">
        <v>1</v>
      </c>
      <c r="C135">
        <v>0.1</v>
      </c>
      <c r="D135">
        <v>20</v>
      </c>
      <c r="E135">
        <v>0.98571748234380496</v>
      </c>
      <c r="F135">
        <v>1</v>
      </c>
      <c r="G135">
        <v>46.779564000000001</v>
      </c>
      <c r="H135">
        <v>0.98571748234380496</v>
      </c>
      <c r="I135">
        <v>1</v>
      </c>
      <c r="J135">
        <v>0.112661504</v>
      </c>
      <c r="P135"/>
      <c r="V135">
        <v>0.82850519157577995</v>
      </c>
      <c r="W135">
        <v>1</v>
      </c>
      <c r="X135">
        <v>58.624007411999997</v>
      </c>
      <c r="Y135">
        <v>865</v>
      </c>
      <c r="Z135" s="1">
        <v>7.6788935557056596E-6</v>
      </c>
      <c r="AA135">
        <v>1</v>
      </c>
    </row>
    <row r="136" spans="1:27" x14ac:dyDescent="0.2">
      <c r="A136">
        <v>10</v>
      </c>
      <c r="B136">
        <v>1</v>
      </c>
      <c r="C136">
        <v>0.4</v>
      </c>
      <c r="D136">
        <v>20</v>
      </c>
      <c r="E136">
        <v>9.0014199143393397E-2</v>
      </c>
      <c r="F136">
        <v>1</v>
      </c>
      <c r="G136">
        <v>48.901060485000002</v>
      </c>
      <c r="H136">
        <v>0.105225465056241</v>
      </c>
      <c r="I136">
        <v>1</v>
      </c>
      <c r="J136">
        <v>0.18845526800000001</v>
      </c>
      <c r="P136"/>
      <c r="V136">
        <v>9.4143022243820401E-2</v>
      </c>
      <c r="W136">
        <v>1</v>
      </c>
      <c r="X136">
        <v>64.639199790000006</v>
      </c>
      <c r="Y136">
        <v>15</v>
      </c>
      <c r="Z136">
        <v>3.1049646287666299E-3</v>
      </c>
      <c r="AA136">
        <v>1</v>
      </c>
    </row>
    <row r="137" spans="1:27" x14ac:dyDescent="0.2">
      <c r="A137">
        <v>10</v>
      </c>
      <c r="B137">
        <v>1</v>
      </c>
      <c r="C137">
        <v>0.1</v>
      </c>
      <c r="D137">
        <v>20</v>
      </c>
      <c r="E137">
        <v>0.97788288768891596</v>
      </c>
      <c r="F137">
        <v>1</v>
      </c>
      <c r="G137">
        <v>48.986127052999997</v>
      </c>
      <c r="H137">
        <v>0.97788288768891596</v>
      </c>
      <c r="I137">
        <v>1</v>
      </c>
      <c r="J137">
        <v>7.7762750000000005E-2</v>
      </c>
      <c r="P137"/>
      <c r="V137">
        <v>1.1282595236848101</v>
      </c>
      <c r="W137">
        <v>1</v>
      </c>
      <c r="X137">
        <v>74.258137339000001</v>
      </c>
      <c r="Y137">
        <v>0</v>
      </c>
      <c r="Z137">
        <v>7.6876265117361404E-4</v>
      </c>
      <c r="AA137">
        <v>2</v>
      </c>
    </row>
    <row r="138" spans="1:27" x14ac:dyDescent="0.2">
      <c r="A138">
        <v>10</v>
      </c>
      <c r="B138">
        <v>1</v>
      </c>
      <c r="C138">
        <v>0.4</v>
      </c>
      <c r="D138">
        <v>20</v>
      </c>
      <c r="E138">
        <v>0.185499860874968</v>
      </c>
      <c r="F138">
        <v>1</v>
      </c>
      <c r="G138">
        <v>48.654811291000001</v>
      </c>
      <c r="H138">
        <v>0.120637076672896</v>
      </c>
      <c r="I138">
        <v>1</v>
      </c>
      <c r="J138">
        <v>0.50225984499999998</v>
      </c>
      <c r="P138"/>
      <c r="V138">
        <v>0.122962784640053</v>
      </c>
      <c r="W138">
        <v>1</v>
      </c>
      <c r="X138">
        <v>1232.134868591</v>
      </c>
      <c r="Y138">
        <v>7113</v>
      </c>
      <c r="Z138">
        <v>4.7158732457337404E-3</v>
      </c>
      <c r="AA138">
        <v>16</v>
      </c>
    </row>
    <row r="139" spans="1:27" x14ac:dyDescent="0.2">
      <c r="A139">
        <v>10</v>
      </c>
      <c r="B139">
        <v>1</v>
      </c>
      <c r="C139">
        <v>0.2</v>
      </c>
      <c r="D139">
        <v>20</v>
      </c>
      <c r="E139">
        <v>0.63692434264228404</v>
      </c>
      <c r="F139">
        <v>1</v>
      </c>
      <c r="G139">
        <v>48.942584009000001</v>
      </c>
      <c r="H139">
        <v>0.48840041109569499</v>
      </c>
      <c r="I139">
        <v>1</v>
      </c>
      <c r="J139">
        <v>0.83876550400000005</v>
      </c>
      <c r="P139"/>
      <c r="V139">
        <v>0.48628812374208102</v>
      </c>
      <c r="W139">
        <v>1</v>
      </c>
      <c r="X139">
        <v>1670.7026736949999</v>
      </c>
      <c r="Y139">
        <v>34659</v>
      </c>
      <c r="Z139">
        <v>1.8010612277429799E-3</v>
      </c>
      <c r="AA139">
        <v>10</v>
      </c>
    </row>
    <row r="140" spans="1:27" x14ac:dyDescent="0.2">
      <c r="A140">
        <v>10</v>
      </c>
      <c r="B140">
        <v>1</v>
      </c>
      <c r="C140">
        <v>0.4</v>
      </c>
      <c r="D140">
        <v>20</v>
      </c>
      <c r="E140">
        <v>5.3685423693501502E-2</v>
      </c>
      <c r="F140">
        <v>1</v>
      </c>
      <c r="G140">
        <v>44.259647665999999</v>
      </c>
      <c r="H140">
        <v>7.3808927390409604E-2</v>
      </c>
      <c r="I140">
        <v>1</v>
      </c>
      <c r="J140">
        <v>0.32371828800000002</v>
      </c>
      <c r="P140"/>
      <c r="V140">
        <v>5.6907774084327498E-2</v>
      </c>
      <c r="W140">
        <v>1</v>
      </c>
      <c r="X140">
        <v>62.085186974999999</v>
      </c>
      <c r="Y140">
        <v>116</v>
      </c>
      <c r="Z140">
        <v>9.0444658571584499E-3</v>
      </c>
      <c r="AA140">
        <v>1</v>
      </c>
    </row>
    <row r="141" spans="1:27" x14ac:dyDescent="0.2">
      <c r="A141">
        <v>10</v>
      </c>
      <c r="B141">
        <v>1</v>
      </c>
      <c r="C141">
        <v>0.1</v>
      </c>
      <c r="D141">
        <v>20</v>
      </c>
      <c r="E141">
        <v>0.99055830886004803</v>
      </c>
      <c r="F141">
        <v>1</v>
      </c>
      <c r="G141">
        <v>46.750875207</v>
      </c>
      <c r="H141">
        <v>0.99055830886001905</v>
      </c>
      <c r="I141">
        <v>1</v>
      </c>
      <c r="J141">
        <v>0.284233562</v>
      </c>
      <c r="P141"/>
      <c r="V141">
        <v>1.0357676925352299</v>
      </c>
      <c r="W141">
        <v>1</v>
      </c>
      <c r="X141">
        <v>59.833257203999999</v>
      </c>
      <c r="Y141">
        <v>808</v>
      </c>
      <c r="Z141" s="1">
        <v>3.4074702645950297E-7</v>
      </c>
      <c r="AA141">
        <v>1</v>
      </c>
    </row>
    <row r="142" spans="1:27" x14ac:dyDescent="0.2">
      <c r="A142">
        <v>10</v>
      </c>
      <c r="B142">
        <v>1</v>
      </c>
      <c r="C142">
        <v>0.2</v>
      </c>
      <c r="D142">
        <v>20</v>
      </c>
      <c r="E142">
        <v>0.63810697234352898</v>
      </c>
      <c r="F142">
        <v>1</v>
      </c>
      <c r="G142">
        <v>54.424033014000003</v>
      </c>
      <c r="H142">
        <v>0.54255277617731701</v>
      </c>
      <c r="I142">
        <v>1</v>
      </c>
      <c r="J142">
        <v>0.74877931099999995</v>
      </c>
      <c r="P142"/>
      <c r="V142">
        <v>0.53903578272661101</v>
      </c>
      <c r="W142">
        <v>1</v>
      </c>
      <c r="X142">
        <v>71.863126371999996</v>
      </c>
      <c r="Y142">
        <v>1</v>
      </c>
      <c r="Z142">
        <v>5.6327362171907898E-3</v>
      </c>
      <c r="AA142">
        <v>1</v>
      </c>
    </row>
    <row r="143" spans="1:27" x14ac:dyDescent="0.2">
      <c r="A143">
        <v>10</v>
      </c>
      <c r="B143">
        <v>1</v>
      </c>
      <c r="C143">
        <v>0.3</v>
      </c>
      <c r="D143">
        <v>20</v>
      </c>
      <c r="E143">
        <v>7.7387058212084303E-2</v>
      </c>
      <c r="F143">
        <v>1</v>
      </c>
      <c r="G143">
        <v>61.490765668999998</v>
      </c>
      <c r="H143">
        <v>9.2368361953542005E-2</v>
      </c>
      <c r="I143">
        <v>1</v>
      </c>
      <c r="J143">
        <v>0.50950516499999998</v>
      </c>
      <c r="P143"/>
      <c r="V143">
        <v>8.4740268249059503E-2</v>
      </c>
      <c r="W143">
        <v>1</v>
      </c>
      <c r="X143">
        <v>82.427291120999996</v>
      </c>
      <c r="Y143">
        <v>11</v>
      </c>
      <c r="Z143">
        <v>5.4126821665358904E-3</v>
      </c>
      <c r="AA143">
        <v>1</v>
      </c>
    </row>
    <row r="144" spans="1:27" x14ac:dyDescent="0.2">
      <c r="A144">
        <v>10</v>
      </c>
      <c r="B144">
        <v>1</v>
      </c>
      <c r="C144">
        <v>0.4</v>
      </c>
      <c r="D144">
        <v>20</v>
      </c>
      <c r="E144">
        <v>0.13254872061453199</v>
      </c>
      <c r="F144">
        <v>1</v>
      </c>
      <c r="G144">
        <v>45.958755177</v>
      </c>
      <c r="H144">
        <v>0.146133587068629</v>
      </c>
      <c r="I144">
        <v>1</v>
      </c>
      <c r="J144">
        <v>8.7650671999999999E-2</v>
      </c>
      <c r="P144"/>
      <c r="V144">
        <v>0.11301620346626801</v>
      </c>
      <c r="W144">
        <v>1</v>
      </c>
      <c r="X144">
        <v>168.868052557</v>
      </c>
      <c r="Y144">
        <v>51</v>
      </c>
      <c r="Z144">
        <v>7.7988051261290697E-3</v>
      </c>
      <c r="AA144">
        <v>14</v>
      </c>
    </row>
    <row r="145" spans="1:27" x14ac:dyDescent="0.2">
      <c r="A145">
        <v>10</v>
      </c>
      <c r="B145">
        <v>1</v>
      </c>
      <c r="C145">
        <v>0.1</v>
      </c>
      <c r="D145">
        <v>20</v>
      </c>
      <c r="E145">
        <v>0.98972858038881395</v>
      </c>
      <c r="F145">
        <v>1</v>
      </c>
      <c r="G145">
        <v>50.239694845000002</v>
      </c>
      <c r="H145">
        <v>0.98972858038881395</v>
      </c>
      <c r="I145">
        <v>1</v>
      </c>
      <c r="J145">
        <v>0.126732856</v>
      </c>
      <c r="P145"/>
      <c r="V145">
        <v>0.93396309222574103</v>
      </c>
      <c r="W145">
        <v>1</v>
      </c>
      <c r="X145">
        <v>73.467723148999994</v>
      </c>
      <c r="Y145">
        <v>0</v>
      </c>
      <c r="Z145">
        <v>4.1832273821004702E-4</v>
      </c>
      <c r="AA145">
        <v>2</v>
      </c>
    </row>
    <row r="146" spans="1:27" x14ac:dyDescent="0.2">
      <c r="A146">
        <v>10</v>
      </c>
      <c r="B146">
        <v>1</v>
      </c>
      <c r="C146">
        <v>0.3</v>
      </c>
      <c r="D146">
        <v>20</v>
      </c>
      <c r="E146">
        <v>0.40900508056788198</v>
      </c>
      <c r="F146">
        <v>1</v>
      </c>
      <c r="G146">
        <v>36.980449710999999</v>
      </c>
      <c r="H146">
        <v>0.42172045781275003</v>
      </c>
      <c r="I146">
        <v>1</v>
      </c>
      <c r="J146">
        <v>7.9346385000000005E-2</v>
      </c>
      <c r="P146"/>
      <c r="V146">
        <v>0.385267678281283</v>
      </c>
      <c r="W146">
        <v>1</v>
      </c>
      <c r="X146">
        <v>69.088033924000001</v>
      </c>
      <c r="Y146">
        <v>1</v>
      </c>
      <c r="Z146">
        <v>4.0742841131336501E-3</v>
      </c>
      <c r="AA146">
        <v>5</v>
      </c>
    </row>
    <row r="147" spans="1:27" x14ac:dyDescent="0.2">
      <c r="A147">
        <v>10</v>
      </c>
      <c r="B147">
        <v>1</v>
      </c>
      <c r="C147">
        <v>0.4</v>
      </c>
      <c r="D147">
        <v>20</v>
      </c>
      <c r="E147">
        <v>0.20369244917993301</v>
      </c>
      <c r="F147">
        <v>1</v>
      </c>
      <c r="G147">
        <v>37.597377317999999</v>
      </c>
      <c r="H147">
        <v>0.24325455164915499</v>
      </c>
      <c r="I147">
        <v>1</v>
      </c>
      <c r="J147">
        <v>0.305779305</v>
      </c>
      <c r="P147"/>
      <c r="V147">
        <v>0.18750502349582701</v>
      </c>
      <c r="W147">
        <v>1</v>
      </c>
      <c r="X147">
        <v>29085.923817351999</v>
      </c>
      <c r="Y147">
        <v>50392</v>
      </c>
      <c r="Z147">
        <v>4.2040515411645397E-3</v>
      </c>
      <c r="AA147">
        <v>30</v>
      </c>
    </row>
    <row r="148" spans="1:27" x14ac:dyDescent="0.2">
      <c r="A148">
        <v>10</v>
      </c>
      <c r="B148">
        <v>1</v>
      </c>
      <c r="C148">
        <v>0.1</v>
      </c>
      <c r="D148">
        <v>20</v>
      </c>
      <c r="E148">
        <v>0.99317411531629196</v>
      </c>
      <c r="F148">
        <v>1</v>
      </c>
      <c r="G148">
        <v>37.806318775000001</v>
      </c>
      <c r="H148">
        <v>0.99317411531629196</v>
      </c>
      <c r="I148">
        <v>1</v>
      </c>
      <c r="J148">
        <v>0.11685137499999999</v>
      </c>
      <c r="P148"/>
      <c r="V148">
        <v>0.95195247097766</v>
      </c>
      <c r="W148">
        <v>1</v>
      </c>
      <c r="X148">
        <v>40.622980534</v>
      </c>
      <c r="Y148">
        <v>903</v>
      </c>
      <c r="Z148" s="1">
        <v>1.15297940114431E-5</v>
      </c>
      <c r="AA148">
        <v>1</v>
      </c>
    </row>
    <row r="149" spans="1:27" x14ac:dyDescent="0.2">
      <c r="A149">
        <v>10</v>
      </c>
      <c r="B149">
        <v>1</v>
      </c>
      <c r="C149">
        <v>0.4</v>
      </c>
      <c r="D149">
        <v>20</v>
      </c>
      <c r="E149">
        <v>0.32386391457463498</v>
      </c>
      <c r="F149">
        <v>1</v>
      </c>
      <c r="G149">
        <v>37.454686563000003</v>
      </c>
      <c r="H149">
        <v>0.242939208292862</v>
      </c>
      <c r="I149">
        <v>1</v>
      </c>
      <c r="J149">
        <v>0.23632367200000001</v>
      </c>
      <c r="P149"/>
      <c r="V149">
        <v>0.263973237602393</v>
      </c>
      <c r="W149">
        <v>1</v>
      </c>
      <c r="X149">
        <v>23101.573501359999</v>
      </c>
      <c r="Y149">
        <v>53106</v>
      </c>
      <c r="Z149">
        <v>2.1038064624982998E-3</v>
      </c>
      <c r="AA149">
        <v>50</v>
      </c>
    </row>
    <row r="150" spans="1:27" x14ac:dyDescent="0.2">
      <c r="A150">
        <v>10</v>
      </c>
      <c r="B150">
        <v>1</v>
      </c>
      <c r="C150">
        <v>0.3</v>
      </c>
      <c r="D150">
        <v>20</v>
      </c>
      <c r="E150">
        <v>0.28195965384071398</v>
      </c>
      <c r="F150">
        <v>1</v>
      </c>
      <c r="G150">
        <v>35.577537477</v>
      </c>
      <c r="H150">
        <v>0.248895103145331</v>
      </c>
      <c r="I150">
        <v>1</v>
      </c>
      <c r="J150">
        <v>0.194201708</v>
      </c>
      <c r="P150"/>
      <c r="V150">
        <v>0.24616263210218101</v>
      </c>
      <c r="W150">
        <v>1</v>
      </c>
      <c r="X150">
        <v>33.464830646999999</v>
      </c>
      <c r="Y150">
        <v>103</v>
      </c>
      <c r="Z150">
        <v>5.43354307106402E-3</v>
      </c>
      <c r="AA150">
        <v>1</v>
      </c>
    </row>
    <row r="151" spans="1:27" x14ac:dyDescent="0.2">
      <c r="A151">
        <v>10</v>
      </c>
      <c r="B151">
        <v>1</v>
      </c>
      <c r="C151">
        <v>0.1</v>
      </c>
      <c r="D151">
        <v>20</v>
      </c>
      <c r="E151">
        <v>0.95515903251663703</v>
      </c>
      <c r="F151">
        <v>1</v>
      </c>
      <c r="G151">
        <v>34.796676411999997</v>
      </c>
      <c r="H151">
        <v>0.94668050792473202</v>
      </c>
      <c r="I151">
        <v>1</v>
      </c>
      <c r="J151">
        <v>0.17462754999999999</v>
      </c>
      <c r="P151"/>
      <c r="V151">
        <v>0.94671657554371902</v>
      </c>
      <c r="W151">
        <v>1</v>
      </c>
      <c r="X151">
        <v>141.850910554</v>
      </c>
      <c r="Y151">
        <v>14236</v>
      </c>
      <c r="Z151">
        <v>3.3738936853646199E-4</v>
      </c>
      <c r="AA151">
        <v>3</v>
      </c>
    </row>
    <row r="152" spans="1:27" x14ac:dyDescent="0.2">
      <c r="A152">
        <v>10</v>
      </c>
      <c r="B152">
        <v>1</v>
      </c>
      <c r="C152">
        <v>0.3</v>
      </c>
      <c r="D152">
        <v>20</v>
      </c>
      <c r="E152">
        <v>0.71506700652215405</v>
      </c>
      <c r="F152">
        <v>1</v>
      </c>
      <c r="G152">
        <v>46.498182171000003</v>
      </c>
      <c r="H152">
        <v>0.67451571212273898</v>
      </c>
      <c r="I152">
        <v>1</v>
      </c>
      <c r="J152">
        <v>0.183140465</v>
      </c>
      <c r="P152"/>
      <c r="V152">
        <v>1.15854823161837</v>
      </c>
      <c r="W152">
        <v>1</v>
      </c>
      <c r="X152">
        <v>69.891049914999996</v>
      </c>
      <c r="Y152">
        <v>1</v>
      </c>
      <c r="Z152">
        <v>1.8169403133572199E-2</v>
      </c>
      <c r="AA152">
        <v>2</v>
      </c>
    </row>
    <row r="153" spans="1:27" x14ac:dyDescent="0.2">
      <c r="A153">
        <v>10</v>
      </c>
      <c r="B153">
        <v>1</v>
      </c>
      <c r="C153">
        <v>0.4</v>
      </c>
      <c r="D153">
        <v>20</v>
      </c>
      <c r="E153">
        <v>4.8005473569715303E-2</v>
      </c>
      <c r="F153">
        <v>1</v>
      </c>
      <c r="G153">
        <v>47.400312333000002</v>
      </c>
      <c r="H153">
        <v>5.6380412256055598E-2</v>
      </c>
      <c r="I153">
        <v>1</v>
      </c>
      <c r="J153">
        <v>0.14416438300000001</v>
      </c>
      <c r="P153"/>
      <c r="V153">
        <v>3.63966194185509E-2</v>
      </c>
      <c r="W153">
        <v>1</v>
      </c>
      <c r="X153">
        <v>45.116402151000003</v>
      </c>
      <c r="Y153">
        <v>13</v>
      </c>
      <c r="Z153">
        <v>4.5432568208385498E-3</v>
      </c>
      <c r="AA153">
        <v>1</v>
      </c>
    </row>
    <row r="154" spans="1:27" x14ac:dyDescent="0.2">
      <c r="A154">
        <v>10</v>
      </c>
      <c r="B154">
        <v>1</v>
      </c>
      <c r="C154">
        <v>0.2</v>
      </c>
      <c r="D154">
        <v>20</v>
      </c>
      <c r="E154">
        <v>0.56378924389997598</v>
      </c>
      <c r="F154">
        <v>1</v>
      </c>
      <c r="G154">
        <v>37.828294096999997</v>
      </c>
      <c r="H154">
        <v>0.57041663526098896</v>
      </c>
      <c r="I154">
        <v>1</v>
      </c>
      <c r="J154">
        <v>0.18944423599999999</v>
      </c>
      <c r="P154"/>
      <c r="V154">
        <v>0.58203370951554301</v>
      </c>
      <c r="W154">
        <v>1</v>
      </c>
      <c r="X154">
        <v>2536.1654304250001</v>
      </c>
      <c r="Y154">
        <v>33608</v>
      </c>
      <c r="Z154">
        <v>2.1588431545704798E-3</v>
      </c>
      <c r="AA154">
        <v>22</v>
      </c>
    </row>
    <row r="155" spans="1:27" x14ac:dyDescent="0.2">
      <c r="A155">
        <v>10</v>
      </c>
      <c r="B155">
        <v>1</v>
      </c>
      <c r="C155">
        <v>0.1</v>
      </c>
      <c r="D155">
        <v>20</v>
      </c>
      <c r="E155">
        <v>0.97607220944000905</v>
      </c>
      <c r="F155">
        <v>1</v>
      </c>
      <c r="G155">
        <v>47.607805908000003</v>
      </c>
      <c r="H155">
        <v>0.97607220944000905</v>
      </c>
      <c r="I155">
        <v>1</v>
      </c>
      <c r="J155">
        <v>0.140096422</v>
      </c>
      <c r="P155"/>
      <c r="V155">
        <v>1.07709225611087</v>
      </c>
      <c r="W155">
        <v>1</v>
      </c>
      <c r="X155">
        <v>48.949785937999998</v>
      </c>
      <c r="Y155">
        <v>920</v>
      </c>
      <c r="Z155">
        <v>1.7553647919821199E-4</v>
      </c>
      <c r="AA155">
        <v>1</v>
      </c>
    </row>
    <row r="156" spans="1:27" x14ac:dyDescent="0.2">
      <c r="A156">
        <v>10</v>
      </c>
      <c r="B156">
        <v>1</v>
      </c>
      <c r="C156">
        <v>0.3</v>
      </c>
      <c r="D156">
        <v>20</v>
      </c>
      <c r="E156">
        <v>6.4158123225145802E-2</v>
      </c>
      <c r="F156">
        <v>1</v>
      </c>
      <c r="G156">
        <v>46.407354050999999</v>
      </c>
      <c r="H156">
        <v>6.9129808849024393E-2</v>
      </c>
      <c r="I156">
        <v>1</v>
      </c>
      <c r="J156">
        <v>0.14281967000000001</v>
      </c>
      <c r="P156"/>
      <c r="V156">
        <v>4.7784666760477199E-2</v>
      </c>
      <c r="W156">
        <v>1</v>
      </c>
      <c r="X156">
        <v>44.122573676000002</v>
      </c>
      <c r="Y156">
        <v>63</v>
      </c>
      <c r="Z156">
        <v>2.8014845283905699E-3</v>
      </c>
      <c r="AA156">
        <v>1</v>
      </c>
    </row>
    <row r="157" spans="1:27" x14ac:dyDescent="0.2">
      <c r="A157">
        <v>10</v>
      </c>
      <c r="B157">
        <v>1</v>
      </c>
      <c r="C157">
        <v>0.3</v>
      </c>
      <c r="D157">
        <v>20</v>
      </c>
      <c r="E157">
        <v>0.38902828081116198</v>
      </c>
      <c r="F157">
        <v>1</v>
      </c>
      <c r="G157">
        <v>45.293911631999997</v>
      </c>
      <c r="H157">
        <v>0.41411123612045497</v>
      </c>
      <c r="I157">
        <v>1</v>
      </c>
      <c r="J157">
        <v>0.17518139199999999</v>
      </c>
      <c r="P157"/>
      <c r="V157">
        <v>0.42592855724126999</v>
      </c>
      <c r="W157">
        <v>1</v>
      </c>
      <c r="X157">
        <v>11044.472878062001</v>
      </c>
      <c r="Y157">
        <v>73928</v>
      </c>
      <c r="Z157">
        <v>9.6159669532894199E-4</v>
      </c>
      <c r="AA157">
        <v>18</v>
      </c>
    </row>
    <row r="158" spans="1:27" x14ac:dyDescent="0.2">
      <c r="A158">
        <v>10</v>
      </c>
      <c r="B158">
        <v>1</v>
      </c>
      <c r="C158">
        <v>0.1</v>
      </c>
      <c r="D158">
        <v>20</v>
      </c>
      <c r="E158">
        <v>0.957218731042768</v>
      </c>
      <c r="F158">
        <v>1</v>
      </c>
      <c r="G158">
        <v>46.927328428000003</v>
      </c>
      <c r="H158">
        <v>0.95721873120935597</v>
      </c>
      <c r="I158">
        <v>1</v>
      </c>
      <c r="J158">
        <v>0.13679958</v>
      </c>
      <c r="P158"/>
      <c r="V158">
        <v>0.90715263078484698</v>
      </c>
      <c r="W158">
        <v>1</v>
      </c>
      <c r="X158">
        <v>3607.7387815480001</v>
      </c>
      <c r="Y158">
        <v>232379</v>
      </c>
      <c r="Z158">
        <v>7.7040300668748598E-4</v>
      </c>
      <c r="AA158">
        <v>18</v>
      </c>
    </row>
    <row r="159" spans="1:27" x14ac:dyDescent="0.2">
      <c r="A159">
        <v>10</v>
      </c>
      <c r="B159">
        <v>1</v>
      </c>
      <c r="C159">
        <v>0.3</v>
      </c>
      <c r="D159">
        <v>20</v>
      </c>
      <c r="E159">
        <v>0.40706783553218201</v>
      </c>
      <c r="F159">
        <v>1</v>
      </c>
      <c r="G159">
        <v>44.525316904999997</v>
      </c>
      <c r="H159">
        <v>0.27027326168953603</v>
      </c>
      <c r="I159">
        <v>1</v>
      </c>
      <c r="J159">
        <v>0.16987908500000001</v>
      </c>
      <c r="P159"/>
      <c r="V159">
        <v>0.30917728051675603</v>
      </c>
      <c r="W159">
        <v>1</v>
      </c>
      <c r="X159">
        <v>32276.379445826999</v>
      </c>
      <c r="Y159">
        <v>103950</v>
      </c>
      <c r="Z159">
        <v>7.9569520986522103E-4</v>
      </c>
      <c r="AA159">
        <v>43</v>
      </c>
    </row>
    <row r="160" spans="1:27" x14ac:dyDescent="0.2">
      <c r="A160">
        <v>10</v>
      </c>
      <c r="B160">
        <v>1</v>
      </c>
      <c r="C160">
        <v>0.4</v>
      </c>
      <c r="D160">
        <v>20</v>
      </c>
      <c r="E160">
        <v>0.159827450206428</v>
      </c>
      <c r="F160">
        <v>1</v>
      </c>
      <c r="G160">
        <v>44.142894308999999</v>
      </c>
      <c r="H160">
        <v>0.17699464573406201</v>
      </c>
      <c r="I160">
        <v>1</v>
      </c>
      <c r="J160">
        <v>0.228949547</v>
      </c>
      <c r="P160"/>
      <c r="V160">
        <v>0.140532378333005</v>
      </c>
      <c r="W160">
        <v>1</v>
      </c>
      <c r="X160">
        <v>107.02589179</v>
      </c>
      <c r="Y160">
        <v>711</v>
      </c>
      <c r="Z160">
        <v>9.3029582782078093E-3</v>
      </c>
      <c r="AA160">
        <v>15</v>
      </c>
    </row>
    <row r="161" spans="1:27" x14ac:dyDescent="0.2">
      <c r="A161">
        <v>10</v>
      </c>
      <c r="B161">
        <v>1</v>
      </c>
      <c r="C161">
        <v>0.1</v>
      </c>
      <c r="D161">
        <v>20</v>
      </c>
      <c r="E161">
        <v>0.98191191459324201</v>
      </c>
      <c r="F161">
        <v>1</v>
      </c>
      <c r="G161">
        <v>49.387292389000002</v>
      </c>
      <c r="H161">
        <v>0.98191191459328797</v>
      </c>
      <c r="I161">
        <v>1</v>
      </c>
      <c r="J161">
        <v>0.13257173799999999</v>
      </c>
      <c r="P161"/>
      <c r="V161">
        <v>0.76961717886506398</v>
      </c>
      <c r="W161">
        <v>1</v>
      </c>
      <c r="X161">
        <v>49.147443967999997</v>
      </c>
      <c r="Y161">
        <v>826</v>
      </c>
      <c r="Z161">
        <v>1.0565728310594299E-4</v>
      </c>
      <c r="AA161">
        <v>1</v>
      </c>
    </row>
    <row r="162" spans="1:27" x14ac:dyDescent="0.2">
      <c r="A162">
        <v>10</v>
      </c>
      <c r="B162">
        <v>1</v>
      </c>
      <c r="C162">
        <v>0.2</v>
      </c>
      <c r="D162">
        <v>20</v>
      </c>
      <c r="E162">
        <v>0.58262982062272395</v>
      </c>
      <c r="F162">
        <v>1</v>
      </c>
      <c r="G162">
        <v>48.746139204000002</v>
      </c>
      <c r="H162">
        <v>0.54052384988647695</v>
      </c>
      <c r="I162">
        <v>1</v>
      </c>
      <c r="J162">
        <v>0.17112416799999999</v>
      </c>
      <c r="P162"/>
      <c r="V162">
        <v>0.46445369479371701</v>
      </c>
      <c r="W162">
        <v>1</v>
      </c>
      <c r="X162">
        <v>68.106630031999998</v>
      </c>
      <c r="Y162">
        <v>7</v>
      </c>
      <c r="Z162">
        <v>1.6060458776416999E-3</v>
      </c>
      <c r="AA162">
        <v>2</v>
      </c>
    </row>
    <row r="163" spans="1:27" x14ac:dyDescent="0.2">
      <c r="A163">
        <v>10</v>
      </c>
      <c r="B163">
        <v>1</v>
      </c>
      <c r="C163">
        <v>0.3</v>
      </c>
      <c r="D163">
        <v>20</v>
      </c>
      <c r="E163">
        <v>0.23290549695454499</v>
      </c>
      <c r="F163">
        <v>1</v>
      </c>
      <c r="G163">
        <v>46.548065090999998</v>
      </c>
      <c r="H163">
        <v>0.17441728371534099</v>
      </c>
      <c r="I163">
        <v>1</v>
      </c>
      <c r="J163">
        <v>0.42562736499999998</v>
      </c>
      <c r="P163"/>
      <c r="V163">
        <v>0.133371190147829</v>
      </c>
      <c r="W163">
        <v>1</v>
      </c>
      <c r="X163">
        <v>1348.417550271</v>
      </c>
      <c r="Y163">
        <v>12600</v>
      </c>
      <c r="Z163">
        <v>4.5562938269127998E-3</v>
      </c>
      <c r="AA163">
        <v>15</v>
      </c>
    </row>
    <row r="164" spans="1:27" x14ac:dyDescent="0.2">
      <c r="A164">
        <v>10</v>
      </c>
      <c r="B164">
        <v>1</v>
      </c>
      <c r="C164">
        <v>0.4</v>
      </c>
      <c r="D164">
        <v>20</v>
      </c>
      <c r="E164">
        <v>4.6481599638852802E-2</v>
      </c>
      <c r="F164">
        <v>1</v>
      </c>
      <c r="G164">
        <v>48.094351607</v>
      </c>
      <c r="H164">
        <v>5.1528192821214298E-2</v>
      </c>
      <c r="I164">
        <v>1</v>
      </c>
      <c r="J164">
        <v>9.4155581000000002E-2</v>
      </c>
      <c r="P164"/>
      <c r="V164">
        <v>3.11414437233518E-2</v>
      </c>
      <c r="W164">
        <v>1</v>
      </c>
      <c r="X164">
        <v>41.100696554999999</v>
      </c>
      <c r="Y164">
        <v>1</v>
      </c>
      <c r="Z164">
        <v>3.1657190255350801E-3</v>
      </c>
      <c r="AA164">
        <v>1</v>
      </c>
    </row>
    <row r="165" spans="1:27" x14ac:dyDescent="0.2">
      <c r="A165">
        <v>10</v>
      </c>
      <c r="B165">
        <v>1</v>
      </c>
      <c r="C165">
        <v>0.1</v>
      </c>
      <c r="D165">
        <v>20</v>
      </c>
      <c r="E165">
        <v>0.966349659337158</v>
      </c>
      <c r="F165">
        <v>1</v>
      </c>
      <c r="G165">
        <v>46.966501555000001</v>
      </c>
      <c r="H165">
        <v>0.96561046428827102</v>
      </c>
      <c r="I165">
        <v>1</v>
      </c>
      <c r="J165">
        <v>0.110160929</v>
      </c>
      <c r="P165"/>
      <c r="V165">
        <v>1.19417794615993</v>
      </c>
      <c r="W165">
        <v>1</v>
      </c>
      <c r="X165">
        <v>62.135609647000003</v>
      </c>
      <c r="Y165">
        <v>1955</v>
      </c>
      <c r="Z165">
        <v>2.0044954297049301E-4</v>
      </c>
      <c r="AA165">
        <v>1</v>
      </c>
    </row>
    <row r="166" spans="1:27" x14ac:dyDescent="0.2">
      <c r="A166">
        <v>10</v>
      </c>
      <c r="B166">
        <v>1</v>
      </c>
      <c r="C166">
        <v>0.2</v>
      </c>
      <c r="D166">
        <v>20</v>
      </c>
      <c r="E166">
        <v>0.79893635935689999</v>
      </c>
      <c r="F166">
        <v>1</v>
      </c>
      <c r="G166">
        <v>45.924825089000002</v>
      </c>
      <c r="H166">
        <v>0.75407670084540601</v>
      </c>
      <c r="I166">
        <v>1</v>
      </c>
      <c r="J166">
        <v>0.39650354199999999</v>
      </c>
      <c r="P166"/>
      <c r="V166">
        <v>0.54233262228978996</v>
      </c>
      <c r="W166">
        <v>1</v>
      </c>
      <c r="X166">
        <v>51.882510164000003</v>
      </c>
      <c r="Y166">
        <v>980</v>
      </c>
      <c r="Z166">
        <v>8.9238541755198798E-4</v>
      </c>
      <c r="AA166">
        <v>1</v>
      </c>
    </row>
    <row r="167" spans="1:27" x14ac:dyDescent="0.2">
      <c r="A167">
        <v>10</v>
      </c>
      <c r="B167">
        <v>1</v>
      </c>
      <c r="C167">
        <v>0.4</v>
      </c>
      <c r="D167">
        <v>20</v>
      </c>
      <c r="E167">
        <v>0.28783748084541</v>
      </c>
      <c r="F167">
        <v>1</v>
      </c>
      <c r="G167">
        <v>38.309735459000002</v>
      </c>
      <c r="H167">
        <v>0.25250601962275299</v>
      </c>
      <c r="I167">
        <v>1</v>
      </c>
      <c r="J167">
        <v>0.16025347400000001</v>
      </c>
      <c r="P167"/>
      <c r="V167">
        <v>0.22425465560669</v>
      </c>
      <c r="W167">
        <v>1</v>
      </c>
      <c r="X167">
        <v>57.182260434</v>
      </c>
      <c r="Y167">
        <v>1397</v>
      </c>
      <c r="Z167">
        <v>1.7373829496981001E-3</v>
      </c>
      <c r="AA167">
        <v>1</v>
      </c>
    </row>
    <row r="168" spans="1:27" x14ac:dyDescent="0.2">
      <c r="A168">
        <v>10</v>
      </c>
      <c r="B168">
        <v>1</v>
      </c>
      <c r="C168">
        <v>0.1</v>
      </c>
      <c r="D168">
        <v>20</v>
      </c>
      <c r="E168">
        <v>0.97119597938663704</v>
      </c>
      <c r="F168">
        <v>1</v>
      </c>
      <c r="G168">
        <v>41.388903976999998</v>
      </c>
      <c r="H168">
        <v>0.95243292321546102</v>
      </c>
      <c r="I168">
        <v>1</v>
      </c>
      <c r="J168">
        <v>0.10696183400000001</v>
      </c>
      <c r="P168"/>
      <c r="V168">
        <v>0.960316634902323</v>
      </c>
      <c r="W168">
        <v>1</v>
      </c>
      <c r="X168">
        <v>64.712669191000003</v>
      </c>
      <c r="Y168">
        <v>1</v>
      </c>
      <c r="Z168">
        <v>4.8068177206742502E-4</v>
      </c>
      <c r="AA168">
        <v>3</v>
      </c>
    </row>
    <row r="169" spans="1:27" x14ac:dyDescent="0.2">
      <c r="A169">
        <v>10</v>
      </c>
      <c r="B169">
        <v>1</v>
      </c>
      <c r="C169">
        <v>0.4</v>
      </c>
      <c r="D169">
        <v>20</v>
      </c>
      <c r="E169">
        <v>0.15391870458108001</v>
      </c>
      <c r="F169">
        <v>1</v>
      </c>
      <c r="G169">
        <v>46.804118963999997</v>
      </c>
      <c r="H169">
        <v>0.16963494329298001</v>
      </c>
      <c r="I169">
        <v>1</v>
      </c>
      <c r="J169">
        <v>0.15834827100000001</v>
      </c>
      <c r="P169"/>
      <c r="V169">
        <v>0.14226798451348099</v>
      </c>
      <c r="W169">
        <v>1</v>
      </c>
      <c r="X169">
        <v>68.783885859999998</v>
      </c>
      <c r="Y169">
        <v>15</v>
      </c>
      <c r="Z169">
        <v>4.5229474478607401E-3</v>
      </c>
      <c r="AA169">
        <v>6</v>
      </c>
    </row>
    <row r="170" spans="1:27" x14ac:dyDescent="0.2">
      <c r="A170">
        <v>10</v>
      </c>
      <c r="B170">
        <v>1</v>
      </c>
      <c r="C170">
        <v>0.1</v>
      </c>
      <c r="D170">
        <v>20</v>
      </c>
      <c r="E170">
        <v>0.98284473980255005</v>
      </c>
      <c r="F170">
        <v>1</v>
      </c>
      <c r="G170">
        <v>47.161807594000003</v>
      </c>
      <c r="H170">
        <v>0.98284473980255005</v>
      </c>
      <c r="I170">
        <v>1</v>
      </c>
      <c r="J170">
        <v>0.14182501</v>
      </c>
      <c r="P170"/>
      <c r="V170">
        <v>1.0457683492560399</v>
      </c>
      <c r="W170">
        <v>1</v>
      </c>
      <c r="X170">
        <v>227.865609011</v>
      </c>
      <c r="Y170">
        <v>19731</v>
      </c>
      <c r="Z170">
        <v>1.4057914712495201E-3</v>
      </c>
      <c r="AA170">
        <v>6</v>
      </c>
    </row>
    <row r="171" spans="1:27" x14ac:dyDescent="0.2">
      <c r="A171">
        <v>10</v>
      </c>
      <c r="B171">
        <v>1</v>
      </c>
      <c r="C171">
        <v>0.2</v>
      </c>
      <c r="D171">
        <v>20</v>
      </c>
      <c r="E171">
        <v>0.53906471594646899</v>
      </c>
      <c r="F171">
        <v>1</v>
      </c>
      <c r="G171">
        <v>43.890077665</v>
      </c>
      <c r="H171">
        <v>0.51012400771294097</v>
      </c>
      <c r="I171">
        <v>1</v>
      </c>
      <c r="J171">
        <v>0.23932214299999999</v>
      </c>
      <c r="P171"/>
      <c r="V171">
        <v>0.51071819183296197</v>
      </c>
      <c r="W171">
        <v>1</v>
      </c>
      <c r="X171">
        <v>45.497321763000002</v>
      </c>
      <c r="Y171">
        <v>1</v>
      </c>
      <c r="Z171">
        <v>1.7152516570197399E-3</v>
      </c>
      <c r="AA171">
        <v>1</v>
      </c>
    </row>
    <row r="172" spans="1:27" x14ac:dyDescent="0.2">
      <c r="A172">
        <v>10</v>
      </c>
      <c r="B172">
        <v>1</v>
      </c>
      <c r="C172">
        <v>0.4</v>
      </c>
      <c r="D172">
        <v>20</v>
      </c>
      <c r="E172">
        <v>0.118922226292277</v>
      </c>
      <c r="F172">
        <v>1</v>
      </c>
      <c r="G172">
        <v>45.908072689999997</v>
      </c>
      <c r="H172">
        <v>0.10377305318530899</v>
      </c>
      <c r="I172">
        <v>1</v>
      </c>
      <c r="J172">
        <v>0.19142115500000001</v>
      </c>
      <c r="P172"/>
      <c r="V172">
        <v>8.2769779922639605E-2</v>
      </c>
      <c r="W172">
        <v>1</v>
      </c>
      <c r="X172">
        <v>45.960863390999997</v>
      </c>
      <c r="Y172">
        <v>65</v>
      </c>
      <c r="Z172">
        <v>2.3111609025111201E-3</v>
      </c>
      <c r="AA172">
        <v>1</v>
      </c>
    </row>
    <row r="173" spans="1:27" x14ac:dyDescent="0.2">
      <c r="A173">
        <v>10</v>
      </c>
      <c r="B173">
        <v>1</v>
      </c>
      <c r="C173">
        <v>0.1</v>
      </c>
      <c r="D173">
        <v>20</v>
      </c>
      <c r="E173">
        <v>0.97171043189170403</v>
      </c>
      <c r="F173">
        <v>1</v>
      </c>
      <c r="G173">
        <v>46.741877774999999</v>
      </c>
      <c r="H173">
        <v>0.97074794032781897</v>
      </c>
      <c r="I173">
        <v>1</v>
      </c>
      <c r="J173">
        <v>8.6523206000000005E-2</v>
      </c>
      <c r="P173"/>
      <c r="V173">
        <v>1.03282430792908</v>
      </c>
      <c r="W173">
        <v>1</v>
      </c>
      <c r="X173">
        <v>58.572216502000003</v>
      </c>
      <c r="Y173">
        <v>1782</v>
      </c>
      <c r="Z173" s="1">
        <v>2.7870951982974299E-5</v>
      </c>
      <c r="AA173">
        <v>1</v>
      </c>
    </row>
    <row r="174" spans="1:27" x14ac:dyDescent="0.2">
      <c r="A174">
        <v>10</v>
      </c>
      <c r="B174">
        <v>1</v>
      </c>
      <c r="C174">
        <v>0.2</v>
      </c>
      <c r="D174">
        <v>20</v>
      </c>
      <c r="E174">
        <v>0.78160714575632295</v>
      </c>
      <c r="F174">
        <v>1</v>
      </c>
      <c r="G174">
        <v>48.039612747</v>
      </c>
      <c r="H174">
        <v>0.77266986575284202</v>
      </c>
      <c r="I174">
        <v>1</v>
      </c>
      <c r="J174">
        <v>0.17391398799999999</v>
      </c>
      <c r="P174"/>
      <c r="V174">
        <v>0.75337482691757296</v>
      </c>
      <c r="W174">
        <v>1</v>
      </c>
      <c r="X174">
        <v>63.385096085000001</v>
      </c>
      <c r="Y174">
        <v>1251</v>
      </c>
      <c r="Z174">
        <v>6.5020775195966096E-4</v>
      </c>
      <c r="AA174">
        <v>1</v>
      </c>
    </row>
    <row r="175" spans="1:27" x14ac:dyDescent="0.2">
      <c r="A175">
        <v>10</v>
      </c>
      <c r="B175">
        <v>1</v>
      </c>
      <c r="C175">
        <v>0.4</v>
      </c>
      <c r="D175">
        <v>20</v>
      </c>
      <c r="E175">
        <v>0.18847869491628899</v>
      </c>
      <c r="F175">
        <v>1</v>
      </c>
      <c r="G175">
        <v>37.767897755</v>
      </c>
      <c r="H175">
        <v>0.17417081945499099</v>
      </c>
      <c r="I175">
        <v>1</v>
      </c>
      <c r="J175">
        <v>0.13315380499999999</v>
      </c>
      <c r="P175"/>
      <c r="V175">
        <v>0.13719612784827601</v>
      </c>
      <c r="W175">
        <v>1</v>
      </c>
      <c r="X175">
        <v>10969.444096052001</v>
      </c>
      <c r="Y175">
        <v>92096</v>
      </c>
      <c r="Z175">
        <v>6.3752947694693998E-3</v>
      </c>
      <c r="AA175">
        <v>13</v>
      </c>
    </row>
    <row r="176" spans="1:27" x14ac:dyDescent="0.2">
      <c r="A176">
        <v>10</v>
      </c>
      <c r="B176">
        <v>1</v>
      </c>
      <c r="C176">
        <v>0.4</v>
      </c>
      <c r="D176">
        <v>20</v>
      </c>
      <c r="E176">
        <v>9.2775216743614206E-2</v>
      </c>
      <c r="F176">
        <v>1</v>
      </c>
      <c r="G176">
        <v>36.750148084000003</v>
      </c>
      <c r="H176">
        <v>0.116430133024628</v>
      </c>
      <c r="I176">
        <v>1</v>
      </c>
      <c r="J176">
        <v>0.10623943700000001</v>
      </c>
      <c r="P176"/>
      <c r="V176">
        <v>8.4947053330201194E-2</v>
      </c>
      <c r="W176">
        <v>1</v>
      </c>
      <c r="X176">
        <v>34.976282621999999</v>
      </c>
      <c r="Y176">
        <v>69</v>
      </c>
      <c r="Z176">
        <v>6.1952553251585201E-3</v>
      </c>
      <c r="AA176">
        <v>1</v>
      </c>
    </row>
    <row r="177" spans="1:27" x14ac:dyDescent="0.2">
      <c r="A177">
        <v>10</v>
      </c>
      <c r="B177">
        <v>1</v>
      </c>
      <c r="C177">
        <v>0.1</v>
      </c>
      <c r="D177">
        <v>20</v>
      </c>
      <c r="E177">
        <v>0.97598197521260399</v>
      </c>
      <c r="F177">
        <v>1</v>
      </c>
      <c r="G177">
        <v>36.223585092999997</v>
      </c>
      <c r="H177">
        <v>0.97596915928888905</v>
      </c>
      <c r="I177">
        <v>1</v>
      </c>
      <c r="J177">
        <v>9.7455720999999995E-2</v>
      </c>
      <c r="P177"/>
      <c r="V177">
        <v>0.94438530922674802</v>
      </c>
      <c r="W177">
        <v>1</v>
      </c>
      <c r="X177">
        <v>38.553466030999999</v>
      </c>
      <c r="Y177">
        <v>1037</v>
      </c>
      <c r="Z177" s="1">
        <v>5.8674303288737699E-5</v>
      </c>
      <c r="AA177">
        <v>1</v>
      </c>
    </row>
    <row r="178" spans="1:27" x14ac:dyDescent="0.2">
      <c r="A178">
        <v>10</v>
      </c>
      <c r="B178">
        <v>1</v>
      </c>
      <c r="C178">
        <v>0.2</v>
      </c>
      <c r="D178">
        <v>20</v>
      </c>
      <c r="E178">
        <v>0.90335346418282103</v>
      </c>
      <c r="F178">
        <v>1</v>
      </c>
      <c r="G178">
        <v>50.118885810999998</v>
      </c>
      <c r="H178">
        <v>0.89904824379929205</v>
      </c>
      <c r="I178">
        <v>1</v>
      </c>
      <c r="J178">
        <v>0.41100195299999998</v>
      </c>
      <c r="P178"/>
      <c r="V178">
        <v>1.1870330332769501</v>
      </c>
      <c r="W178">
        <v>1</v>
      </c>
      <c r="X178">
        <v>2880.0158474690002</v>
      </c>
      <c r="Y178">
        <v>70680</v>
      </c>
      <c r="Z178">
        <v>2.2979959156906801E-3</v>
      </c>
      <c r="AA178">
        <v>10</v>
      </c>
    </row>
    <row r="179" spans="1:27" x14ac:dyDescent="0.2">
      <c r="A179">
        <v>10</v>
      </c>
      <c r="B179">
        <v>1</v>
      </c>
      <c r="C179">
        <v>0.4</v>
      </c>
      <c r="D179">
        <v>20</v>
      </c>
      <c r="E179">
        <v>0.59872486600810404</v>
      </c>
      <c r="F179">
        <v>1</v>
      </c>
      <c r="G179">
        <v>46.636605680999999</v>
      </c>
      <c r="H179">
        <v>0.56487322953969998</v>
      </c>
      <c r="I179">
        <v>1</v>
      </c>
      <c r="J179">
        <v>0.14346118499999999</v>
      </c>
      <c r="P179"/>
      <c r="V179">
        <v>0.50192599829108797</v>
      </c>
      <c r="W179">
        <v>1</v>
      </c>
      <c r="X179">
        <v>82.372848884000007</v>
      </c>
      <c r="Y179">
        <v>7</v>
      </c>
      <c r="Z179">
        <v>5.8829170312052403E-3</v>
      </c>
      <c r="AA179">
        <v>2</v>
      </c>
    </row>
    <row r="180" spans="1:27" x14ac:dyDescent="0.2">
      <c r="A180">
        <v>10</v>
      </c>
      <c r="B180">
        <v>1</v>
      </c>
      <c r="C180">
        <v>0.3</v>
      </c>
      <c r="D180">
        <v>20</v>
      </c>
      <c r="E180">
        <v>0.26264432072641802</v>
      </c>
      <c r="F180">
        <v>1</v>
      </c>
      <c r="G180">
        <v>44.524642397000001</v>
      </c>
      <c r="H180">
        <v>0.18096040637277</v>
      </c>
      <c r="I180">
        <v>1</v>
      </c>
      <c r="J180">
        <v>0.166415957</v>
      </c>
      <c r="P180"/>
      <c r="V180">
        <v>0.114062726688896</v>
      </c>
      <c r="W180">
        <v>1</v>
      </c>
      <c r="X180">
        <v>6079.3369991649997</v>
      </c>
      <c r="Y180">
        <v>70955</v>
      </c>
      <c r="Z180">
        <v>1.18078722475242E-3</v>
      </c>
      <c r="AA180">
        <v>16</v>
      </c>
    </row>
    <row r="181" spans="1:27" x14ac:dyDescent="0.2">
      <c r="A181">
        <v>10</v>
      </c>
      <c r="B181">
        <v>1</v>
      </c>
      <c r="C181">
        <v>0.3</v>
      </c>
      <c r="D181">
        <v>20</v>
      </c>
      <c r="E181">
        <v>0.44646995344968998</v>
      </c>
      <c r="F181">
        <v>1</v>
      </c>
      <c r="G181">
        <v>31.214872816</v>
      </c>
      <c r="H181">
        <v>0.40195663520099101</v>
      </c>
      <c r="I181">
        <v>1</v>
      </c>
      <c r="J181">
        <v>0.175478832</v>
      </c>
      <c r="P181"/>
      <c r="V181">
        <v>0.32258896288258398</v>
      </c>
      <c r="W181">
        <v>1</v>
      </c>
      <c r="X181">
        <v>8166.8270496149999</v>
      </c>
      <c r="Y181">
        <v>50476</v>
      </c>
      <c r="Z181">
        <v>2.5359361357992702E-3</v>
      </c>
      <c r="AA181">
        <v>19</v>
      </c>
    </row>
    <row r="182" spans="1:27" x14ac:dyDescent="0.2">
      <c r="A182">
        <v>10</v>
      </c>
      <c r="B182">
        <v>1</v>
      </c>
      <c r="C182">
        <v>0.3</v>
      </c>
      <c r="D182">
        <v>20</v>
      </c>
      <c r="E182">
        <v>0.16144708299433499</v>
      </c>
      <c r="F182">
        <v>1</v>
      </c>
      <c r="G182">
        <v>48.191481187000001</v>
      </c>
      <c r="H182">
        <v>0.163147933886504</v>
      </c>
      <c r="I182">
        <v>1</v>
      </c>
      <c r="J182">
        <v>0.214959024</v>
      </c>
      <c r="P182"/>
      <c r="V182">
        <v>0.16432575526882601</v>
      </c>
      <c r="W182">
        <v>1</v>
      </c>
      <c r="X182">
        <v>31051.864336441999</v>
      </c>
      <c r="Y182">
        <v>61428</v>
      </c>
      <c r="Z182">
        <v>2.2506289724570899E-3</v>
      </c>
      <c r="AA182">
        <v>37</v>
      </c>
    </row>
    <row r="183" spans="1:27" x14ac:dyDescent="0.2">
      <c r="A183">
        <v>10</v>
      </c>
      <c r="B183">
        <v>2</v>
      </c>
      <c r="C183">
        <v>0.4</v>
      </c>
      <c r="D183">
        <v>20</v>
      </c>
      <c r="E183">
        <v>0.73379038518379403</v>
      </c>
      <c r="F183">
        <v>2</v>
      </c>
      <c r="G183">
        <v>26.437868193</v>
      </c>
      <c r="H183">
        <v>0.42972449256949302</v>
      </c>
      <c r="I183">
        <v>2</v>
      </c>
      <c r="J183">
        <v>0.17858559199999999</v>
      </c>
      <c r="P183"/>
      <c r="V183">
        <v>0.42321625201413199</v>
      </c>
      <c r="W183">
        <v>2</v>
      </c>
      <c r="X183">
        <v>302800.71857126598</v>
      </c>
      <c r="Y183">
        <v>119262</v>
      </c>
      <c r="Z183">
        <v>0.110910539477929</v>
      </c>
      <c r="AA183">
        <v>50</v>
      </c>
    </row>
    <row r="184" spans="1:27" x14ac:dyDescent="0.2">
      <c r="A184">
        <v>10</v>
      </c>
      <c r="B184">
        <v>2</v>
      </c>
      <c r="C184">
        <v>0.2</v>
      </c>
      <c r="D184">
        <v>20</v>
      </c>
      <c r="E184">
        <v>0.91331166494458904</v>
      </c>
      <c r="F184">
        <v>2</v>
      </c>
      <c r="G184">
        <v>26.098838301000001</v>
      </c>
      <c r="H184">
        <v>0.89766605448992698</v>
      </c>
      <c r="I184">
        <v>2</v>
      </c>
      <c r="J184">
        <v>0.1225967</v>
      </c>
      <c r="P184"/>
      <c r="V184">
        <v>0.85322821394639303</v>
      </c>
      <c r="W184">
        <v>2</v>
      </c>
      <c r="X184">
        <v>274099.27193953999</v>
      </c>
      <c r="Y184">
        <v>149876</v>
      </c>
      <c r="Z184">
        <v>8.0011537951721803E-3</v>
      </c>
      <c r="AA184">
        <v>50</v>
      </c>
    </row>
    <row r="185" spans="1:27" x14ac:dyDescent="0.2">
      <c r="A185">
        <v>10</v>
      </c>
      <c r="B185">
        <v>2</v>
      </c>
      <c r="C185">
        <v>0.2</v>
      </c>
      <c r="D185">
        <v>20</v>
      </c>
      <c r="E185">
        <v>0.93728930187832404</v>
      </c>
      <c r="F185">
        <v>2</v>
      </c>
      <c r="G185">
        <v>25.610832175999999</v>
      </c>
      <c r="H185">
        <v>0.99792333399407596</v>
      </c>
      <c r="I185">
        <v>2</v>
      </c>
      <c r="J185">
        <v>0.48669515400000002</v>
      </c>
      <c r="P185"/>
      <c r="V185">
        <v>1.0068873995749199</v>
      </c>
      <c r="W185">
        <v>2</v>
      </c>
      <c r="X185">
        <v>291078.37478131702</v>
      </c>
      <c r="Y185">
        <v>207166</v>
      </c>
      <c r="Z185">
        <v>1.57989964486904E-2</v>
      </c>
      <c r="AA185">
        <v>50</v>
      </c>
    </row>
    <row r="186" spans="1:27" x14ac:dyDescent="0.2">
      <c r="A186">
        <v>10</v>
      </c>
      <c r="B186">
        <v>2</v>
      </c>
      <c r="C186">
        <v>0.4</v>
      </c>
      <c r="D186">
        <v>20</v>
      </c>
      <c r="E186">
        <v>0.68051516242587295</v>
      </c>
      <c r="F186">
        <v>2</v>
      </c>
      <c r="G186">
        <v>26.251823298000001</v>
      </c>
      <c r="H186">
        <v>0.71233805821664298</v>
      </c>
      <c r="I186">
        <v>2</v>
      </c>
      <c r="J186">
        <v>0.193056855</v>
      </c>
      <c r="P186"/>
      <c r="V186">
        <v>0.72451617097152499</v>
      </c>
      <c r="W186">
        <v>2</v>
      </c>
      <c r="X186">
        <v>301588.77466575103</v>
      </c>
      <c r="Y186">
        <v>106156</v>
      </c>
      <c r="Z186">
        <v>8.4804930255424404E-2</v>
      </c>
      <c r="AA186">
        <v>50</v>
      </c>
    </row>
    <row r="187" spans="1:27" x14ac:dyDescent="0.2">
      <c r="A187">
        <v>10</v>
      </c>
      <c r="B187">
        <v>2</v>
      </c>
      <c r="C187">
        <v>0.2</v>
      </c>
      <c r="D187">
        <v>20</v>
      </c>
      <c r="E187">
        <v>0.97197579767952902</v>
      </c>
      <c r="F187">
        <v>2</v>
      </c>
      <c r="G187">
        <v>25.420638267000001</v>
      </c>
      <c r="H187">
        <v>0.96155902762409196</v>
      </c>
      <c r="I187">
        <v>2</v>
      </c>
      <c r="J187">
        <v>0.10636179</v>
      </c>
      <c r="P187"/>
      <c r="V187">
        <v>0.935394823100414</v>
      </c>
      <c r="W187">
        <v>2</v>
      </c>
      <c r="X187">
        <v>297014.80029205501</v>
      </c>
      <c r="Y187">
        <v>113046</v>
      </c>
      <c r="Z187">
        <v>1.20539009619447E-2</v>
      </c>
      <c r="AA187">
        <v>50</v>
      </c>
    </row>
    <row r="188" spans="1:27" x14ac:dyDescent="0.2">
      <c r="A188">
        <v>10</v>
      </c>
      <c r="B188">
        <v>2</v>
      </c>
      <c r="C188">
        <v>0.4</v>
      </c>
      <c r="D188">
        <v>20</v>
      </c>
      <c r="E188">
        <v>0.61691736928665097</v>
      </c>
      <c r="F188">
        <v>2</v>
      </c>
      <c r="G188">
        <v>26.616073888999999</v>
      </c>
      <c r="H188">
        <v>0.59076557910546201</v>
      </c>
      <c r="I188">
        <v>2</v>
      </c>
      <c r="J188">
        <v>0.14707431400000001</v>
      </c>
      <c r="P188"/>
      <c r="V188">
        <v>0.58769781658658005</v>
      </c>
      <c r="W188">
        <v>2</v>
      </c>
      <c r="X188">
        <v>303658.68999143998</v>
      </c>
      <c r="Y188">
        <v>110577</v>
      </c>
      <c r="Z188">
        <v>9.4214132758101796E-2</v>
      </c>
      <c r="AA188">
        <v>50</v>
      </c>
    </row>
    <row r="189" spans="1:27" x14ac:dyDescent="0.2">
      <c r="A189">
        <v>10</v>
      </c>
      <c r="B189">
        <v>2</v>
      </c>
      <c r="C189">
        <v>0.3</v>
      </c>
      <c r="D189">
        <v>20</v>
      </c>
      <c r="E189">
        <v>0.85108435189958098</v>
      </c>
      <c r="F189">
        <v>2</v>
      </c>
      <c r="G189">
        <v>26.002477218999999</v>
      </c>
      <c r="H189">
        <v>0.82901935699683504</v>
      </c>
      <c r="I189">
        <v>2</v>
      </c>
      <c r="J189">
        <v>0.17238018999999999</v>
      </c>
      <c r="P189"/>
      <c r="V189">
        <v>0.82970898282634198</v>
      </c>
      <c r="W189">
        <v>2</v>
      </c>
      <c r="X189">
        <v>304257.239235282</v>
      </c>
      <c r="Y189">
        <v>143259</v>
      </c>
      <c r="Z189">
        <v>4.8745420742512799E-2</v>
      </c>
      <c r="AA189">
        <v>50</v>
      </c>
    </row>
    <row r="190" spans="1:27" x14ac:dyDescent="0.2">
      <c r="A190">
        <v>10</v>
      </c>
      <c r="B190">
        <v>2</v>
      </c>
      <c r="C190">
        <v>0.3</v>
      </c>
      <c r="D190">
        <v>20</v>
      </c>
      <c r="E190">
        <v>0.90468337282357503</v>
      </c>
      <c r="F190">
        <v>2</v>
      </c>
      <c r="G190">
        <v>26.214751396</v>
      </c>
      <c r="H190">
        <v>0.89777219882556003</v>
      </c>
      <c r="I190">
        <v>2</v>
      </c>
      <c r="J190">
        <v>0.155809064</v>
      </c>
      <c r="P190"/>
      <c r="V190">
        <v>0.898504881081434</v>
      </c>
      <c r="W190">
        <v>2</v>
      </c>
      <c r="X190">
        <v>306960.219091721</v>
      </c>
      <c r="Y190">
        <v>139436</v>
      </c>
      <c r="Z190">
        <v>7.8392692475741196E-2</v>
      </c>
      <c r="AA190">
        <v>50</v>
      </c>
    </row>
    <row r="191" spans="1:27" x14ac:dyDescent="0.2">
      <c r="A191">
        <v>10</v>
      </c>
      <c r="B191">
        <v>2</v>
      </c>
      <c r="C191">
        <v>0.2</v>
      </c>
      <c r="D191">
        <v>20</v>
      </c>
      <c r="E191">
        <v>0.836906485976741</v>
      </c>
      <c r="F191">
        <v>2</v>
      </c>
      <c r="G191">
        <v>26.221646118999999</v>
      </c>
      <c r="H191">
        <v>0.80197272983791601</v>
      </c>
      <c r="I191">
        <v>2</v>
      </c>
      <c r="J191">
        <v>0.119761141</v>
      </c>
      <c r="P191"/>
      <c r="V191">
        <v>0.80410776531828299</v>
      </c>
      <c r="W191">
        <v>2</v>
      </c>
      <c r="X191">
        <v>305459.77380879503</v>
      </c>
      <c r="Y191">
        <v>156617</v>
      </c>
      <c r="Z191">
        <v>0.10841277467013399</v>
      </c>
      <c r="AA191">
        <v>50</v>
      </c>
    </row>
    <row r="192" spans="1:27" x14ac:dyDescent="0.2">
      <c r="A192">
        <v>10</v>
      </c>
      <c r="B192">
        <v>2</v>
      </c>
      <c r="C192">
        <v>0.1</v>
      </c>
      <c r="D192">
        <v>20</v>
      </c>
      <c r="E192">
        <v>0.89135256444148703</v>
      </c>
      <c r="F192">
        <v>2</v>
      </c>
      <c r="G192">
        <v>25.709767879000001</v>
      </c>
      <c r="H192">
        <v>0.89135040554481304</v>
      </c>
      <c r="I192">
        <v>2</v>
      </c>
      <c r="J192">
        <v>4.0781686999999997E-2</v>
      </c>
      <c r="P192"/>
      <c r="V192">
        <v>0.93195140979626101</v>
      </c>
      <c r="W192">
        <v>2</v>
      </c>
      <c r="X192">
        <v>303058.37874479702</v>
      </c>
      <c r="Y192">
        <v>250607</v>
      </c>
      <c r="Z192">
        <v>2.0018022052956299E-2</v>
      </c>
      <c r="AA192">
        <v>50</v>
      </c>
    </row>
    <row r="193" spans="1:27" x14ac:dyDescent="0.2">
      <c r="A193">
        <v>10</v>
      </c>
      <c r="B193">
        <v>2</v>
      </c>
      <c r="C193">
        <v>0.4</v>
      </c>
      <c r="D193">
        <v>20</v>
      </c>
      <c r="E193">
        <v>0.36001287465195397</v>
      </c>
      <c r="F193">
        <v>2</v>
      </c>
      <c r="G193">
        <v>30.486726655999998</v>
      </c>
      <c r="H193">
        <v>0.26595344022533801</v>
      </c>
      <c r="I193">
        <v>2</v>
      </c>
      <c r="J193">
        <v>0.314233388</v>
      </c>
      <c r="P193"/>
      <c r="V193">
        <v>0.25338939853912401</v>
      </c>
      <c r="W193">
        <v>2</v>
      </c>
      <c r="X193">
        <v>305769.53511093801</v>
      </c>
      <c r="Y193">
        <v>99768</v>
      </c>
      <c r="Z193">
        <v>0.13024926186087099</v>
      </c>
      <c r="AA193">
        <v>50</v>
      </c>
    </row>
    <row r="194" spans="1:27" x14ac:dyDescent="0.2">
      <c r="A194">
        <v>10</v>
      </c>
      <c r="B194">
        <v>2</v>
      </c>
      <c r="C194">
        <v>0.3</v>
      </c>
      <c r="D194">
        <v>20</v>
      </c>
      <c r="E194">
        <v>0.69410160085167105</v>
      </c>
      <c r="F194">
        <v>2</v>
      </c>
      <c r="G194">
        <v>26.162864786</v>
      </c>
      <c r="H194">
        <v>0.75744927608444301</v>
      </c>
      <c r="I194">
        <v>2</v>
      </c>
      <c r="J194">
        <v>0.33888190699999998</v>
      </c>
      <c r="P194"/>
      <c r="V194">
        <v>0.76537885883907797</v>
      </c>
      <c r="W194">
        <v>2</v>
      </c>
      <c r="X194">
        <v>309679.62840990501</v>
      </c>
      <c r="Y194">
        <v>104637</v>
      </c>
      <c r="Z194">
        <v>5.83621183291392E-2</v>
      </c>
      <c r="AA194">
        <v>50</v>
      </c>
    </row>
    <row r="195" spans="1:27" x14ac:dyDescent="0.2">
      <c r="A195">
        <v>10</v>
      </c>
      <c r="B195">
        <v>2</v>
      </c>
      <c r="C195">
        <v>0.2</v>
      </c>
      <c r="D195">
        <v>20</v>
      </c>
      <c r="E195">
        <v>1.0065767284247999</v>
      </c>
      <c r="F195">
        <v>2</v>
      </c>
      <c r="G195">
        <v>25.979437046000001</v>
      </c>
      <c r="H195">
        <v>1.0142134100749201</v>
      </c>
      <c r="I195">
        <v>2</v>
      </c>
      <c r="J195">
        <v>0.27570776299999999</v>
      </c>
      <c r="P195"/>
      <c r="V195">
        <v>1.0161535856247901</v>
      </c>
      <c r="W195">
        <v>2</v>
      </c>
      <c r="X195">
        <v>309987.64994467999</v>
      </c>
      <c r="Y195">
        <v>106956</v>
      </c>
      <c r="Z195">
        <v>1.2823336999126999E-2</v>
      </c>
      <c r="AA195">
        <v>50</v>
      </c>
    </row>
    <row r="196" spans="1:27" x14ac:dyDescent="0.2">
      <c r="A196">
        <v>10</v>
      </c>
      <c r="B196">
        <v>2</v>
      </c>
      <c r="C196">
        <v>0.3</v>
      </c>
      <c r="D196">
        <v>20</v>
      </c>
      <c r="E196">
        <v>0.79131753401796601</v>
      </c>
      <c r="F196">
        <v>2</v>
      </c>
      <c r="G196">
        <v>27.007535869000002</v>
      </c>
      <c r="H196">
        <v>0.78640946663757405</v>
      </c>
      <c r="I196">
        <v>2</v>
      </c>
      <c r="J196">
        <v>0.16003499400000001</v>
      </c>
      <c r="P196"/>
      <c r="V196">
        <v>0.76275559489886102</v>
      </c>
      <c r="W196">
        <v>2</v>
      </c>
      <c r="X196">
        <v>304259.80071271898</v>
      </c>
      <c r="Y196">
        <v>97940</v>
      </c>
      <c r="Z196">
        <v>6.3042902692587499E-2</v>
      </c>
      <c r="AA196">
        <v>50</v>
      </c>
    </row>
    <row r="197" spans="1:27" x14ac:dyDescent="0.2">
      <c r="A197">
        <v>10</v>
      </c>
      <c r="B197">
        <v>2</v>
      </c>
      <c r="C197">
        <v>0.3</v>
      </c>
      <c r="D197">
        <v>20</v>
      </c>
      <c r="E197">
        <v>0.88652515886720196</v>
      </c>
      <c r="F197">
        <v>2</v>
      </c>
      <c r="G197">
        <v>26.118504334000001</v>
      </c>
      <c r="H197">
        <v>0.87613855238088001</v>
      </c>
      <c r="I197">
        <v>2</v>
      </c>
      <c r="J197">
        <v>0.191720576</v>
      </c>
      <c r="P197"/>
      <c r="V197">
        <v>0.88286826832003096</v>
      </c>
      <c r="W197">
        <v>2</v>
      </c>
      <c r="X197">
        <v>305504.90414698701</v>
      </c>
      <c r="Y197">
        <v>143616</v>
      </c>
      <c r="Z197">
        <v>2.4542354811735698E-2</v>
      </c>
      <c r="AA197">
        <v>50</v>
      </c>
    </row>
    <row r="198" spans="1:27" x14ac:dyDescent="0.2">
      <c r="A198">
        <v>10</v>
      </c>
      <c r="B198">
        <v>2</v>
      </c>
      <c r="C198">
        <v>0.2</v>
      </c>
      <c r="D198">
        <v>20</v>
      </c>
      <c r="E198">
        <v>0.80246021820850699</v>
      </c>
      <c r="F198">
        <v>2</v>
      </c>
      <c r="G198">
        <v>25.336525160000001</v>
      </c>
      <c r="H198">
        <v>0.809792791361296</v>
      </c>
      <c r="I198">
        <v>2</v>
      </c>
      <c r="J198">
        <v>0.16249881299999999</v>
      </c>
      <c r="P198"/>
      <c r="V198">
        <v>0.80982682955598495</v>
      </c>
      <c r="W198">
        <v>2</v>
      </c>
      <c r="X198">
        <v>306957.615945164</v>
      </c>
      <c r="Y198">
        <v>116757</v>
      </c>
      <c r="Z198">
        <v>6.3894806107749794E-2</v>
      </c>
      <c r="AA198">
        <v>50</v>
      </c>
    </row>
    <row r="199" spans="1:27" x14ac:dyDescent="0.2">
      <c r="A199">
        <v>10</v>
      </c>
      <c r="B199">
        <v>2</v>
      </c>
      <c r="C199">
        <v>0.4</v>
      </c>
      <c r="D199">
        <v>20</v>
      </c>
      <c r="E199">
        <v>0.41864197265453601</v>
      </c>
      <c r="F199">
        <v>2</v>
      </c>
      <c r="G199">
        <v>26.783115681000002</v>
      </c>
      <c r="H199">
        <v>0.30254407996403498</v>
      </c>
      <c r="I199">
        <v>2</v>
      </c>
      <c r="J199">
        <v>0.123472335</v>
      </c>
      <c r="P199"/>
      <c r="V199">
        <v>0.293331635000184</v>
      </c>
      <c r="W199">
        <v>2</v>
      </c>
      <c r="X199">
        <v>306056.85652123298</v>
      </c>
      <c r="Y199">
        <v>118177</v>
      </c>
      <c r="Z199">
        <v>0.13921687385530901</v>
      </c>
      <c r="AA199">
        <v>50</v>
      </c>
    </row>
    <row r="200" spans="1:27" x14ac:dyDescent="0.2">
      <c r="A200">
        <v>10</v>
      </c>
      <c r="B200">
        <v>2</v>
      </c>
      <c r="C200">
        <v>0.2</v>
      </c>
      <c r="D200">
        <v>20</v>
      </c>
      <c r="E200">
        <v>0.90545467159142201</v>
      </c>
      <c r="F200">
        <v>2</v>
      </c>
      <c r="G200">
        <v>25.303638224</v>
      </c>
      <c r="H200">
        <v>0.90824358787816095</v>
      </c>
      <c r="I200">
        <v>2</v>
      </c>
      <c r="J200">
        <v>0.22423736699999999</v>
      </c>
      <c r="P200"/>
      <c r="V200">
        <v>0.88442609615131995</v>
      </c>
      <c r="W200">
        <v>2</v>
      </c>
      <c r="X200">
        <v>296759.18200965499</v>
      </c>
      <c r="Y200">
        <v>107235</v>
      </c>
      <c r="Z200">
        <v>1.6134541332208999E-2</v>
      </c>
      <c r="AA200">
        <v>50</v>
      </c>
    </row>
    <row r="201" spans="1:27" x14ac:dyDescent="0.2">
      <c r="A201">
        <v>10</v>
      </c>
      <c r="B201">
        <v>2</v>
      </c>
      <c r="C201">
        <v>0.1</v>
      </c>
      <c r="D201">
        <v>20</v>
      </c>
      <c r="E201">
        <v>0.97003817623195798</v>
      </c>
      <c r="F201">
        <v>2</v>
      </c>
      <c r="G201">
        <v>25.678291126000001</v>
      </c>
      <c r="H201">
        <v>0.97665197883442201</v>
      </c>
      <c r="I201">
        <v>2</v>
      </c>
      <c r="J201">
        <v>5.8191433000000001E-2</v>
      </c>
      <c r="P201"/>
      <c r="V201">
        <v>0.97996843096846398</v>
      </c>
      <c r="W201">
        <v>2</v>
      </c>
      <c r="X201">
        <v>298856.74540016998</v>
      </c>
      <c r="Y201">
        <v>182839</v>
      </c>
      <c r="Z201">
        <v>1.17841950772685E-2</v>
      </c>
      <c r="AA201">
        <v>50</v>
      </c>
    </row>
    <row r="202" spans="1:27" x14ac:dyDescent="0.2">
      <c r="A202">
        <v>10</v>
      </c>
      <c r="B202">
        <v>1</v>
      </c>
      <c r="C202">
        <v>0.1</v>
      </c>
      <c r="D202">
        <v>100</v>
      </c>
      <c r="E202">
        <v>0.99206759544575995</v>
      </c>
      <c r="F202">
        <v>1</v>
      </c>
      <c r="G202">
        <v>36.731190890999997</v>
      </c>
      <c r="H202">
        <v>0.99175147606525105</v>
      </c>
      <c r="I202">
        <v>1</v>
      </c>
      <c r="J202">
        <v>7.6463837000000007E-2</v>
      </c>
      <c r="P202"/>
      <c r="V202">
        <v>1.0372885330011901</v>
      </c>
      <c r="W202">
        <v>1</v>
      </c>
      <c r="X202">
        <v>59.353253445</v>
      </c>
      <c r="Y202">
        <v>7</v>
      </c>
      <c r="Z202" s="1">
        <v>4.5173602410044702E-5</v>
      </c>
      <c r="AA202">
        <v>3</v>
      </c>
    </row>
    <row r="203" spans="1:27" x14ac:dyDescent="0.2">
      <c r="A203">
        <v>10</v>
      </c>
      <c r="B203">
        <v>1</v>
      </c>
      <c r="C203">
        <v>0.4</v>
      </c>
      <c r="D203">
        <v>100</v>
      </c>
      <c r="E203">
        <v>1.1750978642337101E-2</v>
      </c>
      <c r="F203">
        <v>1</v>
      </c>
      <c r="G203">
        <v>44.620966643999999</v>
      </c>
      <c r="H203">
        <v>1.56792346297394E-2</v>
      </c>
      <c r="I203">
        <v>1</v>
      </c>
      <c r="J203">
        <v>9.2400595000000002E-2</v>
      </c>
      <c r="P203"/>
      <c r="V203">
        <v>1.14042250164127E-2</v>
      </c>
      <c r="W203">
        <v>1</v>
      </c>
      <c r="X203">
        <v>54.590491915000001</v>
      </c>
      <c r="Y203">
        <v>1</v>
      </c>
      <c r="Z203">
        <v>2.3499276143647201E-4</v>
      </c>
      <c r="AA203">
        <v>1</v>
      </c>
    </row>
    <row r="204" spans="1:27" x14ac:dyDescent="0.2">
      <c r="A204">
        <v>10</v>
      </c>
      <c r="B204">
        <v>1</v>
      </c>
      <c r="C204">
        <v>0.2</v>
      </c>
      <c r="D204">
        <v>100</v>
      </c>
      <c r="E204">
        <v>0.706301920395772</v>
      </c>
      <c r="F204">
        <v>1</v>
      </c>
      <c r="G204">
        <v>43.340162048000003</v>
      </c>
      <c r="H204">
        <v>0.70307243640586004</v>
      </c>
      <c r="I204">
        <v>1</v>
      </c>
      <c r="J204">
        <v>0.11380966300000001</v>
      </c>
      <c r="P204"/>
      <c r="V204">
        <v>0.70897344366661397</v>
      </c>
      <c r="W204">
        <v>1</v>
      </c>
      <c r="X204">
        <v>54.750492745999999</v>
      </c>
      <c r="Y204">
        <v>825</v>
      </c>
      <c r="Z204" s="1">
        <v>3.4858690347874803E-5</v>
      </c>
      <c r="AA204">
        <v>1</v>
      </c>
    </row>
    <row r="205" spans="1:27" x14ac:dyDescent="0.2">
      <c r="A205">
        <v>10</v>
      </c>
      <c r="B205">
        <v>1</v>
      </c>
      <c r="C205">
        <v>0.3</v>
      </c>
      <c r="D205">
        <v>100</v>
      </c>
      <c r="E205">
        <v>0.44262805575047098</v>
      </c>
      <c r="F205">
        <v>1</v>
      </c>
      <c r="G205">
        <v>40.785184708000003</v>
      </c>
      <c r="H205">
        <v>0.40393218912336798</v>
      </c>
      <c r="I205">
        <v>1</v>
      </c>
      <c r="J205">
        <v>0.57078682599999997</v>
      </c>
      <c r="P205"/>
      <c r="V205">
        <v>0.40351054545270898</v>
      </c>
      <c r="W205">
        <v>1</v>
      </c>
      <c r="X205">
        <v>74.426821760999999</v>
      </c>
      <c r="Y205">
        <v>305</v>
      </c>
      <c r="Z205">
        <v>3.7739365852757999E-3</v>
      </c>
      <c r="AA205">
        <v>1</v>
      </c>
    </row>
    <row r="206" spans="1:27" x14ac:dyDescent="0.2">
      <c r="A206">
        <v>10</v>
      </c>
      <c r="B206">
        <v>1</v>
      </c>
      <c r="C206">
        <v>0.1</v>
      </c>
      <c r="D206">
        <v>100</v>
      </c>
      <c r="E206">
        <v>0.954098809390861</v>
      </c>
      <c r="F206">
        <v>1</v>
      </c>
      <c r="G206">
        <v>36.248591982999997</v>
      </c>
      <c r="H206">
        <v>0.95409880981148298</v>
      </c>
      <c r="I206">
        <v>1</v>
      </c>
      <c r="J206">
        <v>5.5973634000000001E-2</v>
      </c>
      <c r="P206"/>
      <c r="V206">
        <v>1.1548472195088999</v>
      </c>
      <c r="W206">
        <v>1</v>
      </c>
      <c r="X206">
        <v>42.733282404999997</v>
      </c>
      <c r="Y206">
        <v>0</v>
      </c>
      <c r="Z206">
        <v>5.8207787653142E-4</v>
      </c>
      <c r="AA206">
        <v>2</v>
      </c>
    </row>
    <row r="207" spans="1:27" x14ac:dyDescent="0.2">
      <c r="A207">
        <v>10</v>
      </c>
      <c r="B207">
        <v>1</v>
      </c>
      <c r="C207">
        <v>0.2</v>
      </c>
      <c r="D207">
        <v>100</v>
      </c>
      <c r="E207">
        <v>1.1596426458270199</v>
      </c>
      <c r="F207">
        <v>1</v>
      </c>
      <c r="G207">
        <v>39.892667166000003</v>
      </c>
      <c r="H207">
        <v>1.08682297991332</v>
      </c>
      <c r="I207">
        <v>1</v>
      </c>
      <c r="J207">
        <v>1.2469773340000001</v>
      </c>
      <c r="P207"/>
      <c r="V207">
        <v>1.0560264474674299</v>
      </c>
      <c r="W207">
        <v>1</v>
      </c>
      <c r="X207">
        <v>67.754271465000002</v>
      </c>
      <c r="Y207">
        <v>534</v>
      </c>
      <c r="Z207">
        <v>1.1099952735094099E-3</v>
      </c>
      <c r="AA207">
        <v>1</v>
      </c>
    </row>
    <row r="208" spans="1:27" x14ac:dyDescent="0.2">
      <c r="A208">
        <v>10</v>
      </c>
      <c r="B208">
        <v>1</v>
      </c>
      <c r="C208">
        <v>0.3</v>
      </c>
      <c r="D208">
        <v>100</v>
      </c>
      <c r="E208">
        <v>0.10199859450460699</v>
      </c>
      <c r="F208">
        <v>1</v>
      </c>
      <c r="G208">
        <v>35.587849120999998</v>
      </c>
      <c r="H208">
        <v>5.0432601298781E-2</v>
      </c>
      <c r="I208">
        <v>1</v>
      </c>
      <c r="J208">
        <v>0.240498344</v>
      </c>
      <c r="P208"/>
      <c r="V208">
        <v>2.8022910082711499E-2</v>
      </c>
      <c r="W208">
        <v>1</v>
      </c>
      <c r="X208">
        <v>56.530227762000003</v>
      </c>
      <c r="Y208">
        <v>1474</v>
      </c>
      <c r="Z208">
        <v>1.1243832783597301E-3</v>
      </c>
      <c r="AA208">
        <v>1</v>
      </c>
    </row>
    <row r="209" spans="1:27" x14ac:dyDescent="0.2">
      <c r="A209">
        <v>10</v>
      </c>
      <c r="B209">
        <v>1</v>
      </c>
      <c r="C209">
        <v>0.1</v>
      </c>
      <c r="D209">
        <v>100</v>
      </c>
      <c r="E209">
        <v>0.99158080940432802</v>
      </c>
      <c r="F209">
        <v>1</v>
      </c>
      <c r="G209">
        <v>43.058433108999999</v>
      </c>
      <c r="H209">
        <v>0.99158080940432802</v>
      </c>
      <c r="I209">
        <v>1</v>
      </c>
      <c r="J209">
        <v>8.8776886999999999E-2</v>
      </c>
      <c r="P209"/>
      <c r="V209">
        <v>0.95374222092673699</v>
      </c>
      <c r="W209">
        <v>1</v>
      </c>
      <c r="X209">
        <v>54.975761386000002</v>
      </c>
      <c r="Y209">
        <v>690</v>
      </c>
      <c r="Z209" s="1">
        <v>3.0405118946197301E-6</v>
      </c>
      <c r="AA209">
        <v>1</v>
      </c>
    </row>
    <row r="210" spans="1:27" x14ac:dyDescent="0.2">
      <c r="A210">
        <v>10</v>
      </c>
      <c r="B210">
        <v>1</v>
      </c>
      <c r="C210">
        <v>0.2</v>
      </c>
      <c r="D210">
        <v>100</v>
      </c>
      <c r="E210">
        <v>0.533595355183349</v>
      </c>
      <c r="F210">
        <v>1</v>
      </c>
      <c r="G210">
        <v>42.99078514</v>
      </c>
      <c r="H210">
        <v>0.52888906827103999</v>
      </c>
      <c r="I210">
        <v>1</v>
      </c>
      <c r="J210">
        <v>0.144809512</v>
      </c>
      <c r="P210"/>
      <c r="V210">
        <v>0.51505801039394605</v>
      </c>
      <c r="W210">
        <v>1</v>
      </c>
      <c r="X210">
        <v>62.876678925</v>
      </c>
      <c r="Y210">
        <v>186</v>
      </c>
      <c r="Z210">
        <v>1.49131892537443E-3</v>
      </c>
      <c r="AA210">
        <v>1</v>
      </c>
    </row>
    <row r="211" spans="1:27" x14ac:dyDescent="0.2">
      <c r="A211">
        <v>10</v>
      </c>
      <c r="B211">
        <v>1</v>
      </c>
      <c r="C211">
        <v>0.4</v>
      </c>
      <c r="D211">
        <v>100</v>
      </c>
      <c r="E211">
        <v>1.1272505600810299E-2</v>
      </c>
      <c r="F211">
        <v>1</v>
      </c>
      <c r="G211">
        <v>43.029108682</v>
      </c>
      <c r="H211">
        <v>1.27217728462136E-2</v>
      </c>
      <c r="I211">
        <v>1</v>
      </c>
      <c r="J211">
        <v>0.10489870499999999</v>
      </c>
      <c r="P211"/>
      <c r="V211">
        <v>7.7800559942550196E-3</v>
      </c>
      <c r="W211">
        <v>1</v>
      </c>
      <c r="X211">
        <v>49.033085892999999</v>
      </c>
      <c r="Y211">
        <v>1</v>
      </c>
      <c r="Z211">
        <v>1.71757648888248E-3</v>
      </c>
      <c r="AA211">
        <v>1</v>
      </c>
    </row>
    <row r="212" spans="1:27" x14ac:dyDescent="0.2">
      <c r="A212">
        <v>10</v>
      </c>
      <c r="B212">
        <v>1</v>
      </c>
      <c r="C212">
        <v>0.1</v>
      </c>
      <c r="D212">
        <v>100</v>
      </c>
      <c r="E212">
        <v>0.83200751784048799</v>
      </c>
      <c r="F212">
        <v>1</v>
      </c>
      <c r="G212">
        <v>45.888849428999997</v>
      </c>
      <c r="H212">
        <v>0.832239196705023</v>
      </c>
      <c r="I212">
        <v>1</v>
      </c>
      <c r="J212">
        <v>0.13614694299999999</v>
      </c>
      <c r="P212"/>
      <c r="V212">
        <v>0.83226491302412497</v>
      </c>
      <c r="W212">
        <v>1</v>
      </c>
      <c r="X212">
        <v>66.476093000000006</v>
      </c>
      <c r="Y212">
        <v>481</v>
      </c>
      <c r="Z212">
        <v>9.6773419260598795E-4</v>
      </c>
      <c r="AA212">
        <v>1</v>
      </c>
    </row>
    <row r="213" spans="1:27" x14ac:dyDescent="0.2">
      <c r="A213">
        <v>10</v>
      </c>
      <c r="B213">
        <v>1</v>
      </c>
      <c r="C213">
        <v>0.3</v>
      </c>
      <c r="D213">
        <v>100</v>
      </c>
      <c r="E213">
        <v>0.26500669509768299</v>
      </c>
      <c r="F213">
        <v>1</v>
      </c>
      <c r="G213">
        <v>42.229985517999999</v>
      </c>
      <c r="H213">
        <v>0.20744946948362999</v>
      </c>
      <c r="I213">
        <v>1</v>
      </c>
      <c r="J213">
        <v>0.25767871799999997</v>
      </c>
      <c r="P213"/>
      <c r="V213">
        <v>0.19108853934824699</v>
      </c>
      <c r="W213">
        <v>1</v>
      </c>
      <c r="X213">
        <v>122.60322586700001</v>
      </c>
      <c r="Y213">
        <v>1</v>
      </c>
      <c r="Z213">
        <v>2.0474430211008801E-3</v>
      </c>
      <c r="AA213">
        <v>9</v>
      </c>
    </row>
    <row r="214" spans="1:27" x14ac:dyDescent="0.2">
      <c r="A214">
        <v>10</v>
      </c>
      <c r="B214">
        <v>1</v>
      </c>
      <c r="C214">
        <v>0.1</v>
      </c>
      <c r="D214">
        <v>100</v>
      </c>
      <c r="E214">
        <v>0.96852390255230303</v>
      </c>
      <c r="F214">
        <v>1</v>
      </c>
      <c r="G214">
        <v>40.527035789000003</v>
      </c>
      <c r="H214">
        <v>0.967758647490368</v>
      </c>
      <c r="I214">
        <v>1</v>
      </c>
      <c r="J214">
        <v>0.14544378099999999</v>
      </c>
      <c r="P214"/>
      <c r="V214">
        <v>0.89221942032085899</v>
      </c>
      <c r="W214">
        <v>1</v>
      </c>
      <c r="X214">
        <v>77.633479409000003</v>
      </c>
      <c r="Y214">
        <v>1</v>
      </c>
      <c r="Z214" s="1">
        <v>2.73118706015577E-5</v>
      </c>
      <c r="AA214">
        <v>5</v>
      </c>
    </row>
    <row r="215" spans="1:27" x14ac:dyDescent="0.2">
      <c r="A215">
        <v>10</v>
      </c>
      <c r="B215">
        <v>1</v>
      </c>
      <c r="C215">
        <v>0.1</v>
      </c>
      <c r="D215">
        <v>100</v>
      </c>
      <c r="E215">
        <v>0.98866864617241401</v>
      </c>
      <c r="F215">
        <v>1</v>
      </c>
      <c r="G215">
        <v>42.054531351000001</v>
      </c>
      <c r="H215">
        <v>0.98866881125682304</v>
      </c>
      <c r="I215">
        <v>1</v>
      </c>
      <c r="J215">
        <v>0.199083175</v>
      </c>
      <c r="P215"/>
      <c r="V215">
        <v>1.0212453091892499</v>
      </c>
      <c r="W215">
        <v>1</v>
      </c>
      <c r="X215">
        <v>50.527578665</v>
      </c>
      <c r="Y215">
        <v>1523</v>
      </c>
      <c r="Z215" s="1">
        <v>5.2138261017213204E-7</v>
      </c>
      <c r="AA215">
        <v>1</v>
      </c>
    </row>
    <row r="216" spans="1:27" x14ac:dyDescent="0.2">
      <c r="A216">
        <v>10</v>
      </c>
      <c r="B216">
        <v>1</v>
      </c>
      <c r="C216">
        <v>0.4</v>
      </c>
      <c r="D216">
        <v>100</v>
      </c>
      <c r="E216">
        <v>0.101147379532705</v>
      </c>
      <c r="F216">
        <v>1</v>
      </c>
      <c r="G216">
        <v>34.929240217999997</v>
      </c>
      <c r="H216">
        <v>3.4938542112094101E-2</v>
      </c>
      <c r="I216">
        <v>1</v>
      </c>
      <c r="J216">
        <v>0.21033661300000001</v>
      </c>
      <c r="P216"/>
      <c r="V216">
        <v>2.86027777142288E-2</v>
      </c>
      <c r="W216">
        <v>1</v>
      </c>
      <c r="X216">
        <v>63.634683205999998</v>
      </c>
      <c r="Y216">
        <v>1</v>
      </c>
      <c r="Z216">
        <v>3.0945364378567302E-3</v>
      </c>
      <c r="AA216">
        <v>2</v>
      </c>
    </row>
    <row r="217" spans="1:27" x14ac:dyDescent="0.2">
      <c r="A217">
        <v>10</v>
      </c>
      <c r="B217">
        <v>1</v>
      </c>
      <c r="C217">
        <v>0.2</v>
      </c>
      <c r="D217">
        <v>100</v>
      </c>
      <c r="E217">
        <v>0.95916267721781601</v>
      </c>
      <c r="F217">
        <v>1</v>
      </c>
      <c r="G217">
        <v>35.52813347</v>
      </c>
      <c r="H217">
        <v>0.57725916774876596</v>
      </c>
      <c r="I217">
        <v>1</v>
      </c>
      <c r="J217">
        <v>0.81542093599999999</v>
      </c>
      <c r="P217"/>
      <c r="V217">
        <v>0.54447751867541305</v>
      </c>
      <c r="W217">
        <v>1</v>
      </c>
      <c r="X217">
        <v>56.283157228</v>
      </c>
      <c r="Y217">
        <v>1801</v>
      </c>
      <c r="Z217">
        <v>1.5375067147018601E-3</v>
      </c>
      <c r="AA217">
        <v>1</v>
      </c>
    </row>
    <row r="218" spans="1:27" x14ac:dyDescent="0.2">
      <c r="A218">
        <v>10</v>
      </c>
      <c r="B218">
        <v>1</v>
      </c>
      <c r="C218">
        <v>0.4</v>
      </c>
      <c r="D218">
        <v>100</v>
      </c>
      <c r="E218">
        <v>3.3979278974541803E-2</v>
      </c>
      <c r="F218">
        <v>1</v>
      </c>
      <c r="G218">
        <v>44.323913945999998</v>
      </c>
      <c r="H218">
        <v>2.3761156089445901E-2</v>
      </c>
      <c r="I218">
        <v>1</v>
      </c>
      <c r="J218">
        <v>0.24379051400000001</v>
      </c>
      <c r="P218"/>
      <c r="V218">
        <v>2.0052199005978901E-2</v>
      </c>
      <c r="W218">
        <v>1</v>
      </c>
      <c r="X218">
        <v>38.564226275000003</v>
      </c>
      <c r="Y218">
        <v>1</v>
      </c>
      <c r="Z218">
        <v>3.3587652152976201E-4</v>
      </c>
      <c r="AA218">
        <v>1</v>
      </c>
    </row>
    <row r="219" spans="1:27" x14ac:dyDescent="0.2">
      <c r="A219">
        <v>10</v>
      </c>
      <c r="B219">
        <v>1</v>
      </c>
      <c r="C219">
        <v>0.4</v>
      </c>
      <c r="D219">
        <v>100</v>
      </c>
      <c r="E219">
        <v>0.14815459271029199</v>
      </c>
      <c r="F219">
        <v>1</v>
      </c>
      <c r="G219">
        <v>33.399026376999998</v>
      </c>
      <c r="H219">
        <v>5.2148652621565199E-2</v>
      </c>
      <c r="I219">
        <v>1</v>
      </c>
      <c r="J219">
        <v>0.15627305899999999</v>
      </c>
      <c r="P219"/>
      <c r="V219">
        <v>3.7371870182413502E-2</v>
      </c>
      <c r="W219">
        <v>1</v>
      </c>
      <c r="X219">
        <v>1545.708053655</v>
      </c>
      <c r="Y219">
        <v>26928</v>
      </c>
      <c r="Z219">
        <v>5.3467587603775396E-3</v>
      </c>
      <c r="AA219">
        <v>5</v>
      </c>
    </row>
    <row r="220" spans="1:27" x14ac:dyDescent="0.2">
      <c r="A220">
        <v>10</v>
      </c>
      <c r="B220">
        <v>1</v>
      </c>
      <c r="C220">
        <v>0.2</v>
      </c>
      <c r="D220">
        <v>100</v>
      </c>
      <c r="E220">
        <v>0.55200629199892404</v>
      </c>
      <c r="F220">
        <v>1</v>
      </c>
      <c r="G220">
        <v>43.636068297000001</v>
      </c>
      <c r="H220">
        <v>0.54482608439930802</v>
      </c>
      <c r="I220">
        <v>1</v>
      </c>
      <c r="J220">
        <v>0.16188762000000001</v>
      </c>
      <c r="P220"/>
      <c r="V220">
        <v>0.38223276104332199</v>
      </c>
      <c r="W220">
        <v>1</v>
      </c>
      <c r="X220">
        <v>54.752791881</v>
      </c>
      <c r="Y220">
        <v>1</v>
      </c>
      <c r="Z220">
        <v>2.4171787013911E-3</v>
      </c>
      <c r="AA220">
        <v>3</v>
      </c>
    </row>
    <row r="221" spans="1:27" x14ac:dyDescent="0.2">
      <c r="A221">
        <v>10</v>
      </c>
      <c r="B221">
        <v>1</v>
      </c>
      <c r="C221">
        <v>0.1</v>
      </c>
      <c r="D221">
        <v>100</v>
      </c>
      <c r="E221">
        <v>0.96943135105562495</v>
      </c>
      <c r="F221">
        <v>1</v>
      </c>
      <c r="G221">
        <v>43.941849380999997</v>
      </c>
      <c r="H221">
        <v>0.96943135105562495</v>
      </c>
      <c r="I221">
        <v>1</v>
      </c>
      <c r="J221">
        <v>0.13075863900000001</v>
      </c>
      <c r="P221"/>
      <c r="V221">
        <v>1.1959414417094101</v>
      </c>
      <c r="W221">
        <v>1</v>
      </c>
      <c r="X221">
        <v>45.856604998000002</v>
      </c>
      <c r="Y221">
        <v>729</v>
      </c>
      <c r="Z221" s="1">
        <v>4.8001772763525601E-6</v>
      </c>
      <c r="AA221">
        <v>1</v>
      </c>
    </row>
    <row r="222" spans="1:27" x14ac:dyDescent="0.2">
      <c r="A222">
        <v>10</v>
      </c>
      <c r="B222">
        <v>1</v>
      </c>
      <c r="C222">
        <v>0.3</v>
      </c>
      <c r="D222">
        <v>100</v>
      </c>
      <c r="E222">
        <v>0.322424839391595</v>
      </c>
      <c r="F222">
        <v>1</v>
      </c>
      <c r="G222">
        <v>43.893699230999999</v>
      </c>
      <c r="H222">
        <v>0.215793449722922</v>
      </c>
      <c r="I222">
        <v>1</v>
      </c>
      <c r="J222">
        <v>0.21490880300000001</v>
      </c>
      <c r="P222"/>
      <c r="V222">
        <v>0.19037826602395899</v>
      </c>
      <c r="W222">
        <v>1</v>
      </c>
      <c r="X222">
        <v>64.375000913999997</v>
      </c>
      <c r="Y222">
        <v>503</v>
      </c>
      <c r="Z222">
        <v>1.22388794976038E-3</v>
      </c>
      <c r="AA222">
        <v>1</v>
      </c>
    </row>
    <row r="223" spans="1:27" x14ac:dyDescent="0.2">
      <c r="A223">
        <v>10</v>
      </c>
      <c r="B223">
        <v>1</v>
      </c>
      <c r="C223">
        <v>0.1</v>
      </c>
      <c r="D223">
        <v>100</v>
      </c>
      <c r="E223">
        <v>0.93555181438504698</v>
      </c>
      <c r="F223">
        <v>1</v>
      </c>
      <c r="G223">
        <v>35.735478890000003</v>
      </c>
      <c r="H223">
        <v>0.93555181438513002</v>
      </c>
      <c r="I223">
        <v>1</v>
      </c>
      <c r="J223">
        <v>6.0336768999999998E-2</v>
      </c>
      <c r="P223"/>
      <c r="V223">
        <v>1.1508020343013301</v>
      </c>
      <c r="W223">
        <v>1</v>
      </c>
      <c r="X223">
        <v>44.904605371000002</v>
      </c>
      <c r="Y223">
        <v>1911</v>
      </c>
      <c r="Z223">
        <v>0</v>
      </c>
      <c r="AA223">
        <v>1</v>
      </c>
    </row>
    <row r="224" spans="1:27" x14ac:dyDescent="0.2">
      <c r="A224">
        <v>10</v>
      </c>
      <c r="B224">
        <v>1</v>
      </c>
      <c r="C224">
        <v>0.3</v>
      </c>
      <c r="D224">
        <v>100</v>
      </c>
      <c r="E224">
        <v>0.21137640269307401</v>
      </c>
      <c r="F224">
        <v>1</v>
      </c>
      <c r="G224">
        <v>36.252508532</v>
      </c>
      <c r="H224">
        <v>0.21147054960148401</v>
      </c>
      <c r="I224">
        <v>1</v>
      </c>
      <c r="J224">
        <v>6.9948261999999997E-2</v>
      </c>
      <c r="P224"/>
      <c r="V224">
        <v>0.210929494205819</v>
      </c>
      <c r="W224">
        <v>1</v>
      </c>
      <c r="X224">
        <v>36.011480259999999</v>
      </c>
      <c r="Y224">
        <v>1</v>
      </c>
      <c r="Z224">
        <v>1.1949002030917E-4</v>
      </c>
      <c r="AA224">
        <v>1</v>
      </c>
    </row>
    <row r="225" spans="1:27" x14ac:dyDescent="0.2">
      <c r="A225">
        <v>10</v>
      </c>
      <c r="B225">
        <v>1</v>
      </c>
      <c r="C225">
        <v>0.4</v>
      </c>
      <c r="D225">
        <v>100</v>
      </c>
      <c r="E225">
        <v>4.35471455100667E-2</v>
      </c>
      <c r="F225">
        <v>1</v>
      </c>
      <c r="G225">
        <v>35.088141853000003</v>
      </c>
      <c r="H225">
        <v>4.3650414185662803E-2</v>
      </c>
      <c r="I225">
        <v>1</v>
      </c>
      <c r="J225">
        <v>7.1271878999999996E-2</v>
      </c>
      <c r="P225"/>
      <c r="V225">
        <v>3.3379693339391898E-2</v>
      </c>
      <c r="W225">
        <v>1</v>
      </c>
      <c r="X225">
        <v>229.58390512</v>
      </c>
      <c r="Y225">
        <v>4369</v>
      </c>
      <c r="Z225">
        <v>1.8303752338946701E-3</v>
      </c>
      <c r="AA225">
        <v>8</v>
      </c>
    </row>
    <row r="226" spans="1:27" x14ac:dyDescent="0.2">
      <c r="A226">
        <v>10</v>
      </c>
      <c r="B226">
        <v>1</v>
      </c>
      <c r="C226">
        <v>0.3</v>
      </c>
      <c r="D226">
        <v>100</v>
      </c>
      <c r="E226">
        <v>0.33391000051747</v>
      </c>
      <c r="F226">
        <v>1</v>
      </c>
      <c r="G226">
        <v>36.447997801</v>
      </c>
      <c r="H226">
        <v>0.31152313703919299</v>
      </c>
      <c r="I226">
        <v>1</v>
      </c>
      <c r="J226">
        <v>0.22607816999999999</v>
      </c>
      <c r="P226"/>
      <c r="V226">
        <v>0.28699058760739898</v>
      </c>
      <c r="W226">
        <v>1</v>
      </c>
      <c r="X226">
        <v>898.30336106499999</v>
      </c>
      <c r="Y226">
        <v>44296</v>
      </c>
      <c r="Z226">
        <v>1.98716084313624E-3</v>
      </c>
      <c r="AA226">
        <v>5</v>
      </c>
    </row>
    <row r="227" spans="1:27" x14ac:dyDescent="0.2">
      <c r="A227">
        <v>10</v>
      </c>
      <c r="B227">
        <v>1</v>
      </c>
      <c r="C227">
        <v>0.4</v>
      </c>
      <c r="D227">
        <v>100</v>
      </c>
      <c r="E227">
        <v>0.53589575945914003</v>
      </c>
      <c r="F227">
        <v>1</v>
      </c>
      <c r="G227">
        <v>46.260282574000001</v>
      </c>
      <c r="H227">
        <v>0.535899278931393</v>
      </c>
      <c r="I227">
        <v>1</v>
      </c>
      <c r="J227">
        <v>0.124403768</v>
      </c>
      <c r="P227"/>
      <c r="V227">
        <v>0.53583998441994496</v>
      </c>
      <c r="W227">
        <v>1</v>
      </c>
      <c r="X227">
        <v>41.986449509000003</v>
      </c>
      <c r="Y227">
        <v>1</v>
      </c>
      <c r="Z227">
        <v>2.1331762326599001E-3</v>
      </c>
      <c r="AA227">
        <v>1</v>
      </c>
    </row>
    <row r="228" spans="1:27" x14ac:dyDescent="0.2">
      <c r="A228">
        <v>10</v>
      </c>
      <c r="B228">
        <v>1</v>
      </c>
      <c r="C228">
        <v>0.1</v>
      </c>
      <c r="D228">
        <v>100</v>
      </c>
      <c r="E228">
        <v>0.93342188985294905</v>
      </c>
      <c r="F228">
        <v>1</v>
      </c>
      <c r="G228">
        <v>45.445502326000003</v>
      </c>
      <c r="H228">
        <v>0.93342189210381499</v>
      </c>
      <c r="I228">
        <v>1</v>
      </c>
      <c r="J228">
        <v>0.111990506</v>
      </c>
      <c r="P228"/>
      <c r="V228">
        <v>0.75843623056027198</v>
      </c>
      <c r="W228">
        <v>1</v>
      </c>
      <c r="X228">
        <v>54.686474617999998</v>
      </c>
      <c r="Y228">
        <v>1511</v>
      </c>
      <c r="Z228" s="1">
        <v>3.7103317057640602E-8</v>
      </c>
      <c r="AA228">
        <v>1</v>
      </c>
    </row>
    <row r="229" spans="1:27" x14ac:dyDescent="0.2">
      <c r="A229">
        <v>10</v>
      </c>
      <c r="B229">
        <v>1</v>
      </c>
      <c r="C229">
        <v>0.2</v>
      </c>
      <c r="D229">
        <v>100</v>
      </c>
      <c r="E229">
        <v>0.43840436825954898</v>
      </c>
      <c r="F229">
        <v>1</v>
      </c>
      <c r="G229">
        <v>46.410839430000003</v>
      </c>
      <c r="H229">
        <v>0.44435487925547801</v>
      </c>
      <c r="I229">
        <v>1</v>
      </c>
      <c r="J229">
        <v>0.113996003</v>
      </c>
      <c r="P229"/>
      <c r="V229">
        <v>0.41957184033943201</v>
      </c>
      <c r="W229">
        <v>1</v>
      </c>
      <c r="X229">
        <v>66.936178169000002</v>
      </c>
      <c r="Y229">
        <v>1</v>
      </c>
      <c r="Z229">
        <v>8.85080833649295E-4</v>
      </c>
      <c r="AA229">
        <v>2</v>
      </c>
    </row>
    <row r="230" spans="1:27" x14ac:dyDescent="0.2">
      <c r="A230">
        <v>10</v>
      </c>
      <c r="B230">
        <v>1</v>
      </c>
      <c r="C230">
        <v>0.3</v>
      </c>
      <c r="D230">
        <v>100</v>
      </c>
      <c r="E230">
        <v>0.88467702878187504</v>
      </c>
      <c r="F230">
        <v>1</v>
      </c>
      <c r="G230">
        <v>46.164867014000002</v>
      </c>
      <c r="H230">
        <v>0.86422708017459804</v>
      </c>
      <c r="I230">
        <v>1</v>
      </c>
      <c r="J230">
        <v>1.0080687719999999</v>
      </c>
      <c r="P230"/>
      <c r="V230">
        <v>0.47655874216264599</v>
      </c>
      <c r="W230">
        <v>1</v>
      </c>
      <c r="X230">
        <v>59.174588602</v>
      </c>
      <c r="Y230">
        <v>1</v>
      </c>
      <c r="Z230">
        <v>4.3452210475070302E-3</v>
      </c>
      <c r="AA230">
        <v>2</v>
      </c>
    </row>
    <row r="231" spans="1:27" x14ac:dyDescent="0.2">
      <c r="A231">
        <v>10</v>
      </c>
      <c r="B231">
        <v>1</v>
      </c>
      <c r="C231">
        <v>0.4</v>
      </c>
      <c r="D231">
        <v>100</v>
      </c>
      <c r="E231">
        <v>0.112482916921648</v>
      </c>
      <c r="F231">
        <v>1</v>
      </c>
      <c r="G231">
        <v>32.884743833000002</v>
      </c>
      <c r="H231">
        <v>5.0205756304327297E-2</v>
      </c>
      <c r="I231">
        <v>1</v>
      </c>
      <c r="J231">
        <v>8.8612610999999994E-2</v>
      </c>
      <c r="P231"/>
      <c r="V231">
        <v>7.9390092959062894E-2</v>
      </c>
      <c r="W231">
        <v>1</v>
      </c>
      <c r="X231">
        <v>37.501379792999998</v>
      </c>
      <c r="Y231">
        <v>708</v>
      </c>
      <c r="Z231">
        <v>8.9805832918662899E-4</v>
      </c>
      <c r="AA231">
        <v>1</v>
      </c>
    </row>
    <row r="232" spans="1:27" x14ac:dyDescent="0.2">
      <c r="A232">
        <v>10</v>
      </c>
      <c r="B232">
        <v>1</v>
      </c>
      <c r="C232">
        <v>0.2</v>
      </c>
      <c r="D232">
        <v>100</v>
      </c>
      <c r="E232">
        <v>0.66168150785883695</v>
      </c>
      <c r="F232">
        <v>1</v>
      </c>
      <c r="G232">
        <v>35.091595593999998</v>
      </c>
      <c r="H232">
        <v>0.62086822512613604</v>
      </c>
      <c r="I232">
        <v>1</v>
      </c>
      <c r="J232">
        <v>0.12324517</v>
      </c>
      <c r="P232"/>
      <c r="V232">
        <v>0.55533336390130295</v>
      </c>
      <c r="W232">
        <v>1</v>
      </c>
      <c r="X232">
        <v>714.14878928999997</v>
      </c>
      <c r="Y232">
        <v>24772</v>
      </c>
      <c r="Z232">
        <v>3.0398739347577798E-4</v>
      </c>
      <c r="AA232">
        <v>5</v>
      </c>
    </row>
    <row r="233" spans="1:27" x14ac:dyDescent="0.2">
      <c r="A233">
        <v>10</v>
      </c>
      <c r="B233">
        <v>1</v>
      </c>
      <c r="C233">
        <v>0.1</v>
      </c>
      <c r="D233">
        <v>100</v>
      </c>
      <c r="E233">
        <v>0.94251866421410402</v>
      </c>
      <c r="F233">
        <v>1</v>
      </c>
      <c r="G233">
        <v>32.458945706000002</v>
      </c>
      <c r="H233">
        <v>0.94251866421410502</v>
      </c>
      <c r="I233">
        <v>1</v>
      </c>
      <c r="J233">
        <v>6.1080256999999999E-2</v>
      </c>
      <c r="P233"/>
      <c r="V233">
        <v>0.683664976460306</v>
      </c>
      <c r="W233">
        <v>1</v>
      </c>
      <c r="X233">
        <v>2914.9971969789999</v>
      </c>
      <c r="Y233">
        <v>357422</v>
      </c>
      <c r="Z233">
        <v>2.9928318943841001E-4</v>
      </c>
      <c r="AA233">
        <v>8</v>
      </c>
    </row>
    <row r="234" spans="1:27" x14ac:dyDescent="0.2">
      <c r="A234">
        <v>10</v>
      </c>
      <c r="B234">
        <v>1</v>
      </c>
      <c r="C234">
        <v>0.1</v>
      </c>
      <c r="D234">
        <v>100</v>
      </c>
      <c r="E234">
        <v>0.99383230630533703</v>
      </c>
      <c r="F234">
        <v>1</v>
      </c>
      <c r="G234">
        <v>32.628082495000001</v>
      </c>
      <c r="H234">
        <v>0.99383230630533703</v>
      </c>
      <c r="I234">
        <v>1</v>
      </c>
      <c r="J234">
        <v>0.12604204899999999</v>
      </c>
      <c r="P234"/>
      <c r="V234">
        <v>1.02597082564891</v>
      </c>
      <c r="W234">
        <v>1</v>
      </c>
      <c r="X234">
        <v>74.127192304000005</v>
      </c>
      <c r="Y234">
        <v>2663</v>
      </c>
      <c r="Z234" s="1">
        <v>8.3300001278985197E-5</v>
      </c>
      <c r="AA234">
        <v>3</v>
      </c>
    </row>
    <row r="235" spans="1:27" x14ac:dyDescent="0.2">
      <c r="A235">
        <v>10</v>
      </c>
      <c r="B235">
        <v>1</v>
      </c>
      <c r="C235">
        <v>0.4</v>
      </c>
      <c r="D235">
        <v>100</v>
      </c>
      <c r="E235">
        <v>1.8512436659647101E-2</v>
      </c>
      <c r="F235">
        <v>1</v>
      </c>
      <c r="G235">
        <v>48.628864299999996</v>
      </c>
      <c r="H235">
        <v>2.1766817239438001E-2</v>
      </c>
      <c r="I235">
        <v>1</v>
      </c>
      <c r="J235">
        <v>0.121544185</v>
      </c>
      <c r="P235"/>
      <c r="V235">
        <v>1.3668607798213901E-2</v>
      </c>
      <c r="W235">
        <v>1</v>
      </c>
      <c r="X235">
        <v>50.362374164999999</v>
      </c>
      <c r="Y235">
        <v>7</v>
      </c>
      <c r="Z235">
        <v>3.3395579821587302E-3</v>
      </c>
      <c r="AA235">
        <v>1</v>
      </c>
    </row>
    <row r="236" spans="1:27" x14ac:dyDescent="0.2">
      <c r="A236">
        <v>10</v>
      </c>
      <c r="B236">
        <v>1</v>
      </c>
      <c r="C236">
        <v>0.2</v>
      </c>
      <c r="D236">
        <v>100</v>
      </c>
      <c r="E236">
        <v>0.82146256733532996</v>
      </c>
      <c r="F236">
        <v>1</v>
      </c>
      <c r="G236">
        <v>31.794201255000001</v>
      </c>
      <c r="H236">
        <v>0.78624131803726505</v>
      </c>
      <c r="I236">
        <v>1</v>
      </c>
      <c r="J236">
        <v>0.21001294600000001</v>
      </c>
      <c r="P236"/>
      <c r="V236">
        <v>1.04488459470816</v>
      </c>
      <c r="W236">
        <v>1</v>
      </c>
      <c r="X236">
        <v>54.076098680000001</v>
      </c>
      <c r="Y236">
        <v>710</v>
      </c>
      <c r="Z236">
        <v>9.3008336079947098E-4</v>
      </c>
      <c r="AA236">
        <v>1</v>
      </c>
    </row>
    <row r="237" spans="1:27" x14ac:dyDescent="0.2">
      <c r="A237">
        <v>10</v>
      </c>
      <c r="B237">
        <v>1</v>
      </c>
      <c r="C237">
        <v>0.1</v>
      </c>
      <c r="D237">
        <v>100</v>
      </c>
      <c r="E237">
        <v>0.97306445747750303</v>
      </c>
      <c r="F237">
        <v>1</v>
      </c>
      <c r="G237">
        <v>36.358498716</v>
      </c>
      <c r="H237">
        <v>0.97306445747750303</v>
      </c>
      <c r="I237">
        <v>1</v>
      </c>
      <c r="J237">
        <v>8.1313022999999998E-2</v>
      </c>
      <c r="P237"/>
      <c r="V237">
        <v>1.0703725117330301</v>
      </c>
      <c r="W237">
        <v>1</v>
      </c>
      <c r="X237">
        <v>37.167198386000003</v>
      </c>
      <c r="Y237">
        <v>874</v>
      </c>
      <c r="Z237" s="1">
        <v>2.266979361858E-6</v>
      </c>
      <c r="AA237">
        <v>1</v>
      </c>
    </row>
    <row r="238" spans="1:27" x14ac:dyDescent="0.2">
      <c r="A238">
        <v>10</v>
      </c>
      <c r="B238">
        <v>1</v>
      </c>
      <c r="C238">
        <v>0.2</v>
      </c>
      <c r="D238">
        <v>100</v>
      </c>
      <c r="E238">
        <v>0.73251060074738095</v>
      </c>
      <c r="F238">
        <v>1</v>
      </c>
      <c r="G238">
        <v>36.723574511999999</v>
      </c>
      <c r="H238">
        <v>0.71362858716843403</v>
      </c>
      <c r="I238">
        <v>1</v>
      </c>
      <c r="J238">
        <v>0.106584925</v>
      </c>
      <c r="P238"/>
      <c r="V238">
        <v>1.0283854877118901</v>
      </c>
      <c r="W238">
        <v>1</v>
      </c>
      <c r="X238">
        <v>93.593680296000002</v>
      </c>
      <c r="Y238">
        <v>1612</v>
      </c>
      <c r="Z238">
        <v>3.0930777551238102E-4</v>
      </c>
      <c r="AA238">
        <v>3</v>
      </c>
    </row>
    <row r="239" spans="1:27" x14ac:dyDescent="0.2">
      <c r="A239">
        <v>10</v>
      </c>
      <c r="B239">
        <v>1</v>
      </c>
      <c r="C239">
        <v>0.3</v>
      </c>
      <c r="D239">
        <v>100</v>
      </c>
      <c r="E239">
        <v>0.183310316637295</v>
      </c>
      <c r="F239">
        <v>1</v>
      </c>
      <c r="G239">
        <v>38.008930902000003</v>
      </c>
      <c r="H239">
        <v>9.7549265804284704E-2</v>
      </c>
      <c r="I239">
        <v>1</v>
      </c>
      <c r="J239">
        <v>0.29958041299999999</v>
      </c>
      <c r="P239"/>
      <c r="V239">
        <v>0.111381752795953</v>
      </c>
      <c r="W239">
        <v>1</v>
      </c>
      <c r="X239">
        <v>60.701625682</v>
      </c>
      <c r="Y239">
        <v>1</v>
      </c>
      <c r="Z239">
        <v>4.5913880697522301E-3</v>
      </c>
      <c r="AA239">
        <v>2</v>
      </c>
    </row>
    <row r="240" spans="1:27" x14ac:dyDescent="0.2">
      <c r="A240">
        <v>10</v>
      </c>
      <c r="B240">
        <v>1</v>
      </c>
      <c r="C240">
        <v>0.4</v>
      </c>
      <c r="D240">
        <v>100</v>
      </c>
      <c r="E240">
        <v>0.10370879764046601</v>
      </c>
      <c r="F240">
        <v>1</v>
      </c>
      <c r="G240">
        <v>37.888201576</v>
      </c>
      <c r="H240">
        <v>5.7363710379603298E-2</v>
      </c>
      <c r="I240">
        <v>1</v>
      </c>
      <c r="J240">
        <v>0.25732895099999997</v>
      </c>
      <c r="P240"/>
      <c r="V240">
        <v>3.1124043086995699E-2</v>
      </c>
      <c r="W240">
        <v>1</v>
      </c>
      <c r="X240">
        <v>46.018977135</v>
      </c>
      <c r="Y240">
        <v>1</v>
      </c>
      <c r="Z240">
        <v>3.3186016813967398E-3</v>
      </c>
      <c r="AA240">
        <v>2</v>
      </c>
    </row>
    <row r="241" spans="1:27" x14ac:dyDescent="0.2">
      <c r="A241">
        <v>10</v>
      </c>
      <c r="B241">
        <v>1</v>
      </c>
      <c r="C241">
        <v>0.1</v>
      </c>
      <c r="D241">
        <v>100</v>
      </c>
      <c r="E241">
        <v>0.97682052667503905</v>
      </c>
      <c r="F241">
        <v>1</v>
      </c>
      <c r="G241">
        <v>35.550884795999998</v>
      </c>
      <c r="H241">
        <v>0.97682052693185595</v>
      </c>
      <c r="I241">
        <v>1</v>
      </c>
      <c r="J241">
        <v>8.8493599000000006E-2</v>
      </c>
      <c r="P241"/>
      <c r="V241">
        <v>1.1448346077990501</v>
      </c>
      <c r="W241">
        <v>1</v>
      </c>
      <c r="X241">
        <v>42.259641666999997</v>
      </c>
      <c r="Y241">
        <v>1098</v>
      </c>
      <c r="Z241" s="1">
        <v>3.0570956477406101E-5</v>
      </c>
      <c r="AA241">
        <v>1</v>
      </c>
    </row>
    <row r="242" spans="1:27" x14ac:dyDescent="0.2">
      <c r="A242">
        <v>10</v>
      </c>
      <c r="B242">
        <v>1</v>
      </c>
      <c r="C242">
        <v>0.3</v>
      </c>
      <c r="D242">
        <v>100</v>
      </c>
      <c r="E242">
        <v>0.28741922212871601</v>
      </c>
      <c r="F242">
        <v>1</v>
      </c>
      <c r="G242">
        <v>35.463853380000003</v>
      </c>
      <c r="H242">
        <v>0.282407566857446</v>
      </c>
      <c r="I242">
        <v>1</v>
      </c>
      <c r="J242">
        <v>0.25678847799999999</v>
      </c>
      <c r="P242"/>
      <c r="V242">
        <v>0.27800387334767301</v>
      </c>
      <c r="W242">
        <v>1</v>
      </c>
      <c r="X242">
        <v>2929.111787453</v>
      </c>
      <c r="Y242">
        <v>47071</v>
      </c>
      <c r="Z242">
        <v>1.5058061479042901E-3</v>
      </c>
      <c r="AA242">
        <v>21</v>
      </c>
    </row>
    <row r="243" spans="1:27" x14ac:dyDescent="0.2">
      <c r="A243">
        <v>10</v>
      </c>
      <c r="B243">
        <v>1</v>
      </c>
      <c r="C243">
        <v>0.4</v>
      </c>
      <c r="D243">
        <v>100</v>
      </c>
      <c r="E243">
        <v>0.126739016293201</v>
      </c>
      <c r="F243">
        <v>1</v>
      </c>
      <c r="G243">
        <v>45.834067971000003</v>
      </c>
      <c r="H243">
        <v>3.61751840195947E-2</v>
      </c>
      <c r="I243">
        <v>1</v>
      </c>
      <c r="J243">
        <v>0.192606679</v>
      </c>
      <c r="P243"/>
      <c r="V243">
        <v>2.8777503035723899E-2</v>
      </c>
      <c r="W243">
        <v>1</v>
      </c>
      <c r="X243">
        <v>6251.7788474850004</v>
      </c>
      <c r="Y243">
        <v>35075</v>
      </c>
      <c r="Z243">
        <v>6.0034064619329797E-4</v>
      </c>
      <c r="AA243">
        <v>17</v>
      </c>
    </row>
    <row r="244" spans="1:27" x14ac:dyDescent="0.2">
      <c r="A244">
        <v>10</v>
      </c>
      <c r="B244">
        <v>1</v>
      </c>
      <c r="C244">
        <v>0.2</v>
      </c>
      <c r="D244">
        <v>100</v>
      </c>
      <c r="E244">
        <v>0.78992497408445095</v>
      </c>
      <c r="F244">
        <v>1</v>
      </c>
      <c r="G244">
        <v>44.754719481999999</v>
      </c>
      <c r="H244">
        <v>0.66385112900126397</v>
      </c>
      <c r="I244">
        <v>1</v>
      </c>
      <c r="J244">
        <v>0.34941730599999998</v>
      </c>
      <c r="P244"/>
      <c r="V244">
        <v>1.08810706568199</v>
      </c>
      <c r="W244">
        <v>1</v>
      </c>
      <c r="X244">
        <v>5441.0388377609997</v>
      </c>
      <c r="Y244">
        <v>52913</v>
      </c>
      <c r="Z244">
        <v>1.6759105935312799E-4</v>
      </c>
      <c r="AA244">
        <v>9</v>
      </c>
    </row>
    <row r="245" spans="1:27" x14ac:dyDescent="0.2">
      <c r="A245">
        <v>10</v>
      </c>
      <c r="B245">
        <v>1</v>
      </c>
      <c r="C245">
        <v>0.1</v>
      </c>
      <c r="D245">
        <v>100</v>
      </c>
      <c r="E245">
        <v>0.93836302380218894</v>
      </c>
      <c r="F245">
        <v>1</v>
      </c>
      <c r="G245">
        <v>49.128486401000004</v>
      </c>
      <c r="H245">
        <v>0.93836315676387305</v>
      </c>
      <c r="I245">
        <v>1</v>
      </c>
      <c r="J245">
        <v>0.11519470800000001</v>
      </c>
      <c r="P245"/>
      <c r="V245">
        <v>1.17924043543962</v>
      </c>
      <c r="W245">
        <v>1</v>
      </c>
      <c r="X245">
        <v>78.601423694000005</v>
      </c>
      <c r="Y245">
        <v>0</v>
      </c>
      <c r="Z245" s="1">
        <v>8.8257085446675294E-5</v>
      </c>
      <c r="AA245">
        <v>3</v>
      </c>
    </row>
    <row r="246" spans="1:27" x14ac:dyDescent="0.2">
      <c r="A246">
        <v>10</v>
      </c>
      <c r="B246">
        <v>1</v>
      </c>
      <c r="C246">
        <v>0.2</v>
      </c>
      <c r="D246">
        <v>100</v>
      </c>
      <c r="E246">
        <v>0.64063598109198405</v>
      </c>
      <c r="F246">
        <v>1</v>
      </c>
      <c r="G246">
        <v>49.852110164999999</v>
      </c>
      <c r="H246">
        <v>0.46373823271661202</v>
      </c>
      <c r="I246">
        <v>1</v>
      </c>
      <c r="J246">
        <v>0.59334243099999995</v>
      </c>
      <c r="P246"/>
      <c r="V246">
        <v>0.48644585695500803</v>
      </c>
      <c r="W246">
        <v>1</v>
      </c>
      <c r="X246">
        <v>101.600750838</v>
      </c>
      <c r="Y246">
        <v>1</v>
      </c>
      <c r="Z246">
        <v>4.6790079208516101E-4</v>
      </c>
      <c r="AA246">
        <v>5</v>
      </c>
    </row>
    <row r="247" spans="1:27" x14ac:dyDescent="0.2">
      <c r="A247">
        <v>10</v>
      </c>
      <c r="B247">
        <v>1</v>
      </c>
      <c r="C247">
        <v>0.3</v>
      </c>
      <c r="D247">
        <v>100</v>
      </c>
      <c r="E247">
        <v>0.33811371049546701</v>
      </c>
      <c r="F247">
        <v>1</v>
      </c>
      <c r="G247">
        <v>59.460501778999998</v>
      </c>
      <c r="H247">
        <v>0.18974498529754899</v>
      </c>
      <c r="I247">
        <v>1</v>
      </c>
      <c r="J247">
        <v>0.12327537700000001</v>
      </c>
      <c r="P247"/>
      <c r="V247">
        <v>0.26285613023927401</v>
      </c>
      <c r="W247">
        <v>1</v>
      </c>
      <c r="X247">
        <v>88.828258317999996</v>
      </c>
      <c r="Y247">
        <v>1</v>
      </c>
      <c r="Z247">
        <v>1.3503911227839801E-3</v>
      </c>
      <c r="AA247">
        <v>3</v>
      </c>
    </row>
    <row r="248" spans="1:27" x14ac:dyDescent="0.2">
      <c r="A248">
        <v>10</v>
      </c>
      <c r="B248">
        <v>1</v>
      </c>
      <c r="C248">
        <v>0.4</v>
      </c>
      <c r="D248">
        <v>100</v>
      </c>
      <c r="E248">
        <v>0.13479973007989501</v>
      </c>
      <c r="F248">
        <v>1</v>
      </c>
      <c r="G248">
        <v>46.699727785999997</v>
      </c>
      <c r="H248">
        <v>3.6039837208685102E-2</v>
      </c>
      <c r="I248">
        <v>1</v>
      </c>
      <c r="J248">
        <v>0.49616052399999999</v>
      </c>
      <c r="P248"/>
      <c r="V248">
        <v>3.3085553726273802E-2</v>
      </c>
      <c r="W248">
        <v>1</v>
      </c>
      <c r="X248">
        <v>101.545538737</v>
      </c>
      <c r="Y248">
        <v>1</v>
      </c>
      <c r="Z248">
        <v>5.9798684142151597E-3</v>
      </c>
      <c r="AA248">
        <v>2</v>
      </c>
    </row>
    <row r="249" spans="1:27" x14ac:dyDescent="0.2">
      <c r="A249">
        <v>10</v>
      </c>
      <c r="B249">
        <v>1</v>
      </c>
      <c r="C249">
        <v>0.1</v>
      </c>
      <c r="D249">
        <v>100</v>
      </c>
      <c r="E249">
        <v>0.995829716610385</v>
      </c>
      <c r="F249">
        <v>1</v>
      </c>
      <c r="G249">
        <v>48.032035207</v>
      </c>
      <c r="H249">
        <v>0.99065316638397405</v>
      </c>
      <c r="I249">
        <v>1</v>
      </c>
      <c r="J249">
        <v>0.17649567499999999</v>
      </c>
      <c r="P249"/>
      <c r="V249">
        <v>0.97576656438223996</v>
      </c>
      <c r="W249">
        <v>1</v>
      </c>
      <c r="X249">
        <v>64.497428275999994</v>
      </c>
      <c r="Y249">
        <v>809</v>
      </c>
      <c r="Z249" s="1">
        <v>1.4582943983509499E-5</v>
      </c>
      <c r="AA249">
        <v>1</v>
      </c>
    </row>
    <row r="250" spans="1:27" x14ac:dyDescent="0.2">
      <c r="A250">
        <v>10</v>
      </c>
      <c r="B250">
        <v>1</v>
      </c>
      <c r="C250">
        <v>0.4</v>
      </c>
      <c r="D250">
        <v>100</v>
      </c>
      <c r="E250">
        <v>0.28535689305038497</v>
      </c>
      <c r="F250">
        <v>1</v>
      </c>
      <c r="G250">
        <v>36.331250699000002</v>
      </c>
      <c r="H250">
        <v>7.4345662466785006E-2</v>
      </c>
      <c r="I250">
        <v>1</v>
      </c>
      <c r="J250">
        <v>0.15844751700000001</v>
      </c>
      <c r="P250"/>
      <c r="V250">
        <v>7.1239361419814407E-2</v>
      </c>
      <c r="W250">
        <v>1</v>
      </c>
      <c r="X250">
        <v>9530.3836914660005</v>
      </c>
      <c r="Y250">
        <v>147049</v>
      </c>
      <c r="Z250">
        <v>8.3247082783274797E-4</v>
      </c>
      <c r="AA250">
        <v>18</v>
      </c>
    </row>
    <row r="251" spans="1:27" x14ac:dyDescent="0.2">
      <c r="A251">
        <v>10</v>
      </c>
      <c r="B251">
        <v>1</v>
      </c>
      <c r="C251">
        <v>0.4</v>
      </c>
      <c r="D251">
        <v>100</v>
      </c>
      <c r="E251">
        <v>0.20770926490552999</v>
      </c>
      <c r="F251">
        <v>1</v>
      </c>
      <c r="G251">
        <v>38.580035436999999</v>
      </c>
      <c r="H251">
        <v>0.19100070935396399</v>
      </c>
      <c r="I251">
        <v>1</v>
      </c>
      <c r="J251">
        <v>0.227811394</v>
      </c>
      <c r="P251"/>
      <c r="V251">
        <v>0.18821405455582599</v>
      </c>
      <c r="W251">
        <v>1</v>
      </c>
      <c r="X251">
        <v>57.762243161000001</v>
      </c>
      <c r="Y251">
        <v>1347</v>
      </c>
      <c r="Z251">
        <v>2.5330506064102998E-3</v>
      </c>
      <c r="AA251">
        <v>1</v>
      </c>
    </row>
    <row r="252" spans="1:27" x14ac:dyDescent="0.2">
      <c r="A252">
        <v>10</v>
      </c>
      <c r="B252">
        <v>1</v>
      </c>
      <c r="C252">
        <v>0.1</v>
      </c>
      <c r="D252">
        <v>100</v>
      </c>
      <c r="E252">
        <v>0.98446091219510501</v>
      </c>
      <c r="F252">
        <v>1</v>
      </c>
      <c r="G252">
        <v>38.577669976000003</v>
      </c>
      <c r="H252">
        <v>0.98446091219510501</v>
      </c>
      <c r="I252">
        <v>1</v>
      </c>
      <c r="J252">
        <v>0.10589135600000001</v>
      </c>
      <c r="P252"/>
      <c r="V252">
        <v>1.0556773198480101</v>
      </c>
      <c r="W252">
        <v>1</v>
      </c>
      <c r="X252">
        <v>39.137141143000001</v>
      </c>
      <c r="Y252">
        <v>1032</v>
      </c>
      <c r="Z252" s="1">
        <v>3.8896217216532998E-7</v>
      </c>
      <c r="AA252">
        <v>1</v>
      </c>
    </row>
    <row r="253" spans="1:27" x14ac:dyDescent="0.2">
      <c r="A253">
        <v>10</v>
      </c>
      <c r="B253">
        <v>1</v>
      </c>
      <c r="C253">
        <v>0.2</v>
      </c>
      <c r="D253">
        <v>100</v>
      </c>
      <c r="E253">
        <v>0.63739513763963995</v>
      </c>
      <c r="F253">
        <v>1</v>
      </c>
      <c r="G253">
        <v>38.646456657000002</v>
      </c>
      <c r="H253">
        <v>0.57581829636647297</v>
      </c>
      <c r="I253">
        <v>1</v>
      </c>
      <c r="J253">
        <v>0.24205673699999999</v>
      </c>
      <c r="P253"/>
      <c r="V253">
        <v>0.87520967428666696</v>
      </c>
      <c r="W253">
        <v>1</v>
      </c>
      <c r="X253">
        <v>67.623642390000001</v>
      </c>
      <c r="Y253">
        <v>1</v>
      </c>
      <c r="Z253">
        <v>1.3393576354722399E-3</v>
      </c>
      <c r="AA253">
        <v>6</v>
      </c>
    </row>
    <row r="254" spans="1:27" x14ac:dyDescent="0.2">
      <c r="A254">
        <v>10</v>
      </c>
      <c r="B254">
        <v>1</v>
      </c>
      <c r="C254">
        <v>0.3</v>
      </c>
      <c r="D254">
        <v>100</v>
      </c>
      <c r="E254">
        <v>0.26603525966715702</v>
      </c>
      <c r="F254">
        <v>1</v>
      </c>
      <c r="G254">
        <v>34.435866206</v>
      </c>
      <c r="H254">
        <v>8.6475592677861507E-2</v>
      </c>
      <c r="I254">
        <v>1</v>
      </c>
      <c r="J254">
        <v>0.35673235599999997</v>
      </c>
      <c r="P254"/>
      <c r="V254">
        <v>7.7170608268355895E-2</v>
      </c>
      <c r="W254">
        <v>1</v>
      </c>
      <c r="X254">
        <v>29625.151074595</v>
      </c>
      <c r="Y254">
        <v>527466</v>
      </c>
      <c r="Z254">
        <v>1.1519067292293499E-3</v>
      </c>
      <c r="AA254">
        <v>14</v>
      </c>
    </row>
    <row r="255" spans="1:27" x14ac:dyDescent="0.2">
      <c r="A255">
        <v>10</v>
      </c>
      <c r="B255">
        <v>1</v>
      </c>
      <c r="C255">
        <v>0.4</v>
      </c>
      <c r="D255">
        <v>100</v>
      </c>
      <c r="E255">
        <v>4.9416620188056502E-2</v>
      </c>
      <c r="F255">
        <v>1</v>
      </c>
      <c r="G255">
        <v>31.705989251999998</v>
      </c>
      <c r="H255">
        <v>3.76590169193219E-2</v>
      </c>
      <c r="I255">
        <v>1</v>
      </c>
      <c r="J255">
        <v>7.8406782999999994E-2</v>
      </c>
      <c r="P255"/>
      <c r="V255">
        <v>9.5664233564495701E-2</v>
      </c>
      <c r="W255">
        <v>1</v>
      </c>
      <c r="X255">
        <v>114.814874215</v>
      </c>
      <c r="Y255">
        <v>1641</v>
      </c>
      <c r="Z255">
        <v>1.2546169475450401E-3</v>
      </c>
      <c r="AA255">
        <v>7</v>
      </c>
    </row>
    <row r="256" spans="1:27" x14ac:dyDescent="0.2">
      <c r="A256">
        <v>10</v>
      </c>
      <c r="B256">
        <v>1</v>
      </c>
      <c r="C256">
        <v>0.1</v>
      </c>
      <c r="D256">
        <v>100</v>
      </c>
      <c r="E256">
        <v>0.83344996112680003</v>
      </c>
      <c r="F256">
        <v>1</v>
      </c>
      <c r="G256">
        <v>29.752397624</v>
      </c>
      <c r="H256">
        <v>0.83339542369684505</v>
      </c>
      <c r="I256">
        <v>1</v>
      </c>
      <c r="J256">
        <v>5.6305631000000002E-2</v>
      </c>
      <c r="P256"/>
      <c r="V256">
        <v>0.869579308191752</v>
      </c>
      <c r="W256">
        <v>1</v>
      </c>
      <c r="X256">
        <v>45.127209573000002</v>
      </c>
      <c r="Y256">
        <v>1599</v>
      </c>
      <c r="Z256" s="1">
        <v>3.1269938293382602E-5</v>
      </c>
      <c r="AA256">
        <v>1</v>
      </c>
    </row>
    <row r="257" spans="1:27" x14ac:dyDescent="0.2">
      <c r="A257">
        <v>10</v>
      </c>
      <c r="B257">
        <v>1</v>
      </c>
      <c r="C257">
        <v>0.1</v>
      </c>
      <c r="D257">
        <v>100</v>
      </c>
      <c r="E257">
        <v>0.98710329964104904</v>
      </c>
      <c r="F257">
        <v>1</v>
      </c>
      <c r="G257">
        <v>35.874693071999999</v>
      </c>
      <c r="H257">
        <v>0.97979404869412201</v>
      </c>
      <c r="I257">
        <v>1</v>
      </c>
      <c r="J257">
        <v>0.150056786</v>
      </c>
      <c r="P257"/>
      <c r="V257">
        <v>1.0270213134588999</v>
      </c>
      <c r="W257">
        <v>1</v>
      </c>
      <c r="X257">
        <v>60.657256023000002</v>
      </c>
      <c r="Y257">
        <v>0</v>
      </c>
      <c r="Z257">
        <v>1.68780739700009E-4</v>
      </c>
      <c r="AA257">
        <v>2</v>
      </c>
    </row>
    <row r="258" spans="1:27" x14ac:dyDescent="0.2">
      <c r="A258">
        <v>10</v>
      </c>
      <c r="B258">
        <v>1</v>
      </c>
      <c r="C258">
        <v>0.2</v>
      </c>
      <c r="D258">
        <v>100</v>
      </c>
      <c r="E258">
        <v>0.70061956673237802</v>
      </c>
      <c r="F258">
        <v>1</v>
      </c>
      <c r="G258">
        <v>34.724468577000003</v>
      </c>
      <c r="H258">
        <v>0.68523354562805305</v>
      </c>
      <c r="I258">
        <v>1</v>
      </c>
      <c r="J258">
        <v>0.32053794400000002</v>
      </c>
      <c r="P258"/>
      <c r="V258">
        <v>0.68516759207428701</v>
      </c>
      <c r="W258">
        <v>1</v>
      </c>
      <c r="X258">
        <v>57.806351040999999</v>
      </c>
      <c r="Y258">
        <v>876</v>
      </c>
      <c r="Z258">
        <v>4.67630925691864E-3</v>
      </c>
      <c r="AA258">
        <v>1</v>
      </c>
    </row>
    <row r="259" spans="1:27" x14ac:dyDescent="0.2">
      <c r="A259">
        <v>10</v>
      </c>
      <c r="B259">
        <v>1</v>
      </c>
      <c r="C259">
        <v>0.4</v>
      </c>
      <c r="D259">
        <v>100</v>
      </c>
      <c r="E259">
        <v>0.146484622512489</v>
      </c>
      <c r="F259">
        <v>1</v>
      </c>
      <c r="G259">
        <v>32.481215792999997</v>
      </c>
      <c r="H259">
        <v>4.5936772333987803E-2</v>
      </c>
      <c r="I259">
        <v>1</v>
      </c>
      <c r="J259">
        <v>0.10186218</v>
      </c>
      <c r="P259"/>
      <c r="V259">
        <v>3.9774803337719801E-2</v>
      </c>
      <c r="W259">
        <v>1</v>
      </c>
      <c r="X259">
        <v>243.704842176</v>
      </c>
      <c r="Y259">
        <v>6303</v>
      </c>
      <c r="Z259">
        <v>5.2104425594153196E-3</v>
      </c>
      <c r="AA259">
        <v>5</v>
      </c>
    </row>
    <row r="260" spans="1:27" x14ac:dyDescent="0.2">
      <c r="A260">
        <v>10</v>
      </c>
      <c r="B260">
        <v>1</v>
      </c>
      <c r="C260">
        <v>0.4</v>
      </c>
      <c r="D260">
        <v>100</v>
      </c>
      <c r="E260">
        <v>4.0756881660938098E-2</v>
      </c>
      <c r="F260">
        <v>1</v>
      </c>
      <c r="G260">
        <v>32.227469845999998</v>
      </c>
      <c r="H260">
        <v>2.7063463124642501E-2</v>
      </c>
      <c r="I260">
        <v>1</v>
      </c>
      <c r="J260">
        <v>6.9821449999999993E-2</v>
      </c>
      <c r="P260"/>
      <c r="V260">
        <v>2.4041352093205098E-2</v>
      </c>
      <c r="W260">
        <v>1</v>
      </c>
      <c r="X260">
        <v>34.522643572</v>
      </c>
      <c r="Y260">
        <v>1</v>
      </c>
      <c r="Z260">
        <v>1.31984503219953E-3</v>
      </c>
      <c r="AA260">
        <v>1</v>
      </c>
    </row>
    <row r="261" spans="1:27" x14ac:dyDescent="0.2">
      <c r="A261">
        <v>10</v>
      </c>
      <c r="B261">
        <v>1</v>
      </c>
      <c r="C261">
        <v>0.1</v>
      </c>
      <c r="D261">
        <v>100</v>
      </c>
      <c r="E261">
        <v>0.87593140398742497</v>
      </c>
      <c r="F261">
        <v>1</v>
      </c>
      <c r="G261">
        <v>35.606611618999999</v>
      </c>
      <c r="H261">
        <v>0.87581832921316705</v>
      </c>
      <c r="I261">
        <v>1</v>
      </c>
      <c r="J261">
        <v>8.1183762000000007E-2</v>
      </c>
      <c r="P261"/>
      <c r="V261">
        <v>0.79212799128753297</v>
      </c>
      <c r="W261">
        <v>1</v>
      </c>
      <c r="X261">
        <v>45.636807976</v>
      </c>
      <c r="Y261">
        <v>990</v>
      </c>
      <c r="Z261" s="1">
        <v>3.28390561551809E-7</v>
      </c>
      <c r="AA261">
        <v>1</v>
      </c>
    </row>
    <row r="262" spans="1:27" x14ac:dyDescent="0.2">
      <c r="A262">
        <v>10</v>
      </c>
      <c r="B262">
        <v>1</v>
      </c>
      <c r="C262">
        <v>0.3</v>
      </c>
      <c r="D262">
        <v>100</v>
      </c>
      <c r="E262">
        <v>6.5750484321888097E-2</v>
      </c>
      <c r="F262">
        <v>1</v>
      </c>
      <c r="G262">
        <v>32.271159730999997</v>
      </c>
      <c r="H262">
        <v>3.7971285231177598E-2</v>
      </c>
      <c r="I262">
        <v>1</v>
      </c>
      <c r="J262">
        <v>0.123302131</v>
      </c>
      <c r="P262"/>
      <c r="V262">
        <v>1.1898921114212001E-2</v>
      </c>
      <c r="W262">
        <v>1</v>
      </c>
      <c r="X262">
        <v>823.37652765200005</v>
      </c>
      <c r="Y262">
        <v>15307</v>
      </c>
      <c r="Z262">
        <v>1.86975872872124E-3</v>
      </c>
      <c r="AA262">
        <v>16</v>
      </c>
    </row>
    <row r="263" spans="1:27" x14ac:dyDescent="0.2">
      <c r="A263">
        <v>10</v>
      </c>
      <c r="B263">
        <v>1</v>
      </c>
      <c r="C263">
        <v>0.1</v>
      </c>
      <c r="D263">
        <v>100</v>
      </c>
      <c r="E263">
        <v>0.96358460207868202</v>
      </c>
      <c r="F263">
        <v>1</v>
      </c>
      <c r="G263">
        <v>32.637203100000001</v>
      </c>
      <c r="H263">
        <v>0.96358461476475499</v>
      </c>
      <c r="I263">
        <v>1</v>
      </c>
      <c r="J263">
        <v>9.1317154999999997E-2</v>
      </c>
      <c r="P263"/>
      <c r="V263">
        <v>0.98808048688372896</v>
      </c>
      <c r="W263">
        <v>1</v>
      </c>
      <c r="X263">
        <v>33.484755391</v>
      </c>
      <c r="Y263">
        <v>809</v>
      </c>
      <c r="Z263" s="1">
        <v>1.0655433927057901E-6</v>
      </c>
      <c r="AA263">
        <v>1</v>
      </c>
    </row>
    <row r="264" spans="1:27" x14ac:dyDescent="0.2">
      <c r="A264">
        <v>10</v>
      </c>
      <c r="B264">
        <v>1</v>
      </c>
      <c r="C264">
        <v>0.3</v>
      </c>
      <c r="D264">
        <v>100</v>
      </c>
      <c r="E264">
        <v>0.155041926755878</v>
      </c>
      <c r="F264">
        <v>1</v>
      </c>
      <c r="G264">
        <v>34.860641129999998</v>
      </c>
      <c r="H264">
        <v>0.14786969264313901</v>
      </c>
      <c r="I264">
        <v>1</v>
      </c>
      <c r="J264">
        <v>0.16289097299999999</v>
      </c>
      <c r="P264"/>
      <c r="V264">
        <v>0.14739385281704101</v>
      </c>
      <c r="W264">
        <v>1</v>
      </c>
      <c r="X264">
        <v>35.013644669000001</v>
      </c>
      <c r="Y264">
        <v>1</v>
      </c>
      <c r="Z264">
        <v>1.12223532578192E-3</v>
      </c>
      <c r="AA264">
        <v>1</v>
      </c>
    </row>
    <row r="265" spans="1:27" x14ac:dyDescent="0.2">
      <c r="A265">
        <v>10</v>
      </c>
      <c r="B265">
        <v>1</v>
      </c>
      <c r="C265">
        <v>0.4</v>
      </c>
      <c r="D265">
        <v>100</v>
      </c>
      <c r="E265">
        <v>0.13031534005675199</v>
      </c>
      <c r="F265">
        <v>1</v>
      </c>
      <c r="G265">
        <v>35.244993504999997</v>
      </c>
      <c r="H265">
        <v>3.3864710801666198E-2</v>
      </c>
      <c r="I265">
        <v>1</v>
      </c>
      <c r="J265">
        <v>0.18590480600000001</v>
      </c>
      <c r="P265"/>
      <c r="V265">
        <v>3.45682279655323E-2</v>
      </c>
      <c r="W265">
        <v>1</v>
      </c>
      <c r="X265">
        <v>281.874629148</v>
      </c>
      <c r="Y265">
        <v>10585</v>
      </c>
      <c r="Z265">
        <v>9.1899579266328801E-4</v>
      </c>
      <c r="AA265">
        <v>7</v>
      </c>
    </row>
    <row r="266" spans="1:27" x14ac:dyDescent="0.2">
      <c r="A266">
        <v>10</v>
      </c>
      <c r="B266">
        <v>1</v>
      </c>
      <c r="C266">
        <v>0.4</v>
      </c>
      <c r="D266">
        <v>100</v>
      </c>
      <c r="E266">
        <v>0.25554252761873902</v>
      </c>
      <c r="F266">
        <v>1</v>
      </c>
      <c r="G266">
        <v>34.071046031000002</v>
      </c>
      <c r="H266">
        <v>0.151417769864195</v>
      </c>
      <c r="I266">
        <v>1</v>
      </c>
      <c r="J266">
        <v>6.0842450999999999E-2</v>
      </c>
      <c r="P266"/>
      <c r="V266">
        <v>9.4778526658061399E-2</v>
      </c>
      <c r="W266">
        <v>1</v>
      </c>
      <c r="X266">
        <v>58.708005542000002</v>
      </c>
      <c r="Y266">
        <v>1</v>
      </c>
      <c r="Z266">
        <v>2.6179677935886602E-3</v>
      </c>
      <c r="AA266">
        <v>2</v>
      </c>
    </row>
    <row r="267" spans="1:27" x14ac:dyDescent="0.2">
      <c r="A267">
        <v>10</v>
      </c>
      <c r="B267">
        <v>1</v>
      </c>
      <c r="C267">
        <v>0.1</v>
      </c>
      <c r="D267">
        <v>100</v>
      </c>
      <c r="E267">
        <v>0.971900834996272</v>
      </c>
      <c r="F267">
        <v>1</v>
      </c>
      <c r="G267">
        <v>35.501560466999997</v>
      </c>
      <c r="H267">
        <v>0.97189357274311705</v>
      </c>
      <c r="I267">
        <v>1</v>
      </c>
      <c r="J267">
        <v>8.2382975999999997E-2</v>
      </c>
      <c r="P267"/>
      <c r="V267">
        <v>1.1652556333302899</v>
      </c>
      <c r="W267">
        <v>1</v>
      </c>
      <c r="X267">
        <v>34.826021812</v>
      </c>
      <c r="Y267">
        <v>496</v>
      </c>
      <c r="Z267" s="1">
        <v>2.2817176914685201E-5</v>
      </c>
      <c r="AA267">
        <v>1</v>
      </c>
    </row>
    <row r="268" spans="1:27" x14ac:dyDescent="0.2">
      <c r="A268">
        <v>10</v>
      </c>
      <c r="B268">
        <v>1</v>
      </c>
      <c r="C268">
        <v>0.4</v>
      </c>
      <c r="D268">
        <v>100</v>
      </c>
      <c r="E268">
        <v>0.10338807908212</v>
      </c>
      <c r="F268">
        <v>1</v>
      </c>
      <c r="G268">
        <v>32.904766047999999</v>
      </c>
      <c r="H268">
        <v>3.2405738064942499E-2</v>
      </c>
      <c r="I268">
        <v>1</v>
      </c>
      <c r="J268">
        <v>0.14116811600000001</v>
      </c>
      <c r="P268"/>
      <c r="V268">
        <v>2.2435938467454501E-2</v>
      </c>
      <c r="W268">
        <v>1</v>
      </c>
      <c r="X268">
        <v>2575.0056929940001</v>
      </c>
      <c r="Y268">
        <v>43096</v>
      </c>
      <c r="Z268">
        <v>8.2359599202636003E-4</v>
      </c>
      <c r="AA268">
        <v>12</v>
      </c>
    </row>
    <row r="269" spans="1:27" x14ac:dyDescent="0.2">
      <c r="A269">
        <v>10</v>
      </c>
      <c r="B269">
        <v>1</v>
      </c>
      <c r="C269">
        <v>0.2</v>
      </c>
      <c r="D269">
        <v>100</v>
      </c>
      <c r="E269">
        <v>0.70701413790547296</v>
      </c>
      <c r="F269">
        <v>1</v>
      </c>
      <c r="G269">
        <v>32.129016321999998</v>
      </c>
      <c r="H269">
        <v>0.61899206825142306</v>
      </c>
      <c r="I269">
        <v>1</v>
      </c>
      <c r="J269">
        <v>0.25336536100000001</v>
      </c>
      <c r="P269"/>
      <c r="V269">
        <v>0.589915956140043</v>
      </c>
      <c r="W269">
        <v>1</v>
      </c>
      <c r="X269">
        <v>11667.325779254001</v>
      </c>
      <c r="Y269">
        <v>7402</v>
      </c>
      <c r="Z269">
        <v>3.2946218899156397E-4</v>
      </c>
      <c r="AA269">
        <v>13</v>
      </c>
    </row>
    <row r="270" spans="1:27" x14ac:dyDescent="0.2">
      <c r="A270">
        <v>10</v>
      </c>
      <c r="B270">
        <v>1</v>
      </c>
      <c r="C270">
        <v>0.2</v>
      </c>
      <c r="D270">
        <v>100</v>
      </c>
      <c r="E270">
        <v>0.67220385358371604</v>
      </c>
      <c r="F270">
        <v>1</v>
      </c>
      <c r="G270">
        <v>32.724734380999998</v>
      </c>
      <c r="H270">
        <v>0.65833591229739896</v>
      </c>
      <c r="I270">
        <v>1</v>
      </c>
      <c r="J270">
        <v>0.12915752</v>
      </c>
      <c r="P270"/>
      <c r="V270">
        <v>0.58611597987666397</v>
      </c>
      <c r="W270">
        <v>1</v>
      </c>
      <c r="X270">
        <v>51.888302566</v>
      </c>
      <c r="Y270">
        <v>1626</v>
      </c>
      <c r="Z270">
        <v>1.50380145264384E-4</v>
      </c>
      <c r="AA270">
        <v>1</v>
      </c>
    </row>
    <row r="271" spans="1:27" x14ac:dyDescent="0.2">
      <c r="A271">
        <v>10</v>
      </c>
      <c r="B271">
        <v>1</v>
      </c>
      <c r="C271">
        <v>0.1</v>
      </c>
      <c r="D271">
        <v>100</v>
      </c>
      <c r="E271">
        <v>0.972531076546572</v>
      </c>
      <c r="F271">
        <v>1</v>
      </c>
      <c r="G271">
        <v>35.940812575000002</v>
      </c>
      <c r="H271">
        <v>0.972531076546572</v>
      </c>
      <c r="I271">
        <v>1</v>
      </c>
      <c r="J271">
        <v>0.14298591299999999</v>
      </c>
      <c r="P271"/>
      <c r="V271">
        <v>1.10941335708004</v>
      </c>
      <c r="W271">
        <v>1</v>
      </c>
      <c r="X271">
        <v>32.801865436999996</v>
      </c>
      <c r="Y271">
        <v>801</v>
      </c>
      <c r="Z271" s="1">
        <v>1.21233199229736E-7</v>
      </c>
      <c r="AA271">
        <v>1</v>
      </c>
    </row>
    <row r="272" spans="1:27" x14ac:dyDescent="0.2">
      <c r="A272">
        <v>10</v>
      </c>
      <c r="B272">
        <v>1</v>
      </c>
      <c r="C272">
        <v>0.3</v>
      </c>
      <c r="D272">
        <v>100</v>
      </c>
      <c r="E272">
        <v>0.21158530925626101</v>
      </c>
      <c r="F272">
        <v>1</v>
      </c>
      <c r="G272">
        <v>32.657977236000001</v>
      </c>
      <c r="H272">
        <v>0.18483408104377799</v>
      </c>
      <c r="I272">
        <v>1</v>
      </c>
      <c r="J272">
        <v>0.25643718100000001</v>
      </c>
      <c r="P272"/>
      <c r="V272">
        <v>0.16656621247303399</v>
      </c>
      <c r="W272">
        <v>1</v>
      </c>
      <c r="X272">
        <v>16980.154064547001</v>
      </c>
      <c r="Y272">
        <v>253693</v>
      </c>
      <c r="Z272">
        <v>1.13623586712682E-3</v>
      </c>
      <c r="AA272">
        <v>15</v>
      </c>
    </row>
    <row r="273" spans="1:27" x14ac:dyDescent="0.2">
      <c r="A273">
        <v>10</v>
      </c>
      <c r="B273">
        <v>1</v>
      </c>
      <c r="C273">
        <v>0.1</v>
      </c>
      <c r="D273">
        <v>100</v>
      </c>
      <c r="E273">
        <v>0.95404234502642404</v>
      </c>
      <c r="F273">
        <v>1</v>
      </c>
      <c r="G273">
        <v>35.357154725999997</v>
      </c>
      <c r="H273">
        <v>0.95404238649041595</v>
      </c>
      <c r="I273">
        <v>1</v>
      </c>
      <c r="J273">
        <v>8.0771411000000001E-2</v>
      </c>
      <c r="P273"/>
      <c r="V273">
        <v>1.00305694579895</v>
      </c>
      <c r="W273">
        <v>1</v>
      </c>
      <c r="X273">
        <v>37.314928551000001</v>
      </c>
      <c r="Y273">
        <v>911</v>
      </c>
      <c r="Z273" s="1">
        <v>2.3903411153748602E-5</v>
      </c>
      <c r="AA273">
        <v>1</v>
      </c>
    </row>
    <row r="274" spans="1:27" x14ac:dyDescent="0.2">
      <c r="A274">
        <v>10</v>
      </c>
      <c r="B274">
        <v>1</v>
      </c>
      <c r="C274">
        <v>0.2</v>
      </c>
      <c r="D274">
        <v>100</v>
      </c>
      <c r="E274">
        <v>0.55081786426138102</v>
      </c>
      <c r="F274">
        <v>1</v>
      </c>
      <c r="G274">
        <v>35.851757513999999</v>
      </c>
      <c r="H274">
        <v>0.51736859539871405</v>
      </c>
      <c r="I274">
        <v>1</v>
      </c>
      <c r="J274">
        <v>0.15085713100000001</v>
      </c>
      <c r="P274"/>
      <c r="V274">
        <v>0.49200703585954503</v>
      </c>
      <c r="W274">
        <v>1</v>
      </c>
      <c r="X274">
        <v>51.227265869999997</v>
      </c>
      <c r="Y274">
        <v>1211</v>
      </c>
      <c r="Z274">
        <v>1.0848815252371901E-4</v>
      </c>
      <c r="AA274">
        <v>1</v>
      </c>
    </row>
    <row r="275" spans="1:27" x14ac:dyDescent="0.2">
      <c r="A275">
        <v>10</v>
      </c>
      <c r="B275">
        <v>1</v>
      </c>
      <c r="C275">
        <v>0.1</v>
      </c>
      <c r="D275">
        <v>100</v>
      </c>
      <c r="E275">
        <v>0.98231430964801303</v>
      </c>
      <c r="F275">
        <v>1</v>
      </c>
      <c r="G275">
        <v>38.406018875000001</v>
      </c>
      <c r="H275">
        <v>0.98231430964801303</v>
      </c>
      <c r="I275">
        <v>1</v>
      </c>
      <c r="J275">
        <v>5.6859468000000003E-2</v>
      </c>
      <c r="P275"/>
      <c r="V275">
        <v>1.0452940944612601</v>
      </c>
      <c r="W275">
        <v>1</v>
      </c>
      <c r="X275">
        <v>53.721749111000001</v>
      </c>
      <c r="Y275">
        <v>2330</v>
      </c>
      <c r="Z275" s="1">
        <v>2.3000671375777001E-5</v>
      </c>
      <c r="AA275">
        <v>1</v>
      </c>
    </row>
    <row r="276" spans="1:27" x14ac:dyDescent="0.2">
      <c r="A276">
        <v>10</v>
      </c>
      <c r="B276">
        <v>1</v>
      </c>
      <c r="C276">
        <v>0.3</v>
      </c>
      <c r="D276">
        <v>100</v>
      </c>
      <c r="E276">
        <v>0.69566314588634903</v>
      </c>
      <c r="F276">
        <v>1</v>
      </c>
      <c r="G276">
        <v>41.131643599</v>
      </c>
      <c r="H276">
        <v>0.68024282772337497</v>
      </c>
      <c r="I276">
        <v>1</v>
      </c>
      <c r="J276">
        <v>0.28441073700000002</v>
      </c>
      <c r="P276"/>
      <c r="V276">
        <v>0.68010427567166798</v>
      </c>
      <c r="W276">
        <v>1</v>
      </c>
      <c r="X276">
        <v>60.858095658000003</v>
      </c>
      <c r="Y276">
        <v>983</v>
      </c>
      <c r="Z276">
        <v>5.6545189895707898E-3</v>
      </c>
      <c r="AA276">
        <v>1</v>
      </c>
    </row>
    <row r="277" spans="1:27" x14ac:dyDescent="0.2">
      <c r="A277">
        <v>10</v>
      </c>
      <c r="B277">
        <v>1</v>
      </c>
      <c r="C277">
        <v>0.4</v>
      </c>
      <c r="D277">
        <v>100</v>
      </c>
      <c r="E277">
        <v>3.8012704267880303E-2</v>
      </c>
      <c r="F277">
        <v>1</v>
      </c>
      <c r="G277">
        <v>42.517349349</v>
      </c>
      <c r="H277">
        <v>3.5865465862197202E-2</v>
      </c>
      <c r="I277">
        <v>1</v>
      </c>
      <c r="J277">
        <v>0.144866831</v>
      </c>
      <c r="P277"/>
      <c r="V277">
        <v>2.74625093010076E-2</v>
      </c>
      <c r="W277">
        <v>1</v>
      </c>
      <c r="X277">
        <v>107.41672751599999</v>
      </c>
      <c r="Y277">
        <v>238</v>
      </c>
      <c r="Z277">
        <v>1.90369703697965E-3</v>
      </c>
      <c r="AA277">
        <v>9</v>
      </c>
    </row>
    <row r="278" spans="1:27" x14ac:dyDescent="0.2">
      <c r="A278">
        <v>10</v>
      </c>
      <c r="B278">
        <v>1</v>
      </c>
      <c r="C278">
        <v>0.1</v>
      </c>
      <c r="D278">
        <v>100</v>
      </c>
      <c r="E278">
        <v>0.95506201636604404</v>
      </c>
      <c r="F278">
        <v>1</v>
      </c>
      <c r="G278">
        <v>38.951071358999997</v>
      </c>
      <c r="H278">
        <v>0.94368659134970301</v>
      </c>
      <c r="I278">
        <v>1</v>
      </c>
      <c r="J278">
        <v>0.24753407399999999</v>
      </c>
      <c r="P278"/>
      <c r="V278">
        <v>1.11327092044359</v>
      </c>
      <c r="W278">
        <v>1</v>
      </c>
      <c r="X278">
        <v>57.742278384999999</v>
      </c>
      <c r="Y278">
        <v>1</v>
      </c>
      <c r="Z278">
        <v>2.7572189535507398E-4</v>
      </c>
      <c r="AA278">
        <v>2</v>
      </c>
    </row>
    <row r="279" spans="1:27" x14ac:dyDescent="0.2">
      <c r="A279">
        <v>10</v>
      </c>
      <c r="B279">
        <v>1</v>
      </c>
      <c r="C279">
        <v>0.2</v>
      </c>
      <c r="D279">
        <v>100</v>
      </c>
      <c r="E279">
        <v>0.863310811943648</v>
      </c>
      <c r="F279">
        <v>1</v>
      </c>
      <c r="G279">
        <v>37.330989297999999</v>
      </c>
      <c r="H279">
        <v>0.419878548904417</v>
      </c>
      <c r="I279">
        <v>1</v>
      </c>
      <c r="J279">
        <v>0.84442117900000002</v>
      </c>
      <c r="P279"/>
      <c r="V279">
        <v>0.387905168179493</v>
      </c>
      <c r="W279">
        <v>1</v>
      </c>
      <c r="X279">
        <v>2915.1011042149999</v>
      </c>
      <c r="Y279">
        <v>57231</v>
      </c>
      <c r="Z279">
        <v>8.44815745852059E-4</v>
      </c>
      <c r="AA279">
        <v>12</v>
      </c>
    </row>
    <row r="280" spans="1:27" x14ac:dyDescent="0.2">
      <c r="A280">
        <v>10</v>
      </c>
      <c r="B280">
        <v>1</v>
      </c>
      <c r="C280">
        <v>0.4</v>
      </c>
      <c r="D280">
        <v>100</v>
      </c>
      <c r="E280">
        <v>0.53701774902428501</v>
      </c>
      <c r="F280">
        <v>1</v>
      </c>
      <c r="G280">
        <v>30.422527498000001</v>
      </c>
      <c r="H280">
        <v>0.32487853221705398</v>
      </c>
      <c r="I280">
        <v>1</v>
      </c>
      <c r="J280">
        <v>7.3398128000000007E-2</v>
      </c>
      <c r="P280"/>
      <c r="V280">
        <v>0.408240029140847</v>
      </c>
      <c r="W280">
        <v>1</v>
      </c>
      <c r="X280">
        <v>7028.2339518460003</v>
      </c>
      <c r="Y280">
        <v>85566</v>
      </c>
      <c r="Z280">
        <v>1.5887733232375299E-4</v>
      </c>
      <c r="AA280">
        <v>23</v>
      </c>
    </row>
    <row r="281" spans="1:27" x14ac:dyDescent="0.2">
      <c r="A281">
        <v>10</v>
      </c>
      <c r="B281">
        <v>1</v>
      </c>
      <c r="C281">
        <v>0.1</v>
      </c>
      <c r="D281">
        <v>100</v>
      </c>
      <c r="E281">
        <v>0.95953632151924595</v>
      </c>
      <c r="F281">
        <v>1</v>
      </c>
      <c r="G281">
        <v>33.800900699000003</v>
      </c>
      <c r="H281">
        <v>0.95953632151924595</v>
      </c>
      <c r="I281">
        <v>1</v>
      </c>
      <c r="J281">
        <v>6.8832607000000004E-2</v>
      </c>
      <c r="P281"/>
      <c r="V281">
        <v>1.18983997660125</v>
      </c>
      <c r="W281">
        <v>1</v>
      </c>
      <c r="X281">
        <v>34.125724906999999</v>
      </c>
      <c r="Y281">
        <v>1100</v>
      </c>
      <c r="Z281" s="1">
        <v>4.9969862534509401E-5</v>
      </c>
      <c r="AA281">
        <v>1</v>
      </c>
    </row>
    <row r="282" spans="1:27" x14ac:dyDescent="0.2">
      <c r="A282">
        <v>10</v>
      </c>
      <c r="B282">
        <v>1</v>
      </c>
      <c r="C282">
        <v>0.2</v>
      </c>
      <c r="D282">
        <v>100</v>
      </c>
      <c r="E282">
        <v>0.41397566607972702</v>
      </c>
      <c r="F282">
        <v>1</v>
      </c>
      <c r="G282">
        <v>33.770176792000001</v>
      </c>
      <c r="H282">
        <v>0.40991659481345799</v>
      </c>
      <c r="I282">
        <v>1</v>
      </c>
      <c r="J282">
        <v>0.119672563</v>
      </c>
      <c r="P282"/>
      <c r="V282">
        <v>0.40987045579862103</v>
      </c>
      <c r="W282">
        <v>1</v>
      </c>
      <c r="X282">
        <v>31.283334087</v>
      </c>
      <c r="Y282">
        <v>1</v>
      </c>
      <c r="Z282">
        <v>1.7268665519499301E-4</v>
      </c>
      <c r="AA282">
        <v>1</v>
      </c>
    </row>
    <row r="283" spans="1:27" x14ac:dyDescent="0.2">
      <c r="A283">
        <v>10</v>
      </c>
      <c r="B283">
        <v>1</v>
      </c>
      <c r="C283">
        <v>0.3</v>
      </c>
      <c r="D283">
        <v>100</v>
      </c>
      <c r="E283">
        <v>0.445171290325653</v>
      </c>
      <c r="F283">
        <v>1</v>
      </c>
      <c r="G283">
        <v>34.261700189999999</v>
      </c>
      <c r="H283">
        <v>0.44484859028949603</v>
      </c>
      <c r="I283">
        <v>1</v>
      </c>
      <c r="J283">
        <v>9.8099297000000002E-2</v>
      </c>
      <c r="P283"/>
      <c r="V283">
        <v>0.444753587593258</v>
      </c>
      <c r="W283">
        <v>1</v>
      </c>
      <c r="X283">
        <v>30.298971931000001</v>
      </c>
      <c r="Y283">
        <v>1</v>
      </c>
      <c r="Z283">
        <v>7.3825199787339003E-4</v>
      </c>
      <c r="AA283">
        <v>1</v>
      </c>
    </row>
    <row r="284" spans="1:27" x14ac:dyDescent="0.2">
      <c r="A284">
        <v>10</v>
      </c>
      <c r="B284">
        <v>1</v>
      </c>
      <c r="C284">
        <v>0.1</v>
      </c>
      <c r="D284">
        <v>100</v>
      </c>
      <c r="E284">
        <v>0.93010019733635396</v>
      </c>
      <c r="F284">
        <v>1</v>
      </c>
      <c r="G284">
        <v>33.431077348999999</v>
      </c>
      <c r="H284">
        <v>0.91336869957820499</v>
      </c>
      <c r="I284">
        <v>1</v>
      </c>
      <c r="J284">
        <v>0.140623688</v>
      </c>
      <c r="P284"/>
      <c r="V284">
        <v>0.79335648885881704</v>
      </c>
      <c r="W284">
        <v>1</v>
      </c>
      <c r="X284">
        <v>16904.393888418999</v>
      </c>
      <c r="Y284">
        <v>415800</v>
      </c>
      <c r="Z284">
        <v>2.0656270322882601E-4</v>
      </c>
      <c r="AA284">
        <v>15</v>
      </c>
    </row>
    <row r="285" spans="1:27" x14ac:dyDescent="0.2">
      <c r="A285">
        <v>10</v>
      </c>
      <c r="B285">
        <v>1</v>
      </c>
      <c r="C285">
        <v>0.1</v>
      </c>
      <c r="D285">
        <v>100</v>
      </c>
      <c r="E285">
        <v>0.98066647865970602</v>
      </c>
      <c r="F285">
        <v>1</v>
      </c>
      <c r="G285">
        <v>35.600136898999999</v>
      </c>
      <c r="H285">
        <v>0.98066747211483096</v>
      </c>
      <c r="I285">
        <v>1</v>
      </c>
      <c r="J285">
        <v>7.5126640999999994E-2</v>
      </c>
      <c r="P285"/>
      <c r="V285">
        <v>1.0351585208552401</v>
      </c>
      <c r="W285">
        <v>1</v>
      </c>
      <c r="X285">
        <v>36.562017351000001</v>
      </c>
      <c r="Y285">
        <v>841</v>
      </c>
      <c r="Z285" s="1">
        <v>5.0887598296587004E-6</v>
      </c>
      <c r="AA285">
        <v>1</v>
      </c>
    </row>
    <row r="286" spans="1:27" x14ac:dyDescent="0.2">
      <c r="A286">
        <v>10</v>
      </c>
      <c r="B286">
        <v>1</v>
      </c>
      <c r="C286">
        <v>0.4</v>
      </c>
      <c r="D286">
        <v>100</v>
      </c>
      <c r="E286">
        <v>0.46286850401387702</v>
      </c>
      <c r="F286">
        <v>1</v>
      </c>
      <c r="G286">
        <v>43.097744141</v>
      </c>
      <c r="H286">
        <v>0.44192585231752701</v>
      </c>
      <c r="I286">
        <v>1</v>
      </c>
      <c r="J286">
        <v>0.14081001800000001</v>
      </c>
      <c r="P286"/>
      <c r="V286">
        <v>0.44148820096281799</v>
      </c>
      <c r="W286">
        <v>1</v>
      </c>
      <c r="X286">
        <v>66.696602158000005</v>
      </c>
      <c r="Y286">
        <v>671</v>
      </c>
      <c r="Z286">
        <v>3.2996680039728901E-3</v>
      </c>
      <c r="AA286">
        <v>1</v>
      </c>
    </row>
    <row r="287" spans="1:27" x14ac:dyDescent="0.2">
      <c r="A287">
        <v>10</v>
      </c>
      <c r="B287">
        <v>1</v>
      </c>
      <c r="C287">
        <v>0.1</v>
      </c>
      <c r="D287">
        <v>100</v>
      </c>
      <c r="E287">
        <v>0.97368569766952495</v>
      </c>
      <c r="F287">
        <v>1</v>
      </c>
      <c r="G287">
        <v>42.276342129</v>
      </c>
      <c r="H287">
        <v>0.97368569766952195</v>
      </c>
      <c r="I287">
        <v>1</v>
      </c>
      <c r="J287">
        <v>0.175141824</v>
      </c>
      <c r="P287"/>
      <c r="V287">
        <v>1.0194646126120299</v>
      </c>
      <c r="W287">
        <v>1</v>
      </c>
      <c r="X287">
        <v>55.264139247999999</v>
      </c>
      <c r="Y287">
        <v>758</v>
      </c>
      <c r="Z287" s="1">
        <v>3.8534979993998902E-5</v>
      </c>
      <c r="AA287">
        <v>1</v>
      </c>
    </row>
    <row r="288" spans="1:27" x14ac:dyDescent="0.2">
      <c r="A288">
        <v>10</v>
      </c>
      <c r="B288">
        <v>1</v>
      </c>
      <c r="C288">
        <v>0.2</v>
      </c>
      <c r="D288">
        <v>100</v>
      </c>
      <c r="E288">
        <v>0.57837865370117503</v>
      </c>
      <c r="F288">
        <v>1</v>
      </c>
      <c r="G288">
        <v>40.846711050000003</v>
      </c>
      <c r="H288">
        <v>0.37162837509836499</v>
      </c>
      <c r="I288">
        <v>1</v>
      </c>
      <c r="J288">
        <v>1.376617548</v>
      </c>
      <c r="P288"/>
      <c r="V288">
        <v>0.27621294491866999</v>
      </c>
      <c r="W288">
        <v>1</v>
      </c>
      <c r="X288">
        <v>64.406010723999998</v>
      </c>
      <c r="Y288">
        <v>871</v>
      </c>
      <c r="Z288">
        <v>4.8013896096267501E-4</v>
      </c>
      <c r="AA288">
        <v>1</v>
      </c>
    </row>
    <row r="289" spans="1:27" x14ac:dyDescent="0.2">
      <c r="A289">
        <v>10</v>
      </c>
      <c r="B289">
        <v>1</v>
      </c>
      <c r="C289">
        <v>0.1</v>
      </c>
      <c r="D289">
        <v>100</v>
      </c>
      <c r="E289">
        <v>0.93778125764982201</v>
      </c>
      <c r="F289">
        <v>1</v>
      </c>
      <c r="G289">
        <v>44.418063408000002</v>
      </c>
      <c r="H289">
        <v>0.93827089737932801</v>
      </c>
      <c r="I289">
        <v>1</v>
      </c>
      <c r="J289">
        <v>0.24178424500000001</v>
      </c>
      <c r="P289"/>
      <c r="V289">
        <v>0.94871352360827899</v>
      </c>
      <c r="W289">
        <v>1</v>
      </c>
      <c r="X289">
        <v>63.716451882999998</v>
      </c>
      <c r="Y289">
        <v>0</v>
      </c>
      <c r="Z289">
        <v>1.12620101143173E-4</v>
      </c>
      <c r="AA289">
        <v>2</v>
      </c>
    </row>
    <row r="290" spans="1:27" x14ac:dyDescent="0.2">
      <c r="A290">
        <v>10</v>
      </c>
      <c r="B290">
        <v>1</v>
      </c>
      <c r="C290">
        <v>0.2</v>
      </c>
      <c r="D290">
        <v>100</v>
      </c>
      <c r="E290">
        <v>0.18877240926380501</v>
      </c>
      <c r="F290">
        <v>1</v>
      </c>
      <c r="G290">
        <v>43.699035352999999</v>
      </c>
      <c r="H290">
        <v>0.15486766903212201</v>
      </c>
      <c r="I290">
        <v>1</v>
      </c>
      <c r="J290">
        <v>0.32334139699999997</v>
      </c>
      <c r="P290"/>
      <c r="V290">
        <v>0.13760163489209301</v>
      </c>
      <c r="W290">
        <v>1</v>
      </c>
      <c r="X290">
        <v>1115.455428296</v>
      </c>
      <c r="Y290">
        <v>27546</v>
      </c>
      <c r="Z290">
        <v>7.9205784064910402E-4</v>
      </c>
      <c r="AA290">
        <v>11</v>
      </c>
    </row>
    <row r="291" spans="1:27" x14ac:dyDescent="0.2">
      <c r="A291">
        <v>10</v>
      </c>
      <c r="B291">
        <v>1</v>
      </c>
      <c r="C291">
        <v>0.4</v>
      </c>
      <c r="D291">
        <v>100</v>
      </c>
      <c r="E291">
        <v>8.7521730822577901E-2</v>
      </c>
      <c r="F291">
        <v>1</v>
      </c>
      <c r="G291">
        <v>57.937135611999999</v>
      </c>
      <c r="H291">
        <v>3.2464537707488902E-2</v>
      </c>
      <c r="I291">
        <v>1</v>
      </c>
      <c r="J291">
        <v>0.33216950099999998</v>
      </c>
      <c r="P291"/>
      <c r="V291">
        <v>2.21895714723928E-2</v>
      </c>
      <c r="W291">
        <v>1</v>
      </c>
      <c r="X291">
        <v>73.122152653000001</v>
      </c>
      <c r="Y291">
        <v>460</v>
      </c>
      <c r="Z291">
        <v>2.30187896059963E-3</v>
      </c>
      <c r="AA291">
        <v>1</v>
      </c>
    </row>
    <row r="292" spans="1:27" x14ac:dyDescent="0.2">
      <c r="A292">
        <v>10</v>
      </c>
      <c r="B292">
        <v>1</v>
      </c>
      <c r="C292">
        <v>0.3</v>
      </c>
      <c r="D292">
        <v>100</v>
      </c>
      <c r="E292">
        <v>0.18457854222208001</v>
      </c>
      <c r="F292">
        <v>1</v>
      </c>
      <c r="G292">
        <v>32.308072359999997</v>
      </c>
      <c r="H292">
        <v>3.3747229206532003E-2</v>
      </c>
      <c r="I292">
        <v>1</v>
      </c>
      <c r="J292">
        <v>0.18304145899999999</v>
      </c>
      <c r="P292"/>
      <c r="V292">
        <v>3.2052122247644303E-2</v>
      </c>
      <c r="W292">
        <v>1</v>
      </c>
      <c r="X292">
        <v>15175.235287222</v>
      </c>
      <c r="Y292">
        <v>81545</v>
      </c>
      <c r="Z292">
        <v>5.9620277102625998E-4</v>
      </c>
      <c r="AA292">
        <v>29</v>
      </c>
    </row>
    <row r="293" spans="1:27" x14ac:dyDescent="0.2">
      <c r="A293">
        <v>10</v>
      </c>
      <c r="B293">
        <v>1</v>
      </c>
      <c r="C293">
        <v>0.4</v>
      </c>
      <c r="D293">
        <v>100</v>
      </c>
      <c r="E293">
        <v>0.218741540051756</v>
      </c>
      <c r="F293">
        <v>1</v>
      </c>
      <c r="G293">
        <v>42.831653584999998</v>
      </c>
      <c r="H293">
        <v>4.92114702854278E-2</v>
      </c>
      <c r="I293">
        <v>1</v>
      </c>
      <c r="J293">
        <v>0.287882951</v>
      </c>
      <c r="P293"/>
      <c r="V293">
        <v>2.9504848259941902E-2</v>
      </c>
      <c r="W293">
        <v>1</v>
      </c>
      <c r="X293">
        <v>34318.311552874999</v>
      </c>
      <c r="Y293">
        <v>142933</v>
      </c>
      <c r="Z293">
        <v>4.3560379217259798E-4</v>
      </c>
      <c r="AA293">
        <v>21</v>
      </c>
    </row>
    <row r="294" spans="1:27" x14ac:dyDescent="0.2">
      <c r="A294">
        <v>10</v>
      </c>
      <c r="B294">
        <v>1</v>
      </c>
      <c r="C294">
        <v>0.4</v>
      </c>
      <c r="D294">
        <v>100</v>
      </c>
      <c r="E294">
        <v>8.0553167085266105E-3</v>
      </c>
      <c r="F294">
        <v>1</v>
      </c>
      <c r="G294">
        <v>30.198698189000002</v>
      </c>
      <c r="H294">
        <v>9.7642203482700193E-3</v>
      </c>
      <c r="I294">
        <v>1</v>
      </c>
      <c r="J294">
        <v>5.6124764000000001E-2</v>
      </c>
      <c r="P294"/>
      <c r="V294">
        <v>6.4111278431971102E-3</v>
      </c>
      <c r="W294">
        <v>1</v>
      </c>
      <c r="X294">
        <v>32.335803435999999</v>
      </c>
      <c r="Y294">
        <v>1</v>
      </c>
      <c r="Z294">
        <v>5.3848515258192399E-4</v>
      </c>
      <c r="AA294">
        <v>1</v>
      </c>
    </row>
    <row r="295" spans="1:27" x14ac:dyDescent="0.2">
      <c r="A295">
        <v>10</v>
      </c>
      <c r="B295">
        <v>1</v>
      </c>
      <c r="C295">
        <v>0.1</v>
      </c>
      <c r="D295">
        <v>100</v>
      </c>
      <c r="E295">
        <v>0.89872811187944801</v>
      </c>
      <c r="F295">
        <v>1</v>
      </c>
      <c r="G295">
        <v>32.338454153000001</v>
      </c>
      <c r="H295">
        <v>0.89254352256366098</v>
      </c>
      <c r="I295">
        <v>1</v>
      </c>
      <c r="J295">
        <v>0.19904063499999999</v>
      </c>
      <c r="P295"/>
      <c r="V295">
        <v>0.72152170370009505</v>
      </c>
      <c r="W295">
        <v>1</v>
      </c>
      <c r="X295">
        <v>32.56812051</v>
      </c>
      <c r="Y295">
        <v>833</v>
      </c>
      <c r="Z295" s="1">
        <v>2.07460927921787E-5</v>
      </c>
      <c r="AA295">
        <v>1</v>
      </c>
    </row>
    <row r="296" spans="1:27" x14ac:dyDescent="0.2">
      <c r="A296">
        <v>10</v>
      </c>
      <c r="B296">
        <v>1</v>
      </c>
      <c r="C296">
        <v>0.1</v>
      </c>
      <c r="D296">
        <v>100</v>
      </c>
      <c r="E296">
        <v>0.91027025234461401</v>
      </c>
      <c r="F296">
        <v>1</v>
      </c>
      <c r="G296">
        <v>32.202602472999999</v>
      </c>
      <c r="H296">
        <v>0.89778966879451205</v>
      </c>
      <c r="I296">
        <v>1</v>
      </c>
      <c r="J296">
        <v>0.101615344</v>
      </c>
      <c r="P296"/>
      <c r="V296">
        <v>0.89021051526283901</v>
      </c>
      <c r="W296">
        <v>1</v>
      </c>
      <c r="X296">
        <v>32.986235483000002</v>
      </c>
      <c r="Y296">
        <v>994</v>
      </c>
      <c r="Z296" s="1">
        <v>5.2372138304210199E-5</v>
      </c>
      <c r="AA296">
        <v>1</v>
      </c>
    </row>
    <row r="297" spans="1:27" x14ac:dyDescent="0.2">
      <c r="A297">
        <v>10</v>
      </c>
      <c r="B297">
        <v>1</v>
      </c>
      <c r="C297">
        <v>0.4</v>
      </c>
      <c r="D297">
        <v>100</v>
      </c>
      <c r="E297">
        <v>3.55203729424165E-2</v>
      </c>
      <c r="F297">
        <v>1</v>
      </c>
      <c r="G297">
        <v>33.500166766</v>
      </c>
      <c r="H297">
        <v>2.5844051119907899E-2</v>
      </c>
      <c r="I297">
        <v>1</v>
      </c>
      <c r="J297">
        <v>0.17597597700000001</v>
      </c>
      <c r="P297"/>
      <c r="V297">
        <v>1.99880263827182E-2</v>
      </c>
      <c r="W297">
        <v>1</v>
      </c>
      <c r="X297">
        <v>33.8010473</v>
      </c>
      <c r="Y297">
        <v>1</v>
      </c>
      <c r="Z297">
        <v>1.1561615523138699E-3</v>
      </c>
      <c r="AA297">
        <v>1</v>
      </c>
    </row>
    <row r="298" spans="1:27" x14ac:dyDescent="0.2">
      <c r="A298">
        <v>10</v>
      </c>
      <c r="B298">
        <v>1</v>
      </c>
      <c r="C298">
        <v>0.3</v>
      </c>
      <c r="D298">
        <v>100</v>
      </c>
      <c r="E298">
        <v>0.132564536642748</v>
      </c>
      <c r="F298">
        <v>1</v>
      </c>
      <c r="G298">
        <v>33.629436699000003</v>
      </c>
      <c r="H298">
        <v>0.13315479789675599</v>
      </c>
      <c r="I298">
        <v>1</v>
      </c>
      <c r="J298">
        <v>0.19759864499999999</v>
      </c>
      <c r="P298"/>
      <c r="V298">
        <v>0.12691501910074099</v>
      </c>
      <c r="W298">
        <v>1</v>
      </c>
      <c r="X298">
        <v>57.837142051000001</v>
      </c>
      <c r="Y298">
        <v>525</v>
      </c>
      <c r="Z298">
        <v>4.47571904078358E-3</v>
      </c>
      <c r="AA298">
        <v>1</v>
      </c>
    </row>
    <row r="299" spans="1:27" x14ac:dyDescent="0.2">
      <c r="A299">
        <v>10</v>
      </c>
      <c r="B299">
        <v>1</v>
      </c>
      <c r="C299">
        <v>0.3</v>
      </c>
      <c r="D299">
        <v>100</v>
      </c>
      <c r="E299">
        <v>0.241494606747409</v>
      </c>
      <c r="F299">
        <v>1</v>
      </c>
      <c r="G299">
        <v>34.244191227000002</v>
      </c>
      <c r="H299">
        <v>0.22444215275663201</v>
      </c>
      <c r="I299">
        <v>1</v>
      </c>
      <c r="J299">
        <v>0.127528471</v>
      </c>
      <c r="P299"/>
      <c r="V299">
        <v>0.24425810103194801</v>
      </c>
      <c r="W299">
        <v>1</v>
      </c>
      <c r="X299">
        <v>42.469688920999999</v>
      </c>
      <c r="Y299">
        <v>983</v>
      </c>
      <c r="Z299">
        <v>3.1003421956678201E-4</v>
      </c>
      <c r="AA299">
        <v>1</v>
      </c>
    </row>
    <row r="300" spans="1:27" x14ac:dyDescent="0.2">
      <c r="A300">
        <v>10</v>
      </c>
      <c r="B300">
        <v>1</v>
      </c>
      <c r="C300">
        <v>0.1</v>
      </c>
      <c r="D300">
        <v>100</v>
      </c>
      <c r="E300">
        <v>0.886157779727752</v>
      </c>
      <c r="F300">
        <v>1</v>
      </c>
      <c r="G300">
        <v>30.576507168999999</v>
      </c>
      <c r="H300">
        <v>0.88591381961424398</v>
      </c>
      <c r="I300">
        <v>1</v>
      </c>
      <c r="J300">
        <v>0.12154856999999999</v>
      </c>
      <c r="P300"/>
      <c r="V300">
        <v>1.29629225067294</v>
      </c>
      <c r="W300">
        <v>1</v>
      </c>
      <c r="X300">
        <v>32.302115028000003</v>
      </c>
      <c r="Y300">
        <v>1014</v>
      </c>
      <c r="Z300" s="1">
        <v>9.9089688235923194E-5</v>
      </c>
      <c r="AA300">
        <v>1</v>
      </c>
    </row>
    <row r="301" spans="1:27" x14ac:dyDescent="0.2">
      <c r="A301">
        <v>10</v>
      </c>
      <c r="B301">
        <v>1</v>
      </c>
      <c r="C301">
        <v>0.1</v>
      </c>
      <c r="D301">
        <v>100</v>
      </c>
      <c r="E301">
        <v>0.98046825101578605</v>
      </c>
      <c r="F301">
        <v>1</v>
      </c>
      <c r="G301">
        <v>36.454864082999997</v>
      </c>
      <c r="H301">
        <v>0.97501386008561497</v>
      </c>
      <c r="I301">
        <v>1</v>
      </c>
      <c r="J301">
        <v>0.15363945600000001</v>
      </c>
      <c r="P301"/>
      <c r="V301">
        <v>1.0425798074680801</v>
      </c>
      <c r="W301">
        <v>1</v>
      </c>
      <c r="X301">
        <v>55.557950665</v>
      </c>
      <c r="Y301">
        <v>2209</v>
      </c>
      <c r="Z301">
        <v>4.1866036797705801E-4</v>
      </c>
      <c r="AA301">
        <v>1</v>
      </c>
    </row>
    <row r="302" spans="1:27" x14ac:dyDescent="0.2">
      <c r="A302">
        <v>10</v>
      </c>
      <c r="B302">
        <v>1</v>
      </c>
      <c r="C302">
        <v>0.2</v>
      </c>
      <c r="D302">
        <v>100</v>
      </c>
      <c r="E302">
        <v>0.44650645659888399</v>
      </c>
      <c r="F302">
        <v>1</v>
      </c>
      <c r="G302">
        <v>29.348666957999999</v>
      </c>
      <c r="H302">
        <v>0.37695977273638998</v>
      </c>
      <c r="I302">
        <v>1</v>
      </c>
      <c r="J302">
        <v>0.112080866</v>
      </c>
      <c r="P302"/>
      <c r="V302">
        <v>0.62334104225772002</v>
      </c>
      <c r="W302">
        <v>1</v>
      </c>
      <c r="X302">
        <v>467.23223270300002</v>
      </c>
      <c r="Y302">
        <v>30086</v>
      </c>
      <c r="Z302">
        <v>1.3784372817802701E-3</v>
      </c>
      <c r="AA302">
        <v>11</v>
      </c>
    </row>
    <row r="303" spans="1:27" x14ac:dyDescent="0.2">
      <c r="A303">
        <v>10</v>
      </c>
      <c r="B303">
        <v>1</v>
      </c>
      <c r="C303">
        <v>0.3</v>
      </c>
      <c r="D303">
        <v>100</v>
      </c>
      <c r="E303">
        <v>0.23321866874599501</v>
      </c>
      <c r="F303">
        <v>1</v>
      </c>
      <c r="G303">
        <v>37.093663128000003</v>
      </c>
      <c r="H303">
        <v>0.105159193577015</v>
      </c>
      <c r="I303">
        <v>1</v>
      </c>
      <c r="J303">
        <v>0.23971067800000001</v>
      </c>
      <c r="P303"/>
      <c r="V303">
        <v>8.0528868849285395E-2</v>
      </c>
      <c r="W303">
        <v>1</v>
      </c>
      <c r="X303">
        <v>60.091526336000001</v>
      </c>
      <c r="Y303">
        <v>478</v>
      </c>
      <c r="Z303">
        <v>5.3572626456412998E-3</v>
      </c>
      <c r="AA303">
        <v>1</v>
      </c>
    </row>
    <row r="304" spans="1:27" x14ac:dyDescent="0.2">
      <c r="A304">
        <v>10</v>
      </c>
      <c r="B304">
        <v>1</v>
      </c>
      <c r="C304">
        <v>0.4</v>
      </c>
      <c r="D304">
        <v>100</v>
      </c>
      <c r="E304">
        <v>0.27397191252019099</v>
      </c>
      <c r="F304">
        <v>1</v>
      </c>
      <c r="G304">
        <v>35.459902595999999</v>
      </c>
      <c r="H304">
        <v>8.1266237774407502E-2</v>
      </c>
      <c r="I304">
        <v>1</v>
      </c>
      <c r="J304">
        <v>0.18158129000000001</v>
      </c>
      <c r="P304"/>
      <c r="V304">
        <v>0.19954608287571901</v>
      </c>
      <c r="W304">
        <v>1</v>
      </c>
      <c r="X304">
        <v>496.609002508</v>
      </c>
      <c r="Y304">
        <v>21625</v>
      </c>
      <c r="Z304">
        <v>7.1777544753630297E-4</v>
      </c>
      <c r="AA304">
        <v>7</v>
      </c>
    </row>
    <row r="305" spans="1:27" x14ac:dyDescent="0.2">
      <c r="A305">
        <v>10</v>
      </c>
      <c r="B305">
        <v>1</v>
      </c>
      <c r="C305">
        <v>0.1</v>
      </c>
      <c r="D305">
        <v>100</v>
      </c>
      <c r="E305">
        <v>0.993016887273662</v>
      </c>
      <c r="F305">
        <v>1</v>
      </c>
      <c r="G305">
        <v>30.073485433999998</v>
      </c>
      <c r="H305">
        <v>0.99301688797918197</v>
      </c>
      <c r="I305">
        <v>1</v>
      </c>
      <c r="J305">
        <v>4.4765294999999997E-2</v>
      </c>
      <c r="P305"/>
      <c r="V305">
        <v>1.07171954600916</v>
      </c>
      <c r="W305">
        <v>1</v>
      </c>
      <c r="X305">
        <v>1579.543830651</v>
      </c>
      <c r="Y305">
        <v>208154</v>
      </c>
      <c r="Z305">
        <v>1.2689941906801001E-4</v>
      </c>
      <c r="AA305">
        <v>6</v>
      </c>
    </row>
    <row r="306" spans="1:27" x14ac:dyDescent="0.2">
      <c r="A306">
        <v>20</v>
      </c>
      <c r="B306">
        <v>1</v>
      </c>
      <c r="C306">
        <v>0.4</v>
      </c>
      <c r="D306">
        <v>100</v>
      </c>
      <c r="E306">
        <v>1.0581536734042E-2</v>
      </c>
      <c r="F306">
        <v>1</v>
      </c>
      <c r="G306">
        <v>37.734567445000003</v>
      </c>
      <c r="H306">
        <v>1.25712479762186E-2</v>
      </c>
      <c r="I306">
        <v>1</v>
      </c>
      <c r="J306">
        <v>5.1625867999999998E-2</v>
      </c>
      <c r="P306"/>
      <c r="V306">
        <v>7.9136198960971793E-3</v>
      </c>
      <c r="W306">
        <v>1</v>
      </c>
      <c r="X306">
        <v>63.727454473000002</v>
      </c>
      <c r="Y306">
        <v>1</v>
      </c>
      <c r="Z306">
        <v>8.8214352879309992E-3</v>
      </c>
      <c r="AA306">
        <v>1</v>
      </c>
    </row>
    <row r="307" spans="1:27" x14ac:dyDescent="0.2">
      <c r="A307">
        <v>20</v>
      </c>
      <c r="B307">
        <v>1</v>
      </c>
      <c r="C307">
        <v>0.3</v>
      </c>
      <c r="D307">
        <v>100</v>
      </c>
      <c r="E307">
        <v>3.6482273672977697E-2</v>
      </c>
      <c r="F307">
        <v>1</v>
      </c>
      <c r="G307">
        <v>33.912922666999997</v>
      </c>
      <c r="H307">
        <v>3.2338120576429402E-2</v>
      </c>
      <c r="I307">
        <v>1</v>
      </c>
      <c r="J307">
        <v>0.26970598699999998</v>
      </c>
      <c r="P307"/>
      <c r="V307">
        <v>2.2541282252615098E-2</v>
      </c>
      <c r="W307">
        <v>1</v>
      </c>
      <c r="X307">
        <v>8737.6060629069998</v>
      </c>
      <c r="Y307">
        <v>18193</v>
      </c>
      <c r="Z307">
        <v>8.5429828257342893E-3</v>
      </c>
      <c r="AA307">
        <v>12</v>
      </c>
    </row>
    <row r="308" spans="1:27" x14ac:dyDescent="0.2">
      <c r="A308">
        <v>20</v>
      </c>
      <c r="B308">
        <v>1</v>
      </c>
      <c r="C308">
        <v>0.3</v>
      </c>
      <c r="D308">
        <v>100</v>
      </c>
      <c r="E308">
        <v>1.3848677431321199E-2</v>
      </c>
      <c r="F308">
        <v>1</v>
      </c>
      <c r="G308">
        <v>36.747481866000001</v>
      </c>
      <c r="H308">
        <v>2.0142459425918802E-2</v>
      </c>
      <c r="I308">
        <v>1</v>
      </c>
      <c r="J308">
        <v>0.37632431599999999</v>
      </c>
      <c r="P308"/>
      <c r="V308">
        <v>1.42280760796258E-2</v>
      </c>
      <c r="W308">
        <v>1</v>
      </c>
      <c r="X308">
        <v>79.407420005999995</v>
      </c>
      <c r="Y308">
        <v>46</v>
      </c>
      <c r="Z308">
        <v>5.9340830505734601E-3</v>
      </c>
      <c r="AA308">
        <v>1</v>
      </c>
    </row>
    <row r="309" spans="1:27" x14ac:dyDescent="0.2">
      <c r="A309">
        <v>20</v>
      </c>
      <c r="B309">
        <v>1</v>
      </c>
      <c r="C309">
        <v>0.4</v>
      </c>
      <c r="D309">
        <v>100</v>
      </c>
      <c r="E309">
        <v>1.0585917237854001E-2</v>
      </c>
      <c r="F309">
        <v>1</v>
      </c>
      <c r="G309">
        <v>34.175197419</v>
      </c>
      <c r="H309">
        <v>1.36690710484558E-2</v>
      </c>
      <c r="I309">
        <v>1</v>
      </c>
      <c r="J309">
        <v>9.5307239000000002E-2</v>
      </c>
      <c r="P309"/>
      <c r="V309">
        <v>9.4322156760610395E-3</v>
      </c>
      <c r="W309">
        <v>1</v>
      </c>
      <c r="X309">
        <v>55.552148260000003</v>
      </c>
      <c r="Y309">
        <v>1</v>
      </c>
      <c r="Z309">
        <v>4.3271939192650001E-3</v>
      </c>
      <c r="AA309">
        <v>1</v>
      </c>
    </row>
    <row r="310" spans="1:27" x14ac:dyDescent="0.2">
      <c r="A310">
        <v>20</v>
      </c>
      <c r="B310">
        <v>1</v>
      </c>
      <c r="C310">
        <v>0.1</v>
      </c>
      <c r="D310">
        <v>100</v>
      </c>
      <c r="E310">
        <v>0.62027652341116901</v>
      </c>
      <c r="F310">
        <v>1</v>
      </c>
      <c r="G310">
        <v>35.095034151999997</v>
      </c>
      <c r="H310">
        <v>0.59359614778373404</v>
      </c>
      <c r="I310">
        <v>1</v>
      </c>
      <c r="J310">
        <v>0.31099096300000001</v>
      </c>
      <c r="P310"/>
      <c r="V310">
        <v>0.59270895125177703</v>
      </c>
      <c r="W310">
        <v>1</v>
      </c>
      <c r="X310">
        <v>117.34776795499999</v>
      </c>
      <c r="Y310">
        <v>198</v>
      </c>
      <c r="Z310">
        <v>6.1095045116525597E-3</v>
      </c>
      <c r="AA310">
        <v>1</v>
      </c>
    </row>
    <row r="311" spans="1:27" x14ac:dyDescent="0.2">
      <c r="A311">
        <v>10</v>
      </c>
      <c r="B311">
        <v>1</v>
      </c>
      <c r="C311">
        <v>0.4</v>
      </c>
      <c r="D311">
        <v>100</v>
      </c>
      <c r="E311">
        <v>0.19152316645857601</v>
      </c>
      <c r="F311">
        <v>1</v>
      </c>
      <c r="G311">
        <v>34.278486299999997</v>
      </c>
      <c r="H311">
        <v>7.0413042472854695E-2</v>
      </c>
      <c r="I311">
        <v>1</v>
      </c>
      <c r="J311">
        <v>0.27655394</v>
      </c>
      <c r="P311"/>
      <c r="V311">
        <v>2.8364879693490299E-2</v>
      </c>
      <c r="W311">
        <v>1</v>
      </c>
      <c r="X311">
        <v>13658.245080416</v>
      </c>
      <c r="Y311">
        <v>115351</v>
      </c>
      <c r="Z311">
        <v>7.5526876875184302E-4</v>
      </c>
      <c r="AA311">
        <v>32</v>
      </c>
    </row>
    <row r="312" spans="1:27" x14ac:dyDescent="0.2">
      <c r="A312">
        <v>20</v>
      </c>
      <c r="B312">
        <v>1</v>
      </c>
      <c r="C312">
        <v>0.3</v>
      </c>
      <c r="D312">
        <v>100</v>
      </c>
      <c r="E312">
        <v>2.5937200930227201E-2</v>
      </c>
      <c r="F312">
        <v>1</v>
      </c>
      <c r="G312">
        <v>36.231357352000003</v>
      </c>
      <c r="H312">
        <v>2.5879858399616699E-2</v>
      </c>
      <c r="I312">
        <v>1</v>
      </c>
      <c r="J312">
        <v>0.165031858</v>
      </c>
      <c r="P312"/>
      <c r="V312">
        <v>1.7877582385054401E-2</v>
      </c>
      <c r="W312">
        <v>1</v>
      </c>
      <c r="X312">
        <v>80.948014173000004</v>
      </c>
      <c r="Y312">
        <v>63</v>
      </c>
      <c r="Z312">
        <v>9.3766803803688702E-3</v>
      </c>
      <c r="AA312">
        <v>1</v>
      </c>
    </row>
    <row r="313" spans="1:27" x14ac:dyDescent="0.2">
      <c r="A313">
        <v>20</v>
      </c>
      <c r="B313">
        <v>1</v>
      </c>
      <c r="C313">
        <v>0.4</v>
      </c>
      <c r="D313">
        <v>100</v>
      </c>
      <c r="E313">
        <v>1.15735020912667E-2</v>
      </c>
      <c r="F313">
        <v>1</v>
      </c>
      <c r="G313">
        <v>35.144464524999997</v>
      </c>
      <c r="H313">
        <v>1.8685604879149699E-2</v>
      </c>
      <c r="I313">
        <v>1</v>
      </c>
      <c r="J313">
        <v>0.23794765500000001</v>
      </c>
      <c r="P313"/>
      <c r="V313">
        <v>1.44390096320407E-2</v>
      </c>
      <c r="W313">
        <v>1</v>
      </c>
      <c r="X313">
        <v>65.388824420999995</v>
      </c>
      <c r="Y313">
        <v>43</v>
      </c>
      <c r="Z313">
        <v>6.4782739483938397E-3</v>
      </c>
      <c r="AA313">
        <v>1</v>
      </c>
    </row>
    <row r="314" spans="1:27" x14ac:dyDescent="0.2">
      <c r="A314">
        <v>20</v>
      </c>
      <c r="B314">
        <v>1</v>
      </c>
      <c r="C314">
        <v>0.1</v>
      </c>
      <c r="D314">
        <v>100</v>
      </c>
      <c r="E314">
        <v>0.62647389392438502</v>
      </c>
      <c r="F314">
        <v>1</v>
      </c>
      <c r="G314">
        <v>35.074142467999998</v>
      </c>
      <c r="H314">
        <v>0.61977282076233298</v>
      </c>
      <c r="I314">
        <v>1</v>
      </c>
      <c r="J314">
        <v>0.58872350799999995</v>
      </c>
      <c r="P314"/>
      <c r="V314">
        <v>0.61957481598861397</v>
      </c>
      <c r="W314">
        <v>1</v>
      </c>
      <c r="X314">
        <v>106.760930155</v>
      </c>
      <c r="Y314">
        <v>160</v>
      </c>
      <c r="Z314">
        <v>7.0845933136351102E-3</v>
      </c>
      <c r="AA314">
        <v>1</v>
      </c>
    </row>
    <row r="315" spans="1:27" x14ac:dyDescent="0.2">
      <c r="A315">
        <v>20</v>
      </c>
      <c r="B315">
        <v>1</v>
      </c>
      <c r="C315">
        <v>0.4</v>
      </c>
      <c r="D315">
        <v>100</v>
      </c>
      <c r="E315">
        <v>1.12814777312055E-2</v>
      </c>
      <c r="F315">
        <v>1</v>
      </c>
      <c r="G315">
        <v>39.456876862999998</v>
      </c>
      <c r="H315">
        <v>1.23697312050537E-2</v>
      </c>
      <c r="I315">
        <v>1</v>
      </c>
      <c r="J315">
        <v>0.100707279</v>
      </c>
      <c r="P315"/>
      <c r="V315">
        <v>7.0525894590264E-3</v>
      </c>
      <c r="W315">
        <v>1</v>
      </c>
      <c r="X315">
        <v>63.910592315999999</v>
      </c>
      <c r="Y315">
        <v>1</v>
      </c>
      <c r="Z315">
        <v>6.3982718290555001E-3</v>
      </c>
      <c r="AA315">
        <v>1</v>
      </c>
    </row>
    <row r="316" spans="1:27" x14ac:dyDescent="0.2">
      <c r="A316">
        <v>20</v>
      </c>
      <c r="B316">
        <v>1</v>
      </c>
      <c r="C316">
        <v>0.3</v>
      </c>
      <c r="D316">
        <v>100</v>
      </c>
      <c r="E316">
        <v>0.14230748561634399</v>
      </c>
      <c r="F316">
        <v>1</v>
      </c>
      <c r="G316">
        <v>40.224311671000002</v>
      </c>
      <c r="H316">
        <v>6.2421517083725502E-2</v>
      </c>
      <c r="I316">
        <v>1</v>
      </c>
      <c r="J316">
        <v>0.58694603400000001</v>
      </c>
      <c r="P316"/>
      <c r="V316">
        <v>4.4817898134345502E-2</v>
      </c>
      <c r="W316">
        <v>1</v>
      </c>
      <c r="X316">
        <v>85.413963460999994</v>
      </c>
      <c r="Y316">
        <v>51</v>
      </c>
      <c r="Z316">
        <v>7.9024656160837595E-3</v>
      </c>
      <c r="AA316">
        <v>1</v>
      </c>
    </row>
    <row r="317" spans="1:27" x14ac:dyDescent="0.2">
      <c r="A317">
        <v>20</v>
      </c>
      <c r="B317">
        <v>1</v>
      </c>
      <c r="C317">
        <v>0.1</v>
      </c>
      <c r="D317">
        <v>100</v>
      </c>
      <c r="E317">
        <v>0.65332276352434304</v>
      </c>
      <c r="F317">
        <v>1</v>
      </c>
      <c r="G317">
        <v>42.922028824000002</v>
      </c>
      <c r="H317">
        <v>0.53391048886840997</v>
      </c>
      <c r="I317">
        <v>1</v>
      </c>
      <c r="J317">
        <v>4.5053647320000003</v>
      </c>
      <c r="P317"/>
      <c r="V317">
        <v>0.53241150055157005</v>
      </c>
      <c r="W317">
        <v>1</v>
      </c>
      <c r="X317">
        <v>161.837010652</v>
      </c>
      <c r="Y317">
        <v>1</v>
      </c>
      <c r="Z317">
        <v>8.8874413835292806E-3</v>
      </c>
      <c r="AA317">
        <v>1</v>
      </c>
    </row>
    <row r="318" spans="1:27" x14ac:dyDescent="0.2">
      <c r="A318">
        <v>20</v>
      </c>
      <c r="B318">
        <v>1</v>
      </c>
      <c r="C318">
        <v>0.4</v>
      </c>
      <c r="D318">
        <v>100</v>
      </c>
      <c r="E318">
        <v>1.3075115243645999E-2</v>
      </c>
      <c r="F318">
        <v>1</v>
      </c>
      <c r="G318">
        <v>44.586513811000003</v>
      </c>
      <c r="H318">
        <v>1.7601752217152902E-2</v>
      </c>
      <c r="I318">
        <v>1</v>
      </c>
      <c r="J318">
        <v>0.32025794400000002</v>
      </c>
      <c r="P318"/>
      <c r="V318">
        <v>1.27280727455731E-2</v>
      </c>
      <c r="W318">
        <v>1</v>
      </c>
      <c r="X318">
        <v>443.19322940299998</v>
      </c>
      <c r="Y318">
        <v>1</v>
      </c>
      <c r="Z318">
        <v>8.0609418044836293E-3</v>
      </c>
      <c r="AA318">
        <v>5</v>
      </c>
    </row>
    <row r="319" spans="1:27" x14ac:dyDescent="0.2">
      <c r="A319">
        <v>10</v>
      </c>
      <c r="B319">
        <v>1</v>
      </c>
      <c r="C319">
        <v>0.4</v>
      </c>
      <c r="D319">
        <v>100</v>
      </c>
      <c r="E319">
        <v>0.20916510231595101</v>
      </c>
      <c r="F319">
        <v>1</v>
      </c>
      <c r="G319">
        <v>29.218759766000002</v>
      </c>
      <c r="H319">
        <v>6.4003359958056394E-2</v>
      </c>
      <c r="I319">
        <v>1</v>
      </c>
      <c r="J319">
        <v>0.10929981499999999</v>
      </c>
      <c r="P319"/>
      <c r="V319">
        <v>2.6711820589110799E-2</v>
      </c>
      <c r="W319">
        <v>1</v>
      </c>
      <c r="X319">
        <v>32891.086101950998</v>
      </c>
      <c r="Y319">
        <v>95125</v>
      </c>
      <c r="Z319">
        <v>6.5231528855097499E-4</v>
      </c>
      <c r="AA319">
        <v>50</v>
      </c>
    </row>
    <row r="320" spans="1:27" x14ac:dyDescent="0.2">
      <c r="A320">
        <v>30</v>
      </c>
      <c r="B320">
        <v>1</v>
      </c>
      <c r="C320">
        <v>0.4</v>
      </c>
      <c r="D320">
        <v>100</v>
      </c>
      <c r="E320">
        <v>1.02619684199752E-2</v>
      </c>
      <c r="F320">
        <v>1</v>
      </c>
      <c r="G320">
        <v>49.021084137000003</v>
      </c>
      <c r="H320">
        <v>1.2612517529251599E-2</v>
      </c>
      <c r="I320">
        <v>1</v>
      </c>
      <c r="J320">
        <v>0.266046018</v>
      </c>
      <c r="P320"/>
      <c r="V320">
        <v>8.3136929826048093E-3</v>
      </c>
      <c r="W320">
        <v>1</v>
      </c>
      <c r="X320">
        <v>1046.6029319050001</v>
      </c>
      <c r="Y320">
        <v>1</v>
      </c>
      <c r="Z320">
        <v>6.5604291543941403E-3</v>
      </c>
      <c r="AA320">
        <v>8</v>
      </c>
    </row>
    <row r="321" spans="1:27" x14ac:dyDescent="0.2">
      <c r="A321">
        <v>30</v>
      </c>
      <c r="B321">
        <v>1</v>
      </c>
      <c r="C321">
        <v>0.3</v>
      </c>
      <c r="D321">
        <v>100</v>
      </c>
      <c r="E321">
        <v>1.17693771772231E-2</v>
      </c>
      <c r="F321">
        <v>1</v>
      </c>
      <c r="G321">
        <v>46.930649013999997</v>
      </c>
      <c r="H321">
        <v>1.42323109273742E-2</v>
      </c>
      <c r="I321">
        <v>1</v>
      </c>
      <c r="J321">
        <v>0.12442757</v>
      </c>
      <c r="P321"/>
      <c r="V321">
        <v>9.3109296569155696E-3</v>
      </c>
      <c r="W321">
        <v>1</v>
      </c>
      <c r="X321">
        <v>1438.4898217069999</v>
      </c>
      <c r="Y321">
        <v>69</v>
      </c>
      <c r="Z321">
        <v>8.5370254049419395E-3</v>
      </c>
      <c r="AA321">
        <v>4</v>
      </c>
    </row>
    <row r="322" spans="1:27" x14ac:dyDescent="0.2">
      <c r="A322">
        <v>30</v>
      </c>
      <c r="B322">
        <v>1</v>
      </c>
      <c r="C322">
        <v>0.4</v>
      </c>
      <c r="D322">
        <v>100</v>
      </c>
      <c r="E322">
        <v>9.3363479768350504E-3</v>
      </c>
      <c r="F322">
        <v>1</v>
      </c>
      <c r="G322">
        <v>30.120344470999999</v>
      </c>
      <c r="H322">
        <v>1.17194238500971E-2</v>
      </c>
      <c r="I322">
        <v>1</v>
      </c>
      <c r="J322">
        <v>9.4766936999999996E-2</v>
      </c>
      <c r="P322"/>
      <c r="V322">
        <v>7.7728158697807602E-3</v>
      </c>
      <c r="W322">
        <v>1</v>
      </c>
      <c r="X322">
        <v>1107.416767852</v>
      </c>
      <c r="Y322">
        <v>19</v>
      </c>
      <c r="Z322">
        <v>6.0020981531456697E-3</v>
      </c>
      <c r="AA322">
        <v>17</v>
      </c>
    </row>
    <row r="323" spans="1:27" x14ac:dyDescent="0.2">
      <c r="A323">
        <v>30</v>
      </c>
      <c r="B323">
        <v>1</v>
      </c>
      <c r="C323">
        <v>0.3</v>
      </c>
      <c r="D323">
        <v>100</v>
      </c>
      <c r="E323">
        <v>1.01440371481111E-2</v>
      </c>
      <c r="F323">
        <v>1</v>
      </c>
      <c r="G323">
        <v>34.624897394999998</v>
      </c>
      <c r="H323">
        <v>1.18826032663444E-2</v>
      </c>
      <c r="I323">
        <v>1</v>
      </c>
      <c r="J323">
        <v>0.21614086199999999</v>
      </c>
      <c r="P323"/>
      <c r="V323">
        <v>7.5181867309757596E-3</v>
      </c>
      <c r="W323">
        <v>1</v>
      </c>
      <c r="X323">
        <v>550.97875998300003</v>
      </c>
      <c r="Y323">
        <v>1</v>
      </c>
      <c r="Z323">
        <v>7.4691673041376002E-3</v>
      </c>
      <c r="AA323">
        <v>6</v>
      </c>
    </row>
    <row r="324" spans="1:27" x14ac:dyDescent="0.2">
      <c r="A324">
        <v>30</v>
      </c>
      <c r="B324">
        <v>1</v>
      </c>
      <c r="C324">
        <v>0.4</v>
      </c>
      <c r="D324">
        <v>100</v>
      </c>
      <c r="E324">
        <v>1.2511648206132099E-2</v>
      </c>
      <c r="F324">
        <v>1</v>
      </c>
      <c r="G324">
        <v>30.151516335</v>
      </c>
      <c r="H324">
        <v>1.44783107203967E-2</v>
      </c>
      <c r="I324">
        <v>1</v>
      </c>
      <c r="J324">
        <v>9.4549800000000003E-2</v>
      </c>
      <c r="P324"/>
      <c r="V324">
        <v>8.9259894092372696E-3</v>
      </c>
      <c r="W324">
        <v>1</v>
      </c>
      <c r="X324">
        <v>761.28421220999996</v>
      </c>
      <c r="Y324">
        <v>33</v>
      </c>
      <c r="Z324">
        <v>4.0418179261689701E-3</v>
      </c>
      <c r="AA324">
        <v>7</v>
      </c>
    </row>
    <row r="325" spans="1:27" x14ac:dyDescent="0.2">
      <c r="A325">
        <v>30</v>
      </c>
      <c r="B325">
        <v>1</v>
      </c>
      <c r="C325">
        <v>0.3</v>
      </c>
      <c r="D325">
        <v>100</v>
      </c>
      <c r="E325">
        <v>3.1358128510561203E-2</v>
      </c>
      <c r="F325">
        <v>1</v>
      </c>
      <c r="G325">
        <v>45.417240661000001</v>
      </c>
      <c r="H325">
        <v>3.0850301634768099E-2</v>
      </c>
      <c r="I325">
        <v>1</v>
      </c>
      <c r="J325">
        <v>0.29971177300000001</v>
      </c>
      <c r="P325"/>
      <c r="V325">
        <v>2.15905898469082E-2</v>
      </c>
      <c r="W325">
        <v>1</v>
      </c>
      <c r="X325">
        <v>7771.4141322120004</v>
      </c>
      <c r="Y325">
        <v>973</v>
      </c>
      <c r="Z325">
        <v>8.0964512286690795E-3</v>
      </c>
      <c r="AA325">
        <v>7</v>
      </c>
    </row>
    <row r="326" spans="1:27" x14ac:dyDescent="0.2">
      <c r="A326">
        <v>30</v>
      </c>
      <c r="B326">
        <v>1</v>
      </c>
      <c r="C326">
        <v>0.4</v>
      </c>
      <c r="D326">
        <v>100</v>
      </c>
      <c r="E326">
        <v>1.9220532919215001E-2</v>
      </c>
      <c r="F326">
        <v>1</v>
      </c>
      <c r="G326">
        <v>29.592391060000001</v>
      </c>
      <c r="H326">
        <v>2.5019388245615299E-2</v>
      </c>
      <c r="I326">
        <v>1</v>
      </c>
      <c r="J326">
        <v>0.14320529400000001</v>
      </c>
      <c r="P326"/>
      <c r="V326">
        <v>1.6648847012989101E-2</v>
      </c>
      <c r="W326">
        <v>1</v>
      </c>
      <c r="X326">
        <v>19316.322652030001</v>
      </c>
      <c r="Y326">
        <v>3456</v>
      </c>
      <c r="Z326">
        <v>9.3645343975586794E-3</v>
      </c>
      <c r="AA326">
        <v>10</v>
      </c>
    </row>
    <row r="327" spans="1:27" x14ac:dyDescent="0.2">
      <c r="A327">
        <v>30</v>
      </c>
      <c r="B327">
        <v>1</v>
      </c>
      <c r="C327">
        <v>0.3</v>
      </c>
      <c r="D327">
        <v>100</v>
      </c>
      <c r="E327">
        <v>2.3774704840041599E-2</v>
      </c>
      <c r="F327">
        <v>1</v>
      </c>
      <c r="G327">
        <v>32.954936947</v>
      </c>
      <c r="H327">
        <v>2.3004999040429099E-2</v>
      </c>
      <c r="I327">
        <v>1</v>
      </c>
      <c r="J327">
        <v>8.2627125999999995E-2</v>
      </c>
      <c r="P327"/>
      <c r="V327">
        <v>1.83887442208031E-2</v>
      </c>
      <c r="W327">
        <v>1</v>
      </c>
      <c r="X327">
        <v>12124.457864455</v>
      </c>
      <c r="Y327">
        <v>1882</v>
      </c>
      <c r="Z327">
        <v>9.8988607205683296E-3</v>
      </c>
      <c r="AA327">
        <v>12</v>
      </c>
    </row>
    <row r="328" spans="1:27" x14ac:dyDescent="0.2">
      <c r="A328">
        <v>30</v>
      </c>
      <c r="B328">
        <v>1</v>
      </c>
      <c r="C328">
        <v>0.4</v>
      </c>
      <c r="D328">
        <v>100</v>
      </c>
      <c r="E328">
        <v>1.2885110868584199E-2</v>
      </c>
      <c r="F328">
        <v>1</v>
      </c>
      <c r="G328">
        <v>35.085431464999999</v>
      </c>
      <c r="H328">
        <v>1.48109146355E-2</v>
      </c>
      <c r="I328">
        <v>1</v>
      </c>
      <c r="J328">
        <v>0.105505548</v>
      </c>
      <c r="P328"/>
      <c r="V328">
        <v>9.2487693010424102E-3</v>
      </c>
      <c r="W328">
        <v>1</v>
      </c>
      <c r="X328">
        <v>377.32153496199999</v>
      </c>
      <c r="Y328">
        <v>1</v>
      </c>
      <c r="Z328">
        <v>3.3952068877130197E-2</v>
      </c>
      <c r="AA328">
        <v>3</v>
      </c>
    </row>
    <row r="329" spans="1:27" x14ac:dyDescent="0.2">
      <c r="A329">
        <v>30</v>
      </c>
      <c r="B329">
        <v>1</v>
      </c>
      <c r="C329">
        <v>0.4</v>
      </c>
      <c r="D329">
        <v>100</v>
      </c>
      <c r="E329">
        <v>2.71351520688753E-2</v>
      </c>
      <c r="F329">
        <v>1</v>
      </c>
      <c r="G329">
        <v>36.620148432000001</v>
      </c>
      <c r="H329">
        <v>2.30659894441382E-2</v>
      </c>
      <c r="I329">
        <v>1</v>
      </c>
      <c r="J329">
        <v>0.20128449800000001</v>
      </c>
      <c r="P329"/>
      <c r="V329">
        <v>1.79764035144215E-2</v>
      </c>
      <c r="W329">
        <v>1</v>
      </c>
      <c r="X329">
        <v>5210.3114507549999</v>
      </c>
      <c r="Y329">
        <v>184</v>
      </c>
      <c r="Z329">
        <v>5.7696261996922297E-3</v>
      </c>
      <c r="AA329">
        <v>7</v>
      </c>
    </row>
    <row r="330" spans="1:27" x14ac:dyDescent="0.2">
      <c r="A330">
        <v>30</v>
      </c>
      <c r="B330">
        <v>1</v>
      </c>
      <c r="C330">
        <v>0.4</v>
      </c>
      <c r="D330">
        <v>100</v>
      </c>
      <c r="E330">
        <v>1.1991648195986099E-2</v>
      </c>
      <c r="F330">
        <v>1</v>
      </c>
      <c r="G330">
        <v>43.892931904999998</v>
      </c>
      <c r="H330">
        <v>1.7961670778089599E-2</v>
      </c>
      <c r="I330">
        <v>1</v>
      </c>
      <c r="J330">
        <v>0.42654071300000002</v>
      </c>
      <c r="P330"/>
      <c r="V330">
        <v>1.32403906728482E-2</v>
      </c>
      <c r="W330">
        <v>1</v>
      </c>
      <c r="X330">
        <v>4522.9932975370002</v>
      </c>
      <c r="Y330">
        <v>15</v>
      </c>
      <c r="Z330">
        <v>9.4081639444336604E-3</v>
      </c>
      <c r="AA330">
        <v>13</v>
      </c>
    </row>
    <row r="331" spans="1:27" x14ac:dyDescent="0.2">
      <c r="A331">
        <v>30</v>
      </c>
      <c r="B331">
        <v>1</v>
      </c>
      <c r="C331">
        <v>0.4</v>
      </c>
      <c r="D331">
        <v>100</v>
      </c>
      <c r="E331">
        <v>1.07524419155034E-2</v>
      </c>
      <c r="F331">
        <v>1</v>
      </c>
      <c r="G331">
        <v>32.162840262000003</v>
      </c>
      <c r="H331">
        <v>1.24054728189522E-2</v>
      </c>
      <c r="I331">
        <v>1</v>
      </c>
      <c r="J331">
        <v>0.12429515300000001</v>
      </c>
      <c r="P331"/>
      <c r="V331">
        <v>7.6638543774690798E-3</v>
      </c>
      <c r="W331">
        <v>1</v>
      </c>
      <c r="X331">
        <v>869.63217011100005</v>
      </c>
      <c r="Y331">
        <v>15</v>
      </c>
      <c r="Z331">
        <v>1.69491842635443E-2</v>
      </c>
      <c r="AA331">
        <v>10</v>
      </c>
    </row>
    <row r="332" spans="1:27" x14ac:dyDescent="0.2">
      <c r="A332">
        <v>30</v>
      </c>
      <c r="B332">
        <v>1</v>
      </c>
      <c r="C332">
        <v>0.4</v>
      </c>
      <c r="D332">
        <v>100</v>
      </c>
      <c r="E332">
        <v>4.5615251360528901E-2</v>
      </c>
      <c r="F332">
        <v>1</v>
      </c>
      <c r="G332">
        <v>40.727679477999999</v>
      </c>
      <c r="H332">
        <v>2.46434380309602E-2</v>
      </c>
      <c r="I332">
        <v>1</v>
      </c>
      <c r="J332">
        <v>0.26453408899999997</v>
      </c>
      <c r="P332"/>
      <c r="V332">
        <v>2.00648920543639E-2</v>
      </c>
      <c r="W332">
        <v>1</v>
      </c>
      <c r="X332">
        <v>2233.1463691839999</v>
      </c>
      <c r="Y332">
        <v>272</v>
      </c>
      <c r="Z332">
        <v>8.6322371660756403E-3</v>
      </c>
      <c r="AA332">
        <v>5</v>
      </c>
    </row>
    <row r="333" spans="1:27" x14ac:dyDescent="0.2">
      <c r="A333">
        <v>30</v>
      </c>
      <c r="B333">
        <v>1</v>
      </c>
      <c r="C333">
        <v>0.3</v>
      </c>
      <c r="D333">
        <v>100</v>
      </c>
      <c r="E333">
        <v>5.8499831152477297E-2</v>
      </c>
      <c r="F333">
        <v>1</v>
      </c>
      <c r="G333">
        <v>32.609392378999999</v>
      </c>
      <c r="H333">
        <v>4.5963717955663799E-2</v>
      </c>
      <c r="I333">
        <v>1</v>
      </c>
      <c r="J333">
        <v>0.211903329</v>
      </c>
      <c r="P333"/>
      <c r="V333">
        <v>2.9699283189905699E-2</v>
      </c>
      <c r="W333">
        <v>1</v>
      </c>
      <c r="X333">
        <v>4974.9660438990004</v>
      </c>
      <c r="Y333">
        <v>570</v>
      </c>
      <c r="Z333">
        <v>7.5691608284229597E-3</v>
      </c>
      <c r="AA333">
        <v>6</v>
      </c>
    </row>
    <row r="334" spans="1:27" x14ac:dyDescent="0.2">
      <c r="A334">
        <v>30</v>
      </c>
      <c r="B334">
        <v>1</v>
      </c>
      <c r="C334">
        <v>0.4</v>
      </c>
      <c r="D334">
        <v>100</v>
      </c>
      <c r="E334">
        <v>5.93357741822957E-2</v>
      </c>
      <c r="F334">
        <v>1</v>
      </c>
      <c r="G334">
        <v>35.298243986000003</v>
      </c>
      <c r="H334">
        <v>3.6005578513792401E-2</v>
      </c>
      <c r="I334">
        <v>1</v>
      </c>
      <c r="J334">
        <v>0.21373102199999999</v>
      </c>
      <c r="P334"/>
      <c r="V334">
        <v>3.29337565179251E-2</v>
      </c>
      <c r="W334">
        <v>1</v>
      </c>
      <c r="X334">
        <v>1786.6791610820001</v>
      </c>
      <c r="Y334">
        <v>978</v>
      </c>
      <c r="Z334">
        <v>6.4450609989893303E-3</v>
      </c>
      <c r="AA334">
        <v>4</v>
      </c>
    </row>
    <row r="335" spans="1:27" x14ac:dyDescent="0.2">
      <c r="A335">
        <v>30</v>
      </c>
      <c r="B335">
        <v>1</v>
      </c>
      <c r="C335">
        <v>0.3</v>
      </c>
      <c r="D335">
        <v>100</v>
      </c>
      <c r="E335">
        <v>3.1692227383673999E-2</v>
      </c>
      <c r="F335">
        <v>1</v>
      </c>
      <c r="G335">
        <v>36.590395975</v>
      </c>
      <c r="H335">
        <v>1.9901800639929398E-2</v>
      </c>
      <c r="I335">
        <v>1</v>
      </c>
      <c r="J335">
        <v>0.471828154</v>
      </c>
      <c r="P335"/>
      <c r="V335">
        <v>1.5622913849212701E-2</v>
      </c>
      <c r="W335">
        <v>1</v>
      </c>
      <c r="X335">
        <v>30631.884402912001</v>
      </c>
      <c r="Y335">
        <v>5257</v>
      </c>
      <c r="Z335">
        <v>8.2136497749161208E-3</v>
      </c>
      <c r="AA335">
        <v>19</v>
      </c>
    </row>
    <row r="336" spans="1:27" x14ac:dyDescent="0.2">
      <c r="A336">
        <v>30</v>
      </c>
      <c r="B336">
        <v>1</v>
      </c>
      <c r="C336">
        <v>0.3</v>
      </c>
      <c r="D336">
        <v>100</v>
      </c>
      <c r="E336">
        <v>1.1452445774079899E-2</v>
      </c>
      <c r="F336">
        <v>1</v>
      </c>
      <c r="G336">
        <v>38.389842969</v>
      </c>
      <c r="H336">
        <v>1.5725300958926401E-2</v>
      </c>
      <c r="I336">
        <v>1</v>
      </c>
      <c r="J336">
        <v>0.12269799300000001</v>
      </c>
      <c r="P336"/>
      <c r="V336">
        <v>1.14415226984475E-2</v>
      </c>
      <c r="W336">
        <v>1</v>
      </c>
      <c r="X336">
        <v>2615.3060578730001</v>
      </c>
      <c r="Y336">
        <v>35</v>
      </c>
      <c r="Z336">
        <v>4.16349401600246E-3</v>
      </c>
      <c r="AA336">
        <v>8</v>
      </c>
    </row>
    <row r="337" spans="1:27" x14ac:dyDescent="0.2">
      <c r="A337">
        <v>30</v>
      </c>
      <c r="B337">
        <v>1</v>
      </c>
      <c r="C337">
        <v>0.4</v>
      </c>
      <c r="D337">
        <v>100</v>
      </c>
      <c r="E337">
        <v>1.11574486725021E-2</v>
      </c>
      <c r="F337">
        <v>1</v>
      </c>
      <c r="G337">
        <v>40.870376217</v>
      </c>
      <c r="H337">
        <v>1.55416616119595E-2</v>
      </c>
      <c r="I337">
        <v>1</v>
      </c>
      <c r="J337">
        <v>0.39572708099999998</v>
      </c>
      <c r="P337"/>
      <c r="V337">
        <v>1.1095753775375901E-2</v>
      </c>
      <c r="W337">
        <v>1</v>
      </c>
      <c r="X337">
        <v>1414.655427809</v>
      </c>
      <c r="Y337">
        <v>1</v>
      </c>
      <c r="Z337">
        <v>6.1217570053434499E-3</v>
      </c>
      <c r="AA337">
        <v>7</v>
      </c>
    </row>
    <row r="338" spans="1:27" x14ac:dyDescent="0.2">
      <c r="A338">
        <v>30</v>
      </c>
      <c r="B338">
        <v>1</v>
      </c>
      <c r="C338">
        <v>0.3</v>
      </c>
      <c r="D338">
        <v>100</v>
      </c>
      <c r="E338">
        <v>2.14507880323269E-2</v>
      </c>
      <c r="F338">
        <v>1</v>
      </c>
      <c r="G338">
        <v>26.192689507000001</v>
      </c>
      <c r="H338">
        <v>2.38620592882299E-2</v>
      </c>
      <c r="I338">
        <v>1</v>
      </c>
      <c r="J338">
        <v>0.14329563100000001</v>
      </c>
      <c r="P338"/>
      <c r="V338">
        <v>1.6913983022112201E-2</v>
      </c>
      <c r="W338">
        <v>1</v>
      </c>
      <c r="X338">
        <v>86114.304589128005</v>
      </c>
      <c r="Y338">
        <v>7854</v>
      </c>
      <c r="Z338">
        <v>9.2027963559573305E-3</v>
      </c>
      <c r="AA338">
        <v>22</v>
      </c>
    </row>
    <row r="339" spans="1:27" x14ac:dyDescent="0.2">
      <c r="A339">
        <v>10</v>
      </c>
      <c r="B339">
        <v>3</v>
      </c>
      <c r="C339">
        <v>0.1</v>
      </c>
      <c r="D339">
        <v>100</v>
      </c>
      <c r="E339">
        <v>0.99834191749719203</v>
      </c>
      <c r="F339">
        <v>3</v>
      </c>
      <c r="G339">
        <v>47.345633005000003</v>
      </c>
      <c r="H339">
        <v>0.98949941849910505</v>
      </c>
      <c r="I339">
        <v>3</v>
      </c>
      <c r="J339">
        <v>9.8556107000000004E-2</v>
      </c>
      <c r="P339"/>
      <c r="V339">
        <v>1.1516770871139099</v>
      </c>
      <c r="W339">
        <v>3</v>
      </c>
      <c r="X339">
        <v>64.005007715000005</v>
      </c>
      <c r="Y339">
        <v>434</v>
      </c>
      <c r="Z339">
        <v>9.1557150044005997E-3</v>
      </c>
      <c r="AA339">
        <v>1</v>
      </c>
    </row>
    <row r="340" spans="1:27" x14ac:dyDescent="0.2">
      <c r="A340">
        <v>30</v>
      </c>
      <c r="B340">
        <v>1</v>
      </c>
      <c r="C340">
        <v>0.3</v>
      </c>
      <c r="D340">
        <v>100</v>
      </c>
      <c r="E340">
        <v>4.2755846244148597E-2</v>
      </c>
      <c r="F340">
        <v>1</v>
      </c>
      <c r="G340">
        <v>34.328858445999998</v>
      </c>
      <c r="H340">
        <v>2.9072110629967798E-2</v>
      </c>
      <c r="I340">
        <v>1</v>
      </c>
      <c r="J340">
        <v>0.21685654900000001</v>
      </c>
      <c r="P340"/>
      <c r="V340">
        <v>2.3722774831711299E-2</v>
      </c>
      <c r="W340">
        <v>1</v>
      </c>
      <c r="X340">
        <v>29690.310191274999</v>
      </c>
      <c r="Y340">
        <v>5842</v>
      </c>
      <c r="Z340">
        <v>9.6653609470225207E-3</v>
      </c>
      <c r="AA340">
        <v>11</v>
      </c>
    </row>
    <row r="341" spans="1:27" x14ac:dyDescent="0.2">
      <c r="A341">
        <v>10</v>
      </c>
      <c r="B341">
        <v>3</v>
      </c>
      <c r="C341">
        <v>0.1</v>
      </c>
      <c r="D341">
        <v>100</v>
      </c>
      <c r="E341">
        <v>0.93848560440099105</v>
      </c>
      <c r="F341">
        <v>3</v>
      </c>
      <c r="G341">
        <v>43.752621408000003</v>
      </c>
      <c r="H341">
        <v>0.93825903116639597</v>
      </c>
      <c r="I341">
        <v>3</v>
      </c>
      <c r="J341">
        <v>0.125385623</v>
      </c>
      <c r="P341"/>
      <c r="V341">
        <v>0.926515977387247</v>
      </c>
      <c r="W341">
        <v>3</v>
      </c>
      <c r="X341">
        <v>661.72488768799997</v>
      </c>
      <c r="Y341">
        <v>25730</v>
      </c>
      <c r="Z341">
        <v>6.0795631710688402E-3</v>
      </c>
      <c r="AA341">
        <v>2</v>
      </c>
    </row>
    <row r="342" spans="1:27" x14ac:dyDescent="0.2">
      <c r="A342">
        <v>10</v>
      </c>
      <c r="B342">
        <v>3</v>
      </c>
      <c r="C342">
        <v>0.1</v>
      </c>
      <c r="D342">
        <v>100</v>
      </c>
      <c r="E342">
        <v>0.92581801944211795</v>
      </c>
      <c r="F342">
        <v>3</v>
      </c>
      <c r="G342">
        <v>46.982430946000001</v>
      </c>
      <c r="H342">
        <v>0.92701099865687797</v>
      </c>
      <c r="I342">
        <v>3</v>
      </c>
      <c r="J342">
        <v>0.39506375300000002</v>
      </c>
      <c r="P342"/>
      <c r="V342">
        <v>0.92707433376895698</v>
      </c>
      <c r="W342">
        <v>3</v>
      </c>
      <c r="X342">
        <v>64.128381927000007</v>
      </c>
      <c r="Y342">
        <v>1786</v>
      </c>
      <c r="Z342">
        <v>3.0266997554293299E-4</v>
      </c>
      <c r="AA342">
        <v>1</v>
      </c>
    </row>
    <row r="343" spans="1:27" x14ac:dyDescent="0.2">
      <c r="A343">
        <v>10</v>
      </c>
      <c r="B343">
        <v>3</v>
      </c>
      <c r="C343">
        <v>0.2</v>
      </c>
      <c r="D343">
        <v>100</v>
      </c>
      <c r="E343">
        <v>1.0181046016128199</v>
      </c>
      <c r="F343">
        <v>3</v>
      </c>
      <c r="G343">
        <v>46.854263652999997</v>
      </c>
      <c r="H343">
        <v>0.97098162295328005</v>
      </c>
      <c r="I343">
        <v>3</v>
      </c>
      <c r="J343">
        <v>0.58667350900000004</v>
      </c>
      <c r="P343"/>
      <c r="V343">
        <v>0.97179593468796499</v>
      </c>
      <c r="W343">
        <v>3</v>
      </c>
      <c r="X343">
        <v>66.173933664000003</v>
      </c>
      <c r="Y343">
        <v>213</v>
      </c>
      <c r="Z343">
        <v>3.85180984267208E-3</v>
      </c>
      <c r="AA343">
        <v>1</v>
      </c>
    </row>
    <row r="344" spans="1:27" x14ac:dyDescent="0.2">
      <c r="A344">
        <v>10</v>
      </c>
      <c r="B344">
        <v>3</v>
      </c>
      <c r="C344">
        <v>0.1</v>
      </c>
      <c r="D344">
        <v>100</v>
      </c>
      <c r="E344">
        <v>1.0842537040341</v>
      </c>
      <c r="F344">
        <v>3</v>
      </c>
      <c r="G344">
        <v>34.611921725000002</v>
      </c>
      <c r="H344">
        <v>0.93165024074700098</v>
      </c>
      <c r="I344">
        <v>3</v>
      </c>
      <c r="J344">
        <v>0.45738486</v>
      </c>
      <c r="P344"/>
      <c r="V344">
        <v>0.95846462114431596</v>
      </c>
      <c r="W344">
        <v>3</v>
      </c>
      <c r="X344">
        <v>655.51069110499998</v>
      </c>
      <c r="Y344">
        <v>29270</v>
      </c>
      <c r="Z344">
        <v>6.4314010991376597E-3</v>
      </c>
      <c r="AA344">
        <v>2</v>
      </c>
    </row>
    <row r="345" spans="1:27" x14ac:dyDescent="0.2">
      <c r="A345">
        <v>10</v>
      </c>
      <c r="B345">
        <v>3</v>
      </c>
      <c r="C345">
        <v>0.1</v>
      </c>
      <c r="D345">
        <v>100</v>
      </c>
      <c r="E345">
        <v>0.96704160135744399</v>
      </c>
      <c r="F345">
        <v>3</v>
      </c>
      <c r="G345">
        <v>45.732001187000002</v>
      </c>
      <c r="H345">
        <v>0.96681785220301997</v>
      </c>
      <c r="I345">
        <v>3</v>
      </c>
      <c r="J345">
        <v>7.8840679999999996E-2</v>
      </c>
      <c r="P345"/>
      <c r="V345">
        <v>1.0403245655625999</v>
      </c>
      <c r="W345">
        <v>3</v>
      </c>
      <c r="X345">
        <v>664.66414838000003</v>
      </c>
      <c r="Y345">
        <v>31290</v>
      </c>
      <c r="Z345">
        <v>1.67362371440599E-3</v>
      </c>
      <c r="AA345">
        <v>2</v>
      </c>
    </row>
    <row r="346" spans="1:27" x14ac:dyDescent="0.2">
      <c r="A346">
        <v>10</v>
      </c>
      <c r="B346">
        <v>3</v>
      </c>
      <c r="C346">
        <v>0.2</v>
      </c>
      <c r="D346">
        <v>100</v>
      </c>
      <c r="E346">
        <v>0.87452228370482699</v>
      </c>
      <c r="F346">
        <v>3</v>
      </c>
      <c r="G346">
        <v>49.548065002000001</v>
      </c>
      <c r="H346">
        <v>0.85725780687837805</v>
      </c>
      <c r="I346">
        <v>3</v>
      </c>
      <c r="J346">
        <v>0.73745931499999995</v>
      </c>
      <c r="P346"/>
      <c r="V346">
        <v>0.85727999474730299</v>
      </c>
      <c r="W346">
        <v>3</v>
      </c>
      <c r="X346">
        <v>65.090481447000002</v>
      </c>
      <c r="Y346">
        <v>945</v>
      </c>
      <c r="Z346">
        <v>1.0803996299934299E-3</v>
      </c>
      <c r="AA346">
        <v>1</v>
      </c>
    </row>
    <row r="347" spans="1:27" x14ac:dyDescent="0.2">
      <c r="A347">
        <v>10</v>
      </c>
      <c r="B347">
        <v>3</v>
      </c>
      <c r="C347">
        <v>0.3</v>
      </c>
      <c r="D347">
        <v>100</v>
      </c>
      <c r="E347">
        <v>0.93444985935229297</v>
      </c>
      <c r="F347">
        <v>3</v>
      </c>
      <c r="G347">
        <v>36.429275521999998</v>
      </c>
      <c r="H347">
        <v>0.91789324119291504</v>
      </c>
      <c r="I347">
        <v>3</v>
      </c>
      <c r="J347">
        <v>0.45932440800000002</v>
      </c>
      <c r="P347"/>
      <c r="V347">
        <v>0.91918814032185603</v>
      </c>
      <c r="W347">
        <v>3</v>
      </c>
      <c r="X347">
        <v>62.932814022999999</v>
      </c>
      <c r="Y347">
        <v>335</v>
      </c>
      <c r="Z347">
        <v>8.2321275521927504E-3</v>
      </c>
      <c r="AA347">
        <v>1</v>
      </c>
    </row>
    <row r="348" spans="1:27" x14ac:dyDescent="0.2">
      <c r="A348">
        <v>10</v>
      </c>
      <c r="B348">
        <v>3</v>
      </c>
      <c r="C348">
        <v>0.1</v>
      </c>
      <c r="D348">
        <v>100</v>
      </c>
      <c r="E348">
        <v>0.94031257036382199</v>
      </c>
      <c r="F348">
        <v>3</v>
      </c>
      <c r="G348">
        <v>29.828230968</v>
      </c>
      <c r="H348">
        <v>0.90943368701081095</v>
      </c>
      <c r="I348">
        <v>3</v>
      </c>
      <c r="J348">
        <v>0.108612155</v>
      </c>
      <c r="P348"/>
      <c r="V348">
        <v>0.96739452973440698</v>
      </c>
      <c r="W348">
        <v>3</v>
      </c>
      <c r="X348">
        <v>651.03879639800004</v>
      </c>
      <c r="Y348">
        <v>44630</v>
      </c>
      <c r="Z348">
        <v>5.2178552149914599E-3</v>
      </c>
      <c r="AA348">
        <v>2</v>
      </c>
    </row>
    <row r="349" spans="1:27" x14ac:dyDescent="0.2">
      <c r="A349">
        <v>10</v>
      </c>
      <c r="B349">
        <v>3</v>
      </c>
      <c r="C349">
        <v>0.1</v>
      </c>
      <c r="D349">
        <v>100</v>
      </c>
      <c r="E349">
        <v>0.93596992029334902</v>
      </c>
      <c r="F349">
        <v>3</v>
      </c>
      <c r="G349">
        <v>33.920882593999998</v>
      </c>
      <c r="H349">
        <v>0.935915928560067</v>
      </c>
      <c r="I349">
        <v>3</v>
      </c>
      <c r="J349">
        <v>5.6807941000000001E-2</v>
      </c>
      <c r="P349"/>
      <c r="V349">
        <v>0.97426358588768103</v>
      </c>
      <c r="W349">
        <v>3</v>
      </c>
      <c r="X349">
        <v>653.11138532200005</v>
      </c>
      <c r="Y349">
        <v>42517</v>
      </c>
      <c r="Z349">
        <v>6.3317974740456596E-3</v>
      </c>
      <c r="AA349">
        <v>2</v>
      </c>
    </row>
    <row r="350" spans="1:27" x14ac:dyDescent="0.2">
      <c r="A350">
        <v>10</v>
      </c>
      <c r="B350">
        <v>3</v>
      </c>
      <c r="C350">
        <v>0.3</v>
      </c>
      <c r="D350">
        <v>100</v>
      </c>
      <c r="E350">
        <v>0.86259167724159802</v>
      </c>
      <c r="F350">
        <v>3</v>
      </c>
      <c r="G350">
        <v>43.548360375999998</v>
      </c>
      <c r="H350">
        <v>0.85103696901984505</v>
      </c>
      <c r="I350">
        <v>3</v>
      </c>
      <c r="J350">
        <v>0.50511892199999997</v>
      </c>
      <c r="P350"/>
      <c r="V350">
        <v>0.85052377770758403</v>
      </c>
      <c r="W350">
        <v>3</v>
      </c>
      <c r="X350">
        <v>67.972962276999993</v>
      </c>
      <c r="Y350">
        <v>497</v>
      </c>
      <c r="Z350">
        <v>9.4771835447318101E-3</v>
      </c>
      <c r="AA350">
        <v>1</v>
      </c>
    </row>
    <row r="351" spans="1:27" x14ac:dyDescent="0.2">
      <c r="A351">
        <v>10</v>
      </c>
      <c r="B351">
        <v>3</v>
      </c>
      <c r="C351">
        <v>0.1</v>
      </c>
      <c r="D351">
        <v>100</v>
      </c>
      <c r="E351">
        <v>0.99767727063601597</v>
      </c>
      <c r="F351">
        <v>3</v>
      </c>
      <c r="G351">
        <v>44.032196782</v>
      </c>
      <c r="H351">
        <v>1.04978974531505</v>
      </c>
      <c r="I351">
        <v>3</v>
      </c>
      <c r="J351">
        <v>0.41812168700000002</v>
      </c>
      <c r="P351"/>
      <c r="V351">
        <v>1.00646045081039</v>
      </c>
      <c r="W351">
        <v>3</v>
      </c>
      <c r="X351">
        <v>665.62298541400003</v>
      </c>
      <c r="Y351">
        <v>7389</v>
      </c>
      <c r="Z351">
        <v>3.0500221480742301E-4</v>
      </c>
      <c r="AA351">
        <v>2</v>
      </c>
    </row>
    <row r="352" spans="1:27" x14ac:dyDescent="0.2">
      <c r="A352">
        <v>30</v>
      </c>
      <c r="B352">
        <v>1</v>
      </c>
      <c r="C352">
        <v>0.4</v>
      </c>
      <c r="D352">
        <v>100</v>
      </c>
      <c r="E352">
        <v>1.14309135766729E-2</v>
      </c>
      <c r="F352">
        <v>1</v>
      </c>
      <c r="G352">
        <v>29.581258624</v>
      </c>
      <c r="H352">
        <v>1.3593835108909E-2</v>
      </c>
      <c r="I352">
        <v>1</v>
      </c>
      <c r="J352">
        <v>0.14730225599999999</v>
      </c>
      <c r="P352"/>
      <c r="V352">
        <v>8.4156841634354003E-3</v>
      </c>
      <c r="W352">
        <v>1</v>
      </c>
      <c r="X352">
        <v>478.50552988200002</v>
      </c>
      <c r="Y352">
        <v>59</v>
      </c>
      <c r="Z352">
        <v>7.3628109450489801E-3</v>
      </c>
      <c r="AA352">
        <v>6</v>
      </c>
    </row>
    <row r="353" spans="1:27" x14ac:dyDescent="0.2">
      <c r="A353">
        <v>30</v>
      </c>
      <c r="B353">
        <v>1</v>
      </c>
      <c r="C353">
        <v>0.4</v>
      </c>
      <c r="D353">
        <v>100</v>
      </c>
      <c r="E353">
        <v>1.1767030067875399E-2</v>
      </c>
      <c r="F353">
        <v>1</v>
      </c>
      <c r="G353">
        <v>25.789289401000001</v>
      </c>
      <c r="H353">
        <v>1.7905053420377601E-2</v>
      </c>
      <c r="I353">
        <v>1</v>
      </c>
      <c r="J353">
        <v>0.142545174</v>
      </c>
      <c r="P353"/>
      <c r="V353">
        <v>1.3430645985246599E-2</v>
      </c>
      <c r="W353">
        <v>1</v>
      </c>
      <c r="X353">
        <v>1675.5791561809999</v>
      </c>
      <c r="Y353">
        <v>123</v>
      </c>
      <c r="Z353">
        <v>2.9826491663413799E-3</v>
      </c>
      <c r="AA353">
        <v>5</v>
      </c>
    </row>
    <row r="354" spans="1:27" x14ac:dyDescent="0.2">
      <c r="A354">
        <v>30</v>
      </c>
      <c r="B354">
        <v>1</v>
      </c>
      <c r="C354">
        <v>0.3</v>
      </c>
      <c r="D354">
        <v>100</v>
      </c>
      <c r="E354">
        <v>1.1805894214813199E-2</v>
      </c>
      <c r="F354">
        <v>1</v>
      </c>
      <c r="G354">
        <v>34.191256930000002</v>
      </c>
      <c r="H354">
        <v>1.7368700785454501E-2</v>
      </c>
      <c r="I354">
        <v>1</v>
      </c>
      <c r="J354">
        <v>0.22229291800000001</v>
      </c>
      <c r="P354"/>
      <c r="V354">
        <v>1.27145477895309E-2</v>
      </c>
      <c r="W354">
        <v>1</v>
      </c>
      <c r="X354">
        <v>3980.3671595669998</v>
      </c>
      <c r="Y354">
        <v>505</v>
      </c>
      <c r="Z354">
        <v>9.3303449709118899E-3</v>
      </c>
      <c r="AA354">
        <v>6</v>
      </c>
    </row>
    <row r="355" spans="1:27" x14ac:dyDescent="0.2">
      <c r="A355">
        <v>10</v>
      </c>
      <c r="B355">
        <v>3</v>
      </c>
      <c r="C355">
        <v>0.1</v>
      </c>
      <c r="D355">
        <v>100</v>
      </c>
      <c r="E355">
        <v>0.96609114469225299</v>
      </c>
      <c r="F355">
        <v>3</v>
      </c>
      <c r="G355">
        <v>35.470883581999999</v>
      </c>
      <c r="H355">
        <v>0.966116372271419</v>
      </c>
      <c r="I355">
        <v>3</v>
      </c>
      <c r="J355">
        <v>9.3147397000000007E-2</v>
      </c>
      <c r="P355"/>
      <c r="V355">
        <v>0.95689483542156195</v>
      </c>
      <c r="W355">
        <v>3</v>
      </c>
      <c r="X355">
        <v>654.55621493900003</v>
      </c>
      <c r="Y355">
        <v>21278</v>
      </c>
      <c r="Z355">
        <v>6.8302362891954202E-3</v>
      </c>
      <c r="AA355">
        <v>2</v>
      </c>
    </row>
    <row r="356" spans="1:27" x14ac:dyDescent="0.2">
      <c r="A356">
        <v>10</v>
      </c>
      <c r="B356">
        <v>3</v>
      </c>
      <c r="C356">
        <v>0.1</v>
      </c>
      <c r="D356">
        <v>100</v>
      </c>
      <c r="E356">
        <v>0.98888024644210504</v>
      </c>
      <c r="F356">
        <v>3</v>
      </c>
      <c r="G356">
        <v>33.809808541999999</v>
      </c>
      <c r="H356">
        <v>1.00534354867363</v>
      </c>
      <c r="I356">
        <v>3</v>
      </c>
      <c r="J356">
        <v>7.5647827000000001E-2</v>
      </c>
      <c r="P356"/>
      <c r="V356">
        <v>0.99178892683189401</v>
      </c>
      <c r="W356">
        <v>3</v>
      </c>
      <c r="X356">
        <v>653.20060059699995</v>
      </c>
      <c r="Y356">
        <v>51650</v>
      </c>
      <c r="Z356">
        <v>7.6619768614053895E-4</v>
      </c>
      <c r="AA356">
        <v>2</v>
      </c>
    </row>
    <row r="357" spans="1:27" x14ac:dyDescent="0.2">
      <c r="A357">
        <v>10</v>
      </c>
      <c r="B357">
        <v>3</v>
      </c>
      <c r="C357">
        <v>0.1</v>
      </c>
      <c r="D357">
        <v>100</v>
      </c>
      <c r="E357">
        <v>0.93829783014698498</v>
      </c>
      <c r="F357">
        <v>3</v>
      </c>
      <c r="G357">
        <v>33.290272858999998</v>
      </c>
      <c r="H357">
        <v>0.93829752961007296</v>
      </c>
      <c r="I357">
        <v>3</v>
      </c>
      <c r="J357">
        <v>6.0777207999999999E-2</v>
      </c>
      <c r="P357"/>
      <c r="V357">
        <v>0.92053659746253202</v>
      </c>
      <c r="W357">
        <v>3</v>
      </c>
      <c r="X357">
        <v>67.229677476000006</v>
      </c>
      <c r="Y357">
        <v>0</v>
      </c>
      <c r="Z357">
        <v>1.14237845567343E-4</v>
      </c>
      <c r="AA357">
        <v>2</v>
      </c>
    </row>
    <row r="358" spans="1:27" x14ac:dyDescent="0.2">
      <c r="A358">
        <v>10</v>
      </c>
      <c r="B358">
        <v>3</v>
      </c>
      <c r="C358">
        <v>0.1</v>
      </c>
      <c r="D358">
        <v>100</v>
      </c>
      <c r="E358">
        <v>0.92090869300673694</v>
      </c>
      <c r="F358">
        <v>3</v>
      </c>
      <c r="G358">
        <v>30.461754285000001</v>
      </c>
      <c r="H358">
        <v>0.92152777502560201</v>
      </c>
      <c r="I358">
        <v>3</v>
      </c>
      <c r="J358">
        <v>5.9495571999999997E-2</v>
      </c>
      <c r="P358"/>
      <c r="V358">
        <v>0.95060918722211896</v>
      </c>
      <c r="W358">
        <v>3</v>
      </c>
      <c r="X358">
        <v>650.75928900300005</v>
      </c>
      <c r="Y358">
        <v>25911</v>
      </c>
      <c r="Z358">
        <v>2.8808841173249798E-3</v>
      </c>
      <c r="AA358">
        <v>2</v>
      </c>
    </row>
    <row r="359" spans="1:27" x14ac:dyDescent="0.2">
      <c r="A359">
        <v>10</v>
      </c>
      <c r="B359">
        <v>3</v>
      </c>
      <c r="C359">
        <v>0.1</v>
      </c>
      <c r="D359">
        <v>100</v>
      </c>
      <c r="E359">
        <v>0.95677020707502503</v>
      </c>
      <c r="F359">
        <v>3</v>
      </c>
      <c r="G359">
        <v>29.747187633999999</v>
      </c>
      <c r="H359">
        <v>0.95890799547746297</v>
      </c>
      <c r="I359">
        <v>3</v>
      </c>
      <c r="J359">
        <v>6.4825350000000004E-2</v>
      </c>
      <c r="P359"/>
      <c r="V359">
        <v>0.955196876601066</v>
      </c>
      <c r="W359">
        <v>3</v>
      </c>
      <c r="X359">
        <v>1551.2162225479999</v>
      </c>
      <c r="Y359">
        <v>40902</v>
      </c>
      <c r="Z359">
        <v>2.0641525994293999E-3</v>
      </c>
      <c r="AA359">
        <v>3</v>
      </c>
    </row>
    <row r="360" spans="1:27" x14ac:dyDescent="0.2">
      <c r="A360">
        <v>30</v>
      </c>
      <c r="B360">
        <v>1</v>
      </c>
      <c r="C360">
        <v>0.4</v>
      </c>
      <c r="D360">
        <v>100</v>
      </c>
      <c r="E360">
        <v>1.65339386601474E-2</v>
      </c>
      <c r="F360">
        <v>1</v>
      </c>
      <c r="G360">
        <v>31.704730295000001</v>
      </c>
      <c r="H360">
        <v>1.9740256787791802E-2</v>
      </c>
      <c r="I360">
        <v>1</v>
      </c>
      <c r="J360">
        <v>0.21336168</v>
      </c>
      <c r="P360"/>
      <c r="V360">
        <v>1.42137164367505E-2</v>
      </c>
      <c r="W360">
        <v>1</v>
      </c>
      <c r="X360">
        <v>9502.1171894519994</v>
      </c>
      <c r="Y360">
        <v>879</v>
      </c>
      <c r="Z360">
        <v>8.8154211652407E-3</v>
      </c>
      <c r="AA360">
        <v>20</v>
      </c>
    </row>
    <row r="361" spans="1:27" x14ac:dyDescent="0.2">
      <c r="A361">
        <v>20</v>
      </c>
      <c r="B361">
        <v>1</v>
      </c>
      <c r="C361">
        <v>0.4</v>
      </c>
      <c r="D361">
        <v>100</v>
      </c>
      <c r="E361">
        <v>8.8211207979146198E-3</v>
      </c>
      <c r="F361">
        <v>1</v>
      </c>
      <c r="G361">
        <v>38.884687415999998</v>
      </c>
      <c r="H361">
        <v>1.0467242349538801E-2</v>
      </c>
      <c r="I361">
        <v>1</v>
      </c>
      <c r="J361">
        <v>6.5832845000000001E-2</v>
      </c>
      <c r="P361"/>
      <c r="V361">
        <v>6.8017937189168796E-3</v>
      </c>
      <c r="W361">
        <v>1</v>
      </c>
      <c r="X361">
        <v>67.769864995999995</v>
      </c>
      <c r="Y361">
        <v>1</v>
      </c>
      <c r="Z361">
        <v>2.5160794219938301E-3</v>
      </c>
      <c r="AA361">
        <v>1</v>
      </c>
    </row>
    <row r="362" spans="1:27" x14ac:dyDescent="0.2">
      <c r="A362">
        <v>20</v>
      </c>
      <c r="B362">
        <v>1</v>
      </c>
      <c r="C362">
        <v>0.1</v>
      </c>
      <c r="D362">
        <v>100</v>
      </c>
      <c r="E362">
        <v>0.32851527617649501</v>
      </c>
      <c r="F362">
        <v>1</v>
      </c>
      <c r="G362">
        <v>46.089676386000001</v>
      </c>
      <c r="H362">
        <v>0.296381193259523</v>
      </c>
      <c r="I362">
        <v>1</v>
      </c>
      <c r="J362">
        <v>0.55346117500000003</v>
      </c>
      <c r="P362"/>
      <c r="V362">
        <v>0.29539020420032103</v>
      </c>
      <c r="W362">
        <v>1</v>
      </c>
      <c r="X362">
        <v>168.55171465000001</v>
      </c>
      <c r="Y362">
        <v>50</v>
      </c>
      <c r="Z362">
        <v>6.4642114770382102E-3</v>
      </c>
      <c r="AA362">
        <v>1</v>
      </c>
    </row>
    <row r="363" spans="1:27" x14ac:dyDescent="0.2">
      <c r="A363">
        <v>20</v>
      </c>
      <c r="B363">
        <v>1</v>
      </c>
      <c r="C363">
        <v>0.2</v>
      </c>
      <c r="D363">
        <v>100</v>
      </c>
      <c r="E363">
        <v>0.21902105707635899</v>
      </c>
      <c r="F363">
        <v>1</v>
      </c>
      <c r="G363">
        <v>40.026482581000003</v>
      </c>
      <c r="H363">
        <v>5.4126886975218599E-2</v>
      </c>
      <c r="I363">
        <v>1</v>
      </c>
      <c r="J363">
        <v>0.458907911</v>
      </c>
      <c r="P363"/>
      <c r="V363">
        <v>5.0353953073610902E-2</v>
      </c>
      <c r="W363">
        <v>1</v>
      </c>
      <c r="X363">
        <v>196.72419174199999</v>
      </c>
      <c r="Y363">
        <v>1</v>
      </c>
      <c r="Z363">
        <v>5.4153416426724003E-3</v>
      </c>
      <c r="AA363">
        <v>2</v>
      </c>
    </row>
    <row r="364" spans="1:27" x14ac:dyDescent="0.2">
      <c r="A364">
        <v>10</v>
      </c>
      <c r="B364">
        <v>3</v>
      </c>
      <c r="C364">
        <v>0.2</v>
      </c>
      <c r="D364">
        <v>100</v>
      </c>
      <c r="E364">
        <v>0.91861948832599405</v>
      </c>
      <c r="F364">
        <v>3</v>
      </c>
      <c r="G364">
        <v>26.085500208999999</v>
      </c>
      <c r="H364">
        <v>0.96008724672190104</v>
      </c>
      <c r="I364">
        <v>3</v>
      </c>
      <c r="J364">
        <v>0.38501479799999999</v>
      </c>
      <c r="P364"/>
      <c r="V364">
        <v>0.95945765604077504</v>
      </c>
      <c r="W364">
        <v>3</v>
      </c>
      <c r="X364">
        <v>50.201002924999997</v>
      </c>
      <c r="Y364">
        <v>1247</v>
      </c>
      <c r="Z364">
        <v>2.5901727840391599E-3</v>
      </c>
      <c r="AA364">
        <v>1</v>
      </c>
    </row>
    <row r="365" spans="1:27" x14ac:dyDescent="0.2">
      <c r="A365">
        <v>10</v>
      </c>
      <c r="B365">
        <v>3</v>
      </c>
      <c r="C365">
        <v>0.1</v>
      </c>
      <c r="D365">
        <v>100</v>
      </c>
      <c r="E365">
        <v>0.96228120926155203</v>
      </c>
      <c r="F365">
        <v>3</v>
      </c>
      <c r="G365">
        <v>29.380291909</v>
      </c>
      <c r="H365">
        <v>0.96226601839659998</v>
      </c>
      <c r="I365">
        <v>3</v>
      </c>
      <c r="J365">
        <v>5.6837506000000003E-2</v>
      </c>
      <c r="P365"/>
      <c r="V365">
        <v>0.95155675381481297</v>
      </c>
      <c r="W365">
        <v>3</v>
      </c>
      <c r="X365">
        <v>250.42229810200001</v>
      </c>
      <c r="Y365">
        <v>15157</v>
      </c>
      <c r="Z365">
        <v>6.0155396663063004E-4</v>
      </c>
      <c r="AA365">
        <v>2</v>
      </c>
    </row>
    <row r="366" spans="1:27" x14ac:dyDescent="0.2">
      <c r="A366">
        <v>20</v>
      </c>
      <c r="B366">
        <v>1</v>
      </c>
      <c r="C366">
        <v>0.4</v>
      </c>
      <c r="D366">
        <v>100</v>
      </c>
      <c r="E366">
        <v>1.0018150644708099E-2</v>
      </c>
      <c r="F366">
        <v>1</v>
      </c>
      <c r="G366">
        <v>36.923046133</v>
      </c>
      <c r="H366">
        <v>1.22313015351027E-2</v>
      </c>
      <c r="I366">
        <v>1</v>
      </c>
      <c r="J366">
        <v>0.16181456599999999</v>
      </c>
      <c r="P366"/>
      <c r="V366">
        <v>7.8547256435974201E-3</v>
      </c>
      <c r="W366">
        <v>1</v>
      </c>
      <c r="X366">
        <v>66.964941529000001</v>
      </c>
      <c r="Y366">
        <v>1</v>
      </c>
      <c r="Z366">
        <v>6.4213978366790504E-3</v>
      </c>
      <c r="AA366">
        <v>1</v>
      </c>
    </row>
    <row r="367" spans="1:27" x14ac:dyDescent="0.2">
      <c r="A367">
        <v>20</v>
      </c>
      <c r="B367">
        <v>1</v>
      </c>
      <c r="C367">
        <v>0.3</v>
      </c>
      <c r="D367">
        <v>100</v>
      </c>
      <c r="E367">
        <v>2.87377052891294E-2</v>
      </c>
      <c r="F367">
        <v>1</v>
      </c>
      <c r="G367">
        <v>58.674595490000002</v>
      </c>
      <c r="H367">
        <v>1.9628000277294701E-2</v>
      </c>
      <c r="I367">
        <v>1</v>
      </c>
      <c r="J367">
        <v>0.34692491199999997</v>
      </c>
      <c r="P367"/>
      <c r="V367">
        <v>1.53019212977377E-2</v>
      </c>
      <c r="W367">
        <v>1</v>
      </c>
      <c r="X367">
        <v>261.65403557500002</v>
      </c>
      <c r="Y367">
        <v>1</v>
      </c>
      <c r="Z367">
        <v>3.7780388956889501E-3</v>
      </c>
      <c r="AA367">
        <v>3</v>
      </c>
    </row>
    <row r="368" spans="1:27" x14ac:dyDescent="0.2">
      <c r="A368">
        <v>10</v>
      </c>
      <c r="B368">
        <v>3</v>
      </c>
      <c r="C368">
        <v>0.1</v>
      </c>
      <c r="D368">
        <v>100</v>
      </c>
      <c r="E368">
        <v>0.93912737484562503</v>
      </c>
      <c r="F368">
        <v>3</v>
      </c>
      <c r="G368">
        <v>25.826186190000001</v>
      </c>
      <c r="H368">
        <v>0.93912737484562503</v>
      </c>
      <c r="I368">
        <v>3</v>
      </c>
      <c r="J368">
        <v>4.6889462E-2</v>
      </c>
      <c r="P368"/>
      <c r="V368">
        <v>1.01562936173259</v>
      </c>
      <c r="W368">
        <v>3</v>
      </c>
      <c r="X368">
        <v>648.86757881799997</v>
      </c>
      <c r="Y368">
        <v>54949</v>
      </c>
      <c r="Z368">
        <v>1.83872768414021E-3</v>
      </c>
      <c r="AA368">
        <v>2</v>
      </c>
    </row>
    <row r="369" spans="1:27" x14ac:dyDescent="0.2">
      <c r="A369">
        <v>20</v>
      </c>
      <c r="B369">
        <v>1</v>
      </c>
      <c r="C369">
        <v>0.2</v>
      </c>
      <c r="D369">
        <v>100</v>
      </c>
      <c r="E369">
        <v>0.27851217349851998</v>
      </c>
      <c r="F369">
        <v>1</v>
      </c>
      <c r="G369">
        <v>44.829646093000001</v>
      </c>
      <c r="H369">
        <v>0.25581305085516598</v>
      </c>
      <c r="I369">
        <v>1</v>
      </c>
      <c r="J369">
        <v>0.47645869099999999</v>
      </c>
      <c r="P369"/>
      <c r="V369">
        <v>0.24321027420445501</v>
      </c>
      <c r="W369">
        <v>1</v>
      </c>
      <c r="X369">
        <v>92.509347852999994</v>
      </c>
      <c r="Y369">
        <v>26</v>
      </c>
      <c r="Z369">
        <v>8.3551121515697494E-3</v>
      </c>
      <c r="AA369">
        <v>1</v>
      </c>
    </row>
    <row r="370" spans="1:27" x14ac:dyDescent="0.2">
      <c r="A370">
        <v>20</v>
      </c>
      <c r="B370">
        <v>1</v>
      </c>
      <c r="C370">
        <v>0.4</v>
      </c>
      <c r="D370">
        <v>100</v>
      </c>
      <c r="E370">
        <v>1.4472310575224599E-2</v>
      </c>
      <c r="F370">
        <v>1</v>
      </c>
      <c r="G370">
        <v>42.846763011</v>
      </c>
      <c r="H370">
        <v>1.8158807602711401E-2</v>
      </c>
      <c r="I370">
        <v>1</v>
      </c>
      <c r="J370">
        <v>0.22699393000000001</v>
      </c>
      <c r="P370"/>
      <c r="V370">
        <v>1.2512834904179501E-2</v>
      </c>
      <c r="W370">
        <v>1</v>
      </c>
      <c r="X370">
        <v>75.299301487999998</v>
      </c>
      <c r="Y370">
        <v>1</v>
      </c>
      <c r="Z370">
        <v>5.0573374451028299E-3</v>
      </c>
      <c r="AA370">
        <v>1</v>
      </c>
    </row>
    <row r="371" spans="1:27" x14ac:dyDescent="0.2">
      <c r="A371">
        <v>20</v>
      </c>
      <c r="B371">
        <v>1</v>
      </c>
      <c r="C371">
        <v>0.1</v>
      </c>
      <c r="D371">
        <v>100</v>
      </c>
      <c r="E371">
        <v>0.764085119523079</v>
      </c>
      <c r="F371">
        <v>1</v>
      </c>
      <c r="G371">
        <v>43.328696635999997</v>
      </c>
      <c r="H371">
        <v>0.60455056669169005</v>
      </c>
      <c r="I371">
        <v>1</v>
      </c>
      <c r="J371">
        <v>0.89029988599999998</v>
      </c>
      <c r="P371"/>
      <c r="V371">
        <v>0.60274547228884501</v>
      </c>
      <c r="W371">
        <v>1</v>
      </c>
      <c r="X371">
        <v>142.497986739</v>
      </c>
      <c r="Y371">
        <v>62</v>
      </c>
      <c r="Z371">
        <v>7.9817965588521098E-3</v>
      </c>
      <c r="AA371">
        <v>1</v>
      </c>
    </row>
    <row r="372" spans="1:27" x14ac:dyDescent="0.2">
      <c r="A372">
        <v>20</v>
      </c>
      <c r="B372">
        <v>1</v>
      </c>
      <c r="C372">
        <v>0.3</v>
      </c>
      <c r="D372">
        <v>100</v>
      </c>
      <c r="E372">
        <v>2.5385048662058301E-2</v>
      </c>
      <c r="F372">
        <v>1</v>
      </c>
      <c r="G372">
        <v>41.700406713</v>
      </c>
      <c r="H372">
        <v>2.4834016794458499E-2</v>
      </c>
      <c r="I372">
        <v>1</v>
      </c>
      <c r="J372">
        <v>0.17734553</v>
      </c>
      <c r="P372"/>
      <c r="V372">
        <v>1.6613742978283198E-2</v>
      </c>
      <c r="W372">
        <v>1</v>
      </c>
      <c r="X372">
        <v>82.960298898000005</v>
      </c>
      <c r="Y372">
        <v>3</v>
      </c>
      <c r="Z372">
        <v>6.8572130649180397E-3</v>
      </c>
      <c r="AA372">
        <v>1</v>
      </c>
    </row>
    <row r="373" spans="1:27" x14ac:dyDescent="0.2">
      <c r="A373">
        <v>20</v>
      </c>
      <c r="B373">
        <v>1</v>
      </c>
      <c r="C373">
        <v>0.4</v>
      </c>
      <c r="D373">
        <v>100</v>
      </c>
      <c r="E373">
        <v>4.1533219417226902E-2</v>
      </c>
      <c r="F373">
        <v>1</v>
      </c>
      <c r="G373">
        <v>46.206676551000001</v>
      </c>
      <c r="H373">
        <v>3.5905293317888103E-2</v>
      </c>
      <c r="I373">
        <v>1</v>
      </c>
      <c r="J373">
        <v>0.52417898399999996</v>
      </c>
      <c r="P373"/>
      <c r="V373">
        <v>2.5415860366881801E-2</v>
      </c>
      <c r="W373">
        <v>1</v>
      </c>
      <c r="X373">
        <v>1230.93646642</v>
      </c>
      <c r="Y373">
        <v>826</v>
      </c>
      <c r="Z373">
        <v>7.7466288657804796E-3</v>
      </c>
      <c r="AA373">
        <v>5</v>
      </c>
    </row>
    <row r="374" spans="1:27" x14ac:dyDescent="0.2">
      <c r="A374">
        <v>20</v>
      </c>
      <c r="B374">
        <v>1</v>
      </c>
      <c r="C374">
        <v>0.2</v>
      </c>
      <c r="D374">
        <v>100</v>
      </c>
      <c r="E374">
        <v>2.69928989126626E-2</v>
      </c>
      <c r="F374">
        <v>1</v>
      </c>
      <c r="G374">
        <v>45.166074852000001</v>
      </c>
      <c r="H374">
        <v>2.03687661197435E-2</v>
      </c>
      <c r="I374">
        <v>1</v>
      </c>
      <c r="J374">
        <v>0.33295394299999997</v>
      </c>
      <c r="P374"/>
      <c r="V374">
        <v>1.63347316526204E-2</v>
      </c>
      <c r="W374">
        <v>1</v>
      </c>
      <c r="X374">
        <v>129.429124315</v>
      </c>
      <c r="Y374">
        <v>1</v>
      </c>
      <c r="Z374">
        <v>3.0247572755541202E-3</v>
      </c>
      <c r="AA374">
        <v>1</v>
      </c>
    </row>
    <row r="375" spans="1:27" x14ac:dyDescent="0.2">
      <c r="A375">
        <v>20</v>
      </c>
      <c r="B375">
        <v>1</v>
      </c>
      <c r="C375">
        <v>0.3</v>
      </c>
      <c r="D375">
        <v>100</v>
      </c>
      <c r="E375">
        <v>5.0978204008683997E-2</v>
      </c>
      <c r="F375">
        <v>1</v>
      </c>
      <c r="G375">
        <v>39.696192701999998</v>
      </c>
      <c r="H375">
        <v>2.9819865198525999E-2</v>
      </c>
      <c r="I375">
        <v>1</v>
      </c>
      <c r="J375">
        <v>0.21875851399999999</v>
      </c>
      <c r="P375"/>
      <c r="V375">
        <v>2.17255423257952E-2</v>
      </c>
      <c r="W375">
        <v>1</v>
      </c>
      <c r="X375">
        <v>94.850483765999996</v>
      </c>
      <c r="Y375">
        <v>23</v>
      </c>
      <c r="Z375">
        <v>6.1676925974583604E-3</v>
      </c>
      <c r="AA375">
        <v>1</v>
      </c>
    </row>
    <row r="376" spans="1:27" x14ac:dyDescent="0.2">
      <c r="A376">
        <v>20</v>
      </c>
      <c r="B376">
        <v>1</v>
      </c>
      <c r="C376">
        <v>0.4</v>
      </c>
      <c r="D376">
        <v>100</v>
      </c>
      <c r="E376">
        <v>1.4816808260858801E-2</v>
      </c>
      <c r="F376">
        <v>1</v>
      </c>
      <c r="G376">
        <v>51.345186990999998</v>
      </c>
      <c r="H376">
        <v>1.8890559598619499E-2</v>
      </c>
      <c r="I376">
        <v>1</v>
      </c>
      <c r="J376">
        <v>0.34777469</v>
      </c>
      <c r="P376"/>
      <c r="V376">
        <v>1.29361032419776E-2</v>
      </c>
      <c r="W376">
        <v>1</v>
      </c>
      <c r="X376">
        <v>600.09066688500002</v>
      </c>
      <c r="Y376">
        <v>27</v>
      </c>
      <c r="Z376">
        <v>9.6195730865618004E-3</v>
      </c>
      <c r="AA376">
        <v>5</v>
      </c>
    </row>
    <row r="377" spans="1:27" x14ac:dyDescent="0.2">
      <c r="A377">
        <v>20</v>
      </c>
      <c r="B377">
        <v>1</v>
      </c>
      <c r="C377">
        <v>0.3</v>
      </c>
      <c r="D377">
        <v>100</v>
      </c>
      <c r="E377">
        <v>8.3864962603183796E-2</v>
      </c>
      <c r="F377">
        <v>1</v>
      </c>
      <c r="G377">
        <v>33.654635102999997</v>
      </c>
      <c r="H377">
        <v>8.4628886788679095E-2</v>
      </c>
      <c r="I377">
        <v>1</v>
      </c>
      <c r="J377">
        <v>0.105659881</v>
      </c>
      <c r="P377"/>
      <c r="V377">
        <v>7.12190752164958E-2</v>
      </c>
      <c r="W377">
        <v>1</v>
      </c>
      <c r="X377">
        <v>66.470958777999996</v>
      </c>
      <c r="Y377">
        <v>15</v>
      </c>
      <c r="Z377">
        <v>3.7264072603309601E-3</v>
      </c>
      <c r="AA377">
        <v>1</v>
      </c>
    </row>
    <row r="378" spans="1:27" x14ac:dyDescent="0.2">
      <c r="A378">
        <v>20</v>
      </c>
      <c r="B378">
        <v>1</v>
      </c>
      <c r="C378">
        <v>0.1</v>
      </c>
      <c r="D378">
        <v>100</v>
      </c>
      <c r="E378">
        <v>0.91162599028833102</v>
      </c>
      <c r="F378">
        <v>1</v>
      </c>
      <c r="G378">
        <v>29.939099606999999</v>
      </c>
      <c r="H378">
        <v>0.88546752515067595</v>
      </c>
      <c r="I378">
        <v>1</v>
      </c>
      <c r="J378">
        <v>0.21591807199999999</v>
      </c>
      <c r="P378"/>
      <c r="V378">
        <v>0.88545718787301397</v>
      </c>
      <c r="W378">
        <v>1</v>
      </c>
      <c r="X378">
        <v>79.122055840000002</v>
      </c>
      <c r="Y378">
        <v>137</v>
      </c>
      <c r="Z378">
        <v>5.9188878440101502E-3</v>
      </c>
      <c r="AA378">
        <v>1</v>
      </c>
    </row>
    <row r="379" spans="1:27" x14ac:dyDescent="0.2">
      <c r="A379">
        <v>20</v>
      </c>
      <c r="B379">
        <v>1</v>
      </c>
      <c r="C379">
        <v>0.4</v>
      </c>
      <c r="D379">
        <v>100</v>
      </c>
      <c r="E379">
        <v>1.9760237138318801E-2</v>
      </c>
      <c r="F379">
        <v>1</v>
      </c>
      <c r="G379">
        <v>33.743514455000003</v>
      </c>
      <c r="H379">
        <v>2.18922107350672E-2</v>
      </c>
      <c r="I379">
        <v>1</v>
      </c>
      <c r="J379">
        <v>0.110005799</v>
      </c>
      <c r="P379"/>
      <c r="V379">
        <v>1.2857042271115501E-2</v>
      </c>
      <c r="W379">
        <v>1</v>
      </c>
      <c r="X379">
        <v>74.126245815000004</v>
      </c>
      <c r="Y379">
        <v>114</v>
      </c>
      <c r="Z379">
        <v>7.1440581892545599E-3</v>
      </c>
      <c r="AA379">
        <v>1</v>
      </c>
    </row>
    <row r="380" spans="1:27" x14ac:dyDescent="0.2">
      <c r="A380">
        <v>20</v>
      </c>
      <c r="B380">
        <v>1</v>
      </c>
      <c r="C380">
        <v>0.3</v>
      </c>
      <c r="D380">
        <v>100</v>
      </c>
      <c r="E380">
        <v>4.91132604713252E-2</v>
      </c>
      <c r="F380">
        <v>1</v>
      </c>
      <c r="G380">
        <v>31.092471945</v>
      </c>
      <c r="H380">
        <v>2.5154615831521E-2</v>
      </c>
      <c r="I380">
        <v>1</v>
      </c>
      <c r="J380">
        <v>0.18127502200000001</v>
      </c>
      <c r="P380"/>
      <c r="V380">
        <v>2.0385855995913998E-2</v>
      </c>
      <c r="W380">
        <v>1</v>
      </c>
      <c r="X380">
        <v>165.73306472100001</v>
      </c>
      <c r="Y380">
        <v>1</v>
      </c>
      <c r="Z380">
        <v>8.6493165108693093E-3</v>
      </c>
      <c r="AA380">
        <v>3</v>
      </c>
    </row>
    <row r="381" spans="1:27" x14ac:dyDescent="0.2">
      <c r="A381">
        <v>20</v>
      </c>
      <c r="B381">
        <v>1</v>
      </c>
      <c r="C381">
        <v>0.3</v>
      </c>
      <c r="D381">
        <v>100</v>
      </c>
      <c r="E381">
        <v>9.7150442133297401E-3</v>
      </c>
      <c r="F381">
        <v>1</v>
      </c>
      <c r="G381">
        <v>33.259878297</v>
      </c>
      <c r="H381">
        <v>1.25886024165861E-2</v>
      </c>
      <c r="I381">
        <v>1</v>
      </c>
      <c r="J381">
        <v>5.3508628000000003E-2</v>
      </c>
      <c r="P381"/>
      <c r="V381">
        <v>8.7072217594564294E-3</v>
      </c>
      <c r="W381">
        <v>1</v>
      </c>
      <c r="X381">
        <v>58.803582964999997</v>
      </c>
      <c r="Y381">
        <v>1</v>
      </c>
      <c r="Z381">
        <v>3.3572456987356301E-3</v>
      </c>
      <c r="AA381">
        <v>1</v>
      </c>
    </row>
    <row r="382" spans="1:27" x14ac:dyDescent="0.2">
      <c r="A382">
        <v>20</v>
      </c>
      <c r="B382">
        <v>1</v>
      </c>
      <c r="C382">
        <v>0.4</v>
      </c>
      <c r="D382">
        <v>100</v>
      </c>
      <c r="E382">
        <v>0.14650280069333099</v>
      </c>
      <c r="F382">
        <v>1</v>
      </c>
      <c r="G382">
        <v>30.442004010000002</v>
      </c>
      <c r="H382">
        <v>5.8383278460487097E-2</v>
      </c>
      <c r="I382">
        <v>1</v>
      </c>
      <c r="J382">
        <v>9.8224171999999998E-2</v>
      </c>
      <c r="P382"/>
      <c r="V382">
        <v>5.2256115709607802E-2</v>
      </c>
      <c r="W382">
        <v>1</v>
      </c>
      <c r="X382">
        <v>76.824319529999997</v>
      </c>
      <c r="Y382">
        <v>50</v>
      </c>
      <c r="Z382">
        <v>9.3565946989640995E-3</v>
      </c>
      <c r="AA382">
        <v>1</v>
      </c>
    </row>
    <row r="383" spans="1:27" x14ac:dyDescent="0.2">
      <c r="A383">
        <v>20</v>
      </c>
      <c r="B383">
        <v>1</v>
      </c>
      <c r="C383">
        <v>0.4</v>
      </c>
      <c r="D383">
        <v>100</v>
      </c>
      <c r="E383">
        <v>2.0922554045905501E-2</v>
      </c>
      <c r="F383">
        <v>1</v>
      </c>
      <c r="G383">
        <v>30.007251922999998</v>
      </c>
      <c r="H383">
        <v>1.85082286698506E-2</v>
      </c>
      <c r="I383">
        <v>1</v>
      </c>
      <c r="J383">
        <v>0.118049132</v>
      </c>
      <c r="P383"/>
      <c r="V383">
        <v>1.35254040312997E-2</v>
      </c>
      <c r="W383">
        <v>1</v>
      </c>
      <c r="X383">
        <v>55.52459322</v>
      </c>
      <c r="Y383">
        <v>1</v>
      </c>
      <c r="Z383">
        <v>8.3191505538022792E-3</v>
      </c>
      <c r="AA383">
        <v>1</v>
      </c>
    </row>
    <row r="384" spans="1:27" x14ac:dyDescent="0.2">
      <c r="A384">
        <v>20</v>
      </c>
      <c r="B384">
        <v>1</v>
      </c>
      <c r="C384">
        <v>0.3</v>
      </c>
      <c r="D384">
        <v>100</v>
      </c>
      <c r="E384">
        <v>4.9340434507806799E-2</v>
      </c>
      <c r="F384">
        <v>1</v>
      </c>
      <c r="G384">
        <v>35.539270903000002</v>
      </c>
      <c r="H384">
        <v>2.28024629766818E-2</v>
      </c>
      <c r="I384">
        <v>1</v>
      </c>
      <c r="J384">
        <v>0.14528180900000001</v>
      </c>
      <c r="P384"/>
      <c r="V384">
        <v>2.0493363482574901E-2</v>
      </c>
      <c r="W384">
        <v>1</v>
      </c>
      <c r="X384">
        <v>68.481588728999995</v>
      </c>
      <c r="Y384">
        <v>1</v>
      </c>
      <c r="Z384">
        <v>8.2797927617341803E-3</v>
      </c>
      <c r="AA384">
        <v>1</v>
      </c>
    </row>
    <row r="385" spans="1:27" x14ac:dyDescent="0.2">
      <c r="A385">
        <v>20</v>
      </c>
      <c r="B385">
        <v>1</v>
      </c>
      <c r="C385">
        <v>0.4</v>
      </c>
      <c r="D385">
        <v>100</v>
      </c>
      <c r="E385">
        <v>5.9065756314297099E-2</v>
      </c>
      <c r="F385">
        <v>1</v>
      </c>
      <c r="G385">
        <v>33.047717059</v>
      </c>
      <c r="H385">
        <v>5.3088973223987902E-2</v>
      </c>
      <c r="I385">
        <v>1</v>
      </c>
      <c r="J385">
        <v>0.13979712</v>
      </c>
      <c r="P385"/>
      <c r="V385">
        <v>5.1079226176112602E-2</v>
      </c>
      <c r="W385">
        <v>1</v>
      </c>
      <c r="X385">
        <v>75.524417463999995</v>
      </c>
      <c r="Y385">
        <v>37</v>
      </c>
      <c r="Z385">
        <v>7.7009661278707401E-3</v>
      </c>
      <c r="AA385">
        <v>1</v>
      </c>
    </row>
    <row r="386" spans="1:27" x14ac:dyDescent="0.2">
      <c r="A386">
        <v>20</v>
      </c>
      <c r="B386">
        <v>1</v>
      </c>
      <c r="C386">
        <v>0.4</v>
      </c>
      <c r="D386">
        <v>100</v>
      </c>
      <c r="E386">
        <v>1.48174925810743E-2</v>
      </c>
      <c r="F386">
        <v>1</v>
      </c>
      <c r="G386">
        <v>30.403377466999999</v>
      </c>
      <c r="H386">
        <v>1.58208839221004E-2</v>
      </c>
      <c r="I386">
        <v>1</v>
      </c>
      <c r="J386">
        <v>8.1341904000000007E-2</v>
      </c>
      <c r="P386"/>
      <c r="V386">
        <v>9.0054333400134707E-3</v>
      </c>
      <c r="W386">
        <v>1</v>
      </c>
      <c r="X386">
        <v>59.696716299000002</v>
      </c>
      <c r="Y386">
        <v>23</v>
      </c>
      <c r="Z386">
        <v>9.8103670894984507E-3</v>
      </c>
      <c r="AA386">
        <v>1</v>
      </c>
    </row>
    <row r="387" spans="1:27" x14ac:dyDescent="0.2">
      <c r="A387">
        <v>20</v>
      </c>
      <c r="B387">
        <v>1</v>
      </c>
      <c r="C387">
        <v>0.4</v>
      </c>
      <c r="D387">
        <v>100</v>
      </c>
      <c r="E387">
        <v>1.36286683218786E-2</v>
      </c>
      <c r="F387">
        <v>1</v>
      </c>
      <c r="G387">
        <v>31.032094581999999</v>
      </c>
      <c r="H387">
        <v>1.76140439836278E-2</v>
      </c>
      <c r="I387">
        <v>1</v>
      </c>
      <c r="J387">
        <v>9.8498583000000001E-2</v>
      </c>
      <c r="P387"/>
      <c r="V387">
        <v>1.19282049067572E-2</v>
      </c>
      <c r="W387">
        <v>1</v>
      </c>
      <c r="X387">
        <v>53.537342770999999</v>
      </c>
      <c r="Y387">
        <v>1</v>
      </c>
      <c r="Z387">
        <v>7.8476337684351104E-3</v>
      </c>
      <c r="AA387">
        <v>1</v>
      </c>
    </row>
    <row r="388" spans="1:27" x14ac:dyDescent="0.2">
      <c r="A388">
        <v>20</v>
      </c>
      <c r="B388">
        <v>1</v>
      </c>
      <c r="C388">
        <v>0.4</v>
      </c>
      <c r="D388">
        <v>100</v>
      </c>
      <c r="E388">
        <v>6.7078471682618504E-2</v>
      </c>
      <c r="F388">
        <v>1</v>
      </c>
      <c r="G388">
        <v>31.637051885999998</v>
      </c>
      <c r="H388">
        <v>2.3347942667295601E-2</v>
      </c>
      <c r="I388">
        <v>1</v>
      </c>
      <c r="J388">
        <v>0.21090577499999999</v>
      </c>
      <c r="P388"/>
      <c r="V388">
        <v>1.78100660273461E-2</v>
      </c>
      <c r="W388">
        <v>1</v>
      </c>
      <c r="X388">
        <v>66.357175396000002</v>
      </c>
      <c r="Y388">
        <v>15</v>
      </c>
      <c r="Z388">
        <v>7.7692998947895796E-3</v>
      </c>
      <c r="AA388">
        <v>1</v>
      </c>
    </row>
    <row r="389" spans="1:27" x14ac:dyDescent="0.2">
      <c r="A389">
        <v>20</v>
      </c>
      <c r="B389">
        <v>1</v>
      </c>
      <c r="C389">
        <v>0.2</v>
      </c>
      <c r="D389">
        <v>100</v>
      </c>
      <c r="E389">
        <v>0.26636201814800597</v>
      </c>
      <c r="F389">
        <v>1</v>
      </c>
      <c r="G389">
        <v>29.953351504</v>
      </c>
      <c r="H389">
        <v>0.16066549833795599</v>
      </c>
      <c r="I389">
        <v>1</v>
      </c>
      <c r="J389">
        <v>0.180936228</v>
      </c>
      <c r="P389"/>
      <c r="V389">
        <v>0.15744103018838301</v>
      </c>
      <c r="W389">
        <v>1</v>
      </c>
      <c r="X389">
        <v>83.614652840000005</v>
      </c>
      <c r="Y389">
        <v>63</v>
      </c>
      <c r="Z389">
        <v>9.1045480340030405E-3</v>
      </c>
      <c r="AA389">
        <v>1</v>
      </c>
    </row>
    <row r="390" spans="1:27" x14ac:dyDescent="0.2">
      <c r="A390">
        <v>20</v>
      </c>
      <c r="B390">
        <v>1</v>
      </c>
      <c r="C390">
        <v>0.1</v>
      </c>
      <c r="D390">
        <v>100</v>
      </c>
      <c r="E390">
        <v>0.42018661416782499</v>
      </c>
      <c r="F390">
        <v>1</v>
      </c>
      <c r="G390">
        <v>34.703324680999998</v>
      </c>
      <c r="H390">
        <v>0.44158949912794099</v>
      </c>
      <c r="I390">
        <v>1</v>
      </c>
      <c r="J390">
        <v>0.40200919499999999</v>
      </c>
      <c r="P390"/>
      <c r="V390">
        <v>0.702127336046794</v>
      </c>
      <c r="W390">
        <v>1</v>
      </c>
      <c r="X390">
        <v>223.026762397</v>
      </c>
      <c r="Y390">
        <v>1</v>
      </c>
      <c r="Z390">
        <v>2.9598279379142401E-3</v>
      </c>
      <c r="AA390">
        <v>4</v>
      </c>
    </row>
    <row r="391" spans="1:27" x14ac:dyDescent="0.2">
      <c r="A391">
        <v>20</v>
      </c>
      <c r="B391">
        <v>1</v>
      </c>
      <c r="C391">
        <v>0.4</v>
      </c>
      <c r="D391">
        <v>100</v>
      </c>
      <c r="E391">
        <v>5.9413294886123097E-2</v>
      </c>
      <c r="F391">
        <v>1</v>
      </c>
      <c r="G391">
        <v>48.043876167999997</v>
      </c>
      <c r="H391">
        <v>2.98190813713872E-2</v>
      </c>
      <c r="I391">
        <v>1</v>
      </c>
      <c r="J391">
        <v>0.248473834</v>
      </c>
      <c r="P391"/>
      <c r="V391">
        <v>2.25089809433087E-2</v>
      </c>
      <c r="W391">
        <v>1</v>
      </c>
      <c r="X391">
        <v>697.53142149300004</v>
      </c>
      <c r="Y391">
        <v>980</v>
      </c>
      <c r="Z391">
        <v>8.4903546692228701E-3</v>
      </c>
      <c r="AA391">
        <v>6</v>
      </c>
    </row>
    <row r="392" spans="1:27" x14ac:dyDescent="0.2">
      <c r="A392">
        <v>20</v>
      </c>
      <c r="B392">
        <v>1</v>
      </c>
      <c r="C392">
        <v>0.2</v>
      </c>
      <c r="D392">
        <v>100</v>
      </c>
      <c r="E392">
        <v>0.18151887561695201</v>
      </c>
      <c r="F392">
        <v>1</v>
      </c>
      <c r="G392">
        <v>29.984930527</v>
      </c>
      <c r="H392">
        <v>5.5434419731357203E-2</v>
      </c>
      <c r="I392">
        <v>1</v>
      </c>
      <c r="J392">
        <v>0.30455779599999999</v>
      </c>
      <c r="P392"/>
      <c r="V392">
        <v>4.9669223471183598E-2</v>
      </c>
      <c r="W392">
        <v>1</v>
      </c>
      <c r="X392">
        <v>1007.158115888</v>
      </c>
      <c r="Y392">
        <v>2475</v>
      </c>
      <c r="Z392">
        <v>8.9930507286923502E-3</v>
      </c>
      <c r="AA392">
        <v>3</v>
      </c>
    </row>
    <row r="393" spans="1:27" x14ac:dyDescent="0.2">
      <c r="A393">
        <v>20</v>
      </c>
      <c r="B393">
        <v>1</v>
      </c>
      <c r="C393">
        <v>0.4</v>
      </c>
      <c r="D393">
        <v>100</v>
      </c>
      <c r="E393">
        <v>1.2280212008284001E-2</v>
      </c>
      <c r="F393">
        <v>1</v>
      </c>
      <c r="G393">
        <v>30.502393983000001</v>
      </c>
      <c r="H393">
        <v>1.7303782507219801E-2</v>
      </c>
      <c r="I393">
        <v>1</v>
      </c>
      <c r="J393">
        <v>9.6769157999999994E-2</v>
      </c>
      <c r="P393"/>
      <c r="V393">
        <v>1.2543170815080299E-2</v>
      </c>
      <c r="W393">
        <v>1</v>
      </c>
      <c r="X393">
        <v>52.568679772000003</v>
      </c>
      <c r="Y393">
        <v>3</v>
      </c>
      <c r="Z393">
        <v>5.7793154537646397E-3</v>
      </c>
      <c r="AA393">
        <v>1</v>
      </c>
    </row>
    <row r="394" spans="1:27" x14ac:dyDescent="0.2">
      <c r="A394">
        <v>20</v>
      </c>
      <c r="B394">
        <v>1</v>
      </c>
      <c r="C394">
        <v>0.3</v>
      </c>
      <c r="D394">
        <v>100</v>
      </c>
      <c r="E394">
        <v>1.8425950439559999E-2</v>
      </c>
      <c r="F394">
        <v>1</v>
      </c>
      <c r="G394">
        <v>30.334843429999999</v>
      </c>
      <c r="H394">
        <v>2.24644370051276E-2</v>
      </c>
      <c r="I394">
        <v>1</v>
      </c>
      <c r="J394">
        <v>0.113110693</v>
      </c>
      <c r="P394"/>
      <c r="V394">
        <v>1.6192902782064401E-2</v>
      </c>
      <c r="W394">
        <v>1</v>
      </c>
      <c r="X394">
        <v>898.44743930599998</v>
      </c>
      <c r="Y394">
        <v>61</v>
      </c>
      <c r="Z394">
        <v>8.9834457823061396E-3</v>
      </c>
      <c r="AA394">
        <v>8</v>
      </c>
    </row>
    <row r="395" spans="1:27" x14ac:dyDescent="0.2">
      <c r="A395">
        <v>20</v>
      </c>
      <c r="B395">
        <v>1</v>
      </c>
      <c r="C395">
        <v>0.2</v>
      </c>
      <c r="D395">
        <v>100</v>
      </c>
      <c r="E395">
        <v>0.178908152041658</v>
      </c>
      <c r="F395">
        <v>1</v>
      </c>
      <c r="G395">
        <v>34.560608092000003</v>
      </c>
      <c r="H395">
        <v>0.120993079067406</v>
      </c>
      <c r="I395">
        <v>1</v>
      </c>
      <c r="J395">
        <v>0.28996407800000001</v>
      </c>
      <c r="P395"/>
      <c r="V395">
        <v>0.117149005552297</v>
      </c>
      <c r="W395">
        <v>1</v>
      </c>
      <c r="X395">
        <v>858.14152406400001</v>
      </c>
      <c r="Y395">
        <v>1017</v>
      </c>
      <c r="Z395">
        <v>3.3194723619089902E-3</v>
      </c>
      <c r="AA395">
        <v>10</v>
      </c>
    </row>
    <row r="396" spans="1:27" x14ac:dyDescent="0.2">
      <c r="A396">
        <v>20</v>
      </c>
      <c r="B396">
        <v>1</v>
      </c>
      <c r="C396">
        <v>0.4</v>
      </c>
      <c r="D396">
        <v>100</v>
      </c>
      <c r="E396">
        <v>3.4353507801106103E-2</v>
      </c>
      <c r="F396">
        <v>1</v>
      </c>
      <c r="G396">
        <v>38.173860216000001</v>
      </c>
      <c r="H396">
        <v>2.2319095964066501E-2</v>
      </c>
      <c r="I396">
        <v>1</v>
      </c>
      <c r="J396">
        <v>0.19486957099999999</v>
      </c>
      <c r="P396"/>
      <c r="V396">
        <v>1.74937202047615E-2</v>
      </c>
      <c r="W396">
        <v>1</v>
      </c>
      <c r="X396">
        <v>1287.0337321219999</v>
      </c>
      <c r="Y396">
        <v>1999</v>
      </c>
      <c r="Z396">
        <v>8.59061781003434E-3</v>
      </c>
      <c r="AA396">
        <v>7</v>
      </c>
    </row>
    <row r="397" spans="1:27" x14ac:dyDescent="0.2">
      <c r="A397">
        <v>20</v>
      </c>
      <c r="B397">
        <v>1</v>
      </c>
      <c r="C397">
        <v>0.4</v>
      </c>
      <c r="D397">
        <v>100</v>
      </c>
      <c r="E397">
        <v>2.6576446227888E-2</v>
      </c>
      <c r="F397">
        <v>1</v>
      </c>
      <c r="G397">
        <v>32.875993248999997</v>
      </c>
      <c r="H397">
        <v>3.0753401569177202E-2</v>
      </c>
      <c r="I397">
        <v>1</v>
      </c>
      <c r="J397">
        <v>5.0965117999999997E-2</v>
      </c>
      <c r="P397"/>
      <c r="V397">
        <v>2.6408809375849E-2</v>
      </c>
      <c r="W397">
        <v>1</v>
      </c>
      <c r="X397">
        <v>65.958351633000007</v>
      </c>
      <c r="Y397">
        <v>39</v>
      </c>
      <c r="Z397">
        <v>6.2099156215432699E-3</v>
      </c>
      <c r="AA397">
        <v>1</v>
      </c>
    </row>
    <row r="398" spans="1:27" x14ac:dyDescent="0.2">
      <c r="A398">
        <v>20</v>
      </c>
      <c r="B398">
        <v>1</v>
      </c>
      <c r="C398">
        <v>0.3</v>
      </c>
      <c r="D398">
        <v>100</v>
      </c>
      <c r="E398">
        <v>1.3060938384190699E-2</v>
      </c>
      <c r="F398">
        <v>1</v>
      </c>
      <c r="G398">
        <v>36.268745500999998</v>
      </c>
      <c r="H398">
        <v>1.5585119389215399E-2</v>
      </c>
      <c r="I398">
        <v>1</v>
      </c>
      <c r="J398">
        <v>0.130593657</v>
      </c>
      <c r="P398"/>
      <c r="V398">
        <v>1.0532785447455201E-2</v>
      </c>
      <c r="W398">
        <v>1</v>
      </c>
      <c r="X398">
        <v>75.978189419000003</v>
      </c>
      <c r="Y398">
        <v>62</v>
      </c>
      <c r="Z398">
        <v>6.5431579975051496E-3</v>
      </c>
      <c r="AA398">
        <v>1</v>
      </c>
    </row>
    <row r="399" spans="1:27" x14ac:dyDescent="0.2">
      <c r="A399">
        <v>20</v>
      </c>
      <c r="B399">
        <v>1</v>
      </c>
      <c r="C399">
        <v>0.3</v>
      </c>
      <c r="D399">
        <v>100</v>
      </c>
      <c r="E399">
        <v>0.106365236548796</v>
      </c>
      <c r="F399">
        <v>1</v>
      </c>
      <c r="G399">
        <v>30.060950666</v>
      </c>
      <c r="H399">
        <v>0.10355076451457999</v>
      </c>
      <c r="I399">
        <v>1</v>
      </c>
      <c r="J399">
        <v>0.13109385000000001</v>
      </c>
      <c r="P399"/>
      <c r="V399">
        <v>0.101823840048297</v>
      </c>
      <c r="W399">
        <v>1</v>
      </c>
      <c r="X399">
        <v>3065.170662816</v>
      </c>
      <c r="Y399">
        <v>7060</v>
      </c>
      <c r="Z399">
        <v>8.6323115615204397E-3</v>
      </c>
      <c r="AA399">
        <v>7</v>
      </c>
    </row>
    <row r="400" spans="1:27" x14ac:dyDescent="0.2">
      <c r="A400">
        <v>20</v>
      </c>
      <c r="B400">
        <v>1</v>
      </c>
      <c r="C400">
        <v>0.2</v>
      </c>
      <c r="D400">
        <v>100</v>
      </c>
      <c r="E400">
        <v>8.88432526716849E-2</v>
      </c>
      <c r="F400">
        <v>1</v>
      </c>
      <c r="G400">
        <v>35.130246688</v>
      </c>
      <c r="H400">
        <v>6.5043829638018094E-2</v>
      </c>
      <c r="I400">
        <v>1</v>
      </c>
      <c r="J400">
        <v>0.21467402799999999</v>
      </c>
      <c r="P400"/>
      <c r="V400">
        <v>5.8919232052444599E-2</v>
      </c>
      <c r="W400">
        <v>1</v>
      </c>
      <c r="X400">
        <v>76.761847419000006</v>
      </c>
      <c r="Y400">
        <v>60</v>
      </c>
      <c r="Z400">
        <v>7.4422180323913401E-3</v>
      </c>
      <c r="AA400">
        <v>1</v>
      </c>
    </row>
    <row r="401" spans="1:27" x14ac:dyDescent="0.2">
      <c r="A401">
        <v>20</v>
      </c>
      <c r="B401">
        <v>1</v>
      </c>
      <c r="C401">
        <v>0.4</v>
      </c>
      <c r="D401">
        <v>100</v>
      </c>
      <c r="E401">
        <v>5.1750179626685197E-2</v>
      </c>
      <c r="F401">
        <v>1</v>
      </c>
      <c r="G401">
        <v>39.107715489</v>
      </c>
      <c r="H401">
        <v>3.6667554780642202E-2</v>
      </c>
      <c r="I401">
        <v>1</v>
      </c>
      <c r="J401">
        <v>0.37996310799999999</v>
      </c>
      <c r="P401"/>
      <c r="V401">
        <v>3.2521334111234798E-2</v>
      </c>
      <c r="W401">
        <v>1</v>
      </c>
      <c r="X401">
        <v>3227.8289150969999</v>
      </c>
      <c r="Y401">
        <v>4965</v>
      </c>
      <c r="Z401">
        <v>9.1262012351753796E-3</v>
      </c>
      <c r="AA401">
        <v>11</v>
      </c>
    </row>
    <row r="402" spans="1:27" x14ac:dyDescent="0.2">
      <c r="A402">
        <v>20</v>
      </c>
      <c r="B402">
        <v>1</v>
      </c>
      <c r="C402">
        <v>0.2</v>
      </c>
      <c r="D402">
        <v>100</v>
      </c>
      <c r="E402">
        <v>0.16422160576255099</v>
      </c>
      <c r="F402">
        <v>1</v>
      </c>
      <c r="G402">
        <v>39.601546568000003</v>
      </c>
      <c r="H402">
        <v>4.5172352595770703E-2</v>
      </c>
      <c r="I402">
        <v>1</v>
      </c>
      <c r="J402">
        <v>0.29148202600000001</v>
      </c>
      <c r="P402"/>
      <c r="V402">
        <v>3.7474976427876401E-2</v>
      </c>
      <c r="W402">
        <v>1</v>
      </c>
      <c r="X402">
        <v>1158.2104491099999</v>
      </c>
      <c r="Y402">
        <v>1725</v>
      </c>
      <c r="Z402">
        <v>5.4645274583261499E-3</v>
      </c>
      <c r="AA402">
        <v>5</v>
      </c>
    </row>
    <row r="403" spans="1:27" x14ac:dyDescent="0.2">
      <c r="A403">
        <v>20</v>
      </c>
      <c r="B403">
        <v>1</v>
      </c>
      <c r="C403">
        <v>0.2</v>
      </c>
      <c r="D403">
        <v>100</v>
      </c>
      <c r="E403">
        <v>9.2530891647795196E-2</v>
      </c>
      <c r="F403">
        <v>1</v>
      </c>
      <c r="G403">
        <v>40.640292535</v>
      </c>
      <c r="H403">
        <v>8.9812375745658798E-2</v>
      </c>
      <c r="I403">
        <v>1</v>
      </c>
      <c r="J403">
        <v>0.47469296300000002</v>
      </c>
      <c r="P403"/>
      <c r="V403">
        <v>8.8062211530657797E-2</v>
      </c>
      <c r="W403">
        <v>1</v>
      </c>
      <c r="X403">
        <v>90.958618229999999</v>
      </c>
      <c r="Y403">
        <v>48</v>
      </c>
      <c r="Z403">
        <v>9.2688910446393994E-3</v>
      </c>
      <c r="AA403">
        <v>1</v>
      </c>
    </row>
    <row r="404" spans="1:27" x14ac:dyDescent="0.2">
      <c r="A404">
        <v>20</v>
      </c>
      <c r="B404">
        <v>1</v>
      </c>
      <c r="C404">
        <v>0.4</v>
      </c>
      <c r="D404">
        <v>100</v>
      </c>
      <c r="E404">
        <v>8.6532970783445799E-3</v>
      </c>
      <c r="F404">
        <v>1</v>
      </c>
      <c r="G404">
        <v>31.619152897999999</v>
      </c>
      <c r="H404">
        <v>1.8489861938310901E-2</v>
      </c>
      <c r="I404">
        <v>1</v>
      </c>
      <c r="J404">
        <v>0.130380841</v>
      </c>
      <c r="P404"/>
      <c r="V404">
        <v>1.5946852028254702E-2</v>
      </c>
      <c r="W404">
        <v>1</v>
      </c>
      <c r="X404">
        <v>3517.2666014259999</v>
      </c>
      <c r="Y404">
        <v>23</v>
      </c>
      <c r="Z404">
        <v>9.7397908541680903E-3</v>
      </c>
      <c r="AA404">
        <v>13</v>
      </c>
    </row>
    <row r="405" spans="1:27" x14ac:dyDescent="0.2">
      <c r="A405">
        <v>20</v>
      </c>
      <c r="B405">
        <v>1</v>
      </c>
      <c r="C405">
        <v>0.4</v>
      </c>
      <c r="D405">
        <v>100</v>
      </c>
      <c r="E405">
        <v>1.4803933551191299E-2</v>
      </c>
      <c r="F405">
        <v>1</v>
      </c>
      <c r="G405">
        <v>40.746404755999997</v>
      </c>
      <c r="H405">
        <v>2.48595798265452E-2</v>
      </c>
      <c r="I405">
        <v>1</v>
      </c>
      <c r="J405">
        <v>0.21557824</v>
      </c>
      <c r="P405"/>
      <c r="V405">
        <v>2.0555723747865101E-2</v>
      </c>
      <c r="W405">
        <v>1</v>
      </c>
      <c r="X405">
        <v>850.21163951999995</v>
      </c>
      <c r="Y405">
        <v>948</v>
      </c>
      <c r="Z405">
        <v>8.3709595717684701E-3</v>
      </c>
      <c r="AA405">
        <v>9</v>
      </c>
    </row>
    <row r="406" spans="1:27" x14ac:dyDescent="0.2">
      <c r="A406">
        <v>20</v>
      </c>
      <c r="B406">
        <v>1</v>
      </c>
      <c r="C406">
        <v>0.3</v>
      </c>
      <c r="D406">
        <v>100</v>
      </c>
      <c r="E406">
        <v>0.12620401172656301</v>
      </c>
      <c r="F406">
        <v>1</v>
      </c>
      <c r="G406">
        <v>38.833257658999997</v>
      </c>
      <c r="H406">
        <v>7.6386597702509995E-2</v>
      </c>
      <c r="I406">
        <v>1</v>
      </c>
      <c r="J406">
        <v>0.45538359299999998</v>
      </c>
      <c r="P406"/>
      <c r="V406">
        <v>7.6061958930981999E-2</v>
      </c>
      <c r="W406">
        <v>1</v>
      </c>
      <c r="X406">
        <v>69.916487204000006</v>
      </c>
      <c r="Y406">
        <v>1</v>
      </c>
      <c r="Z406">
        <v>3.42106774487382E-3</v>
      </c>
      <c r="AA406">
        <v>1</v>
      </c>
    </row>
    <row r="407" spans="1:27" x14ac:dyDescent="0.2">
      <c r="A407">
        <v>20</v>
      </c>
      <c r="B407">
        <v>1</v>
      </c>
      <c r="C407">
        <v>0.3</v>
      </c>
      <c r="D407">
        <v>100</v>
      </c>
      <c r="E407">
        <v>0.15223384520394601</v>
      </c>
      <c r="F407">
        <v>1</v>
      </c>
      <c r="G407">
        <v>30.996164992000001</v>
      </c>
      <c r="H407">
        <v>0.111781727030107</v>
      </c>
      <c r="I407">
        <v>1</v>
      </c>
      <c r="J407">
        <v>0.158361959</v>
      </c>
      <c r="P407"/>
      <c r="V407">
        <v>0.10941618660975699</v>
      </c>
      <c r="W407">
        <v>1</v>
      </c>
      <c r="X407">
        <v>12422.996438288001</v>
      </c>
      <c r="Y407">
        <v>12896</v>
      </c>
      <c r="Z407">
        <v>3.53313106312369E-3</v>
      </c>
      <c r="AA407">
        <v>18</v>
      </c>
    </row>
    <row r="408" spans="1:27" x14ac:dyDescent="0.2">
      <c r="A408">
        <v>30</v>
      </c>
      <c r="B408">
        <v>1</v>
      </c>
      <c r="C408">
        <v>0.2</v>
      </c>
      <c r="D408">
        <v>100</v>
      </c>
      <c r="E408">
        <v>0.20629145604388099</v>
      </c>
      <c r="F408">
        <v>1</v>
      </c>
      <c r="G408">
        <v>25.44904052</v>
      </c>
      <c r="H408">
        <v>8.1716552279970794E-2</v>
      </c>
      <c r="I408">
        <v>1</v>
      </c>
      <c r="J408">
        <v>0.32480460799999999</v>
      </c>
      <c r="P408"/>
      <c r="V408">
        <v>7.6345848226318597E-2</v>
      </c>
      <c r="W408">
        <v>1</v>
      </c>
      <c r="X408">
        <v>303764.046846713</v>
      </c>
      <c r="Y408">
        <v>3005</v>
      </c>
      <c r="Z408">
        <v>2.7559443603503899E-2</v>
      </c>
      <c r="AA408">
        <v>50</v>
      </c>
    </row>
    <row r="409" spans="1:27" x14ac:dyDescent="0.2">
      <c r="A409">
        <v>20</v>
      </c>
      <c r="B409">
        <v>1</v>
      </c>
      <c r="C409">
        <v>0.3</v>
      </c>
      <c r="D409">
        <v>100</v>
      </c>
      <c r="E409">
        <v>1.55766063790441E-2</v>
      </c>
      <c r="F409">
        <v>1</v>
      </c>
      <c r="G409">
        <v>48.688537144000001</v>
      </c>
      <c r="H409">
        <v>2.0856443267625799E-2</v>
      </c>
      <c r="I409">
        <v>1</v>
      </c>
      <c r="J409">
        <v>9.3289647000000003E-2</v>
      </c>
      <c r="P409"/>
      <c r="V409">
        <v>1.4727412146715999E-2</v>
      </c>
      <c r="W409">
        <v>1</v>
      </c>
      <c r="X409">
        <v>97.081861369999999</v>
      </c>
      <c r="Y409">
        <v>3</v>
      </c>
      <c r="Z409">
        <v>5.6811771033693503E-3</v>
      </c>
      <c r="AA409">
        <v>1</v>
      </c>
    </row>
    <row r="410" spans="1:27" x14ac:dyDescent="0.2">
      <c r="A410">
        <v>20</v>
      </c>
      <c r="B410">
        <v>1</v>
      </c>
      <c r="C410">
        <v>0.4</v>
      </c>
      <c r="D410">
        <v>100</v>
      </c>
      <c r="E410">
        <v>1.38093210399888E-2</v>
      </c>
      <c r="F410">
        <v>1</v>
      </c>
      <c r="G410">
        <v>48.624388029000002</v>
      </c>
      <c r="H410">
        <v>2.41411315589934E-2</v>
      </c>
      <c r="I410">
        <v>1</v>
      </c>
      <c r="J410">
        <v>0.28263492800000001</v>
      </c>
      <c r="P410"/>
      <c r="V410">
        <v>1.93957796735395E-2</v>
      </c>
      <c r="W410">
        <v>1</v>
      </c>
      <c r="X410">
        <v>96.000582898000005</v>
      </c>
      <c r="Y410">
        <v>1</v>
      </c>
      <c r="Z410">
        <v>7.8234642838523293E-3</v>
      </c>
      <c r="AA410">
        <v>1</v>
      </c>
    </row>
    <row r="411" spans="1:27" x14ac:dyDescent="0.2">
      <c r="A411">
        <v>20</v>
      </c>
      <c r="B411">
        <v>1</v>
      </c>
      <c r="C411">
        <v>0.1</v>
      </c>
      <c r="D411">
        <v>100</v>
      </c>
      <c r="E411">
        <v>0.38526926885341101</v>
      </c>
      <c r="F411">
        <v>1</v>
      </c>
      <c r="G411">
        <v>40.521231100999998</v>
      </c>
      <c r="H411">
        <v>0.36092042989908801</v>
      </c>
      <c r="I411">
        <v>1</v>
      </c>
      <c r="J411">
        <v>0.51168641599999998</v>
      </c>
      <c r="P411"/>
      <c r="V411">
        <v>0.326185185411349</v>
      </c>
      <c r="W411">
        <v>1</v>
      </c>
      <c r="X411">
        <v>134.818801377</v>
      </c>
      <c r="Y411">
        <v>169</v>
      </c>
      <c r="Z411">
        <v>6.7505840034521297E-3</v>
      </c>
      <c r="AA411">
        <v>1</v>
      </c>
    </row>
    <row r="412" spans="1:27" x14ac:dyDescent="0.2">
      <c r="A412">
        <v>20</v>
      </c>
      <c r="B412">
        <v>1</v>
      </c>
      <c r="C412">
        <v>0.4</v>
      </c>
      <c r="D412">
        <v>100</v>
      </c>
      <c r="E412">
        <v>1.07189450798706E-2</v>
      </c>
      <c r="F412">
        <v>1</v>
      </c>
      <c r="G412">
        <v>34.911384024</v>
      </c>
      <c r="H412">
        <v>1.44361030622872E-2</v>
      </c>
      <c r="I412">
        <v>1</v>
      </c>
      <c r="J412">
        <v>0.210687613</v>
      </c>
      <c r="P412"/>
      <c r="V412">
        <v>1.0444363878074601E-2</v>
      </c>
      <c r="W412">
        <v>1</v>
      </c>
      <c r="X412">
        <v>65.809059192999996</v>
      </c>
      <c r="Y412">
        <v>1</v>
      </c>
      <c r="Z412">
        <v>9.20569213283828E-3</v>
      </c>
      <c r="AA412">
        <v>1</v>
      </c>
    </row>
    <row r="413" spans="1:27" x14ac:dyDescent="0.2">
      <c r="A413">
        <v>20</v>
      </c>
      <c r="B413">
        <v>1</v>
      </c>
      <c r="C413">
        <v>0.1</v>
      </c>
      <c r="D413">
        <v>100</v>
      </c>
      <c r="E413">
        <v>0.55783387934145101</v>
      </c>
      <c r="F413">
        <v>1</v>
      </c>
      <c r="G413">
        <v>36.062956131</v>
      </c>
      <c r="H413">
        <v>0.501424716128404</v>
      </c>
      <c r="I413">
        <v>1</v>
      </c>
      <c r="J413">
        <v>0.27734434099999999</v>
      </c>
      <c r="P413"/>
      <c r="V413">
        <v>0.49497576866690901</v>
      </c>
      <c r="W413">
        <v>1</v>
      </c>
      <c r="X413">
        <v>85.498429099999996</v>
      </c>
      <c r="Y413">
        <v>62</v>
      </c>
      <c r="Z413">
        <v>8.9391709331925803E-3</v>
      </c>
      <c r="AA413">
        <v>1</v>
      </c>
    </row>
    <row r="414" spans="1:27" x14ac:dyDescent="0.2">
      <c r="A414">
        <v>20</v>
      </c>
      <c r="B414">
        <v>1</v>
      </c>
      <c r="C414">
        <v>0.3</v>
      </c>
      <c r="D414">
        <v>100</v>
      </c>
      <c r="E414">
        <v>4.6594238260536901E-2</v>
      </c>
      <c r="F414">
        <v>1</v>
      </c>
      <c r="G414">
        <v>44.046284706999998</v>
      </c>
      <c r="H414">
        <v>2.30118165911402E-2</v>
      </c>
      <c r="I414">
        <v>1</v>
      </c>
      <c r="J414">
        <v>0.17524398499999999</v>
      </c>
      <c r="P414"/>
      <c r="V414">
        <v>1.9312216147690998E-2</v>
      </c>
      <c r="W414">
        <v>1</v>
      </c>
      <c r="X414">
        <v>80.950061552999998</v>
      </c>
      <c r="Y414">
        <v>7</v>
      </c>
      <c r="Z414">
        <v>4.1105473337735799E-3</v>
      </c>
      <c r="AA414">
        <v>1</v>
      </c>
    </row>
    <row r="415" spans="1:27" x14ac:dyDescent="0.2">
      <c r="A415">
        <v>20</v>
      </c>
      <c r="B415">
        <v>1</v>
      </c>
      <c r="C415">
        <v>0.4</v>
      </c>
      <c r="D415">
        <v>100</v>
      </c>
      <c r="E415">
        <v>4.6928452158064501E-2</v>
      </c>
      <c r="F415">
        <v>1</v>
      </c>
      <c r="G415">
        <v>38.764947806000002</v>
      </c>
      <c r="H415">
        <v>2.5756581561738399E-2</v>
      </c>
      <c r="I415">
        <v>1</v>
      </c>
      <c r="J415">
        <v>0.28451407499999998</v>
      </c>
      <c r="P415"/>
      <c r="V415">
        <v>2.0356357719231E-2</v>
      </c>
      <c r="W415">
        <v>1</v>
      </c>
      <c r="X415">
        <v>3107.588126048</v>
      </c>
      <c r="Y415">
        <v>7125</v>
      </c>
      <c r="Z415">
        <v>8.7516689371964704E-3</v>
      </c>
      <c r="AA415">
        <v>12</v>
      </c>
    </row>
    <row r="416" spans="1:27" x14ac:dyDescent="0.2">
      <c r="A416">
        <v>20</v>
      </c>
      <c r="B416">
        <v>1</v>
      </c>
      <c r="C416">
        <v>0.4</v>
      </c>
      <c r="D416">
        <v>100</v>
      </c>
      <c r="E416">
        <v>3.2892687335801599E-2</v>
      </c>
      <c r="F416">
        <v>1</v>
      </c>
      <c r="G416">
        <v>39.162170177999997</v>
      </c>
      <c r="H416">
        <v>3.6474711946801602E-2</v>
      </c>
      <c r="I416">
        <v>1</v>
      </c>
      <c r="J416">
        <v>0.183181701</v>
      </c>
      <c r="P416"/>
      <c r="V416">
        <v>2.5882430713542001E-2</v>
      </c>
      <c r="W416">
        <v>1</v>
      </c>
      <c r="X416">
        <v>9623.2414935390007</v>
      </c>
      <c r="Y416">
        <v>3784</v>
      </c>
      <c r="Z416">
        <v>8.40686037372506E-3</v>
      </c>
      <c r="AA416">
        <v>9</v>
      </c>
    </row>
    <row r="417" spans="1:27" x14ac:dyDescent="0.2">
      <c r="A417">
        <v>20</v>
      </c>
      <c r="B417">
        <v>1</v>
      </c>
      <c r="C417">
        <v>0.4</v>
      </c>
      <c r="D417">
        <v>100</v>
      </c>
      <c r="E417">
        <v>1.0182151891836499E-2</v>
      </c>
      <c r="F417">
        <v>1</v>
      </c>
      <c r="G417">
        <v>39.575695183999997</v>
      </c>
      <c r="H417">
        <v>2.05247386410039E-2</v>
      </c>
      <c r="I417">
        <v>1</v>
      </c>
      <c r="J417">
        <v>0.21665958399999999</v>
      </c>
      <c r="P417"/>
      <c r="V417">
        <v>1.7269303592781501E-2</v>
      </c>
      <c r="W417">
        <v>1</v>
      </c>
      <c r="X417">
        <v>77.650380186999996</v>
      </c>
      <c r="Y417">
        <v>7</v>
      </c>
      <c r="Z417">
        <v>7.3738972713089899E-3</v>
      </c>
      <c r="AA417">
        <v>1</v>
      </c>
    </row>
    <row r="418" spans="1:27" x14ac:dyDescent="0.2">
      <c r="A418">
        <v>20</v>
      </c>
      <c r="B418">
        <v>1</v>
      </c>
      <c r="C418">
        <v>0.4</v>
      </c>
      <c r="D418">
        <v>100</v>
      </c>
      <c r="E418">
        <v>1.0377192553636E-2</v>
      </c>
      <c r="F418">
        <v>1</v>
      </c>
      <c r="G418">
        <v>32.010883950999997</v>
      </c>
      <c r="H418">
        <v>1.33877358717998E-2</v>
      </c>
      <c r="I418">
        <v>1</v>
      </c>
      <c r="J418">
        <v>8.0463569999999998E-2</v>
      </c>
      <c r="P418"/>
      <c r="V418">
        <v>9.3917953794415993E-3</v>
      </c>
      <c r="W418">
        <v>1</v>
      </c>
      <c r="X418">
        <v>57.120115659</v>
      </c>
      <c r="Y418">
        <v>1</v>
      </c>
      <c r="Z418">
        <v>2.5006732625161201E-3</v>
      </c>
      <c r="AA418">
        <v>1</v>
      </c>
    </row>
    <row r="419" spans="1:27" x14ac:dyDescent="0.2">
      <c r="A419">
        <v>20</v>
      </c>
      <c r="B419">
        <v>1</v>
      </c>
      <c r="C419">
        <v>0.4</v>
      </c>
      <c r="D419">
        <v>100</v>
      </c>
      <c r="E419">
        <v>1.20750410081158E-2</v>
      </c>
      <c r="F419">
        <v>1</v>
      </c>
      <c r="G419">
        <v>32.183068063</v>
      </c>
      <c r="H419">
        <v>2.3442674410419799E-2</v>
      </c>
      <c r="I419">
        <v>1</v>
      </c>
      <c r="J419">
        <v>0.12700207399999999</v>
      </c>
      <c r="P419"/>
      <c r="V419">
        <v>1.9450422920877598E-2</v>
      </c>
      <c r="W419">
        <v>1</v>
      </c>
      <c r="X419">
        <v>66.806806244000001</v>
      </c>
      <c r="Y419">
        <v>67</v>
      </c>
      <c r="Z419">
        <v>9.2293978607930205E-3</v>
      </c>
      <c r="AA419">
        <v>1</v>
      </c>
    </row>
    <row r="420" spans="1:27" x14ac:dyDescent="0.2">
      <c r="A420">
        <v>20</v>
      </c>
      <c r="B420">
        <v>1</v>
      </c>
      <c r="C420">
        <v>0.4</v>
      </c>
      <c r="D420">
        <v>100</v>
      </c>
      <c r="E420">
        <v>1.19240589970679E-2</v>
      </c>
      <c r="F420">
        <v>1</v>
      </c>
      <c r="G420">
        <v>36.023334579999997</v>
      </c>
      <c r="H420">
        <v>1.7639334685774E-2</v>
      </c>
      <c r="I420">
        <v>1</v>
      </c>
      <c r="J420">
        <v>6.1970426000000002E-2</v>
      </c>
      <c r="P420"/>
      <c r="V420">
        <v>1.3350671438989299E-2</v>
      </c>
      <c r="W420">
        <v>1</v>
      </c>
      <c r="X420">
        <v>72.476445687999998</v>
      </c>
      <c r="Y420">
        <v>74</v>
      </c>
      <c r="Z420">
        <v>7.0475476890710098E-3</v>
      </c>
      <c r="AA420">
        <v>1</v>
      </c>
    </row>
    <row r="421" spans="1:27" x14ac:dyDescent="0.2">
      <c r="A421">
        <v>20</v>
      </c>
      <c r="B421">
        <v>1</v>
      </c>
      <c r="C421">
        <v>0.2</v>
      </c>
      <c r="D421">
        <v>100</v>
      </c>
      <c r="E421">
        <v>0.18577189624020801</v>
      </c>
      <c r="F421">
        <v>1</v>
      </c>
      <c r="G421">
        <v>32.193835565999997</v>
      </c>
      <c r="H421">
        <v>9.9427059333823495E-2</v>
      </c>
      <c r="I421">
        <v>1</v>
      </c>
      <c r="J421">
        <v>0.20764032299999999</v>
      </c>
      <c r="P421"/>
      <c r="V421">
        <v>9.4172943489564495E-2</v>
      </c>
      <c r="W421">
        <v>1</v>
      </c>
      <c r="X421">
        <v>82.399646876000006</v>
      </c>
      <c r="Y421">
        <v>62</v>
      </c>
      <c r="Z421">
        <v>5.2899024886333898E-3</v>
      </c>
      <c r="AA421">
        <v>1</v>
      </c>
    </row>
    <row r="422" spans="1:27" x14ac:dyDescent="0.2">
      <c r="A422">
        <v>20</v>
      </c>
      <c r="B422">
        <v>1</v>
      </c>
      <c r="C422">
        <v>0.3</v>
      </c>
      <c r="D422">
        <v>100</v>
      </c>
      <c r="E422">
        <v>2.4152721449991098E-2</v>
      </c>
      <c r="F422">
        <v>1</v>
      </c>
      <c r="G422">
        <v>45.516662773</v>
      </c>
      <c r="H422">
        <v>2.6748480168482702E-2</v>
      </c>
      <c r="I422">
        <v>1</v>
      </c>
      <c r="J422">
        <v>0.65643467200000005</v>
      </c>
      <c r="P422"/>
      <c r="V422">
        <v>1.5914970577287298E-2</v>
      </c>
      <c r="W422">
        <v>1</v>
      </c>
      <c r="X422">
        <v>87.298508108999997</v>
      </c>
      <c r="Y422">
        <v>14</v>
      </c>
      <c r="Z422">
        <v>8.7461959873564796E-3</v>
      </c>
      <c r="AA422">
        <v>1</v>
      </c>
    </row>
    <row r="423" spans="1:27" x14ac:dyDescent="0.2">
      <c r="A423">
        <v>20</v>
      </c>
      <c r="B423">
        <v>1</v>
      </c>
      <c r="C423">
        <v>0.3</v>
      </c>
      <c r="D423">
        <v>100</v>
      </c>
      <c r="E423">
        <v>1.86165401008704E-2</v>
      </c>
      <c r="F423">
        <v>1</v>
      </c>
      <c r="G423">
        <v>32.233549541999999</v>
      </c>
      <c r="H423">
        <v>1.9308913227194E-2</v>
      </c>
      <c r="I423">
        <v>1</v>
      </c>
      <c r="J423">
        <v>8.3764178999999994E-2</v>
      </c>
      <c r="P423"/>
      <c r="V423">
        <v>1.37734545880392E-2</v>
      </c>
      <c r="W423">
        <v>1</v>
      </c>
      <c r="X423">
        <v>59.193230102999998</v>
      </c>
      <c r="Y423">
        <v>1</v>
      </c>
      <c r="Z423">
        <v>5.5911578991573096E-3</v>
      </c>
      <c r="AA423">
        <v>1</v>
      </c>
    </row>
    <row r="424" spans="1:27" x14ac:dyDescent="0.2">
      <c r="A424">
        <v>20</v>
      </c>
      <c r="B424">
        <v>1</v>
      </c>
      <c r="C424">
        <v>0.1</v>
      </c>
      <c r="D424">
        <v>100</v>
      </c>
      <c r="E424">
        <v>0.59155835494499098</v>
      </c>
      <c r="F424">
        <v>1</v>
      </c>
      <c r="G424">
        <v>38.433089045999999</v>
      </c>
      <c r="H424">
        <v>0.27840605060150098</v>
      </c>
      <c r="I424">
        <v>1</v>
      </c>
      <c r="J424">
        <v>0.91188574899999997</v>
      </c>
      <c r="P424"/>
      <c r="V424">
        <v>0.26951508018711301</v>
      </c>
      <c r="W424">
        <v>1</v>
      </c>
      <c r="X424">
        <v>105.083002106</v>
      </c>
      <c r="Y424">
        <v>233</v>
      </c>
      <c r="Z424">
        <v>4.7869052517839402E-3</v>
      </c>
      <c r="AA424">
        <v>1</v>
      </c>
    </row>
    <row r="425" spans="1:27" x14ac:dyDescent="0.2">
      <c r="A425">
        <v>20</v>
      </c>
      <c r="B425">
        <v>1</v>
      </c>
      <c r="C425">
        <v>0.4</v>
      </c>
      <c r="D425">
        <v>100</v>
      </c>
      <c r="E425">
        <v>1.07136322572933E-2</v>
      </c>
      <c r="F425">
        <v>1</v>
      </c>
      <c r="G425">
        <v>36.4331338</v>
      </c>
      <c r="H425">
        <v>1.78510194500183E-2</v>
      </c>
      <c r="I425">
        <v>1</v>
      </c>
      <c r="J425">
        <v>6.2435683999999998E-2</v>
      </c>
      <c r="P425"/>
      <c r="V425">
        <v>1.41466921358839E-2</v>
      </c>
      <c r="W425">
        <v>1</v>
      </c>
      <c r="X425">
        <v>61.575568349000001</v>
      </c>
      <c r="Y425">
        <v>3</v>
      </c>
      <c r="Z425">
        <v>5.1590663410436798E-3</v>
      </c>
      <c r="AA425">
        <v>1</v>
      </c>
    </row>
    <row r="426" spans="1:27" x14ac:dyDescent="0.2">
      <c r="A426">
        <v>20</v>
      </c>
      <c r="B426">
        <v>1</v>
      </c>
      <c r="C426">
        <v>0.4</v>
      </c>
      <c r="D426">
        <v>100</v>
      </c>
      <c r="E426">
        <v>6.7915352060828896E-2</v>
      </c>
      <c r="F426">
        <v>1</v>
      </c>
      <c r="G426">
        <v>37.457132541</v>
      </c>
      <c r="H426">
        <v>2.4890685299273001E-2</v>
      </c>
      <c r="I426">
        <v>1</v>
      </c>
      <c r="J426">
        <v>0.34235709199999997</v>
      </c>
      <c r="P426"/>
      <c r="V426">
        <v>1.8377892072712398E-2</v>
      </c>
      <c r="W426">
        <v>1</v>
      </c>
      <c r="X426">
        <v>275.54377507700002</v>
      </c>
      <c r="Y426">
        <v>1</v>
      </c>
      <c r="Z426">
        <v>6.7864405310207303E-3</v>
      </c>
      <c r="AA426">
        <v>5</v>
      </c>
    </row>
    <row r="427" spans="1:27" x14ac:dyDescent="0.2">
      <c r="A427">
        <v>20</v>
      </c>
      <c r="B427">
        <v>1</v>
      </c>
      <c r="C427">
        <v>0.4</v>
      </c>
      <c r="D427">
        <v>100</v>
      </c>
      <c r="E427">
        <v>3.1700632909140297E-2</v>
      </c>
      <c r="F427">
        <v>1</v>
      </c>
      <c r="G427">
        <v>29.946752549999999</v>
      </c>
      <c r="H427">
        <v>2.2508645800506901E-2</v>
      </c>
      <c r="I427">
        <v>1</v>
      </c>
      <c r="J427">
        <v>9.4907268000000003E-2</v>
      </c>
      <c r="P427"/>
      <c r="V427">
        <v>1.6557417016613601E-2</v>
      </c>
      <c r="W427">
        <v>1</v>
      </c>
      <c r="X427">
        <v>54.007914323999998</v>
      </c>
      <c r="Y427">
        <v>1</v>
      </c>
      <c r="Z427">
        <v>8.8833686243679991E-3</v>
      </c>
      <c r="AA427">
        <v>1</v>
      </c>
    </row>
    <row r="428" spans="1:27" x14ac:dyDescent="0.2">
      <c r="A428">
        <v>20</v>
      </c>
      <c r="B428">
        <v>1</v>
      </c>
      <c r="C428">
        <v>0.3</v>
      </c>
      <c r="D428">
        <v>100</v>
      </c>
      <c r="E428">
        <v>7.4777829739893997E-2</v>
      </c>
      <c r="F428">
        <v>1</v>
      </c>
      <c r="G428">
        <v>29.982731178000002</v>
      </c>
      <c r="H428">
        <v>3.4366613474645598E-2</v>
      </c>
      <c r="I428">
        <v>1</v>
      </c>
      <c r="J428">
        <v>0.123937037</v>
      </c>
      <c r="P428"/>
      <c r="V428">
        <v>2.8219122070293898E-2</v>
      </c>
      <c r="W428">
        <v>1</v>
      </c>
      <c r="X428">
        <v>80.149912522999998</v>
      </c>
      <c r="Y428">
        <v>78</v>
      </c>
      <c r="Z428">
        <v>7.60605752630305E-3</v>
      </c>
      <c r="AA428">
        <v>1</v>
      </c>
    </row>
    <row r="429" spans="1:27" x14ac:dyDescent="0.2">
      <c r="A429">
        <v>20</v>
      </c>
      <c r="B429">
        <v>1</v>
      </c>
      <c r="C429">
        <v>0.4</v>
      </c>
      <c r="D429">
        <v>100</v>
      </c>
      <c r="E429">
        <v>1.2820585614917E-2</v>
      </c>
      <c r="F429">
        <v>1</v>
      </c>
      <c r="G429">
        <v>46.323478440000002</v>
      </c>
      <c r="H429">
        <v>1.51254747853664E-2</v>
      </c>
      <c r="I429">
        <v>1</v>
      </c>
      <c r="J429">
        <v>0.17434058899999999</v>
      </c>
      <c r="P429"/>
      <c r="V429">
        <v>9.3446066930178394E-3</v>
      </c>
      <c r="W429">
        <v>1</v>
      </c>
      <c r="X429">
        <v>74.333447532999998</v>
      </c>
      <c r="Y429">
        <v>1</v>
      </c>
      <c r="Z429">
        <v>2.0328259154221901E-3</v>
      </c>
      <c r="AA429">
        <v>1</v>
      </c>
    </row>
    <row r="430" spans="1:27" x14ac:dyDescent="0.2">
      <c r="A430">
        <v>20</v>
      </c>
      <c r="B430">
        <v>1</v>
      </c>
      <c r="C430">
        <v>0.4</v>
      </c>
      <c r="D430">
        <v>100</v>
      </c>
      <c r="E430">
        <v>4.2985442897755501E-2</v>
      </c>
      <c r="F430">
        <v>1</v>
      </c>
      <c r="G430">
        <v>32.383253377999999</v>
      </c>
      <c r="H430">
        <v>4.0098379257047297E-2</v>
      </c>
      <c r="I430">
        <v>1</v>
      </c>
      <c r="J430">
        <v>0.11128758</v>
      </c>
      <c r="P430"/>
      <c r="V430">
        <v>3.6236430356709599E-2</v>
      </c>
      <c r="W430">
        <v>1</v>
      </c>
      <c r="X430">
        <v>461.95545783300003</v>
      </c>
      <c r="Y430">
        <v>652</v>
      </c>
      <c r="Z430">
        <v>4.6338283088445103E-3</v>
      </c>
      <c r="AA430">
        <v>7</v>
      </c>
    </row>
    <row r="431" spans="1:27" x14ac:dyDescent="0.2">
      <c r="A431">
        <v>20</v>
      </c>
      <c r="B431">
        <v>1</v>
      </c>
      <c r="C431">
        <v>0.4</v>
      </c>
      <c r="D431">
        <v>100</v>
      </c>
      <c r="E431">
        <v>2.53415738566398E-2</v>
      </c>
      <c r="F431">
        <v>1</v>
      </c>
      <c r="G431">
        <v>31.193424686</v>
      </c>
      <c r="H431">
        <v>2.8514753636921499E-2</v>
      </c>
      <c r="I431">
        <v>1</v>
      </c>
      <c r="J431">
        <v>9.0983810999999998E-2</v>
      </c>
      <c r="P431"/>
      <c r="V431">
        <v>2.0742828453027901E-2</v>
      </c>
      <c r="W431">
        <v>1</v>
      </c>
      <c r="X431">
        <v>454.40459677199999</v>
      </c>
      <c r="Y431">
        <v>165</v>
      </c>
      <c r="Z431">
        <v>3.8364239949768499E-3</v>
      </c>
      <c r="AA431">
        <v>7</v>
      </c>
    </row>
    <row r="432" spans="1:27" x14ac:dyDescent="0.2">
      <c r="A432">
        <v>20</v>
      </c>
      <c r="B432">
        <v>1</v>
      </c>
      <c r="C432">
        <v>0.1</v>
      </c>
      <c r="D432">
        <v>100</v>
      </c>
      <c r="E432">
        <v>0.84395540370144595</v>
      </c>
      <c r="F432">
        <v>1</v>
      </c>
      <c r="G432">
        <v>31.535120836000001</v>
      </c>
      <c r="H432">
        <v>0.83265664047121202</v>
      </c>
      <c r="I432">
        <v>1</v>
      </c>
      <c r="J432">
        <v>0.14291145399999999</v>
      </c>
      <c r="P432"/>
      <c r="V432">
        <v>1.12763636297541</v>
      </c>
      <c r="W432">
        <v>1</v>
      </c>
      <c r="X432">
        <v>2138.3864192249998</v>
      </c>
      <c r="Y432">
        <v>6020</v>
      </c>
      <c r="Z432">
        <v>1.0599479728884899E-3</v>
      </c>
      <c r="AA432">
        <v>8</v>
      </c>
    </row>
    <row r="433" spans="1:27" x14ac:dyDescent="0.2">
      <c r="A433">
        <v>20</v>
      </c>
      <c r="B433">
        <v>1</v>
      </c>
      <c r="C433">
        <v>0.4</v>
      </c>
      <c r="D433">
        <v>20</v>
      </c>
      <c r="E433">
        <v>5.5688544201727801E-2</v>
      </c>
      <c r="F433">
        <v>1</v>
      </c>
      <c r="G433">
        <v>36.377224171000002</v>
      </c>
      <c r="H433">
        <v>8.7834810852248896E-2</v>
      </c>
      <c r="I433">
        <v>1</v>
      </c>
      <c r="J433">
        <v>0.12784337900000001</v>
      </c>
      <c r="P433"/>
      <c r="V433">
        <v>7.6175596018748806E-2</v>
      </c>
      <c r="W433">
        <v>1</v>
      </c>
      <c r="X433">
        <v>48.241618879000001</v>
      </c>
      <c r="Y433">
        <v>17</v>
      </c>
      <c r="Z433">
        <v>9.9132310165592694E-3</v>
      </c>
      <c r="AA433">
        <v>1</v>
      </c>
    </row>
    <row r="434" spans="1:27" x14ac:dyDescent="0.2">
      <c r="A434">
        <v>20</v>
      </c>
      <c r="B434">
        <v>1</v>
      </c>
      <c r="C434">
        <v>0.2</v>
      </c>
      <c r="D434">
        <v>20</v>
      </c>
      <c r="E434">
        <v>7.4675153627871499E-2</v>
      </c>
      <c r="F434">
        <v>1</v>
      </c>
      <c r="G434">
        <v>32.702550924999997</v>
      </c>
      <c r="H434">
        <v>9.0731417612911605E-2</v>
      </c>
      <c r="I434">
        <v>1</v>
      </c>
      <c r="J434">
        <v>0.13550559700000001</v>
      </c>
      <c r="P434"/>
      <c r="V434">
        <v>7.0452009216959793E-2</v>
      </c>
      <c r="W434">
        <v>1</v>
      </c>
      <c r="X434">
        <v>60.771427871999997</v>
      </c>
      <c r="Y434">
        <v>96</v>
      </c>
      <c r="Z434">
        <v>8.1802856194965693E-3</v>
      </c>
      <c r="AA434">
        <v>1</v>
      </c>
    </row>
    <row r="435" spans="1:27" x14ac:dyDescent="0.2">
      <c r="A435">
        <v>20</v>
      </c>
      <c r="B435">
        <v>1</v>
      </c>
      <c r="C435">
        <v>0.4</v>
      </c>
      <c r="D435">
        <v>20</v>
      </c>
      <c r="E435">
        <v>4.3582108486292098E-2</v>
      </c>
      <c r="F435">
        <v>1</v>
      </c>
      <c r="G435">
        <v>33.835496536000001</v>
      </c>
      <c r="H435">
        <v>5.9639985062970802E-2</v>
      </c>
      <c r="I435">
        <v>1</v>
      </c>
      <c r="J435">
        <v>9.1218091000000001E-2</v>
      </c>
      <c r="P435"/>
      <c r="V435">
        <v>4.3928778384198799E-2</v>
      </c>
      <c r="W435">
        <v>1</v>
      </c>
      <c r="X435">
        <v>308.04792068099999</v>
      </c>
      <c r="Y435">
        <v>33</v>
      </c>
      <c r="Z435">
        <v>8.9052266454929807E-3</v>
      </c>
      <c r="AA435">
        <v>21</v>
      </c>
    </row>
    <row r="436" spans="1:27" x14ac:dyDescent="0.2">
      <c r="A436">
        <v>20</v>
      </c>
      <c r="B436">
        <v>1</v>
      </c>
      <c r="C436">
        <v>0.2</v>
      </c>
      <c r="D436">
        <v>20</v>
      </c>
      <c r="E436">
        <v>0.27217902380966902</v>
      </c>
      <c r="F436">
        <v>1</v>
      </c>
      <c r="G436">
        <v>33.357563722999998</v>
      </c>
      <c r="H436">
        <v>0.27640116978928903</v>
      </c>
      <c r="I436">
        <v>1</v>
      </c>
      <c r="J436">
        <v>0.102296173</v>
      </c>
      <c r="P436"/>
      <c r="V436">
        <v>0.25617438106210999</v>
      </c>
      <c r="W436">
        <v>1</v>
      </c>
      <c r="X436">
        <v>664.01230684200004</v>
      </c>
      <c r="Y436">
        <v>334</v>
      </c>
      <c r="Z436">
        <v>6.7290370475494498E-3</v>
      </c>
      <c r="AA436">
        <v>21</v>
      </c>
    </row>
    <row r="437" spans="1:27" x14ac:dyDescent="0.2">
      <c r="A437">
        <v>20</v>
      </c>
      <c r="B437">
        <v>1</v>
      </c>
      <c r="C437">
        <v>0.4</v>
      </c>
      <c r="D437">
        <v>20</v>
      </c>
      <c r="E437">
        <v>5.1876377396382498E-2</v>
      </c>
      <c r="F437">
        <v>1</v>
      </c>
      <c r="G437">
        <v>35.142823948999997</v>
      </c>
      <c r="H437">
        <v>8.4992409100516503E-2</v>
      </c>
      <c r="I437">
        <v>1</v>
      </c>
      <c r="J437">
        <v>0.186524354</v>
      </c>
      <c r="P437"/>
      <c r="V437">
        <v>6.9437611286963005E-2</v>
      </c>
      <c r="W437">
        <v>1</v>
      </c>
      <c r="X437">
        <v>315.47171665299999</v>
      </c>
      <c r="Y437">
        <v>25</v>
      </c>
      <c r="Z437">
        <v>8.2241562714657698E-3</v>
      </c>
      <c r="AA437">
        <v>15</v>
      </c>
    </row>
    <row r="438" spans="1:27" x14ac:dyDescent="0.2">
      <c r="A438">
        <v>20</v>
      </c>
      <c r="B438">
        <v>1</v>
      </c>
      <c r="C438">
        <v>0.4</v>
      </c>
      <c r="D438">
        <v>20</v>
      </c>
      <c r="E438">
        <v>9.59843626672017E-2</v>
      </c>
      <c r="F438">
        <v>1</v>
      </c>
      <c r="G438">
        <v>33.064057265000002</v>
      </c>
      <c r="H438">
        <v>0.11690553670293199</v>
      </c>
      <c r="I438">
        <v>1</v>
      </c>
      <c r="J438">
        <v>0.20438029299999999</v>
      </c>
      <c r="P438"/>
      <c r="V438">
        <v>8.8105025141548998E-2</v>
      </c>
      <c r="W438">
        <v>1</v>
      </c>
      <c r="X438">
        <v>1149.621558949</v>
      </c>
      <c r="Y438">
        <v>59</v>
      </c>
      <c r="Z438">
        <v>8.3560969206057899E-3</v>
      </c>
      <c r="AA438">
        <v>30</v>
      </c>
    </row>
    <row r="439" spans="1:27" x14ac:dyDescent="0.2">
      <c r="A439">
        <v>20</v>
      </c>
      <c r="B439">
        <v>1</v>
      </c>
      <c r="C439">
        <v>0.1</v>
      </c>
      <c r="D439">
        <v>20</v>
      </c>
      <c r="E439">
        <v>0.78434432901712403</v>
      </c>
      <c r="F439">
        <v>1</v>
      </c>
      <c r="G439">
        <v>32.462888223999997</v>
      </c>
      <c r="H439">
        <v>0.66206441836171204</v>
      </c>
      <c r="I439">
        <v>1</v>
      </c>
      <c r="J439">
        <v>0.43863494200000003</v>
      </c>
      <c r="P439"/>
      <c r="V439">
        <v>0.64578704620439897</v>
      </c>
      <c r="W439">
        <v>1</v>
      </c>
      <c r="X439">
        <v>80.832082346000007</v>
      </c>
      <c r="Y439">
        <v>170</v>
      </c>
      <c r="Z439">
        <v>9.9332831726678394E-3</v>
      </c>
      <c r="AA439">
        <v>1</v>
      </c>
    </row>
    <row r="440" spans="1:27" x14ac:dyDescent="0.2">
      <c r="A440">
        <v>20</v>
      </c>
      <c r="B440">
        <v>1</v>
      </c>
      <c r="C440">
        <v>0.4</v>
      </c>
      <c r="D440">
        <v>20</v>
      </c>
      <c r="E440">
        <v>7.5516499967692302E-2</v>
      </c>
      <c r="F440">
        <v>1</v>
      </c>
      <c r="G440">
        <v>33.742027317999998</v>
      </c>
      <c r="H440">
        <v>0.104748809745927</v>
      </c>
      <c r="I440">
        <v>1</v>
      </c>
      <c r="J440">
        <v>0.108033816</v>
      </c>
      <c r="P440"/>
      <c r="V440">
        <v>7.9627521339606502E-2</v>
      </c>
      <c r="W440">
        <v>1</v>
      </c>
      <c r="X440">
        <v>1318.967213119</v>
      </c>
      <c r="Y440">
        <v>53</v>
      </c>
      <c r="Z440">
        <v>9.0291402331841297E-3</v>
      </c>
      <c r="AA440">
        <v>37</v>
      </c>
    </row>
    <row r="441" spans="1:27" x14ac:dyDescent="0.2">
      <c r="A441">
        <v>20</v>
      </c>
      <c r="B441">
        <v>1</v>
      </c>
      <c r="C441">
        <v>0.4</v>
      </c>
      <c r="D441">
        <v>20</v>
      </c>
      <c r="E441">
        <v>8.8037987312657204E-2</v>
      </c>
      <c r="F441">
        <v>1</v>
      </c>
      <c r="G441">
        <v>31.719281162000001</v>
      </c>
      <c r="H441">
        <v>0.103027723574717</v>
      </c>
      <c r="I441">
        <v>1</v>
      </c>
      <c r="J441">
        <v>0.18127257799999999</v>
      </c>
      <c r="K441" t="s">
        <v>39</v>
      </c>
      <c r="P441"/>
      <c r="V441">
        <v>7.8002194603573993E-2</v>
      </c>
      <c r="W441">
        <v>1</v>
      </c>
      <c r="X441">
        <v>2349.900597287</v>
      </c>
      <c r="Y441">
        <v>702</v>
      </c>
      <c r="Z441">
        <v>9.48507143591781E-3</v>
      </c>
      <c r="AA441">
        <v>22</v>
      </c>
    </row>
    <row r="442" spans="1:27" x14ac:dyDescent="0.2">
      <c r="A442">
        <v>20</v>
      </c>
      <c r="B442">
        <v>1</v>
      </c>
      <c r="C442">
        <v>0.3</v>
      </c>
      <c r="D442">
        <v>20</v>
      </c>
      <c r="E442">
        <v>8.9896202789225693E-2</v>
      </c>
      <c r="F442">
        <v>1</v>
      </c>
      <c r="G442">
        <v>44.530454227</v>
      </c>
      <c r="H442">
        <v>9.9410556602243599E-2</v>
      </c>
      <c r="I442">
        <v>1</v>
      </c>
      <c r="J442">
        <v>0.53877907599999997</v>
      </c>
      <c r="P442"/>
      <c r="V442">
        <v>6.6729804302583795E-2</v>
      </c>
      <c r="W442">
        <v>1</v>
      </c>
      <c r="X442">
        <v>505.99688394600003</v>
      </c>
      <c r="Y442">
        <v>715</v>
      </c>
      <c r="Z442">
        <v>7.8836627863752007E-3</v>
      </c>
      <c r="AA442">
        <v>7</v>
      </c>
    </row>
    <row r="443" spans="1:27" x14ac:dyDescent="0.2">
      <c r="A443">
        <v>20</v>
      </c>
      <c r="B443">
        <v>1</v>
      </c>
      <c r="C443">
        <v>0.4</v>
      </c>
      <c r="D443">
        <v>20</v>
      </c>
      <c r="E443">
        <v>5.6551821579510601E-2</v>
      </c>
      <c r="F443">
        <v>1</v>
      </c>
      <c r="G443">
        <v>29.237970482000001</v>
      </c>
      <c r="H443">
        <v>6.7067466012666901E-2</v>
      </c>
      <c r="I443">
        <v>1</v>
      </c>
      <c r="J443">
        <v>0.122711907</v>
      </c>
      <c r="P443"/>
      <c r="V443">
        <v>4.3869054394406401E-2</v>
      </c>
      <c r="W443">
        <v>1</v>
      </c>
      <c r="X443">
        <v>184.16807051200001</v>
      </c>
      <c r="Y443">
        <v>37</v>
      </c>
      <c r="Z443">
        <v>6.50727103326342E-3</v>
      </c>
      <c r="AA443">
        <v>14</v>
      </c>
    </row>
    <row r="444" spans="1:27" x14ac:dyDescent="0.2">
      <c r="A444">
        <v>20</v>
      </c>
      <c r="B444">
        <v>1</v>
      </c>
      <c r="C444">
        <v>0.4</v>
      </c>
      <c r="D444">
        <v>20</v>
      </c>
      <c r="E444">
        <v>5.3598231958390599E-2</v>
      </c>
      <c r="F444">
        <v>1</v>
      </c>
      <c r="G444">
        <v>32.398189805999998</v>
      </c>
      <c r="H444">
        <v>7.5880839314320006E-2</v>
      </c>
      <c r="I444">
        <v>1</v>
      </c>
      <c r="J444">
        <v>0.21986945999999999</v>
      </c>
      <c r="P444"/>
      <c r="V444">
        <v>5.7576448438552801E-2</v>
      </c>
      <c r="W444">
        <v>1</v>
      </c>
      <c r="X444">
        <v>2890.1816481979999</v>
      </c>
      <c r="Y444">
        <v>297</v>
      </c>
      <c r="Z444">
        <v>6.59710849834116E-3</v>
      </c>
      <c r="AA444">
        <v>46</v>
      </c>
    </row>
    <row r="445" spans="1:27" x14ac:dyDescent="0.2">
      <c r="A445">
        <v>20</v>
      </c>
      <c r="B445">
        <v>1</v>
      </c>
      <c r="C445">
        <v>0.4</v>
      </c>
      <c r="D445">
        <v>20</v>
      </c>
      <c r="E445">
        <v>4.2608914602531099E-2</v>
      </c>
      <c r="F445">
        <v>1</v>
      </c>
      <c r="G445">
        <v>31.139417193</v>
      </c>
      <c r="H445">
        <v>8.5001447908331307E-2</v>
      </c>
      <c r="I445">
        <v>1</v>
      </c>
      <c r="J445">
        <v>0.12671812099999999</v>
      </c>
      <c r="P445"/>
      <c r="V445">
        <v>7.5495645308126302E-2</v>
      </c>
      <c r="W445">
        <v>1</v>
      </c>
      <c r="X445">
        <v>175.63332614000001</v>
      </c>
      <c r="Y445">
        <v>35</v>
      </c>
      <c r="Z445">
        <v>4.7122502453182903E-3</v>
      </c>
      <c r="AA445">
        <v>13</v>
      </c>
    </row>
    <row r="446" spans="1:27" x14ac:dyDescent="0.2">
      <c r="A446">
        <v>20</v>
      </c>
      <c r="B446">
        <v>1</v>
      </c>
      <c r="C446">
        <v>0.4</v>
      </c>
      <c r="D446">
        <v>20</v>
      </c>
      <c r="E446">
        <v>5.7818219686111803E-2</v>
      </c>
      <c r="F446">
        <v>1</v>
      </c>
      <c r="G446">
        <v>37.399994253999999</v>
      </c>
      <c r="H446">
        <v>7.9052030404959603E-2</v>
      </c>
      <c r="I446">
        <v>1</v>
      </c>
      <c r="J446">
        <v>0.14440508699999999</v>
      </c>
      <c r="P446"/>
      <c r="V446">
        <v>5.7598134813085601E-2</v>
      </c>
      <c r="W446">
        <v>1</v>
      </c>
      <c r="X446">
        <v>443.52544739000001</v>
      </c>
      <c r="Y446">
        <v>51</v>
      </c>
      <c r="Z446">
        <v>7.7820660234513197E-3</v>
      </c>
      <c r="AA446">
        <v>24</v>
      </c>
    </row>
    <row r="447" spans="1:27" x14ac:dyDescent="0.2">
      <c r="A447">
        <v>20</v>
      </c>
      <c r="B447">
        <v>1</v>
      </c>
      <c r="C447">
        <v>0.4</v>
      </c>
      <c r="D447">
        <v>20</v>
      </c>
      <c r="E447">
        <v>8.8037987312657204E-2</v>
      </c>
      <c r="F447">
        <v>1</v>
      </c>
      <c r="G447">
        <v>31.719281162000001</v>
      </c>
      <c r="H447">
        <v>0.103027723574717</v>
      </c>
      <c r="I447">
        <v>1</v>
      </c>
      <c r="J447">
        <v>0.18127257799999999</v>
      </c>
      <c r="P447"/>
      <c r="V447">
        <v>7.8002194603573993E-2</v>
      </c>
      <c r="W447">
        <v>1</v>
      </c>
      <c r="X447">
        <v>2349.900597287</v>
      </c>
      <c r="Y447">
        <v>702</v>
      </c>
      <c r="Z447">
        <v>9.48507143591781E-3</v>
      </c>
      <c r="AA447">
        <v>22</v>
      </c>
    </row>
    <row r="448" spans="1:27" x14ac:dyDescent="0.2">
      <c r="A448">
        <v>20</v>
      </c>
      <c r="B448">
        <v>1</v>
      </c>
      <c r="C448">
        <v>0.3</v>
      </c>
      <c r="D448">
        <v>20</v>
      </c>
      <c r="E448">
        <v>8.9896202789225693E-2</v>
      </c>
      <c r="F448">
        <v>1</v>
      </c>
      <c r="G448">
        <v>44.530454227</v>
      </c>
      <c r="H448">
        <v>9.9410556602243599E-2</v>
      </c>
      <c r="I448">
        <v>1</v>
      </c>
      <c r="J448">
        <v>0.53877907599999997</v>
      </c>
      <c r="P448"/>
      <c r="V448">
        <v>6.6729804302583795E-2</v>
      </c>
      <c r="W448">
        <v>1</v>
      </c>
      <c r="X448">
        <v>505.99688394600003</v>
      </c>
      <c r="Y448">
        <v>715</v>
      </c>
      <c r="Z448">
        <v>7.8836627863752007E-3</v>
      </c>
      <c r="AA448">
        <v>7</v>
      </c>
    </row>
    <row r="449" spans="1:27" x14ac:dyDescent="0.2">
      <c r="A449">
        <v>20</v>
      </c>
      <c r="B449">
        <v>1</v>
      </c>
      <c r="C449">
        <v>0.4</v>
      </c>
      <c r="D449">
        <v>20</v>
      </c>
      <c r="E449">
        <v>5.6551821579510601E-2</v>
      </c>
      <c r="F449">
        <v>1</v>
      </c>
      <c r="G449">
        <v>29.237970482000001</v>
      </c>
      <c r="H449">
        <v>6.7067466012666901E-2</v>
      </c>
      <c r="I449">
        <v>1</v>
      </c>
      <c r="J449">
        <v>0.122711907</v>
      </c>
      <c r="P449"/>
      <c r="V449">
        <v>4.3869054394406401E-2</v>
      </c>
      <c r="W449">
        <v>1</v>
      </c>
      <c r="X449">
        <v>184.16807051200001</v>
      </c>
      <c r="Y449">
        <v>37</v>
      </c>
      <c r="Z449">
        <v>6.50727103326342E-3</v>
      </c>
      <c r="AA449">
        <v>14</v>
      </c>
    </row>
    <row r="450" spans="1:27" x14ac:dyDescent="0.2">
      <c r="A450">
        <v>20</v>
      </c>
      <c r="B450">
        <v>1</v>
      </c>
      <c r="C450">
        <v>0.4</v>
      </c>
      <c r="D450">
        <v>20</v>
      </c>
      <c r="E450">
        <v>5.3598231958390599E-2</v>
      </c>
      <c r="F450">
        <v>1</v>
      </c>
      <c r="G450">
        <v>32.398189805999998</v>
      </c>
      <c r="H450">
        <v>7.5880839314320006E-2</v>
      </c>
      <c r="I450">
        <v>1</v>
      </c>
      <c r="J450">
        <v>0.21986945999999999</v>
      </c>
      <c r="P450"/>
      <c r="V450">
        <v>5.7576448438552801E-2</v>
      </c>
      <c r="W450">
        <v>1</v>
      </c>
      <c r="X450">
        <v>2890.1816481979999</v>
      </c>
      <c r="Y450">
        <v>297</v>
      </c>
      <c r="Z450">
        <v>6.59710849834116E-3</v>
      </c>
      <c r="AA450">
        <v>46</v>
      </c>
    </row>
    <row r="451" spans="1:27" x14ac:dyDescent="0.2">
      <c r="A451">
        <v>20</v>
      </c>
      <c r="B451">
        <v>1</v>
      </c>
      <c r="C451">
        <v>0.4</v>
      </c>
      <c r="D451">
        <v>20</v>
      </c>
      <c r="E451">
        <v>4.2608914602531099E-2</v>
      </c>
      <c r="F451">
        <v>1</v>
      </c>
      <c r="G451">
        <v>31.139417193</v>
      </c>
      <c r="H451">
        <v>8.5001447908331307E-2</v>
      </c>
      <c r="I451">
        <v>1</v>
      </c>
      <c r="J451">
        <v>0.12671812099999999</v>
      </c>
      <c r="P451"/>
      <c r="V451">
        <v>7.5495645308126302E-2</v>
      </c>
      <c r="W451">
        <v>1</v>
      </c>
      <c r="X451">
        <v>175.63332614000001</v>
      </c>
      <c r="Y451">
        <v>35</v>
      </c>
      <c r="Z451">
        <v>4.7122502453182903E-3</v>
      </c>
      <c r="AA451">
        <v>13</v>
      </c>
    </row>
    <row r="452" spans="1:27" x14ac:dyDescent="0.2">
      <c r="A452">
        <v>20</v>
      </c>
      <c r="B452">
        <v>1</v>
      </c>
      <c r="C452">
        <v>0.4</v>
      </c>
      <c r="D452">
        <v>20</v>
      </c>
      <c r="E452">
        <v>5.7818219686111803E-2</v>
      </c>
      <c r="F452">
        <v>1</v>
      </c>
      <c r="G452">
        <v>37.399994253999999</v>
      </c>
      <c r="H452">
        <v>7.9052030404959603E-2</v>
      </c>
      <c r="I452">
        <v>1</v>
      </c>
      <c r="J452">
        <v>0.14440508699999999</v>
      </c>
      <c r="P452"/>
      <c r="V452">
        <v>5.7598134813085601E-2</v>
      </c>
      <c r="W452">
        <v>1</v>
      </c>
      <c r="X452">
        <v>443.52544739000001</v>
      </c>
      <c r="Y452">
        <v>51</v>
      </c>
      <c r="Z452">
        <v>7.7820660234513197E-3</v>
      </c>
      <c r="AA452">
        <v>24</v>
      </c>
    </row>
    <row r="453" spans="1:27" x14ac:dyDescent="0.2">
      <c r="A453">
        <v>20</v>
      </c>
      <c r="B453">
        <v>1</v>
      </c>
      <c r="C453">
        <v>0.3</v>
      </c>
      <c r="D453">
        <v>20</v>
      </c>
      <c r="E453">
        <v>5.9146683705251599E-2</v>
      </c>
      <c r="F453">
        <v>1</v>
      </c>
      <c r="G453">
        <v>49.376631869999997</v>
      </c>
      <c r="H453">
        <v>8.3550271960221897E-2</v>
      </c>
      <c r="I453">
        <v>1</v>
      </c>
      <c r="J453">
        <v>0.545292165</v>
      </c>
      <c r="P453"/>
      <c r="V453">
        <v>6.2828758275135496E-2</v>
      </c>
      <c r="W453">
        <v>1</v>
      </c>
      <c r="X453">
        <v>3273.7819105459998</v>
      </c>
      <c r="Y453">
        <v>91</v>
      </c>
      <c r="Z453">
        <v>8.8428854037738702E-3</v>
      </c>
      <c r="AA453">
        <v>28</v>
      </c>
    </row>
    <row r="454" spans="1:27" x14ac:dyDescent="0.2">
      <c r="A454">
        <v>20</v>
      </c>
      <c r="B454">
        <v>1</v>
      </c>
      <c r="C454">
        <v>0.3</v>
      </c>
      <c r="D454">
        <v>20</v>
      </c>
      <c r="E454">
        <v>9.8028061031038005E-2</v>
      </c>
      <c r="F454">
        <v>1</v>
      </c>
      <c r="G454">
        <v>46.407947194999998</v>
      </c>
      <c r="H454">
        <v>0.107546949398239</v>
      </c>
      <c r="I454">
        <v>1</v>
      </c>
      <c r="J454">
        <v>0.181091115</v>
      </c>
      <c r="P454"/>
      <c r="V454">
        <v>8.2184729333043605E-2</v>
      </c>
      <c r="W454">
        <v>1</v>
      </c>
      <c r="X454">
        <v>1318.839166496</v>
      </c>
      <c r="Y454">
        <v>1397</v>
      </c>
      <c r="Z454">
        <v>8.7759922797667703E-3</v>
      </c>
      <c r="AA454">
        <v>9</v>
      </c>
    </row>
    <row r="455" spans="1:27" x14ac:dyDescent="0.2">
      <c r="A455">
        <v>20</v>
      </c>
      <c r="B455">
        <v>1</v>
      </c>
      <c r="C455">
        <v>0.3</v>
      </c>
      <c r="D455">
        <v>20</v>
      </c>
      <c r="E455">
        <v>9.9045322547867895E-2</v>
      </c>
      <c r="F455">
        <v>1</v>
      </c>
      <c r="G455">
        <v>32.119999446000001</v>
      </c>
      <c r="H455">
        <v>0.112107229126316</v>
      </c>
      <c r="I455">
        <v>1</v>
      </c>
      <c r="J455">
        <v>0.18627521899999999</v>
      </c>
      <c r="P455"/>
      <c r="V455">
        <v>7.4338941793207505E-2</v>
      </c>
      <c r="W455">
        <v>1</v>
      </c>
      <c r="X455">
        <v>4237.2065942680001</v>
      </c>
      <c r="Y455">
        <v>7066</v>
      </c>
      <c r="Z455">
        <v>7.4713820004292898E-3</v>
      </c>
      <c r="AA455">
        <v>21</v>
      </c>
    </row>
    <row r="456" spans="1:27" x14ac:dyDescent="0.2">
      <c r="A456">
        <v>20</v>
      </c>
      <c r="B456">
        <v>1</v>
      </c>
      <c r="C456">
        <v>0.4</v>
      </c>
      <c r="D456">
        <v>20</v>
      </c>
      <c r="E456">
        <v>6.5390249002335005E-2</v>
      </c>
      <c r="F456">
        <v>1</v>
      </c>
      <c r="G456">
        <v>33.843438394000003</v>
      </c>
      <c r="H456">
        <v>8.4177150890772004E-2</v>
      </c>
      <c r="I456">
        <v>1</v>
      </c>
      <c r="J456">
        <v>9.1232856000000001E-2</v>
      </c>
      <c r="P456"/>
      <c r="V456">
        <v>6.1451750879739697E-2</v>
      </c>
      <c r="W456">
        <v>1</v>
      </c>
      <c r="X456">
        <v>44.566244382999997</v>
      </c>
      <c r="Y456">
        <v>35</v>
      </c>
      <c r="Z456">
        <v>7.56802833997127E-3</v>
      </c>
      <c r="AA456">
        <v>1</v>
      </c>
    </row>
    <row r="457" spans="1:27" x14ac:dyDescent="0.2">
      <c r="A457">
        <v>20</v>
      </c>
      <c r="B457">
        <v>1</v>
      </c>
      <c r="C457">
        <v>0.1</v>
      </c>
      <c r="D457">
        <v>20</v>
      </c>
      <c r="E457">
        <v>0.86800579062953798</v>
      </c>
      <c r="F457">
        <v>1</v>
      </c>
      <c r="G457">
        <v>48.597554264000003</v>
      </c>
      <c r="H457">
        <v>0.71113967375635401</v>
      </c>
      <c r="I457">
        <v>1</v>
      </c>
      <c r="J457">
        <v>1.838803902</v>
      </c>
      <c r="P457"/>
      <c r="V457">
        <v>0.71051512559699703</v>
      </c>
      <c r="W457">
        <v>1</v>
      </c>
      <c r="X457">
        <v>207.69553320200001</v>
      </c>
      <c r="Y457">
        <v>1</v>
      </c>
      <c r="Z457">
        <v>5.9111557664526197E-3</v>
      </c>
      <c r="AA457">
        <v>5</v>
      </c>
    </row>
    <row r="458" spans="1:27" x14ac:dyDescent="0.2">
      <c r="A458">
        <v>20</v>
      </c>
      <c r="B458">
        <v>1</v>
      </c>
      <c r="C458">
        <v>0.3</v>
      </c>
      <c r="D458">
        <v>20</v>
      </c>
      <c r="E458">
        <v>4.9046055941550301E-2</v>
      </c>
      <c r="F458">
        <v>1</v>
      </c>
      <c r="G458">
        <v>32.27824691</v>
      </c>
      <c r="H458">
        <v>6.0048240820523499E-2</v>
      </c>
      <c r="I458">
        <v>1</v>
      </c>
      <c r="J458">
        <v>0.16718817399999999</v>
      </c>
      <c r="P458"/>
      <c r="V458">
        <v>3.9511662905957499E-2</v>
      </c>
      <c r="W458">
        <v>1</v>
      </c>
      <c r="X458">
        <v>936.38787070700005</v>
      </c>
      <c r="Y458">
        <v>11</v>
      </c>
      <c r="Z458">
        <v>9.8055638021108393E-3</v>
      </c>
      <c r="AA458">
        <v>45</v>
      </c>
    </row>
    <row r="459" spans="1:27" x14ac:dyDescent="0.2">
      <c r="A459">
        <v>20</v>
      </c>
      <c r="B459">
        <v>1</v>
      </c>
      <c r="C459">
        <v>0.2</v>
      </c>
      <c r="D459">
        <v>20</v>
      </c>
      <c r="E459">
        <v>0.29833131212258002</v>
      </c>
      <c r="F459">
        <v>1</v>
      </c>
      <c r="G459">
        <v>35.282254010000003</v>
      </c>
      <c r="H459">
        <v>0.311065646787345</v>
      </c>
      <c r="I459">
        <v>1</v>
      </c>
      <c r="J459">
        <v>0.13556077499999999</v>
      </c>
      <c r="P459"/>
      <c r="V459">
        <v>0.28617948920761799</v>
      </c>
      <c r="W459">
        <v>1</v>
      </c>
      <c r="X459">
        <v>5631.8075243530002</v>
      </c>
      <c r="Y459">
        <v>5379</v>
      </c>
      <c r="Z459">
        <v>7.0188008995886097E-3</v>
      </c>
      <c r="AA459">
        <v>11</v>
      </c>
    </row>
    <row r="460" spans="1:27" x14ac:dyDescent="0.2">
      <c r="A460">
        <v>20</v>
      </c>
      <c r="B460">
        <v>1</v>
      </c>
      <c r="C460">
        <v>0.4</v>
      </c>
      <c r="D460">
        <v>20</v>
      </c>
      <c r="E460">
        <v>6.8088112632796696E-2</v>
      </c>
      <c r="F460">
        <v>1</v>
      </c>
      <c r="G460">
        <v>30.181389123999999</v>
      </c>
      <c r="H460">
        <v>8.6170430015826402E-2</v>
      </c>
      <c r="I460">
        <v>1</v>
      </c>
      <c r="J460">
        <v>0.16535682600000001</v>
      </c>
      <c r="P460"/>
      <c r="V460">
        <v>5.9101762686763398E-2</v>
      </c>
      <c r="W460">
        <v>1</v>
      </c>
      <c r="X460">
        <v>3444.5019906729999</v>
      </c>
      <c r="Y460">
        <v>2142</v>
      </c>
      <c r="Z460">
        <v>8.86422590156144E-3</v>
      </c>
      <c r="AA460">
        <v>15</v>
      </c>
    </row>
    <row r="461" spans="1:27" x14ac:dyDescent="0.2">
      <c r="A461">
        <v>20</v>
      </c>
      <c r="B461">
        <v>1</v>
      </c>
      <c r="C461">
        <v>0.4</v>
      </c>
      <c r="D461">
        <v>20</v>
      </c>
      <c r="E461">
        <v>8.70043591185094E-2</v>
      </c>
      <c r="F461">
        <v>1</v>
      </c>
      <c r="G461">
        <v>31.714200275</v>
      </c>
      <c r="H461">
        <v>0.103675285332456</v>
      </c>
      <c r="I461">
        <v>1</v>
      </c>
      <c r="J461">
        <v>0.123811805</v>
      </c>
      <c r="P461"/>
      <c r="V461">
        <v>7.92833504360793E-2</v>
      </c>
      <c r="W461">
        <v>1</v>
      </c>
      <c r="X461">
        <v>5530.009560171</v>
      </c>
      <c r="Y461">
        <v>7185</v>
      </c>
      <c r="Z461">
        <v>8.0075015817107006E-3</v>
      </c>
      <c r="AA461">
        <v>15</v>
      </c>
    </row>
    <row r="462" spans="1:27" x14ac:dyDescent="0.2">
      <c r="A462">
        <v>20</v>
      </c>
      <c r="B462">
        <v>1</v>
      </c>
      <c r="C462">
        <v>0.4</v>
      </c>
      <c r="D462">
        <v>20</v>
      </c>
      <c r="E462">
        <v>7.39759756662354E-2</v>
      </c>
      <c r="F462">
        <v>1</v>
      </c>
      <c r="G462">
        <v>33.995440346000002</v>
      </c>
      <c r="H462">
        <v>8.9499821345022906E-2</v>
      </c>
      <c r="I462">
        <v>1</v>
      </c>
      <c r="J462">
        <v>0.20407067100000001</v>
      </c>
      <c r="P462"/>
      <c r="V462">
        <v>6.5653406171418502E-2</v>
      </c>
      <c r="W462">
        <v>1</v>
      </c>
      <c r="X462">
        <v>9653.0818211389997</v>
      </c>
      <c r="Y462">
        <v>2035</v>
      </c>
      <c r="Z462">
        <v>6.95948928631384E-3</v>
      </c>
      <c r="AA462">
        <v>42</v>
      </c>
    </row>
    <row r="463" spans="1:27" x14ac:dyDescent="0.2">
      <c r="A463">
        <v>20</v>
      </c>
      <c r="B463">
        <v>1</v>
      </c>
      <c r="C463">
        <v>0.4</v>
      </c>
      <c r="D463">
        <v>20</v>
      </c>
      <c r="E463">
        <v>5.6000581790133501E-2</v>
      </c>
      <c r="F463">
        <v>1</v>
      </c>
      <c r="G463">
        <v>29.964981432999998</v>
      </c>
      <c r="H463">
        <v>6.6795292546715707E-2</v>
      </c>
      <c r="I463">
        <v>1</v>
      </c>
      <c r="J463">
        <v>0.172644886</v>
      </c>
      <c r="P463"/>
      <c r="V463">
        <v>4.4309196869264503E-2</v>
      </c>
      <c r="W463">
        <v>1</v>
      </c>
      <c r="X463">
        <v>254.81732736999999</v>
      </c>
      <c r="Y463">
        <v>57</v>
      </c>
      <c r="Z463">
        <v>6.5737863131047902E-3</v>
      </c>
      <c r="AA463">
        <v>17</v>
      </c>
    </row>
    <row r="464" spans="1:27" x14ac:dyDescent="0.2">
      <c r="A464">
        <v>20</v>
      </c>
      <c r="B464">
        <v>1</v>
      </c>
      <c r="C464">
        <v>0.2</v>
      </c>
      <c r="D464">
        <v>20</v>
      </c>
      <c r="E464">
        <v>0.33518981552845101</v>
      </c>
      <c r="F464">
        <v>1</v>
      </c>
      <c r="G464">
        <v>31.679722778999999</v>
      </c>
      <c r="H464">
        <v>0.331291187403773</v>
      </c>
      <c r="I464">
        <v>1</v>
      </c>
      <c r="J464">
        <v>0.173336294</v>
      </c>
      <c r="P464"/>
      <c r="V464">
        <v>0.32800263751053099</v>
      </c>
      <c r="W464">
        <v>1</v>
      </c>
      <c r="X464">
        <v>310.37781982299998</v>
      </c>
      <c r="Y464">
        <v>301</v>
      </c>
      <c r="Z464">
        <v>8.7309659269930694E-3</v>
      </c>
      <c r="AA464">
        <v>6</v>
      </c>
    </row>
    <row r="465" spans="1:27" x14ac:dyDescent="0.2">
      <c r="A465">
        <v>20</v>
      </c>
      <c r="B465">
        <v>1</v>
      </c>
      <c r="C465">
        <v>0.4</v>
      </c>
      <c r="D465">
        <v>20</v>
      </c>
      <c r="E465">
        <v>4.7443268562945597E-2</v>
      </c>
      <c r="F465">
        <v>1</v>
      </c>
      <c r="G465">
        <v>35.901879745999999</v>
      </c>
      <c r="H465">
        <v>5.6842672993353903E-2</v>
      </c>
      <c r="I465">
        <v>1</v>
      </c>
      <c r="J465">
        <v>0.152613742</v>
      </c>
      <c r="P465"/>
      <c r="V465">
        <v>3.6568592954684502E-2</v>
      </c>
      <c r="W465">
        <v>1</v>
      </c>
      <c r="X465">
        <v>184.57697152899999</v>
      </c>
      <c r="Y465">
        <v>1</v>
      </c>
      <c r="Z465">
        <v>9.5904038563077096E-3</v>
      </c>
      <c r="AA465">
        <v>13</v>
      </c>
    </row>
    <row r="466" spans="1:27" x14ac:dyDescent="0.2">
      <c r="A466">
        <v>20</v>
      </c>
      <c r="B466">
        <v>1</v>
      </c>
      <c r="C466">
        <v>0.3</v>
      </c>
      <c r="D466">
        <v>20</v>
      </c>
      <c r="E466">
        <v>0.184514410076042</v>
      </c>
      <c r="F466">
        <v>1</v>
      </c>
      <c r="G466">
        <v>30.753675807</v>
      </c>
      <c r="H466">
        <v>0.14013078744438801</v>
      </c>
      <c r="I466">
        <v>1</v>
      </c>
      <c r="J466">
        <v>0.26920984799999997</v>
      </c>
      <c r="P466"/>
      <c r="V466">
        <v>0.12086276995353</v>
      </c>
      <c r="W466">
        <v>1</v>
      </c>
      <c r="X466">
        <v>13015.770291491001</v>
      </c>
      <c r="Y466">
        <v>6929</v>
      </c>
      <c r="Z466">
        <v>8.4708460287323799E-3</v>
      </c>
      <c r="AA466">
        <v>16</v>
      </c>
    </row>
    <row r="467" spans="1:27" x14ac:dyDescent="0.2">
      <c r="A467">
        <v>20</v>
      </c>
      <c r="B467">
        <v>1</v>
      </c>
      <c r="C467">
        <v>0.4</v>
      </c>
      <c r="D467">
        <v>20</v>
      </c>
      <c r="E467">
        <v>4.5929879962247198E-2</v>
      </c>
      <c r="F467">
        <v>1</v>
      </c>
      <c r="G467">
        <v>35.759949016</v>
      </c>
      <c r="H467">
        <v>6.3927773001446697E-2</v>
      </c>
      <c r="I467">
        <v>1</v>
      </c>
      <c r="J467">
        <v>6.1686878000000001E-2</v>
      </c>
      <c r="P467"/>
      <c r="V467">
        <v>4.9389044138345703E-2</v>
      </c>
      <c r="W467">
        <v>1</v>
      </c>
      <c r="X467">
        <v>275.50924093100002</v>
      </c>
      <c r="Y467">
        <v>129</v>
      </c>
      <c r="Z467" s="1">
        <v>8.4914049410578202E-5</v>
      </c>
      <c r="AA467">
        <v>13</v>
      </c>
    </row>
    <row r="468" spans="1:27" x14ac:dyDescent="0.2">
      <c r="A468">
        <v>20</v>
      </c>
      <c r="B468">
        <v>1</v>
      </c>
      <c r="C468">
        <v>0.4</v>
      </c>
      <c r="D468">
        <v>20</v>
      </c>
      <c r="E468">
        <v>5.8393881564308497E-2</v>
      </c>
      <c r="F468">
        <v>1</v>
      </c>
      <c r="G468">
        <v>29.868509084999999</v>
      </c>
      <c r="H468">
        <v>7.6915125672556206E-2</v>
      </c>
      <c r="I468">
        <v>1</v>
      </c>
      <c r="J468">
        <v>0.152566114</v>
      </c>
      <c r="P468"/>
      <c r="V468">
        <v>5.7172699737373697E-2</v>
      </c>
      <c r="W468">
        <v>1</v>
      </c>
      <c r="X468">
        <v>38.758382875000002</v>
      </c>
      <c r="Y468">
        <v>29</v>
      </c>
      <c r="Z468">
        <v>8.5974400172408299E-3</v>
      </c>
      <c r="AA468">
        <v>1</v>
      </c>
    </row>
    <row r="469" spans="1:27" x14ac:dyDescent="0.2">
      <c r="A469">
        <v>20</v>
      </c>
      <c r="B469">
        <v>1</v>
      </c>
      <c r="C469">
        <v>0.4</v>
      </c>
      <c r="D469">
        <v>20</v>
      </c>
      <c r="E469">
        <v>6.1516132507044699E-2</v>
      </c>
      <c r="F469">
        <v>1</v>
      </c>
      <c r="G469">
        <v>31.173791432000002</v>
      </c>
      <c r="H469">
        <v>7.0864946386218805E-2</v>
      </c>
      <c r="I469">
        <v>1</v>
      </c>
      <c r="J469">
        <v>0.11845631</v>
      </c>
      <c r="P469"/>
      <c r="V469">
        <v>4.48468775617532E-2</v>
      </c>
      <c r="W469">
        <v>1</v>
      </c>
      <c r="X469">
        <v>141.594428741</v>
      </c>
      <c r="Y469">
        <v>11</v>
      </c>
      <c r="Z469">
        <v>5.4064464776346598E-3</v>
      </c>
      <c r="AA469">
        <v>10</v>
      </c>
    </row>
    <row r="470" spans="1:27" x14ac:dyDescent="0.2">
      <c r="A470">
        <v>20</v>
      </c>
      <c r="B470">
        <v>1</v>
      </c>
      <c r="C470">
        <v>0.4</v>
      </c>
      <c r="D470">
        <v>20</v>
      </c>
      <c r="E470">
        <v>4.7490798846843298E-2</v>
      </c>
      <c r="F470">
        <v>1</v>
      </c>
      <c r="G470">
        <v>38.421209949000001</v>
      </c>
      <c r="H470">
        <v>8.2660599431931298E-2</v>
      </c>
      <c r="I470">
        <v>1</v>
      </c>
      <c r="J470">
        <v>0.160576882</v>
      </c>
      <c r="P470"/>
      <c r="V470">
        <v>7.0027169127564903E-2</v>
      </c>
      <c r="W470">
        <v>1</v>
      </c>
      <c r="X470">
        <v>179.40514791499999</v>
      </c>
      <c r="Y470">
        <v>63</v>
      </c>
      <c r="Z470">
        <v>6.8245904911814403E-3</v>
      </c>
      <c r="AA470">
        <v>9</v>
      </c>
    </row>
    <row r="471" spans="1:27" x14ac:dyDescent="0.2">
      <c r="A471">
        <v>20</v>
      </c>
      <c r="B471">
        <v>1</v>
      </c>
      <c r="C471">
        <v>0.4</v>
      </c>
      <c r="D471">
        <v>20</v>
      </c>
      <c r="E471">
        <v>7.0726193699357703E-2</v>
      </c>
      <c r="F471">
        <v>1</v>
      </c>
      <c r="G471">
        <v>36.553809045999998</v>
      </c>
      <c r="H471">
        <v>9.5603126799324104E-2</v>
      </c>
      <c r="I471">
        <v>1</v>
      </c>
      <c r="J471">
        <v>0.11922841000000001</v>
      </c>
      <c r="P471"/>
      <c r="V471">
        <v>7.1943621589792506E-2</v>
      </c>
      <c r="W471">
        <v>1</v>
      </c>
      <c r="X471">
        <v>374.80312181599999</v>
      </c>
      <c r="Y471">
        <v>43</v>
      </c>
      <c r="Z471">
        <v>7.7959665078228798E-3</v>
      </c>
      <c r="AA471">
        <v>11</v>
      </c>
    </row>
    <row r="472" spans="1:27" x14ac:dyDescent="0.2">
      <c r="A472">
        <v>20</v>
      </c>
      <c r="B472">
        <v>1</v>
      </c>
      <c r="C472">
        <v>0.1</v>
      </c>
      <c r="D472">
        <v>20</v>
      </c>
      <c r="E472">
        <v>0.56780400106540796</v>
      </c>
      <c r="F472">
        <v>1</v>
      </c>
      <c r="G472">
        <v>35.848735996999999</v>
      </c>
      <c r="H472">
        <v>0.558733608006725</v>
      </c>
      <c r="I472">
        <v>1</v>
      </c>
      <c r="J472">
        <v>0.34509378499999999</v>
      </c>
      <c r="P472"/>
      <c r="V472">
        <v>0.55717716621765101</v>
      </c>
      <c r="W472">
        <v>1</v>
      </c>
      <c r="X472">
        <v>62.158954313000002</v>
      </c>
      <c r="Y472">
        <v>7</v>
      </c>
      <c r="Z472">
        <v>5.4359514376834898E-3</v>
      </c>
      <c r="AA472">
        <v>1</v>
      </c>
    </row>
    <row r="473" spans="1:27" x14ac:dyDescent="0.2">
      <c r="A473">
        <v>20</v>
      </c>
      <c r="B473">
        <v>1</v>
      </c>
      <c r="C473">
        <v>0.3</v>
      </c>
      <c r="D473">
        <v>20</v>
      </c>
      <c r="E473">
        <v>5.6484538375560701E-2</v>
      </c>
      <c r="F473">
        <v>1</v>
      </c>
      <c r="G473">
        <v>49.09755698</v>
      </c>
      <c r="H473">
        <v>6.7396441980105207E-2</v>
      </c>
      <c r="I473">
        <v>1</v>
      </c>
      <c r="J473">
        <v>0.30856957499999998</v>
      </c>
      <c r="P473"/>
      <c r="V473">
        <v>4.4595444282302499E-2</v>
      </c>
      <c r="W473">
        <v>1</v>
      </c>
      <c r="X473">
        <v>136.70551568299999</v>
      </c>
      <c r="Y473">
        <v>1</v>
      </c>
      <c r="Z473">
        <v>6.60686687931089E-3</v>
      </c>
      <c r="AA473">
        <v>4</v>
      </c>
    </row>
    <row r="474" spans="1:27" x14ac:dyDescent="0.2">
      <c r="A474">
        <v>20</v>
      </c>
      <c r="B474">
        <v>1</v>
      </c>
      <c r="C474">
        <v>0.4</v>
      </c>
      <c r="D474">
        <v>20</v>
      </c>
      <c r="E474">
        <v>5.3254875786208002E-2</v>
      </c>
      <c r="F474">
        <v>1</v>
      </c>
      <c r="G474">
        <v>34.839946197000003</v>
      </c>
      <c r="H474">
        <v>7.7499243649667399E-2</v>
      </c>
      <c r="I474">
        <v>1</v>
      </c>
      <c r="J474">
        <v>0.25044962900000001</v>
      </c>
      <c r="P474"/>
      <c r="V474">
        <v>5.7946077787463197E-2</v>
      </c>
      <c r="W474">
        <v>1</v>
      </c>
      <c r="X474">
        <v>14215.933497176</v>
      </c>
      <c r="Y474">
        <v>4916</v>
      </c>
      <c r="Z474">
        <v>7.1271662636558297E-3</v>
      </c>
      <c r="AA474">
        <v>32</v>
      </c>
    </row>
    <row r="475" spans="1:27" x14ac:dyDescent="0.2">
      <c r="A475">
        <v>20</v>
      </c>
      <c r="B475">
        <v>1</v>
      </c>
      <c r="C475">
        <v>0.3</v>
      </c>
      <c r="D475">
        <v>20</v>
      </c>
      <c r="E475">
        <v>0.16778367908866301</v>
      </c>
      <c r="F475">
        <v>1</v>
      </c>
      <c r="G475">
        <v>35.509749679000002</v>
      </c>
      <c r="H475">
        <v>0.14544822870212601</v>
      </c>
      <c r="I475">
        <v>1</v>
      </c>
      <c r="J475">
        <v>0.124537125</v>
      </c>
      <c r="P475"/>
      <c r="V475">
        <v>0.132450593734736</v>
      </c>
      <c r="W475">
        <v>1</v>
      </c>
      <c r="X475">
        <v>5796.8073926090001</v>
      </c>
      <c r="Y475">
        <v>5323</v>
      </c>
      <c r="Z475">
        <v>9.0531113664982198E-3</v>
      </c>
      <c r="AA475">
        <v>15</v>
      </c>
    </row>
    <row r="476" spans="1:27" x14ac:dyDescent="0.2">
      <c r="A476">
        <v>20</v>
      </c>
      <c r="B476">
        <v>1</v>
      </c>
      <c r="C476">
        <v>0.3</v>
      </c>
      <c r="D476">
        <v>20</v>
      </c>
      <c r="E476">
        <v>0.102403364657315</v>
      </c>
      <c r="F476">
        <v>1</v>
      </c>
      <c r="G476">
        <v>46.962326298999997</v>
      </c>
      <c r="H476">
        <v>0.11105590674749299</v>
      </c>
      <c r="I476">
        <v>1</v>
      </c>
      <c r="J476">
        <v>0.319322565</v>
      </c>
      <c r="P476"/>
      <c r="V476">
        <v>8.1133146889304397E-2</v>
      </c>
      <c r="W476">
        <v>1</v>
      </c>
      <c r="X476">
        <v>715.09355358799996</v>
      </c>
      <c r="Y476">
        <v>530</v>
      </c>
      <c r="Z476">
        <v>8.2959478187387692E-3</v>
      </c>
      <c r="AA476">
        <v>13</v>
      </c>
    </row>
    <row r="477" spans="1:27" x14ac:dyDescent="0.2">
      <c r="A477">
        <v>20</v>
      </c>
      <c r="B477">
        <v>1</v>
      </c>
      <c r="C477">
        <v>0.3</v>
      </c>
      <c r="D477">
        <v>20</v>
      </c>
      <c r="E477">
        <v>7.35490984308379E-2</v>
      </c>
      <c r="F477">
        <v>1</v>
      </c>
      <c r="G477">
        <v>36.137435478</v>
      </c>
      <c r="H477">
        <v>9.7085847802054898E-2</v>
      </c>
      <c r="I477">
        <v>1</v>
      </c>
      <c r="J477">
        <v>0.166007137</v>
      </c>
      <c r="P477"/>
      <c r="V477">
        <v>7.4616626264614502E-2</v>
      </c>
      <c r="W477">
        <v>1</v>
      </c>
      <c r="X477">
        <v>6282.0631023010001</v>
      </c>
      <c r="Y477">
        <v>5933</v>
      </c>
      <c r="Z477">
        <v>9.2576154680643601E-3</v>
      </c>
      <c r="AA477">
        <v>35</v>
      </c>
    </row>
    <row r="478" spans="1:27" x14ac:dyDescent="0.2">
      <c r="A478">
        <v>20</v>
      </c>
      <c r="B478">
        <v>1</v>
      </c>
      <c r="C478">
        <v>0.3</v>
      </c>
      <c r="D478">
        <v>20</v>
      </c>
      <c r="E478">
        <v>7.4302692478097204E-2</v>
      </c>
      <c r="F478">
        <v>1</v>
      </c>
      <c r="G478">
        <v>42.522435012999999</v>
      </c>
      <c r="H478">
        <v>0.103380069226037</v>
      </c>
      <c r="I478">
        <v>1</v>
      </c>
      <c r="J478">
        <v>0.19365347499999999</v>
      </c>
      <c r="P478"/>
      <c r="V478">
        <v>8.13686879991075E-2</v>
      </c>
      <c r="W478">
        <v>1</v>
      </c>
      <c r="X478">
        <v>7155.3806019430003</v>
      </c>
      <c r="Y478">
        <v>4966</v>
      </c>
      <c r="Z478">
        <v>9.1189215239240104E-3</v>
      </c>
      <c r="AA478">
        <v>19</v>
      </c>
    </row>
    <row r="479" spans="1:27" x14ac:dyDescent="0.2">
      <c r="A479">
        <v>20</v>
      </c>
      <c r="B479">
        <v>1</v>
      </c>
      <c r="C479">
        <v>0.3</v>
      </c>
      <c r="D479">
        <v>20</v>
      </c>
      <c r="E479">
        <v>0.19443833557097201</v>
      </c>
      <c r="F479">
        <v>1</v>
      </c>
      <c r="G479">
        <v>30.457897496000001</v>
      </c>
      <c r="H479">
        <v>0.19922089929946801</v>
      </c>
      <c r="I479">
        <v>1</v>
      </c>
      <c r="J479">
        <v>9.5759655999999999E-2</v>
      </c>
      <c r="P479"/>
      <c r="V479">
        <v>0.15235037831523299</v>
      </c>
      <c r="W479">
        <v>1</v>
      </c>
      <c r="X479">
        <v>526.24144935699996</v>
      </c>
      <c r="Y479">
        <v>848</v>
      </c>
      <c r="Z479">
        <v>8.7821536288399393E-3</v>
      </c>
      <c r="AA479">
        <v>5</v>
      </c>
    </row>
    <row r="480" spans="1:27" x14ac:dyDescent="0.2">
      <c r="A480">
        <v>20</v>
      </c>
      <c r="B480">
        <v>1</v>
      </c>
      <c r="C480">
        <v>0.3</v>
      </c>
      <c r="D480">
        <v>20</v>
      </c>
      <c r="E480">
        <v>5.9774885025199002E-2</v>
      </c>
      <c r="F480">
        <v>1</v>
      </c>
      <c r="G480">
        <v>39.171992867</v>
      </c>
      <c r="H480">
        <v>6.1242153483826001E-2</v>
      </c>
      <c r="I480">
        <v>1</v>
      </c>
      <c r="J480">
        <v>0.28370994999999999</v>
      </c>
      <c r="P480"/>
      <c r="V480">
        <v>3.3616348343075399E-2</v>
      </c>
      <c r="W480">
        <v>1</v>
      </c>
      <c r="X480">
        <v>48.849089577000001</v>
      </c>
      <c r="Y480">
        <v>1</v>
      </c>
      <c r="Z480">
        <v>4.7971725111279799E-3</v>
      </c>
      <c r="AA480">
        <v>1</v>
      </c>
    </row>
    <row r="481" spans="1:27" x14ac:dyDescent="0.2">
      <c r="A481">
        <v>20</v>
      </c>
      <c r="B481">
        <v>1</v>
      </c>
      <c r="C481">
        <v>0.3</v>
      </c>
      <c r="D481">
        <v>20</v>
      </c>
      <c r="E481">
        <v>5.7086655263364601E-2</v>
      </c>
      <c r="F481">
        <v>1</v>
      </c>
      <c r="G481">
        <v>39.899477949999998</v>
      </c>
      <c r="H481">
        <v>7.3312103369641807E-2</v>
      </c>
      <c r="I481">
        <v>1</v>
      </c>
      <c r="J481">
        <v>0.40956345999999999</v>
      </c>
      <c r="P481"/>
      <c r="V481">
        <v>5.4877415154380299E-2</v>
      </c>
      <c r="W481">
        <v>1</v>
      </c>
      <c r="X481">
        <v>344.191666881</v>
      </c>
      <c r="Y481">
        <v>91</v>
      </c>
      <c r="Z481">
        <v>6.25940531789614E-3</v>
      </c>
      <c r="AA481">
        <v>10</v>
      </c>
    </row>
    <row r="482" spans="1:27" x14ac:dyDescent="0.2">
      <c r="A482">
        <v>20</v>
      </c>
      <c r="B482">
        <v>1</v>
      </c>
      <c r="C482">
        <v>0.3</v>
      </c>
      <c r="D482">
        <v>20</v>
      </c>
      <c r="E482">
        <v>8.35788907963817E-2</v>
      </c>
      <c r="F482">
        <v>1</v>
      </c>
      <c r="G482">
        <v>30.408831500000002</v>
      </c>
      <c r="H482">
        <v>0.104429927392334</v>
      </c>
      <c r="I482">
        <v>1</v>
      </c>
      <c r="J482">
        <v>0.16947256699999999</v>
      </c>
      <c r="P482"/>
      <c r="V482">
        <v>7.6687090646967507E-2</v>
      </c>
      <c r="W482">
        <v>1</v>
      </c>
      <c r="X482">
        <v>18726.309316137002</v>
      </c>
      <c r="Y482">
        <v>4038</v>
      </c>
      <c r="Z482">
        <v>8.5286832937465605E-3</v>
      </c>
      <c r="AA482">
        <v>31</v>
      </c>
    </row>
    <row r="483" spans="1:27" x14ac:dyDescent="0.2">
      <c r="A483">
        <v>20</v>
      </c>
      <c r="B483">
        <v>1</v>
      </c>
      <c r="C483">
        <v>0.2</v>
      </c>
      <c r="D483">
        <v>20</v>
      </c>
      <c r="E483">
        <v>0.41423354290829101</v>
      </c>
      <c r="F483">
        <v>1</v>
      </c>
      <c r="G483">
        <v>48.165505867999997</v>
      </c>
      <c r="H483">
        <v>0.40221496274900997</v>
      </c>
      <c r="I483">
        <v>1</v>
      </c>
      <c r="J483">
        <v>0.26635142000000001</v>
      </c>
      <c r="P483"/>
      <c r="V483">
        <v>0.39713192051076401</v>
      </c>
      <c r="W483">
        <v>1</v>
      </c>
      <c r="X483">
        <v>816.05152016399995</v>
      </c>
      <c r="Y483">
        <v>67</v>
      </c>
      <c r="Z483">
        <v>7.2851770662580801E-3</v>
      </c>
      <c r="AA483">
        <v>11</v>
      </c>
    </row>
    <row r="484" spans="1:27" x14ac:dyDescent="0.2">
      <c r="A484">
        <v>20</v>
      </c>
      <c r="B484">
        <v>1</v>
      </c>
      <c r="C484">
        <v>0.3</v>
      </c>
      <c r="D484">
        <v>20</v>
      </c>
      <c r="E484">
        <v>9.0144021060732202E-2</v>
      </c>
      <c r="F484">
        <v>1</v>
      </c>
      <c r="G484">
        <v>49.142764055000001</v>
      </c>
      <c r="H484">
        <v>8.7497189136860498E-2</v>
      </c>
      <c r="I484">
        <v>1</v>
      </c>
      <c r="J484">
        <v>0.44494840400000002</v>
      </c>
      <c r="P484"/>
      <c r="V484">
        <v>6.3186113843618302E-2</v>
      </c>
      <c r="W484">
        <v>1</v>
      </c>
      <c r="X484">
        <v>1397.6647203380001</v>
      </c>
      <c r="Y484">
        <v>842</v>
      </c>
      <c r="Z484">
        <v>8.0823792315838291E-3</v>
      </c>
      <c r="AA484">
        <v>14</v>
      </c>
    </row>
    <row r="485" spans="1:27" x14ac:dyDescent="0.2">
      <c r="A485">
        <v>20</v>
      </c>
      <c r="B485">
        <v>1</v>
      </c>
      <c r="C485">
        <v>0.3</v>
      </c>
      <c r="D485">
        <v>20</v>
      </c>
      <c r="E485">
        <v>0.206611740652373</v>
      </c>
      <c r="F485">
        <v>1</v>
      </c>
      <c r="G485">
        <v>30.471377314000001</v>
      </c>
      <c r="H485">
        <v>0.17130294842795499</v>
      </c>
      <c r="I485">
        <v>1</v>
      </c>
      <c r="J485">
        <v>0.109917772</v>
      </c>
      <c r="P485"/>
      <c r="V485">
        <v>0.164544949558869</v>
      </c>
      <c r="W485">
        <v>1</v>
      </c>
      <c r="X485">
        <v>9965.6800163549997</v>
      </c>
      <c r="Y485">
        <v>6761</v>
      </c>
      <c r="Z485">
        <v>8.7355045817067902E-3</v>
      </c>
      <c r="AA485">
        <v>21</v>
      </c>
    </row>
    <row r="486" spans="1:27" x14ac:dyDescent="0.2">
      <c r="A486">
        <v>20</v>
      </c>
      <c r="B486">
        <v>1</v>
      </c>
      <c r="C486">
        <v>0.3</v>
      </c>
      <c r="D486">
        <v>20</v>
      </c>
      <c r="E486">
        <v>9.8841548540636398E-2</v>
      </c>
      <c r="F486">
        <v>1</v>
      </c>
      <c r="G486">
        <v>54.366282767999998</v>
      </c>
      <c r="H486">
        <v>0.114457098276042</v>
      </c>
      <c r="I486">
        <v>1</v>
      </c>
      <c r="J486">
        <v>0.66490436500000005</v>
      </c>
      <c r="P486"/>
      <c r="V486">
        <v>8.3789387148342304E-2</v>
      </c>
      <c r="W486">
        <v>1</v>
      </c>
      <c r="X486">
        <v>10887.231730944</v>
      </c>
      <c r="Y486">
        <v>2606</v>
      </c>
      <c r="Z486">
        <v>9.2844332065524695E-3</v>
      </c>
      <c r="AA486">
        <v>29</v>
      </c>
    </row>
    <row r="487" spans="1:27" x14ac:dyDescent="0.2">
      <c r="A487">
        <v>20</v>
      </c>
      <c r="B487">
        <v>1</v>
      </c>
      <c r="C487">
        <v>0.2</v>
      </c>
      <c r="D487">
        <v>20</v>
      </c>
      <c r="E487">
        <v>0.35931415564242403</v>
      </c>
      <c r="F487">
        <v>1</v>
      </c>
      <c r="G487">
        <v>32.745041129000001</v>
      </c>
      <c r="H487">
        <v>0.36058932819991202</v>
      </c>
      <c r="I487">
        <v>1</v>
      </c>
      <c r="J487">
        <v>0.17802239</v>
      </c>
      <c r="P487"/>
      <c r="V487">
        <v>0.35382146890514199</v>
      </c>
      <c r="W487">
        <v>1</v>
      </c>
      <c r="X487">
        <v>24030.750912898999</v>
      </c>
      <c r="Y487">
        <v>28699</v>
      </c>
      <c r="Z487">
        <v>9.4527617526469696E-3</v>
      </c>
      <c r="AA487">
        <v>18</v>
      </c>
    </row>
    <row r="488" spans="1:27" x14ac:dyDescent="0.2">
      <c r="A488">
        <v>30</v>
      </c>
      <c r="B488">
        <v>1</v>
      </c>
      <c r="C488">
        <v>0.3</v>
      </c>
      <c r="D488">
        <v>100</v>
      </c>
      <c r="E488">
        <v>0.122032844680852</v>
      </c>
      <c r="F488">
        <v>1</v>
      </c>
      <c r="G488">
        <v>33.427931051000002</v>
      </c>
      <c r="H488">
        <v>4.51745762959333E-2</v>
      </c>
      <c r="I488">
        <v>1</v>
      </c>
      <c r="J488">
        <v>0.38570358500000002</v>
      </c>
      <c r="P488"/>
      <c r="V488">
        <v>3.76795316959131E-2</v>
      </c>
      <c r="W488">
        <v>1</v>
      </c>
      <c r="X488">
        <v>295864.07341831899</v>
      </c>
      <c r="Y488">
        <v>5597</v>
      </c>
      <c r="Z488">
        <v>2.5347772236348098E-2</v>
      </c>
      <c r="AA488">
        <v>50</v>
      </c>
    </row>
    <row r="489" spans="1:27" x14ac:dyDescent="0.2">
      <c r="A489">
        <v>30</v>
      </c>
      <c r="B489">
        <v>1</v>
      </c>
      <c r="C489">
        <v>0.2</v>
      </c>
      <c r="D489">
        <v>100</v>
      </c>
      <c r="E489">
        <v>0.40232502580771101</v>
      </c>
      <c r="F489">
        <v>1</v>
      </c>
      <c r="G489">
        <v>31.567485665</v>
      </c>
      <c r="H489">
        <v>0.173205081708108</v>
      </c>
      <c r="I489">
        <v>1</v>
      </c>
      <c r="J489">
        <v>0.23687156700000001</v>
      </c>
      <c r="P489"/>
      <c r="V489">
        <v>0.17005600169420901</v>
      </c>
      <c r="W489">
        <v>1</v>
      </c>
      <c r="X489">
        <v>295985.08022027899</v>
      </c>
      <c r="Y489">
        <v>3899</v>
      </c>
      <c r="Z489">
        <v>2.6179511635224501E-2</v>
      </c>
      <c r="AA489">
        <v>50</v>
      </c>
    </row>
    <row r="490" spans="1:27" x14ac:dyDescent="0.2">
      <c r="A490">
        <v>30</v>
      </c>
      <c r="B490">
        <v>1</v>
      </c>
      <c r="C490">
        <v>0.2</v>
      </c>
      <c r="D490">
        <v>100</v>
      </c>
      <c r="E490">
        <v>3.5363408380782203E-2</v>
      </c>
      <c r="F490">
        <v>1</v>
      </c>
      <c r="G490">
        <v>29.723378986</v>
      </c>
      <c r="H490">
        <v>4.1010656943221299E-2</v>
      </c>
      <c r="I490">
        <v>1</v>
      </c>
      <c r="J490">
        <v>0.214801138</v>
      </c>
      <c r="P490"/>
      <c r="V490">
        <v>2.9413957027133002E-2</v>
      </c>
      <c r="W490">
        <v>1</v>
      </c>
      <c r="X490">
        <v>303812.708720244</v>
      </c>
      <c r="Y490">
        <v>3988</v>
      </c>
      <c r="Z490">
        <v>2.80504428987902E-2</v>
      </c>
      <c r="AA490">
        <v>50</v>
      </c>
    </row>
    <row r="491" spans="1:27" x14ac:dyDescent="0.2">
      <c r="A491">
        <v>30</v>
      </c>
      <c r="B491">
        <v>1</v>
      </c>
      <c r="C491">
        <v>0.1</v>
      </c>
      <c r="D491">
        <v>100</v>
      </c>
      <c r="E491">
        <v>0.50397313479058203</v>
      </c>
      <c r="F491">
        <v>1</v>
      </c>
      <c r="G491">
        <v>36.619417654999999</v>
      </c>
      <c r="H491">
        <v>0.468071217974664</v>
      </c>
      <c r="I491">
        <v>1</v>
      </c>
      <c r="J491">
        <v>0.53336447200000003</v>
      </c>
      <c r="P491"/>
      <c r="V491">
        <v>0.463658413111048</v>
      </c>
      <c r="W491">
        <v>1</v>
      </c>
      <c r="X491">
        <v>306529.85001017101</v>
      </c>
      <c r="Y491">
        <v>7925</v>
      </c>
      <c r="Z491">
        <v>3.8943289412793097E-2</v>
      </c>
      <c r="AA491">
        <v>50</v>
      </c>
    </row>
    <row r="492" spans="1:27" x14ac:dyDescent="0.2">
      <c r="A492">
        <v>30</v>
      </c>
      <c r="B492">
        <v>1</v>
      </c>
      <c r="C492">
        <v>0.1</v>
      </c>
      <c r="D492">
        <v>100</v>
      </c>
      <c r="E492">
        <v>0.42609557379125701</v>
      </c>
      <c r="F492">
        <v>1</v>
      </c>
      <c r="G492">
        <v>29.370595279</v>
      </c>
      <c r="H492">
        <v>0.31231202404073299</v>
      </c>
      <c r="I492">
        <v>1</v>
      </c>
      <c r="J492">
        <v>0.46730527599999999</v>
      </c>
      <c r="P492"/>
      <c r="V492">
        <v>0.27251012433780503</v>
      </c>
      <c r="W492">
        <v>1</v>
      </c>
      <c r="X492">
        <v>308235.921890745</v>
      </c>
      <c r="Y492">
        <v>7737</v>
      </c>
      <c r="Z492">
        <v>8.8188282050393699E-3</v>
      </c>
      <c r="AA492">
        <v>50</v>
      </c>
    </row>
    <row r="493" spans="1:27" x14ac:dyDescent="0.2">
      <c r="A493">
        <v>10</v>
      </c>
      <c r="B493">
        <v>3</v>
      </c>
      <c r="C493">
        <v>0.1</v>
      </c>
      <c r="D493">
        <v>20</v>
      </c>
      <c r="E493">
        <v>0.97105947808986404</v>
      </c>
      <c r="F493">
        <v>3</v>
      </c>
      <c r="G493">
        <v>26.461158194999999</v>
      </c>
      <c r="H493">
        <v>0.97106124665673299</v>
      </c>
      <c r="I493">
        <v>3</v>
      </c>
      <c r="J493">
        <v>4.9650254999999997E-2</v>
      </c>
      <c r="P493"/>
      <c r="V493">
        <v>0.98065729146781699</v>
      </c>
      <c r="W493">
        <v>3</v>
      </c>
      <c r="X493">
        <v>54.223149468000003</v>
      </c>
      <c r="Y493">
        <v>1</v>
      </c>
      <c r="Z493">
        <v>1.37108159204055E-3</v>
      </c>
      <c r="AA493">
        <v>2</v>
      </c>
    </row>
    <row r="494" spans="1:27" x14ac:dyDescent="0.2">
      <c r="A494">
        <v>10</v>
      </c>
      <c r="B494">
        <v>3</v>
      </c>
      <c r="C494">
        <v>0.1</v>
      </c>
      <c r="D494">
        <v>20</v>
      </c>
      <c r="E494">
        <v>0.96878115822635302</v>
      </c>
      <c r="F494">
        <v>3</v>
      </c>
      <c r="G494">
        <v>25.275200504000001</v>
      </c>
      <c r="H494">
        <v>0.96995937366010798</v>
      </c>
      <c r="I494">
        <v>3</v>
      </c>
      <c r="J494">
        <v>0.10399521</v>
      </c>
      <c r="P494"/>
      <c r="V494">
        <v>0.97002704784174598</v>
      </c>
      <c r="W494">
        <v>3</v>
      </c>
      <c r="X494">
        <v>47.815072700000002</v>
      </c>
      <c r="Y494">
        <v>1387</v>
      </c>
      <c r="Z494">
        <v>7.2757696143526101E-3</v>
      </c>
      <c r="AA494">
        <v>1</v>
      </c>
    </row>
    <row r="495" spans="1:27" x14ac:dyDescent="0.2">
      <c r="A495">
        <v>10</v>
      </c>
      <c r="B495">
        <v>3</v>
      </c>
      <c r="C495">
        <v>0.1</v>
      </c>
      <c r="D495">
        <v>20</v>
      </c>
      <c r="E495">
        <v>0.950087682755686</v>
      </c>
      <c r="F495">
        <v>3</v>
      </c>
      <c r="G495">
        <v>26.221252089</v>
      </c>
      <c r="H495">
        <v>0.950087682755689</v>
      </c>
      <c r="I495">
        <v>3</v>
      </c>
      <c r="J495">
        <v>5.9631543000000002E-2</v>
      </c>
      <c r="P495"/>
      <c r="V495">
        <v>0.93452955150972195</v>
      </c>
      <c r="W495">
        <v>3</v>
      </c>
      <c r="X495">
        <v>4048.4211459469998</v>
      </c>
      <c r="Y495">
        <v>55011</v>
      </c>
      <c r="Z495">
        <v>1.57127299579687E-3</v>
      </c>
      <c r="AA495">
        <v>5</v>
      </c>
    </row>
    <row r="496" spans="1:27" x14ac:dyDescent="0.2">
      <c r="A496">
        <v>10</v>
      </c>
      <c r="B496">
        <v>3</v>
      </c>
      <c r="C496">
        <v>0.2</v>
      </c>
      <c r="D496">
        <v>100</v>
      </c>
      <c r="E496">
        <v>0.90451074807253296</v>
      </c>
      <c r="F496">
        <v>3</v>
      </c>
      <c r="G496">
        <v>29.387809978</v>
      </c>
      <c r="H496">
        <v>0.90238411230155102</v>
      </c>
      <c r="I496">
        <v>3</v>
      </c>
      <c r="J496">
        <v>5.9784678000000001E-2</v>
      </c>
      <c r="P496"/>
      <c r="V496">
        <v>0.86320047502387598</v>
      </c>
      <c r="W496">
        <v>3</v>
      </c>
      <c r="X496">
        <v>297962.22224581102</v>
      </c>
      <c r="Y496">
        <v>71447</v>
      </c>
      <c r="Z496">
        <v>2.33152774711275E-2</v>
      </c>
      <c r="AA496">
        <v>50</v>
      </c>
    </row>
    <row r="497" spans="1:27" x14ac:dyDescent="0.2">
      <c r="A497">
        <v>10</v>
      </c>
      <c r="B497">
        <v>3</v>
      </c>
      <c r="C497">
        <v>0.2</v>
      </c>
      <c r="D497">
        <v>100</v>
      </c>
      <c r="E497">
        <v>1.0159942311624099</v>
      </c>
      <c r="F497">
        <v>3</v>
      </c>
      <c r="G497">
        <v>32.609492344000003</v>
      </c>
      <c r="H497">
        <v>0.85143504893967403</v>
      </c>
      <c r="I497">
        <v>3</v>
      </c>
      <c r="J497">
        <v>0.73167390499999996</v>
      </c>
      <c r="P497"/>
      <c r="V497">
        <v>0.85166696431682198</v>
      </c>
      <c r="W497">
        <v>3</v>
      </c>
      <c r="X497">
        <v>298563.10726466699</v>
      </c>
      <c r="Y497">
        <v>80702</v>
      </c>
      <c r="Z497">
        <v>0.13276986385790199</v>
      </c>
      <c r="AA497">
        <v>50</v>
      </c>
    </row>
    <row r="498" spans="1:27" x14ac:dyDescent="0.2">
      <c r="A498">
        <v>10</v>
      </c>
      <c r="B498">
        <v>3</v>
      </c>
      <c r="C498">
        <v>0.3</v>
      </c>
      <c r="D498">
        <v>100</v>
      </c>
      <c r="E498">
        <v>1.0124391626998801</v>
      </c>
      <c r="F498">
        <v>3</v>
      </c>
      <c r="G498">
        <v>34.172646114000003</v>
      </c>
      <c r="H498">
        <v>0.89019965457969197</v>
      </c>
      <c r="I498">
        <v>3</v>
      </c>
      <c r="J498">
        <v>0.53663986100000005</v>
      </c>
      <c r="P498"/>
      <c r="V498">
        <v>0.89088634098456898</v>
      </c>
      <c r="W498">
        <v>3</v>
      </c>
      <c r="X498">
        <v>299463.245946738</v>
      </c>
      <c r="Y498">
        <v>59943</v>
      </c>
      <c r="Z498">
        <v>0.225058965748758</v>
      </c>
      <c r="AA498">
        <v>50</v>
      </c>
    </row>
    <row r="499" spans="1:27" x14ac:dyDescent="0.2">
      <c r="A499">
        <v>10</v>
      </c>
      <c r="B499">
        <v>3</v>
      </c>
      <c r="C499">
        <v>0.2</v>
      </c>
      <c r="D499">
        <v>100</v>
      </c>
      <c r="E499">
        <v>0.96778193047403505</v>
      </c>
      <c r="F499">
        <v>3</v>
      </c>
      <c r="G499">
        <v>25.721362659</v>
      </c>
      <c r="H499">
        <v>0.938952832556052</v>
      </c>
      <c r="I499">
        <v>3</v>
      </c>
      <c r="J499">
        <v>0.17235524199999999</v>
      </c>
      <c r="P499"/>
      <c r="V499">
        <v>0.93791005700063501</v>
      </c>
      <c r="W499">
        <v>3</v>
      </c>
      <c r="X499">
        <v>299155.73930110101</v>
      </c>
      <c r="Y499">
        <v>59203</v>
      </c>
      <c r="Z499">
        <v>1.3099089489570601E-2</v>
      </c>
      <c r="AA499">
        <v>50</v>
      </c>
    </row>
    <row r="500" spans="1:27" x14ac:dyDescent="0.2">
      <c r="A500">
        <v>10</v>
      </c>
      <c r="B500">
        <v>3</v>
      </c>
      <c r="C500">
        <v>0.4</v>
      </c>
      <c r="D500">
        <v>100</v>
      </c>
      <c r="E500">
        <v>0.61207173855288299</v>
      </c>
      <c r="F500">
        <v>3</v>
      </c>
      <c r="G500">
        <v>34.575659262999999</v>
      </c>
      <c r="H500">
        <v>0.71374338453092501</v>
      </c>
      <c r="I500">
        <v>3</v>
      </c>
      <c r="J500">
        <v>0.63917006399999998</v>
      </c>
      <c r="P500"/>
      <c r="V500">
        <v>0.71462522372843995</v>
      </c>
      <c r="W500">
        <v>3</v>
      </c>
      <c r="X500">
        <v>302466.20570504002</v>
      </c>
      <c r="Y500">
        <v>95834</v>
      </c>
      <c r="Z500">
        <v>0.13528537571463001</v>
      </c>
      <c r="AA500">
        <v>50</v>
      </c>
    </row>
    <row r="501" spans="1:27" x14ac:dyDescent="0.2">
      <c r="A501">
        <v>10</v>
      </c>
      <c r="B501">
        <v>3</v>
      </c>
      <c r="C501">
        <v>0.3</v>
      </c>
      <c r="D501">
        <v>100</v>
      </c>
      <c r="E501">
        <v>0.81557141000945399</v>
      </c>
      <c r="F501">
        <v>3</v>
      </c>
      <c r="G501">
        <v>32.103010816000001</v>
      </c>
      <c r="H501">
        <v>0.81682698913963203</v>
      </c>
      <c r="I501">
        <v>3</v>
      </c>
      <c r="J501">
        <v>6.1624629E-2</v>
      </c>
      <c r="P501"/>
      <c r="V501">
        <v>0.81739152332862797</v>
      </c>
      <c r="W501">
        <v>3</v>
      </c>
      <c r="X501">
        <v>305464.45370219101</v>
      </c>
      <c r="Y501">
        <v>52905</v>
      </c>
      <c r="Z501">
        <v>6.0696752153698699E-2</v>
      </c>
      <c r="AA501">
        <v>50</v>
      </c>
    </row>
    <row r="502" spans="1:27" x14ac:dyDescent="0.2">
      <c r="A502">
        <v>10</v>
      </c>
      <c r="B502">
        <v>3</v>
      </c>
      <c r="C502">
        <v>0.4</v>
      </c>
      <c r="D502">
        <v>100</v>
      </c>
      <c r="E502">
        <v>0.832916987394132</v>
      </c>
      <c r="F502">
        <v>3</v>
      </c>
      <c r="G502">
        <v>29.875350205</v>
      </c>
      <c r="H502">
        <v>0.829069519596215</v>
      </c>
      <c r="I502">
        <v>3</v>
      </c>
      <c r="J502">
        <v>0.23605567</v>
      </c>
      <c r="P502"/>
      <c r="V502">
        <v>0.830143026139048</v>
      </c>
      <c r="W502">
        <v>3</v>
      </c>
      <c r="X502">
        <v>304561.12186095997</v>
      </c>
      <c r="Y502">
        <v>56957</v>
      </c>
      <c r="Z502">
        <v>3.4671199726730301E-2</v>
      </c>
      <c r="AA502">
        <v>50</v>
      </c>
    </row>
    <row r="503" spans="1:27" x14ac:dyDescent="0.2">
      <c r="A503">
        <v>10</v>
      </c>
      <c r="B503">
        <v>3</v>
      </c>
      <c r="C503">
        <v>0.2</v>
      </c>
      <c r="D503">
        <v>100</v>
      </c>
      <c r="E503">
        <v>0.93100721401627595</v>
      </c>
      <c r="F503">
        <v>3</v>
      </c>
      <c r="G503">
        <v>25.496205634999999</v>
      </c>
      <c r="H503">
        <v>0.92753681351083594</v>
      </c>
      <c r="I503">
        <v>3</v>
      </c>
      <c r="J503">
        <v>4.8414381999999999E-2</v>
      </c>
      <c r="P503"/>
      <c r="V503">
        <v>0.927768500365999</v>
      </c>
      <c r="W503">
        <v>3</v>
      </c>
      <c r="X503">
        <v>304856.50377894001</v>
      </c>
      <c r="Y503">
        <v>63947</v>
      </c>
      <c r="Z503">
        <v>1.40414874180451E-2</v>
      </c>
      <c r="AA503">
        <v>50</v>
      </c>
    </row>
    <row r="504" spans="1:27" x14ac:dyDescent="0.2">
      <c r="A504">
        <v>10</v>
      </c>
      <c r="B504">
        <v>3</v>
      </c>
      <c r="C504">
        <v>0.4</v>
      </c>
      <c r="D504">
        <v>100</v>
      </c>
      <c r="E504">
        <v>0.75766244126552196</v>
      </c>
      <c r="F504">
        <v>3</v>
      </c>
      <c r="G504">
        <v>25.250299907999999</v>
      </c>
      <c r="H504">
        <v>0.80720707020173899</v>
      </c>
      <c r="I504">
        <v>3</v>
      </c>
      <c r="J504">
        <v>0.37648499800000002</v>
      </c>
      <c r="P504"/>
      <c r="V504">
        <v>0.80873763563907797</v>
      </c>
      <c r="W504">
        <v>3</v>
      </c>
      <c r="X504">
        <v>306960.56362690002</v>
      </c>
      <c r="Y504">
        <v>79850</v>
      </c>
      <c r="Z504">
        <v>2.8888138443403599E-2</v>
      </c>
      <c r="AA504">
        <v>50</v>
      </c>
    </row>
    <row r="505" spans="1:27" x14ac:dyDescent="0.2">
      <c r="A505">
        <v>10</v>
      </c>
      <c r="B505">
        <v>3</v>
      </c>
      <c r="C505">
        <v>0.3</v>
      </c>
      <c r="D505">
        <v>100</v>
      </c>
      <c r="E505">
        <v>0.92737835345519104</v>
      </c>
      <c r="F505">
        <v>3</v>
      </c>
      <c r="G505">
        <v>32.215967581000001</v>
      </c>
      <c r="H505">
        <v>0.92735111690398597</v>
      </c>
      <c r="I505">
        <v>3</v>
      </c>
      <c r="J505">
        <v>0.191228061</v>
      </c>
      <c r="P505"/>
      <c r="V505">
        <v>0.92777354066905504</v>
      </c>
      <c r="W505">
        <v>3</v>
      </c>
      <c r="X505">
        <v>307563.63165473501</v>
      </c>
      <c r="Y505">
        <v>53870</v>
      </c>
      <c r="Z505">
        <v>4.1575547314961603E-2</v>
      </c>
      <c r="AA505">
        <v>50</v>
      </c>
    </row>
    <row r="506" spans="1:27" x14ac:dyDescent="0.2">
      <c r="A506">
        <v>10</v>
      </c>
      <c r="B506">
        <v>3</v>
      </c>
      <c r="C506">
        <v>0.3</v>
      </c>
      <c r="D506">
        <v>100</v>
      </c>
      <c r="E506">
        <v>0.777178413140582</v>
      </c>
      <c r="F506">
        <v>3</v>
      </c>
      <c r="G506">
        <v>29.661584405999999</v>
      </c>
      <c r="H506">
        <v>0.78822581330888497</v>
      </c>
      <c r="I506">
        <v>3</v>
      </c>
      <c r="J506">
        <v>0.18149769199999999</v>
      </c>
      <c r="P506"/>
      <c r="V506">
        <v>0.78804173176553804</v>
      </c>
      <c r="W506">
        <v>3</v>
      </c>
      <c r="X506">
        <v>306961.15459887299</v>
      </c>
      <c r="Y506">
        <v>59128</v>
      </c>
      <c r="Z506">
        <v>3.8143186317540698E-2</v>
      </c>
      <c r="AA506">
        <v>50</v>
      </c>
    </row>
    <row r="507" spans="1:27" x14ac:dyDescent="0.2">
      <c r="A507">
        <v>10</v>
      </c>
      <c r="B507">
        <v>3</v>
      </c>
      <c r="C507">
        <v>0.4</v>
      </c>
      <c r="D507">
        <v>100</v>
      </c>
      <c r="E507">
        <v>0.55195826496261302</v>
      </c>
      <c r="F507">
        <v>3</v>
      </c>
      <c r="G507">
        <v>33.877814839999999</v>
      </c>
      <c r="H507">
        <v>0.56888792363427299</v>
      </c>
      <c r="I507">
        <v>3</v>
      </c>
      <c r="J507">
        <v>0.223519838</v>
      </c>
      <c r="P507"/>
      <c r="V507">
        <v>0.570477041622234</v>
      </c>
      <c r="W507">
        <v>3</v>
      </c>
      <c r="X507">
        <v>309964.30008032301</v>
      </c>
      <c r="Y507">
        <v>77773</v>
      </c>
      <c r="Z507">
        <v>0.18031097127996401</v>
      </c>
      <c r="AA507">
        <v>50</v>
      </c>
    </row>
    <row r="508" spans="1:27" x14ac:dyDescent="0.2">
      <c r="A508">
        <v>10</v>
      </c>
      <c r="B508">
        <v>3</v>
      </c>
      <c r="C508">
        <v>0.2</v>
      </c>
      <c r="D508">
        <v>100</v>
      </c>
      <c r="E508">
        <v>0.91259925653280005</v>
      </c>
      <c r="F508">
        <v>3</v>
      </c>
      <c r="G508">
        <v>30.106433128999999</v>
      </c>
      <c r="H508">
        <v>0.88435908550859799</v>
      </c>
      <c r="I508">
        <v>3</v>
      </c>
      <c r="J508">
        <v>0.34078182099999998</v>
      </c>
      <c r="P508"/>
      <c r="V508">
        <v>0.88453001073070403</v>
      </c>
      <c r="W508">
        <v>3</v>
      </c>
      <c r="X508">
        <v>306962.74522108003</v>
      </c>
      <c r="Y508">
        <v>89530</v>
      </c>
      <c r="Z508">
        <v>0.121480873689506</v>
      </c>
      <c r="AA508">
        <v>50</v>
      </c>
    </row>
    <row r="509" spans="1:27" x14ac:dyDescent="0.2">
      <c r="A509">
        <v>10</v>
      </c>
      <c r="B509">
        <v>3</v>
      </c>
      <c r="C509">
        <v>0.3</v>
      </c>
      <c r="D509">
        <v>100</v>
      </c>
      <c r="E509">
        <v>0.84823427056544498</v>
      </c>
      <c r="F509">
        <v>3</v>
      </c>
      <c r="G509">
        <v>29.309158149000002</v>
      </c>
      <c r="H509">
        <v>0.861634216471587</v>
      </c>
      <c r="I509">
        <v>3</v>
      </c>
      <c r="J509">
        <v>0.106168232</v>
      </c>
      <c r="P509"/>
      <c r="V509">
        <v>0.86183012295235395</v>
      </c>
      <c r="W509">
        <v>3</v>
      </c>
      <c r="X509">
        <v>306958.89570126601</v>
      </c>
      <c r="Y509">
        <v>58610</v>
      </c>
      <c r="Z509">
        <v>2.6914135304206301E-2</v>
      </c>
      <c r="AA509">
        <v>50</v>
      </c>
    </row>
    <row r="510" spans="1:27" x14ac:dyDescent="0.2">
      <c r="A510">
        <v>10</v>
      </c>
      <c r="B510">
        <v>3</v>
      </c>
      <c r="C510">
        <v>0.4</v>
      </c>
      <c r="D510">
        <v>100</v>
      </c>
      <c r="E510">
        <v>0.75103289622123404</v>
      </c>
      <c r="F510">
        <v>3</v>
      </c>
      <c r="G510">
        <v>29.263187180999999</v>
      </c>
      <c r="H510">
        <v>0.71272696061787999</v>
      </c>
      <c r="I510">
        <v>3</v>
      </c>
      <c r="J510">
        <v>0.56589298700000001</v>
      </c>
      <c r="P510"/>
      <c r="V510">
        <v>0.71408792336920601</v>
      </c>
      <c r="W510">
        <v>3</v>
      </c>
      <c r="X510">
        <v>306964.026657084</v>
      </c>
      <c r="Y510">
        <v>103504</v>
      </c>
      <c r="Z510">
        <v>0.12345231989456799</v>
      </c>
      <c r="AA510">
        <v>50</v>
      </c>
    </row>
    <row r="511" spans="1:27" x14ac:dyDescent="0.2">
      <c r="A511">
        <v>10</v>
      </c>
      <c r="B511">
        <v>3</v>
      </c>
      <c r="C511">
        <v>0.4</v>
      </c>
      <c r="D511">
        <v>100</v>
      </c>
      <c r="E511">
        <v>0.63951672926608005</v>
      </c>
      <c r="F511">
        <v>3</v>
      </c>
      <c r="G511">
        <v>29.370009991</v>
      </c>
      <c r="H511">
        <v>0.56397266042488303</v>
      </c>
      <c r="I511">
        <v>3</v>
      </c>
      <c r="J511">
        <v>0.68878126399999995</v>
      </c>
      <c r="P511"/>
      <c r="V511">
        <v>0.56472604058877895</v>
      </c>
      <c r="W511">
        <v>3</v>
      </c>
      <c r="X511">
        <v>301862.83896820399</v>
      </c>
      <c r="Y511">
        <v>86382</v>
      </c>
      <c r="Z511">
        <v>0.262405233341095</v>
      </c>
      <c r="AA511">
        <v>50</v>
      </c>
    </row>
    <row r="512" spans="1:27" x14ac:dyDescent="0.2">
      <c r="A512">
        <v>10</v>
      </c>
      <c r="B512">
        <v>3</v>
      </c>
      <c r="C512">
        <v>0.3</v>
      </c>
      <c r="D512">
        <v>100</v>
      </c>
      <c r="E512">
        <v>0.93608081321063397</v>
      </c>
      <c r="F512">
        <v>3</v>
      </c>
      <c r="G512">
        <v>25.304111540000001</v>
      </c>
      <c r="H512">
        <v>0.83528929030604904</v>
      </c>
      <c r="I512">
        <v>3</v>
      </c>
      <c r="J512">
        <v>0.34873109699999999</v>
      </c>
      <c r="P512"/>
      <c r="V512">
        <v>0.83333898980816701</v>
      </c>
      <c r="W512">
        <v>3</v>
      </c>
      <c r="X512">
        <v>306957.67144791799</v>
      </c>
      <c r="Y512">
        <v>68730</v>
      </c>
      <c r="Z512">
        <v>3.7419814555304999E-2</v>
      </c>
      <c r="AA512">
        <v>50</v>
      </c>
    </row>
    <row r="513" spans="1:27" x14ac:dyDescent="0.2">
      <c r="A513">
        <v>20</v>
      </c>
      <c r="B513">
        <v>1</v>
      </c>
      <c r="C513">
        <v>0.2</v>
      </c>
      <c r="D513">
        <v>20</v>
      </c>
      <c r="E513">
        <v>0.39503446655977398</v>
      </c>
      <c r="F513">
        <v>1</v>
      </c>
      <c r="G513">
        <v>32.449419098</v>
      </c>
      <c r="H513">
        <v>0.38967717752546499</v>
      </c>
      <c r="I513">
        <v>1</v>
      </c>
      <c r="J513">
        <v>8.9547712000000002E-2</v>
      </c>
      <c r="P513"/>
      <c r="V513">
        <v>0.378347806561522</v>
      </c>
      <c r="W513">
        <v>1</v>
      </c>
      <c r="X513">
        <v>504.75912051900002</v>
      </c>
      <c r="Y513">
        <v>21</v>
      </c>
      <c r="Z513">
        <v>8.7754381654914192E-3</v>
      </c>
      <c r="AA513">
        <v>17</v>
      </c>
    </row>
    <row r="514" spans="1:27" x14ac:dyDescent="0.2">
      <c r="A514">
        <v>20</v>
      </c>
      <c r="B514">
        <v>1</v>
      </c>
      <c r="C514">
        <v>0.3</v>
      </c>
      <c r="D514">
        <v>20</v>
      </c>
      <c r="E514">
        <v>0.31558587871612398</v>
      </c>
      <c r="F514">
        <v>1</v>
      </c>
      <c r="G514">
        <v>43.548262326</v>
      </c>
      <c r="H514">
        <v>0.315587905961973</v>
      </c>
      <c r="I514">
        <v>1</v>
      </c>
      <c r="J514">
        <v>0.22585616</v>
      </c>
      <c r="P514"/>
      <c r="V514">
        <v>0.26627128744136602</v>
      </c>
      <c r="W514">
        <v>1</v>
      </c>
      <c r="X514">
        <v>15001.405284744</v>
      </c>
      <c r="Y514">
        <v>15321</v>
      </c>
      <c r="Z514">
        <v>9.0165430725601594E-3</v>
      </c>
      <c r="AA514">
        <v>41</v>
      </c>
    </row>
    <row r="515" spans="1:27" x14ac:dyDescent="0.2">
      <c r="A515">
        <v>20</v>
      </c>
      <c r="B515">
        <v>1</v>
      </c>
      <c r="C515">
        <v>0.3</v>
      </c>
      <c r="D515">
        <v>20</v>
      </c>
      <c r="E515">
        <v>6.3199351910153606E-2</v>
      </c>
      <c r="F515">
        <v>1</v>
      </c>
      <c r="G515">
        <v>44.230652620000001</v>
      </c>
      <c r="H515">
        <v>9.18501570839583E-2</v>
      </c>
      <c r="I515">
        <v>1</v>
      </c>
      <c r="J515">
        <v>0.49631302799999999</v>
      </c>
      <c r="P515"/>
      <c r="V515">
        <v>7.2849243536449004E-2</v>
      </c>
      <c r="W515">
        <v>1</v>
      </c>
      <c r="X515">
        <v>21816.004642617001</v>
      </c>
      <c r="Y515">
        <v>3639</v>
      </c>
      <c r="Z515">
        <v>8.3500123127508898E-3</v>
      </c>
      <c r="AA515">
        <v>30</v>
      </c>
    </row>
    <row r="516" spans="1:27" x14ac:dyDescent="0.2">
      <c r="A516">
        <v>20</v>
      </c>
      <c r="B516">
        <v>1</v>
      </c>
      <c r="C516">
        <v>0.3</v>
      </c>
      <c r="D516">
        <v>20</v>
      </c>
      <c r="E516">
        <v>0.16816142819708499</v>
      </c>
      <c r="F516">
        <v>1</v>
      </c>
      <c r="G516">
        <v>34.267720529999998</v>
      </c>
      <c r="H516">
        <v>0.133509579017657</v>
      </c>
      <c r="I516">
        <v>1</v>
      </c>
      <c r="J516">
        <v>0.184511801</v>
      </c>
      <c r="P516"/>
      <c r="V516">
        <v>0.116006098877615</v>
      </c>
      <c r="W516">
        <v>1</v>
      </c>
      <c r="X516">
        <v>34763.694506458</v>
      </c>
      <c r="Y516">
        <v>20230</v>
      </c>
      <c r="Z516">
        <v>8.6764979099373998E-3</v>
      </c>
      <c r="AA516">
        <v>21</v>
      </c>
    </row>
    <row r="517" spans="1:27" x14ac:dyDescent="0.2">
      <c r="A517">
        <v>20</v>
      </c>
      <c r="B517">
        <v>1</v>
      </c>
      <c r="C517">
        <v>0.2</v>
      </c>
      <c r="D517">
        <v>20</v>
      </c>
      <c r="E517">
        <v>0.139657760142332</v>
      </c>
      <c r="F517">
        <v>1</v>
      </c>
      <c r="G517">
        <v>29.442254648999999</v>
      </c>
      <c r="H517">
        <v>0.14985307738853701</v>
      </c>
      <c r="I517">
        <v>1</v>
      </c>
      <c r="J517">
        <v>0.105454491</v>
      </c>
      <c r="P517"/>
      <c r="V517">
        <v>0.12825250923300299</v>
      </c>
      <c r="W517">
        <v>1</v>
      </c>
      <c r="X517">
        <v>642.17886096999996</v>
      </c>
      <c r="Y517">
        <v>714</v>
      </c>
      <c r="Z517">
        <v>8.5605766390319804E-3</v>
      </c>
      <c r="AA517">
        <v>7</v>
      </c>
    </row>
    <row r="518" spans="1:27" x14ac:dyDescent="0.2">
      <c r="A518">
        <v>20</v>
      </c>
      <c r="B518">
        <v>1</v>
      </c>
      <c r="C518">
        <v>0.3</v>
      </c>
      <c r="D518">
        <v>20</v>
      </c>
      <c r="E518">
        <v>6.0068632001886502E-2</v>
      </c>
      <c r="F518">
        <v>1</v>
      </c>
      <c r="G518">
        <v>31.843991813999999</v>
      </c>
      <c r="H518">
        <v>7.8298038296025593E-2</v>
      </c>
      <c r="I518">
        <v>1</v>
      </c>
      <c r="J518">
        <v>0.14512067200000001</v>
      </c>
      <c r="P518"/>
      <c r="V518">
        <v>5.6616855879845898E-2</v>
      </c>
      <c r="W518">
        <v>1</v>
      </c>
      <c r="X518">
        <v>2284.4849979340001</v>
      </c>
      <c r="Y518">
        <v>946</v>
      </c>
      <c r="Z518">
        <v>9.5606261667051592E-3</v>
      </c>
      <c r="AA518">
        <v>21</v>
      </c>
    </row>
    <row r="519" spans="1:27" x14ac:dyDescent="0.2">
      <c r="A519">
        <v>20</v>
      </c>
      <c r="B519">
        <v>1</v>
      </c>
      <c r="C519">
        <v>0.3</v>
      </c>
      <c r="D519">
        <v>20</v>
      </c>
      <c r="E519">
        <v>8.5471148446889203E-2</v>
      </c>
      <c r="F519">
        <v>1</v>
      </c>
      <c r="G519">
        <v>35.916156090000001</v>
      </c>
      <c r="H519">
        <v>9.7541357191519601E-2</v>
      </c>
      <c r="I519">
        <v>1</v>
      </c>
      <c r="J519">
        <v>0.24023422999999999</v>
      </c>
      <c r="P519"/>
      <c r="V519">
        <v>7.7062759465192393E-2</v>
      </c>
      <c r="W519">
        <v>1</v>
      </c>
      <c r="X519">
        <v>12745.413801647999</v>
      </c>
      <c r="Y519">
        <v>19150</v>
      </c>
      <c r="Z519">
        <v>9.5924629990529198E-3</v>
      </c>
      <c r="AA519">
        <v>14</v>
      </c>
    </row>
    <row r="520" spans="1:27" x14ac:dyDescent="0.2">
      <c r="A520">
        <v>20</v>
      </c>
      <c r="B520">
        <v>1</v>
      </c>
      <c r="C520">
        <v>0.2</v>
      </c>
      <c r="D520">
        <v>20</v>
      </c>
      <c r="E520">
        <v>0.21109033407284999</v>
      </c>
      <c r="F520">
        <v>1</v>
      </c>
      <c r="G520">
        <v>29.127829165000001</v>
      </c>
      <c r="H520">
        <v>0.21621902972304399</v>
      </c>
      <c r="I520">
        <v>1</v>
      </c>
      <c r="J520">
        <v>7.6801016E-2</v>
      </c>
      <c r="P520"/>
      <c r="V520">
        <v>0.21134741863499401</v>
      </c>
      <c r="W520">
        <v>1</v>
      </c>
      <c r="X520">
        <v>26057.278728583999</v>
      </c>
      <c r="Y520">
        <v>10910</v>
      </c>
      <c r="Z520">
        <v>8.9298181746837405E-3</v>
      </c>
      <c r="AA520">
        <v>24</v>
      </c>
    </row>
    <row r="521" spans="1:27" x14ac:dyDescent="0.2">
      <c r="A521">
        <v>20</v>
      </c>
      <c r="B521">
        <v>1</v>
      </c>
      <c r="C521">
        <v>0.3</v>
      </c>
      <c r="D521">
        <v>20</v>
      </c>
      <c r="E521">
        <v>7.9882970914270907E-2</v>
      </c>
      <c r="F521">
        <v>1</v>
      </c>
      <c r="G521">
        <v>32.736342286000003</v>
      </c>
      <c r="H521">
        <v>0.102352444768482</v>
      </c>
      <c r="I521">
        <v>1</v>
      </c>
      <c r="J521">
        <v>0.116368096</v>
      </c>
      <c r="P521"/>
      <c r="V521">
        <v>7.4789988041990399E-2</v>
      </c>
      <c r="W521">
        <v>1</v>
      </c>
      <c r="X521">
        <v>831.16462341500005</v>
      </c>
      <c r="Y521">
        <v>169</v>
      </c>
      <c r="Z521">
        <v>9.1776087707597896E-3</v>
      </c>
      <c r="AA521">
        <v>15</v>
      </c>
    </row>
    <row r="522" spans="1:27" x14ac:dyDescent="0.2">
      <c r="A522">
        <v>20</v>
      </c>
      <c r="B522">
        <v>1</v>
      </c>
      <c r="C522">
        <v>0.1</v>
      </c>
      <c r="D522">
        <v>20</v>
      </c>
      <c r="E522">
        <v>0.51736622297388202</v>
      </c>
      <c r="F522">
        <v>1</v>
      </c>
      <c r="G522">
        <v>34.039831292999999</v>
      </c>
      <c r="H522">
        <v>0.48218688832538897</v>
      </c>
      <c r="I522">
        <v>1</v>
      </c>
      <c r="J522">
        <v>0.66199941299999998</v>
      </c>
      <c r="P522"/>
      <c r="V522">
        <v>0.46019154023896303</v>
      </c>
      <c r="W522">
        <v>1</v>
      </c>
      <c r="X522">
        <v>77.739566938999999</v>
      </c>
      <c r="Y522">
        <v>107</v>
      </c>
      <c r="Z522">
        <v>9.3293619531103194E-3</v>
      </c>
      <c r="AA522">
        <v>1</v>
      </c>
    </row>
    <row r="523" spans="1:27" x14ac:dyDescent="0.2">
      <c r="A523">
        <v>20</v>
      </c>
      <c r="B523">
        <v>1</v>
      </c>
      <c r="C523">
        <v>0.3</v>
      </c>
      <c r="D523">
        <v>20</v>
      </c>
      <c r="E523">
        <v>6.7220928343614997E-2</v>
      </c>
      <c r="F523">
        <v>1</v>
      </c>
      <c r="G523">
        <v>33.949898609999998</v>
      </c>
      <c r="H523">
        <v>9.42818935703304E-2</v>
      </c>
      <c r="I523">
        <v>1</v>
      </c>
      <c r="J523">
        <v>7.6839340000000006E-2</v>
      </c>
      <c r="P523"/>
      <c r="V523">
        <v>7.2648315623291604E-2</v>
      </c>
      <c r="W523">
        <v>1</v>
      </c>
      <c r="X523">
        <v>655.90610480199996</v>
      </c>
      <c r="Y523">
        <v>537</v>
      </c>
      <c r="Z523">
        <v>3.26896536106702E-3</v>
      </c>
      <c r="AA523">
        <v>6</v>
      </c>
    </row>
    <row r="524" spans="1:27" x14ac:dyDescent="0.2">
      <c r="A524">
        <v>10</v>
      </c>
      <c r="B524">
        <v>3</v>
      </c>
      <c r="C524">
        <v>0.2</v>
      </c>
      <c r="D524">
        <v>100</v>
      </c>
      <c r="E524">
        <v>1.3177731404817199</v>
      </c>
      <c r="F524">
        <v>3</v>
      </c>
      <c r="G524">
        <v>25.652591375</v>
      </c>
      <c r="H524">
        <v>0.967196572492666</v>
      </c>
      <c r="I524">
        <v>3</v>
      </c>
      <c r="J524">
        <v>0.55991943399999999</v>
      </c>
      <c r="P524"/>
      <c r="V524">
        <v>0.93786709749431696</v>
      </c>
      <c r="W524">
        <v>3</v>
      </c>
      <c r="X524">
        <v>305457.58640057797</v>
      </c>
      <c r="Y524">
        <v>83711</v>
      </c>
      <c r="Z524">
        <v>1.6003368823232399E-2</v>
      </c>
      <c r="AA524">
        <v>50</v>
      </c>
    </row>
    <row r="525" spans="1:27" x14ac:dyDescent="0.2">
      <c r="A525">
        <v>10</v>
      </c>
      <c r="B525">
        <v>3</v>
      </c>
      <c r="C525">
        <v>0.3</v>
      </c>
      <c r="D525">
        <v>100</v>
      </c>
      <c r="E525">
        <v>0.869256502093945</v>
      </c>
      <c r="F525">
        <v>3</v>
      </c>
      <c r="G525">
        <v>27.323667065999999</v>
      </c>
      <c r="H525">
        <v>0.85614995441464303</v>
      </c>
      <c r="I525">
        <v>3</v>
      </c>
      <c r="J525">
        <v>0.371391321</v>
      </c>
      <c r="P525"/>
      <c r="V525">
        <v>0.85642748339901698</v>
      </c>
      <c r="W525">
        <v>3</v>
      </c>
      <c r="X525">
        <v>303058.39856274601</v>
      </c>
      <c r="Y525">
        <v>45369</v>
      </c>
      <c r="Z525">
        <v>1.2398605509415199E-2</v>
      </c>
      <c r="AA525">
        <v>50</v>
      </c>
    </row>
    <row r="526" spans="1:27" x14ac:dyDescent="0.2">
      <c r="A526">
        <v>10</v>
      </c>
      <c r="B526">
        <v>3</v>
      </c>
      <c r="C526">
        <v>0.1</v>
      </c>
      <c r="D526">
        <v>20</v>
      </c>
      <c r="E526">
        <v>0.93746988936005704</v>
      </c>
      <c r="F526">
        <v>3</v>
      </c>
      <c r="G526">
        <v>28.786145619999999</v>
      </c>
      <c r="H526">
        <v>0.93510900525839602</v>
      </c>
      <c r="I526">
        <v>3</v>
      </c>
      <c r="J526">
        <v>0.122740868</v>
      </c>
      <c r="P526"/>
      <c r="V526">
        <v>0.95134041381469303</v>
      </c>
      <c r="W526">
        <v>3</v>
      </c>
      <c r="X526">
        <v>1550.368355202</v>
      </c>
      <c r="Y526">
        <v>19472</v>
      </c>
      <c r="Z526">
        <v>2.5299599305679899E-3</v>
      </c>
      <c r="AA526">
        <v>3</v>
      </c>
    </row>
    <row r="527" spans="1:27" x14ac:dyDescent="0.2">
      <c r="A527">
        <v>10</v>
      </c>
      <c r="B527">
        <v>2</v>
      </c>
      <c r="C527">
        <v>0.2</v>
      </c>
      <c r="D527">
        <v>100</v>
      </c>
      <c r="E527">
        <v>0.93056501669672098</v>
      </c>
      <c r="F527">
        <v>2</v>
      </c>
      <c r="G527">
        <v>36.960978023000003</v>
      </c>
      <c r="H527">
        <v>0.95080010738820397</v>
      </c>
      <c r="I527">
        <v>2</v>
      </c>
      <c r="J527">
        <v>0.19443042299999999</v>
      </c>
      <c r="P527"/>
      <c r="V527">
        <v>0.96087740289278201</v>
      </c>
      <c r="W527">
        <v>2</v>
      </c>
      <c r="X527">
        <v>198.65919636800001</v>
      </c>
      <c r="Y527">
        <v>5280</v>
      </c>
      <c r="Z527">
        <v>1.24500580724132E-3</v>
      </c>
      <c r="AA527">
        <v>3</v>
      </c>
    </row>
    <row r="528" spans="1:27" x14ac:dyDescent="0.2">
      <c r="A528">
        <v>10</v>
      </c>
      <c r="B528">
        <v>2</v>
      </c>
      <c r="C528">
        <v>0.1</v>
      </c>
      <c r="D528">
        <v>100</v>
      </c>
      <c r="E528">
        <v>0.97692393981054304</v>
      </c>
      <c r="F528">
        <v>2</v>
      </c>
      <c r="G528">
        <v>38.837134673999998</v>
      </c>
      <c r="H528">
        <v>0.97262538687357802</v>
      </c>
      <c r="I528">
        <v>2</v>
      </c>
      <c r="J528">
        <v>7.7113208000000003E-2</v>
      </c>
      <c r="P528"/>
      <c r="V528">
        <v>0.98950311354128995</v>
      </c>
      <c r="W528">
        <v>2</v>
      </c>
      <c r="X528">
        <v>508.08965253899999</v>
      </c>
      <c r="Y528">
        <v>48307</v>
      </c>
      <c r="Z528" s="1">
        <v>6.0092326748417602E-5</v>
      </c>
      <c r="AA528">
        <v>2</v>
      </c>
    </row>
    <row r="529" spans="1:27" x14ac:dyDescent="0.2">
      <c r="A529">
        <v>10</v>
      </c>
      <c r="B529">
        <v>2</v>
      </c>
      <c r="C529">
        <v>0.1</v>
      </c>
      <c r="D529">
        <v>100</v>
      </c>
      <c r="E529">
        <v>0.99317374168317596</v>
      </c>
      <c r="F529">
        <v>2</v>
      </c>
      <c r="G529">
        <v>39.979453262</v>
      </c>
      <c r="H529">
        <v>0.97745354334223999</v>
      </c>
      <c r="I529">
        <v>2</v>
      </c>
      <c r="J529">
        <v>0.38074965399999999</v>
      </c>
      <c r="P529"/>
      <c r="V529">
        <v>0.98253356038317996</v>
      </c>
      <c r="W529">
        <v>2</v>
      </c>
      <c r="X529">
        <v>61.619322705999998</v>
      </c>
      <c r="Y529">
        <v>0</v>
      </c>
      <c r="Z529">
        <v>2.5867109051640701E-4</v>
      </c>
      <c r="AA529">
        <v>2</v>
      </c>
    </row>
    <row r="530" spans="1:27" x14ac:dyDescent="0.2">
      <c r="A530">
        <v>10</v>
      </c>
      <c r="B530">
        <v>2</v>
      </c>
      <c r="C530">
        <v>0.2</v>
      </c>
      <c r="D530">
        <v>100</v>
      </c>
      <c r="E530">
        <v>1.1789271896922999</v>
      </c>
      <c r="F530">
        <v>2</v>
      </c>
      <c r="G530">
        <v>39.680122353000002</v>
      </c>
      <c r="H530">
        <v>0.86600887327423604</v>
      </c>
      <c r="I530">
        <v>2</v>
      </c>
      <c r="J530">
        <v>0.74553342199999995</v>
      </c>
      <c r="P530"/>
      <c r="V530">
        <v>0.86625364814512096</v>
      </c>
      <c r="W530">
        <v>2</v>
      </c>
      <c r="X530">
        <v>57.319392475000001</v>
      </c>
      <c r="Y530">
        <v>795</v>
      </c>
      <c r="Z530">
        <v>5.6004588877840399E-3</v>
      </c>
      <c r="AA530">
        <v>1</v>
      </c>
    </row>
    <row r="531" spans="1:27" x14ac:dyDescent="0.2">
      <c r="A531">
        <v>10</v>
      </c>
      <c r="B531">
        <v>2</v>
      </c>
      <c r="C531">
        <v>0.2</v>
      </c>
      <c r="D531">
        <v>100</v>
      </c>
      <c r="E531">
        <v>0.75656201154650904</v>
      </c>
      <c r="F531">
        <v>2</v>
      </c>
      <c r="G531">
        <v>30.462628915</v>
      </c>
      <c r="H531">
        <v>0.77513769634864005</v>
      </c>
      <c r="I531">
        <v>2</v>
      </c>
      <c r="J531">
        <v>8.4711325000000004E-2</v>
      </c>
      <c r="P531"/>
      <c r="V531">
        <v>0.77442250404398405</v>
      </c>
      <c r="W531">
        <v>2</v>
      </c>
      <c r="X531">
        <v>53.264943848999998</v>
      </c>
      <c r="Y531">
        <v>894</v>
      </c>
      <c r="Z531">
        <v>2.6601409530415598E-3</v>
      </c>
      <c r="AA531">
        <v>1</v>
      </c>
    </row>
    <row r="532" spans="1:27" x14ac:dyDescent="0.2">
      <c r="A532">
        <v>10</v>
      </c>
      <c r="B532">
        <v>2</v>
      </c>
      <c r="C532">
        <v>0.1</v>
      </c>
      <c r="D532">
        <v>100</v>
      </c>
      <c r="E532">
        <v>0.91162915229772901</v>
      </c>
      <c r="F532">
        <v>2</v>
      </c>
      <c r="G532">
        <v>37.993606069999998</v>
      </c>
      <c r="H532">
        <v>0.91452552407796806</v>
      </c>
      <c r="I532">
        <v>2</v>
      </c>
      <c r="J532">
        <v>6.7482272999999995E-2</v>
      </c>
      <c r="P532"/>
      <c r="V532">
        <v>0.908279232646374</v>
      </c>
      <c r="W532">
        <v>2</v>
      </c>
      <c r="X532">
        <v>657.52182755499996</v>
      </c>
      <c r="Y532">
        <v>30685</v>
      </c>
      <c r="Z532">
        <v>8.5345776893791005E-3</v>
      </c>
      <c r="AA532">
        <v>2</v>
      </c>
    </row>
    <row r="533" spans="1:27" x14ac:dyDescent="0.2">
      <c r="A533">
        <v>10</v>
      </c>
      <c r="B533">
        <v>2</v>
      </c>
      <c r="C533">
        <v>0.1</v>
      </c>
      <c r="D533">
        <v>100</v>
      </c>
      <c r="E533">
        <v>0.92848209137847504</v>
      </c>
      <c r="F533">
        <v>2</v>
      </c>
      <c r="G533">
        <v>34.670806439000003</v>
      </c>
      <c r="H533">
        <v>0.92823174876350101</v>
      </c>
      <c r="I533">
        <v>2</v>
      </c>
      <c r="J533">
        <v>0.107526644</v>
      </c>
      <c r="P533"/>
      <c r="V533">
        <v>0.895032386912748</v>
      </c>
      <c r="W533">
        <v>2</v>
      </c>
      <c r="X533">
        <v>2754.3614166490001</v>
      </c>
      <c r="Y533">
        <v>61176</v>
      </c>
      <c r="Z533">
        <v>8.4370094608225994E-3</v>
      </c>
      <c r="AA533">
        <v>4</v>
      </c>
    </row>
    <row r="534" spans="1:27" x14ac:dyDescent="0.2">
      <c r="A534">
        <v>20</v>
      </c>
      <c r="B534">
        <v>1</v>
      </c>
      <c r="C534">
        <v>0.2</v>
      </c>
      <c r="D534">
        <v>20</v>
      </c>
      <c r="E534">
        <v>0.25485896372487199</v>
      </c>
      <c r="F534">
        <v>1</v>
      </c>
      <c r="G534">
        <v>35.966345834999998</v>
      </c>
      <c r="H534">
        <v>0.18911760316225201</v>
      </c>
      <c r="I534">
        <v>1</v>
      </c>
      <c r="J534">
        <v>0.208520282</v>
      </c>
      <c r="P534"/>
      <c r="V534">
        <v>0.16104144056293099</v>
      </c>
      <c r="W534">
        <v>1</v>
      </c>
      <c r="X534">
        <v>42495.001083930001</v>
      </c>
      <c r="Y534">
        <v>27238</v>
      </c>
      <c r="Z534">
        <v>6.0096451712320304E-3</v>
      </c>
      <c r="AA534">
        <v>18</v>
      </c>
    </row>
    <row r="535" spans="1:27" x14ac:dyDescent="0.2">
      <c r="A535">
        <v>10</v>
      </c>
      <c r="B535">
        <v>3</v>
      </c>
      <c r="C535">
        <v>0.1</v>
      </c>
      <c r="D535">
        <v>100</v>
      </c>
      <c r="E535">
        <v>0.96371530439858999</v>
      </c>
      <c r="F535">
        <v>3</v>
      </c>
      <c r="G535">
        <v>34.803337036999999</v>
      </c>
      <c r="H535">
        <v>0.96371567540290204</v>
      </c>
      <c r="I535">
        <v>3</v>
      </c>
      <c r="J535">
        <v>6.7903089E-2</v>
      </c>
      <c r="P535"/>
      <c r="V535">
        <v>0.99452784229081703</v>
      </c>
      <c r="W535">
        <v>3</v>
      </c>
      <c r="X535">
        <v>1219.9376252229999</v>
      </c>
      <c r="Y535">
        <v>63275</v>
      </c>
      <c r="Z535">
        <v>3.2146033524979101E-3</v>
      </c>
      <c r="AA535">
        <v>1</v>
      </c>
    </row>
    <row r="536" spans="1:27" x14ac:dyDescent="0.2">
      <c r="A536">
        <v>10</v>
      </c>
      <c r="B536">
        <v>3</v>
      </c>
      <c r="C536">
        <v>0.2</v>
      </c>
      <c r="D536">
        <v>100</v>
      </c>
      <c r="E536">
        <v>0.90990297494851002</v>
      </c>
      <c r="F536">
        <v>3</v>
      </c>
      <c r="G536">
        <v>37.315808967000002</v>
      </c>
      <c r="H536">
        <v>0.80410669425463099</v>
      </c>
      <c r="I536">
        <v>3</v>
      </c>
      <c r="J536">
        <v>0.56096804899999997</v>
      </c>
      <c r="P536"/>
      <c r="V536">
        <v>0.99187077369381305</v>
      </c>
      <c r="W536">
        <v>3</v>
      </c>
      <c r="X536">
        <v>1224.226133119</v>
      </c>
      <c r="Y536">
        <v>39274</v>
      </c>
      <c r="Z536">
        <v>1.18334568243325E-3</v>
      </c>
      <c r="AA536">
        <v>1</v>
      </c>
    </row>
    <row r="537" spans="1:27" x14ac:dyDescent="0.2">
      <c r="A537">
        <v>10</v>
      </c>
      <c r="B537">
        <v>3</v>
      </c>
      <c r="C537">
        <v>0.2</v>
      </c>
      <c r="D537">
        <v>100</v>
      </c>
      <c r="E537">
        <v>0.89199878022620804</v>
      </c>
      <c r="F537">
        <v>3</v>
      </c>
      <c r="G537">
        <v>44.871006561000002</v>
      </c>
      <c r="H537">
        <v>0.90694901144317996</v>
      </c>
      <c r="I537">
        <v>3</v>
      </c>
      <c r="J537">
        <v>0.38665713600000001</v>
      </c>
      <c r="P537"/>
      <c r="V537">
        <v>0.90714778861911904</v>
      </c>
      <c r="W537">
        <v>3</v>
      </c>
      <c r="X537">
        <v>40.392598290000002</v>
      </c>
      <c r="Y537">
        <v>1</v>
      </c>
      <c r="Z537">
        <v>5.9148430591449098E-4</v>
      </c>
      <c r="AA537">
        <v>1</v>
      </c>
    </row>
    <row r="538" spans="1:27" x14ac:dyDescent="0.2">
      <c r="A538">
        <v>10</v>
      </c>
      <c r="B538">
        <v>3</v>
      </c>
      <c r="C538">
        <v>0.1</v>
      </c>
      <c r="D538">
        <v>100</v>
      </c>
      <c r="E538">
        <v>1.2392518400869199</v>
      </c>
      <c r="F538">
        <v>3</v>
      </c>
      <c r="G538">
        <v>45.882640391000002</v>
      </c>
      <c r="H538">
        <v>1.0290433071937499</v>
      </c>
      <c r="I538">
        <v>3</v>
      </c>
      <c r="J538">
        <v>0.33667366399999998</v>
      </c>
      <c r="P538"/>
      <c r="V538">
        <v>1.0037820694095601</v>
      </c>
      <c r="W538">
        <v>3</v>
      </c>
      <c r="X538">
        <v>305.57309994299999</v>
      </c>
      <c r="Y538">
        <v>34149</v>
      </c>
      <c r="Z538" s="1">
        <v>3.90448620468351E-5</v>
      </c>
      <c r="AA538">
        <v>1</v>
      </c>
    </row>
    <row r="539" spans="1:27" x14ac:dyDescent="0.2">
      <c r="A539">
        <v>10</v>
      </c>
      <c r="B539">
        <v>3</v>
      </c>
      <c r="C539">
        <v>0.1</v>
      </c>
      <c r="D539">
        <v>100</v>
      </c>
      <c r="E539">
        <v>0.92901050114566897</v>
      </c>
      <c r="F539">
        <v>3</v>
      </c>
      <c r="G539">
        <v>40.890298872999999</v>
      </c>
      <c r="H539">
        <v>0.93695428614962695</v>
      </c>
      <c r="I539">
        <v>3</v>
      </c>
      <c r="J539">
        <v>0.10044787400000001</v>
      </c>
      <c r="P539"/>
      <c r="V539">
        <v>0.93807901646346004</v>
      </c>
      <c r="W539">
        <v>3</v>
      </c>
      <c r="X539">
        <v>1224.825031076</v>
      </c>
      <c r="Y539">
        <v>77904</v>
      </c>
      <c r="Z539">
        <v>1.6451653112859799E-3</v>
      </c>
      <c r="AA539">
        <v>1</v>
      </c>
    </row>
    <row r="540" spans="1:27" x14ac:dyDescent="0.2">
      <c r="A540">
        <v>10</v>
      </c>
      <c r="B540">
        <v>3</v>
      </c>
      <c r="C540">
        <v>0.2</v>
      </c>
      <c r="D540">
        <v>100</v>
      </c>
      <c r="E540">
        <v>1.04939500886574</v>
      </c>
      <c r="F540">
        <v>3</v>
      </c>
      <c r="G540">
        <v>36.944859596000001</v>
      </c>
      <c r="H540">
        <v>0.974725468919168</v>
      </c>
      <c r="I540">
        <v>3</v>
      </c>
      <c r="J540">
        <v>0.86993465999999997</v>
      </c>
      <c r="P540"/>
      <c r="V540">
        <v>0.97481233982251003</v>
      </c>
      <c r="W540">
        <v>3</v>
      </c>
      <c r="X540">
        <v>1232.718040213</v>
      </c>
      <c r="Y540">
        <v>42652</v>
      </c>
      <c r="Z540">
        <v>6.5918821916863598E-3</v>
      </c>
      <c r="AA540">
        <v>1</v>
      </c>
    </row>
    <row r="541" spans="1:27" x14ac:dyDescent="0.2">
      <c r="A541">
        <v>10</v>
      </c>
      <c r="B541">
        <v>3</v>
      </c>
      <c r="C541">
        <v>0.1</v>
      </c>
      <c r="D541">
        <v>100</v>
      </c>
      <c r="E541">
        <v>0.969508733960038</v>
      </c>
      <c r="F541">
        <v>3</v>
      </c>
      <c r="G541">
        <v>37.372948188999999</v>
      </c>
      <c r="H541">
        <v>0.96950669706728998</v>
      </c>
      <c r="I541">
        <v>3</v>
      </c>
      <c r="J541">
        <v>4.9585786E-2</v>
      </c>
      <c r="P541"/>
      <c r="V541">
        <v>0.96950730090098503</v>
      </c>
      <c r="W541">
        <v>3</v>
      </c>
      <c r="X541">
        <v>1222.8759561700001</v>
      </c>
      <c r="Y541">
        <v>37580</v>
      </c>
      <c r="Z541">
        <v>9.6520287613289103E-4</v>
      </c>
      <c r="AA541">
        <v>1</v>
      </c>
    </row>
    <row r="542" spans="1:27" x14ac:dyDescent="0.2">
      <c r="A542">
        <v>10</v>
      </c>
      <c r="B542">
        <v>3</v>
      </c>
      <c r="C542">
        <v>0.3</v>
      </c>
      <c r="D542">
        <v>100</v>
      </c>
      <c r="E542">
        <v>1.0323108768090601</v>
      </c>
      <c r="F542">
        <v>3</v>
      </c>
      <c r="G542">
        <v>37.788999902999997</v>
      </c>
      <c r="H542">
        <v>0.922904953667811</v>
      </c>
      <c r="I542">
        <v>3</v>
      </c>
      <c r="J542">
        <v>0.57752064700000005</v>
      </c>
      <c r="P542"/>
      <c r="V542">
        <v>0.922920504874984</v>
      </c>
      <c r="W542">
        <v>3</v>
      </c>
      <c r="X542">
        <v>1228.8080722489999</v>
      </c>
      <c r="Y542">
        <v>24184</v>
      </c>
      <c r="Z542">
        <v>2.7200293597507402E-3</v>
      </c>
      <c r="AA542">
        <v>1</v>
      </c>
    </row>
    <row r="543" spans="1:27" x14ac:dyDescent="0.2">
      <c r="A543">
        <v>10</v>
      </c>
      <c r="B543">
        <v>3</v>
      </c>
      <c r="C543">
        <v>0.2</v>
      </c>
      <c r="D543">
        <v>100</v>
      </c>
      <c r="E543">
        <v>0.97916100650541604</v>
      </c>
      <c r="F543">
        <v>3</v>
      </c>
      <c r="G543">
        <v>31.508103363</v>
      </c>
      <c r="H543">
        <v>1.00884949844617</v>
      </c>
      <c r="I543">
        <v>3</v>
      </c>
      <c r="J543">
        <v>0.133708252</v>
      </c>
      <c r="P543"/>
      <c r="V543">
        <v>1.06356511310377</v>
      </c>
      <c r="W543">
        <v>3</v>
      </c>
      <c r="X543">
        <v>116.535521098</v>
      </c>
      <c r="Y543">
        <v>7195</v>
      </c>
      <c r="Z543">
        <v>3.7860357361971199E-4</v>
      </c>
      <c r="AA543">
        <v>1</v>
      </c>
    </row>
    <row r="544" spans="1:27" x14ac:dyDescent="0.2">
      <c r="A544">
        <v>10</v>
      </c>
      <c r="B544">
        <v>3</v>
      </c>
      <c r="C544">
        <v>0.1</v>
      </c>
      <c r="D544">
        <v>100</v>
      </c>
      <c r="E544">
        <v>0.94472510261077902</v>
      </c>
      <c r="F544">
        <v>3</v>
      </c>
      <c r="G544">
        <v>37.324212367000001</v>
      </c>
      <c r="H544">
        <v>0.95273213904041998</v>
      </c>
      <c r="I544">
        <v>3</v>
      </c>
      <c r="J544">
        <v>9.4004154000000006E-2</v>
      </c>
      <c r="P544"/>
      <c r="V544">
        <v>0.99466879494232896</v>
      </c>
      <c r="W544">
        <v>3</v>
      </c>
      <c r="X544">
        <v>1283.22044682</v>
      </c>
      <c r="Y544">
        <v>5009</v>
      </c>
      <c r="Z544">
        <v>9.97018032268731E-4</v>
      </c>
      <c r="AA544">
        <v>2</v>
      </c>
    </row>
    <row r="545" spans="1:27" x14ac:dyDescent="0.2">
      <c r="A545">
        <v>10</v>
      </c>
      <c r="B545">
        <v>3</v>
      </c>
      <c r="C545">
        <v>0.1</v>
      </c>
      <c r="D545">
        <v>100</v>
      </c>
      <c r="E545">
        <v>0.97708864194144096</v>
      </c>
      <c r="F545">
        <v>3</v>
      </c>
      <c r="G545">
        <v>32.392526932999999</v>
      </c>
      <c r="H545">
        <v>1.0259044481183199</v>
      </c>
      <c r="I545">
        <v>3</v>
      </c>
      <c r="J545">
        <v>0.22671303300000001</v>
      </c>
      <c r="P545"/>
      <c r="V545">
        <v>0.95252270961720398</v>
      </c>
      <c r="W545">
        <v>3</v>
      </c>
      <c r="X545">
        <v>1222.9529165219999</v>
      </c>
      <c r="Y545">
        <v>0</v>
      </c>
      <c r="Z545">
        <v>2.7890035732159799E-4</v>
      </c>
      <c r="AA545">
        <v>2</v>
      </c>
    </row>
    <row r="546" spans="1:27" x14ac:dyDescent="0.2">
      <c r="A546">
        <v>10</v>
      </c>
      <c r="B546">
        <v>3</v>
      </c>
      <c r="C546">
        <v>0.2</v>
      </c>
      <c r="D546">
        <v>100</v>
      </c>
      <c r="E546">
        <v>0.943193159131546</v>
      </c>
      <c r="F546">
        <v>3</v>
      </c>
      <c r="G546">
        <v>39.338824569000003</v>
      </c>
      <c r="H546">
        <v>0.94041717593413199</v>
      </c>
      <c r="I546">
        <v>3</v>
      </c>
      <c r="J546">
        <v>0.201392023</v>
      </c>
      <c r="P546"/>
      <c r="V546">
        <v>0.94251290269451105</v>
      </c>
      <c r="W546">
        <v>3</v>
      </c>
      <c r="X546">
        <v>1226.64684876</v>
      </c>
      <c r="Y546">
        <v>28357</v>
      </c>
      <c r="Z546">
        <v>3.0573836484108999E-3</v>
      </c>
      <c r="AA546">
        <v>1</v>
      </c>
    </row>
    <row r="547" spans="1:27" x14ac:dyDescent="0.2">
      <c r="A547">
        <v>10</v>
      </c>
      <c r="B547">
        <v>3</v>
      </c>
      <c r="C547">
        <v>0.1</v>
      </c>
      <c r="D547">
        <v>100</v>
      </c>
      <c r="E547">
        <v>0.96880165918223704</v>
      </c>
      <c r="F547">
        <v>3</v>
      </c>
      <c r="G547">
        <v>34.704451763000002</v>
      </c>
      <c r="H547">
        <v>0.96285068811609997</v>
      </c>
      <c r="I547">
        <v>3</v>
      </c>
      <c r="J547">
        <v>0.289494896</v>
      </c>
      <c r="P547"/>
      <c r="V547">
        <v>1.00017824622133</v>
      </c>
      <c r="W547">
        <v>3</v>
      </c>
      <c r="X547">
        <v>1281.1494677170001</v>
      </c>
      <c r="Y547">
        <v>9048</v>
      </c>
      <c r="Z547">
        <v>5.0882416599907897E-3</v>
      </c>
      <c r="AA547">
        <v>2</v>
      </c>
    </row>
    <row r="548" spans="1:27" x14ac:dyDescent="0.2">
      <c r="A548">
        <v>10</v>
      </c>
      <c r="B548">
        <v>3</v>
      </c>
      <c r="C548">
        <v>0.2</v>
      </c>
      <c r="D548">
        <v>100</v>
      </c>
      <c r="E548">
        <v>1.00274465220432</v>
      </c>
      <c r="F548">
        <v>3</v>
      </c>
      <c r="G548">
        <v>31.464253165999999</v>
      </c>
      <c r="H548">
        <v>1.00205999080567</v>
      </c>
      <c r="I548">
        <v>3</v>
      </c>
      <c r="J548">
        <v>6.8727794999999994E-2</v>
      </c>
      <c r="P548"/>
      <c r="V548">
        <v>1.0022811480491101</v>
      </c>
      <c r="W548">
        <v>3</v>
      </c>
      <c r="X548">
        <v>1220.4737092509999</v>
      </c>
      <c r="Y548">
        <v>34317</v>
      </c>
      <c r="Z548">
        <v>2.2030939208003602E-3</v>
      </c>
      <c r="AA548">
        <v>1</v>
      </c>
    </row>
    <row r="549" spans="1:27" x14ac:dyDescent="0.2">
      <c r="A549">
        <v>10</v>
      </c>
      <c r="B549">
        <v>3</v>
      </c>
      <c r="C549">
        <v>0.2</v>
      </c>
      <c r="D549">
        <v>100</v>
      </c>
      <c r="E549">
        <v>0.95376172268126902</v>
      </c>
      <c r="F549">
        <v>3</v>
      </c>
      <c r="G549">
        <v>33.091468505999998</v>
      </c>
      <c r="H549">
        <v>0.93824158266721702</v>
      </c>
      <c r="I549">
        <v>3</v>
      </c>
      <c r="J549">
        <v>0.31961676100000003</v>
      </c>
      <c r="P549"/>
      <c r="V549">
        <v>0.99153032111407202</v>
      </c>
      <c r="W549">
        <v>3</v>
      </c>
      <c r="X549">
        <v>1223.6859902880001</v>
      </c>
      <c r="Y549">
        <v>51233</v>
      </c>
      <c r="Z549">
        <v>2.2655945197084999E-3</v>
      </c>
      <c r="AA549">
        <v>1</v>
      </c>
    </row>
    <row r="550" spans="1:27" x14ac:dyDescent="0.2">
      <c r="A550">
        <v>10</v>
      </c>
      <c r="B550">
        <v>3</v>
      </c>
      <c r="C550">
        <v>0.2</v>
      </c>
      <c r="D550">
        <v>100</v>
      </c>
      <c r="E550">
        <v>0.99441064472030805</v>
      </c>
      <c r="F550">
        <v>3</v>
      </c>
      <c r="G550">
        <v>31.407509066999999</v>
      </c>
      <c r="H550">
        <v>0.96905818524402099</v>
      </c>
      <c r="I550">
        <v>3</v>
      </c>
      <c r="J550">
        <v>0.14351546100000001</v>
      </c>
      <c r="P550"/>
      <c r="V550">
        <v>0.89371369177655302</v>
      </c>
      <c r="W550">
        <v>3</v>
      </c>
      <c r="X550">
        <v>1600.912836965</v>
      </c>
      <c r="Y550">
        <v>16140</v>
      </c>
      <c r="Z550">
        <v>6.53325272895788E-3</v>
      </c>
      <c r="AA550">
        <v>5</v>
      </c>
    </row>
    <row r="551" spans="1:27" x14ac:dyDescent="0.2">
      <c r="A551">
        <v>10</v>
      </c>
      <c r="B551">
        <v>3</v>
      </c>
      <c r="C551">
        <v>0.1</v>
      </c>
      <c r="D551">
        <v>100</v>
      </c>
      <c r="E551">
        <v>0.99640288753663397</v>
      </c>
      <c r="F551">
        <v>3</v>
      </c>
      <c r="G551">
        <v>35.327389056999998</v>
      </c>
      <c r="H551">
        <v>0.99682522463924605</v>
      </c>
      <c r="I551">
        <v>3</v>
      </c>
      <c r="J551">
        <v>0.110390375</v>
      </c>
      <c r="P551"/>
      <c r="V551">
        <v>0.99715841122245896</v>
      </c>
      <c r="W551">
        <v>3</v>
      </c>
      <c r="X551">
        <v>24.013912996999998</v>
      </c>
      <c r="Y551">
        <v>0</v>
      </c>
      <c r="Z551" s="1">
        <v>4.52060043996914E-5</v>
      </c>
      <c r="AA551">
        <v>1</v>
      </c>
    </row>
    <row r="552" spans="1:27" x14ac:dyDescent="0.2">
      <c r="A552">
        <v>10</v>
      </c>
      <c r="B552">
        <v>3</v>
      </c>
      <c r="C552">
        <v>0.2</v>
      </c>
      <c r="D552">
        <v>100</v>
      </c>
      <c r="E552">
        <v>0.94797099225694703</v>
      </c>
      <c r="F552">
        <v>3</v>
      </c>
      <c r="G552">
        <v>35.895973296000001</v>
      </c>
      <c r="H552">
        <v>0.94765713433505105</v>
      </c>
      <c r="I552">
        <v>3</v>
      </c>
      <c r="J552">
        <v>0.11981702399999999</v>
      </c>
      <c r="P552"/>
      <c r="V552">
        <v>0.94780131583848304</v>
      </c>
      <c r="W552">
        <v>3</v>
      </c>
      <c r="X552">
        <v>1221.3402260759999</v>
      </c>
      <c r="Y552">
        <v>42107</v>
      </c>
      <c r="Z552">
        <v>5.8633113455863802E-3</v>
      </c>
      <c r="AA552">
        <v>1</v>
      </c>
    </row>
    <row r="553" spans="1:27" x14ac:dyDescent="0.2">
      <c r="A553">
        <v>10</v>
      </c>
      <c r="B553">
        <v>3</v>
      </c>
      <c r="C553">
        <v>0.1</v>
      </c>
      <c r="D553">
        <v>100</v>
      </c>
      <c r="E553">
        <v>0.98794873252737903</v>
      </c>
      <c r="F553">
        <v>3</v>
      </c>
      <c r="G553">
        <v>32.617526255000001</v>
      </c>
      <c r="H553">
        <v>1.01544883417851</v>
      </c>
      <c r="I553">
        <v>3</v>
      </c>
      <c r="J553">
        <v>0.22205961399999999</v>
      </c>
      <c r="P553"/>
      <c r="V553">
        <v>0.99765921643939304</v>
      </c>
      <c r="W553">
        <v>3</v>
      </c>
      <c r="X553">
        <v>1225.2438612789999</v>
      </c>
      <c r="Y553">
        <v>0</v>
      </c>
      <c r="Z553">
        <v>1.00651851993161E-3</v>
      </c>
      <c r="AA553">
        <v>2</v>
      </c>
    </row>
    <row r="554" spans="1:27" x14ac:dyDescent="0.2">
      <c r="A554">
        <v>10</v>
      </c>
      <c r="B554">
        <v>3</v>
      </c>
      <c r="C554">
        <v>0.2</v>
      </c>
      <c r="D554">
        <v>100</v>
      </c>
      <c r="E554">
        <v>1.019394446895</v>
      </c>
      <c r="F554">
        <v>3</v>
      </c>
      <c r="G554">
        <v>30.320672376000001</v>
      </c>
      <c r="H554">
        <v>0.95312241063729797</v>
      </c>
      <c r="I554">
        <v>3</v>
      </c>
      <c r="J554">
        <v>0.16222663800000001</v>
      </c>
      <c r="P554"/>
      <c r="V554">
        <v>0.97068893106801002</v>
      </c>
      <c r="W554">
        <v>3</v>
      </c>
      <c r="X554">
        <v>1221.5030721779999</v>
      </c>
      <c r="Y554">
        <v>36638</v>
      </c>
      <c r="Z554">
        <v>1.79409477244314E-3</v>
      </c>
      <c r="AA554">
        <v>1</v>
      </c>
    </row>
    <row r="555" spans="1:27" x14ac:dyDescent="0.2">
      <c r="A555">
        <v>10</v>
      </c>
      <c r="B555">
        <v>3</v>
      </c>
      <c r="C555">
        <v>0.3</v>
      </c>
      <c r="D555">
        <v>100</v>
      </c>
      <c r="E555">
        <v>1.10763919065362</v>
      </c>
      <c r="F555">
        <v>3</v>
      </c>
      <c r="G555">
        <v>33.229518968999997</v>
      </c>
      <c r="H555">
        <v>0.93285502789006303</v>
      </c>
      <c r="I555">
        <v>3</v>
      </c>
      <c r="J555">
        <v>0.83955429599999998</v>
      </c>
      <c r="P555"/>
      <c r="V555">
        <v>0.93420251871426396</v>
      </c>
      <c r="W555">
        <v>3</v>
      </c>
      <c r="X555">
        <v>1228.239894607</v>
      </c>
      <c r="Y555">
        <v>28409</v>
      </c>
      <c r="Z555">
        <v>3.0871897420789102E-3</v>
      </c>
      <c r="AA555">
        <v>1</v>
      </c>
    </row>
    <row r="556" spans="1:27" x14ac:dyDescent="0.2">
      <c r="A556">
        <v>10</v>
      </c>
      <c r="B556">
        <v>3</v>
      </c>
      <c r="C556">
        <v>0.3</v>
      </c>
      <c r="D556">
        <v>100</v>
      </c>
      <c r="E556">
        <v>1.0754699550742</v>
      </c>
      <c r="F556">
        <v>3</v>
      </c>
      <c r="G556">
        <v>38.326130360000001</v>
      </c>
      <c r="H556">
        <v>0.98620444772676297</v>
      </c>
      <c r="I556">
        <v>3</v>
      </c>
      <c r="J556">
        <v>0.63565189200000005</v>
      </c>
      <c r="P556"/>
      <c r="V556">
        <v>0.986466843222226</v>
      </c>
      <c r="W556">
        <v>3</v>
      </c>
      <c r="X556">
        <v>1230.705518536</v>
      </c>
      <c r="Y556">
        <v>31847</v>
      </c>
      <c r="Z556">
        <v>6.41321625505789E-3</v>
      </c>
      <c r="AA556">
        <v>1</v>
      </c>
    </row>
    <row r="557" spans="1:27" x14ac:dyDescent="0.2">
      <c r="A557">
        <v>10</v>
      </c>
      <c r="B557">
        <v>3</v>
      </c>
      <c r="C557">
        <v>0.2</v>
      </c>
      <c r="D557">
        <v>100</v>
      </c>
      <c r="E557">
        <v>1.02077587345648</v>
      </c>
      <c r="F557">
        <v>3</v>
      </c>
      <c r="G557">
        <v>35.324858689999999</v>
      </c>
      <c r="H557">
        <v>0.98949744204394696</v>
      </c>
      <c r="I557">
        <v>3</v>
      </c>
      <c r="J557">
        <v>0.64657552900000004</v>
      </c>
      <c r="P557"/>
      <c r="V557">
        <v>0.98999712629118297</v>
      </c>
      <c r="W557">
        <v>3</v>
      </c>
      <c r="X557">
        <v>1226.4541779030001</v>
      </c>
      <c r="Y557">
        <v>68577</v>
      </c>
      <c r="Z557">
        <v>3.1142788884608299E-3</v>
      </c>
      <c r="AA557">
        <v>1</v>
      </c>
    </row>
    <row r="558" spans="1:27" x14ac:dyDescent="0.2">
      <c r="A558">
        <v>10</v>
      </c>
      <c r="B558">
        <v>3</v>
      </c>
      <c r="C558">
        <v>0.2</v>
      </c>
      <c r="D558">
        <v>100</v>
      </c>
      <c r="E558">
        <v>0.94095742268962301</v>
      </c>
      <c r="F558">
        <v>3</v>
      </c>
      <c r="G558">
        <v>35.50002327</v>
      </c>
      <c r="H558">
        <v>0.93894801933980199</v>
      </c>
      <c r="I558">
        <v>3</v>
      </c>
      <c r="J558">
        <v>8.8769798999999996E-2</v>
      </c>
      <c r="P558"/>
      <c r="V558">
        <v>0.95093095623795998</v>
      </c>
      <c r="W558">
        <v>3</v>
      </c>
      <c r="X558">
        <v>1224.156060772</v>
      </c>
      <c r="Y558">
        <v>27647</v>
      </c>
      <c r="Z558">
        <v>2.8478990596003798E-3</v>
      </c>
      <c r="AA558">
        <v>1</v>
      </c>
    </row>
    <row r="559" spans="1:27" x14ac:dyDescent="0.2">
      <c r="A559">
        <v>10</v>
      </c>
      <c r="B559">
        <v>3</v>
      </c>
      <c r="C559">
        <v>0.1</v>
      </c>
      <c r="D559">
        <v>100</v>
      </c>
      <c r="E559">
        <v>0.95677676146475599</v>
      </c>
      <c r="F559">
        <v>3</v>
      </c>
      <c r="G559">
        <v>32.837113008999999</v>
      </c>
      <c r="H559">
        <v>0.95686684053635696</v>
      </c>
      <c r="I559">
        <v>3</v>
      </c>
      <c r="J559">
        <v>7.2024650999999995E-2</v>
      </c>
      <c r="P559"/>
      <c r="V559">
        <v>0.96318143047570404</v>
      </c>
      <c r="W559">
        <v>3</v>
      </c>
      <c r="X559">
        <v>1281.8220985580001</v>
      </c>
      <c r="Y559">
        <v>2474</v>
      </c>
      <c r="Z559">
        <v>3.9219234749755597E-3</v>
      </c>
      <c r="AA559">
        <v>2</v>
      </c>
    </row>
    <row r="560" spans="1:27" x14ac:dyDescent="0.2">
      <c r="A560">
        <v>10</v>
      </c>
      <c r="B560">
        <v>3</v>
      </c>
      <c r="C560">
        <v>0.2</v>
      </c>
      <c r="D560">
        <v>100</v>
      </c>
      <c r="E560">
        <v>1.0209978024906901</v>
      </c>
      <c r="F560">
        <v>3</v>
      </c>
      <c r="G560">
        <v>37.417907212999999</v>
      </c>
      <c r="H560">
        <v>1.01118690100812</v>
      </c>
      <c r="I560">
        <v>3</v>
      </c>
      <c r="J560">
        <v>8.7198631999999998E-2</v>
      </c>
      <c r="P560"/>
      <c r="V560">
        <v>1.0123630766537699</v>
      </c>
      <c r="W560">
        <v>3</v>
      </c>
      <c r="X560">
        <v>1225.6628335099999</v>
      </c>
      <c r="Y560">
        <v>33074</v>
      </c>
      <c r="Z560">
        <v>8.3354657322082205E-4</v>
      </c>
      <c r="AA560">
        <v>1</v>
      </c>
    </row>
    <row r="561" spans="1:27" x14ac:dyDescent="0.2">
      <c r="A561">
        <v>10</v>
      </c>
      <c r="B561">
        <v>3</v>
      </c>
      <c r="C561">
        <v>0.1</v>
      </c>
      <c r="D561">
        <v>100</v>
      </c>
      <c r="E561">
        <v>0.96181650511994399</v>
      </c>
      <c r="F561">
        <v>3</v>
      </c>
      <c r="G561">
        <v>38.381889604999998</v>
      </c>
      <c r="H561">
        <v>0.96246848315002098</v>
      </c>
      <c r="I561">
        <v>3</v>
      </c>
      <c r="J561">
        <v>0.12979595899999999</v>
      </c>
      <c r="P561"/>
      <c r="V561">
        <v>0.94949768566628201</v>
      </c>
      <c r="W561">
        <v>3</v>
      </c>
      <c r="X561">
        <v>1283.2035977800001</v>
      </c>
      <c r="Y561">
        <v>9729</v>
      </c>
      <c r="Z561">
        <v>1.5930940475031401E-3</v>
      </c>
      <c r="AA561">
        <v>2</v>
      </c>
    </row>
    <row r="562" spans="1:27" x14ac:dyDescent="0.2">
      <c r="A562">
        <v>10</v>
      </c>
      <c r="B562">
        <v>3</v>
      </c>
      <c r="C562">
        <v>0.2</v>
      </c>
      <c r="D562">
        <v>100</v>
      </c>
      <c r="E562">
        <v>0.98092339624509906</v>
      </c>
      <c r="F562">
        <v>3</v>
      </c>
      <c r="G562">
        <v>37.037358973000003</v>
      </c>
      <c r="H562">
        <v>0.98509420672484505</v>
      </c>
      <c r="I562">
        <v>3</v>
      </c>
      <c r="J562">
        <v>0.34953171900000002</v>
      </c>
      <c r="P562"/>
      <c r="V562">
        <v>0.98464524054908498</v>
      </c>
      <c r="W562">
        <v>3</v>
      </c>
      <c r="X562">
        <v>1223.5479507990001</v>
      </c>
      <c r="Y562">
        <v>35534</v>
      </c>
      <c r="Z562">
        <v>2.33367409501919E-3</v>
      </c>
      <c r="AA562">
        <v>1</v>
      </c>
    </row>
    <row r="563" spans="1:27" x14ac:dyDescent="0.2">
      <c r="A563">
        <v>10</v>
      </c>
      <c r="B563">
        <v>3</v>
      </c>
      <c r="C563">
        <v>0.1</v>
      </c>
      <c r="D563">
        <v>100</v>
      </c>
      <c r="E563">
        <v>0.97986845513819498</v>
      </c>
      <c r="F563">
        <v>3</v>
      </c>
      <c r="G563">
        <v>35.830645492999999</v>
      </c>
      <c r="H563">
        <v>0.98380381906977399</v>
      </c>
      <c r="I563">
        <v>3</v>
      </c>
      <c r="J563">
        <v>0.26850798399999998</v>
      </c>
      <c r="P563"/>
      <c r="V563">
        <v>0.97433485147966903</v>
      </c>
      <c r="W563">
        <v>3</v>
      </c>
      <c r="X563">
        <v>1283.88424889</v>
      </c>
      <c r="Y563">
        <v>9044</v>
      </c>
      <c r="Z563">
        <v>1.88692543323182E-3</v>
      </c>
      <c r="AA563">
        <v>2</v>
      </c>
    </row>
    <row r="564" spans="1:27" x14ac:dyDescent="0.2">
      <c r="A564">
        <v>10</v>
      </c>
      <c r="B564">
        <v>3</v>
      </c>
      <c r="C564">
        <v>0.2</v>
      </c>
      <c r="D564">
        <v>100</v>
      </c>
      <c r="E564">
        <v>0.97482689040015402</v>
      </c>
      <c r="F564">
        <v>3</v>
      </c>
      <c r="G564">
        <v>34.304855500999999</v>
      </c>
      <c r="H564">
        <v>0.97508297264467503</v>
      </c>
      <c r="I564">
        <v>3</v>
      </c>
      <c r="J564">
        <v>7.2948409000000006E-2</v>
      </c>
      <c r="P564"/>
      <c r="V564">
        <v>0.97513065460006199</v>
      </c>
      <c r="W564">
        <v>3</v>
      </c>
      <c r="X564">
        <v>1226.333458218</v>
      </c>
      <c r="Y564">
        <v>37385</v>
      </c>
      <c r="Z564">
        <v>9.4911991131129796E-3</v>
      </c>
      <c r="AA564">
        <v>1</v>
      </c>
    </row>
    <row r="565" spans="1:27" x14ac:dyDescent="0.2">
      <c r="A565">
        <v>10</v>
      </c>
      <c r="B565">
        <v>3</v>
      </c>
      <c r="C565">
        <v>0.1</v>
      </c>
      <c r="D565">
        <v>100</v>
      </c>
      <c r="E565">
        <v>0.94558401947429405</v>
      </c>
      <c r="F565">
        <v>3</v>
      </c>
      <c r="G565">
        <v>37.197113307999999</v>
      </c>
      <c r="H565">
        <v>0.98781929963575299</v>
      </c>
      <c r="I565">
        <v>3</v>
      </c>
      <c r="J565">
        <v>0.14286861200000001</v>
      </c>
      <c r="P565"/>
      <c r="V565">
        <v>1.02237987094149</v>
      </c>
      <c r="W565">
        <v>3</v>
      </c>
      <c r="X565">
        <v>1226.2272119229999</v>
      </c>
      <c r="Y565">
        <v>0</v>
      </c>
      <c r="Z565">
        <v>1.12281561739177E-3</v>
      </c>
      <c r="AA565">
        <v>2</v>
      </c>
    </row>
    <row r="566" spans="1:27" x14ac:dyDescent="0.2">
      <c r="A566">
        <v>10</v>
      </c>
      <c r="B566">
        <v>3</v>
      </c>
      <c r="C566">
        <v>0.3</v>
      </c>
      <c r="D566">
        <v>100</v>
      </c>
      <c r="E566">
        <v>0.83067627792311405</v>
      </c>
      <c r="F566">
        <v>3</v>
      </c>
      <c r="G566">
        <v>35.119200917000001</v>
      </c>
      <c r="H566">
        <v>0.81965719767864498</v>
      </c>
      <c r="I566">
        <v>3</v>
      </c>
      <c r="J566">
        <v>0.18288906899999999</v>
      </c>
      <c r="P566"/>
      <c r="V566">
        <v>0.82065456546301696</v>
      </c>
      <c r="W566">
        <v>3</v>
      </c>
      <c r="X566">
        <v>20426.805262475002</v>
      </c>
      <c r="Y566">
        <v>185324</v>
      </c>
      <c r="Z566">
        <v>8.4725075957976497E-3</v>
      </c>
      <c r="AA566">
        <v>39</v>
      </c>
    </row>
    <row r="567" spans="1:27" x14ac:dyDescent="0.2">
      <c r="A567">
        <v>10</v>
      </c>
      <c r="B567">
        <v>3</v>
      </c>
      <c r="C567">
        <v>0.1</v>
      </c>
      <c r="D567">
        <v>100</v>
      </c>
      <c r="E567">
        <v>0.98032275173222305</v>
      </c>
      <c r="F567">
        <v>3</v>
      </c>
      <c r="G567">
        <v>25.391939954000001</v>
      </c>
      <c r="H567">
        <v>1.03665631742151</v>
      </c>
      <c r="I567">
        <v>3</v>
      </c>
      <c r="J567">
        <v>0.24757811299999999</v>
      </c>
      <c r="P567"/>
      <c r="V567">
        <v>0.96610206963825396</v>
      </c>
      <c r="W567">
        <v>3</v>
      </c>
      <c r="X567">
        <v>1218.758813425</v>
      </c>
      <c r="Y567">
        <v>0</v>
      </c>
      <c r="Z567">
        <v>5.8081544253337804E-4</v>
      </c>
      <c r="AA567">
        <v>2</v>
      </c>
    </row>
    <row r="568" spans="1:27" x14ac:dyDescent="0.2">
      <c r="A568">
        <v>10</v>
      </c>
      <c r="B568">
        <v>3</v>
      </c>
      <c r="C568">
        <v>0.1</v>
      </c>
      <c r="D568">
        <v>20</v>
      </c>
      <c r="E568">
        <v>0.98397973412233097</v>
      </c>
      <c r="F568">
        <v>3</v>
      </c>
      <c r="G568">
        <v>29.278183317</v>
      </c>
      <c r="H568">
        <v>0.98397672496423005</v>
      </c>
      <c r="I568">
        <v>3</v>
      </c>
      <c r="J568">
        <v>3.5046696000000002E-2</v>
      </c>
      <c r="P568"/>
      <c r="V568">
        <v>0.98028505933066101</v>
      </c>
      <c r="W568">
        <v>3</v>
      </c>
      <c r="X568">
        <v>292.70436709099999</v>
      </c>
      <c r="Y568">
        <v>19357</v>
      </c>
      <c r="Z568" s="1">
        <v>7.7294385778997596E-5</v>
      </c>
      <c r="AA568">
        <v>1</v>
      </c>
    </row>
    <row r="569" spans="1:27" x14ac:dyDescent="0.2">
      <c r="A569">
        <v>10</v>
      </c>
      <c r="B569">
        <v>3</v>
      </c>
      <c r="C569">
        <v>0.2</v>
      </c>
      <c r="D569">
        <v>100</v>
      </c>
      <c r="E569">
        <v>0.94336380134352105</v>
      </c>
      <c r="F569">
        <v>3</v>
      </c>
      <c r="G569">
        <v>25.694319846999999</v>
      </c>
      <c r="H569">
        <v>0.85530695318861105</v>
      </c>
      <c r="I569">
        <v>3</v>
      </c>
      <c r="J569">
        <v>0.28789155300000002</v>
      </c>
      <c r="P569"/>
      <c r="V569">
        <v>0.85484948730877497</v>
      </c>
      <c r="W569">
        <v>3</v>
      </c>
      <c r="X569">
        <v>1221.000496462</v>
      </c>
      <c r="Y569">
        <v>26137</v>
      </c>
      <c r="Z569">
        <v>6.1064457513566499E-3</v>
      </c>
      <c r="AA569">
        <v>1</v>
      </c>
    </row>
    <row r="570" spans="1:27" x14ac:dyDescent="0.2">
      <c r="A570">
        <v>10</v>
      </c>
      <c r="B570">
        <v>3</v>
      </c>
      <c r="C570">
        <v>0.1</v>
      </c>
      <c r="D570">
        <v>20</v>
      </c>
      <c r="E570">
        <v>0.97315075639757898</v>
      </c>
      <c r="F570">
        <v>3</v>
      </c>
      <c r="G570">
        <v>36.390251892000002</v>
      </c>
      <c r="H570">
        <v>0.97284644390733699</v>
      </c>
      <c r="I570">
        <v>3</v>
      </c>
      <c r="J570">
        <v>0.101458615</v>
      </c>
      <c r="P570"/>
      <c r="V570">
        <v>1.01324319710111</v>
      </c>
      <c r="W570">
        <v>3</v>
      </c>
      <c r="X570">
        <v>106.17165644400001</v>
      </c>
      <c r="Y570">
        <v>13521</v>
      </c>
      <c r="Z570">
        <v>2.9638404357226701E-4</v>
      </c>
      <c r="AA570">
        <v>1</v>
      </c>
    </row>
    <row r="571" spans="1:27" x14ac:dyDescent="0.2">
      <c r="A571">
        <v>10</v>
      </c>
      <c r="B571">
        <v>3</v>
      </c>
      <c r="C571">
        <v>0.1</v>
      </c>
      <c r="D571">
        <v>20</v>
      </c>
      <c r="E571">
        <v>1.00475509064222</v>
      </c>
      <c r="F571">
        <v>3</v>
      </c>
      <c r="G571">
        <v>37.285536323999999</v>
      </c>
      <c r="H571">
        <v>1.0094106429493199</v>
      </c>
      <c r="I571">
        <v>3</v>
      </c>
      <c r="J571">
        <v>0.17681650800000001</v>
      </c>
      <c r="P571"/>
      <c r="V571">
        <v>0.98798752181704397</v>
      </c>
      <c r="W571">
        <v>3</v>
      </c>
      <c r="X571">
        <v>29431.092671727001</v>
      </c>
      <c r="Y571">
        <v>528850</v>
      </c>
      <c r="Z571">
        <v>5.1556965465463398E-3</v>
      </c>
      <c r="AA571">
        <v>49</v>
      </c>
    </row>
    <row r="572" spans="1:27" x14ac:dyDescent="0.2">
      <c r="A572">
        <v>10</v>
      </c>
      <c r="B572">
        <v>3</v>
      </c>
      <c r="C572">
        <v>0.1</v>
      </c>
      <c r="D572">
        <v>20</v>
      </c>
      <c r="E572">
        <v>0.96102799786307203</v>
      </c>
      <c r="F572">
        <v>3</v>
      </c>
      <c r="G572">
        <v>38.614094641000001</v>
      </c>
      <c r="H572">
        <v>0.96102799786307802</v>
      </c>
      <c r="I572">
        <v>3</v>
      </c>
      <c r="J572">
        <v>5.2945348000000003E-2</v>
      </c>
      <c r="P572"/>
      <c r="V572">
        <v>0.95260525087672798</v>
      </c>
      <c r="W572">
        <v>3</v>
      </c>
      <c r="X572">
        <v>579.01042868499997</v>
      </c>
      <c r="Y572">
        <v>74174</v>
      </c>
      <c r="Z572">
        <v>1.1506342219910699E-4</v>
      </c>
      <c r="AA572">
        <v>1</v>
      </c>
    </row>
    <row r="573" spans="1:27" x14ac:dyDescent="0.2">
      <c r="A573">
        <v>10</v>
      </c>
      <c r="B573">
        <v>3</v>
      </c>
      <c r="C573">
        <v>0.2</v>
      </c>
      <c r="D573">
        <v>100</v>
      </c>
      <c r="E573">
        <v>0.932227746716492</v>
      </c>
      <c r="F573">
        <v>3</v>
      </c>
      <c r="G573">
        <v>30.42326697</v>
      </c>
      <c r="H573">
        <v>0.84707665950756805</v>
      </c>
      <c r="I573">
        <v>3</v>
      </c>
      <c r="J573">
        <v>0.38731973600000003</v>
      </c>
      <c r="P573"/>
      <c r="V573">
        <v>0.92627335004700095</v>
      </c>
      <c r="W573">
        <v>3</v>
      </c>
      <c r="X573">
        <v>3963.7340363220001</v>
      </c>
      <c r="Y573">
        <v>43370</v>
      </c>
      <c r="Z573">
        <v>1.98648308512574E-3</v>
      </c>
      <c r="AA573">
        <v>14</v>
      </c>
    </row>
    <row r="574" spans="1:27" x14ac:dyDescent="0.2">
      <c r="A574">
        <v>10</v>
      </c>
      <c r="B574">
        <v>3</v>
      </c>
      <c r="C574">
        <v>0.2</v>
      </c>
      <c r="D574">
        <v>100</v>
      </c>
      <c r="E574">
        <v>0.97811390019329603</v>
      </c>
      <c r="F574">
        <v>3</v>
      </c>
      <c r="G574">
        <v>22.193698055999999</v>
      </c>
      <c r="H574">
        <v>0.92688673264721899</v>
      </c>
      <c r="I574">
        <v>3</v>
      </c>
      <c r="J574">
        <v>0.259680093</v>
      </c>
      <c r="P574"/>
      <c r="V574">
        <v>0.92678456358221595</v>
      </c>
      <c r="W574">
        <v>3</v>
      </c>
      <c r="X574">
        <v>1217.2426474399999</v>
      </c>
      <c r="Y574">
        <v>30168</v>
      </c>
      <c r="Z574">
        <v>1.4339764063264599E-3</v>
      </c>
      <c r="AA574">
        <v>1</v>
      </c>
    </row>
    <row r="575" spans="1:27" x14ac:dyDescent="0.2">
      <c r="A575">
        <v>10</v>
      </c>
      <c r="B575">
        <v>3</v>
      </c>
      <c r="C575">
        <v>0.1</v>
      </c>
      <c r="D575">
        <v>100</v>
      </c>
      <c r="E575">
        <v>0.95134459123937398</v>
      </c>
      <c r="F575">
        <v>3</v>
      </c>
      <c r="G575">
        <v>23.443199519</v>
      </c>
      <c r="H575">
        <v>0.96941071448875604</v>
      </c>
      <c r="I575">
        <v>3</v>
      </c>
      <c r="J575">
        <v>5.2502264999999999E-2</v>
      </c>
      <c r="P575"/>
      <c r="V575">
        <v>0.95827144403924902</v>
      </c>
      <c r="W575">
        <v>3</v>
      </c>
      <c r="X575">
        <v>1275.7560160370001</v>
      </c>
      <c r="Y575">
        <v>7368</v>
      </c>
      <c r="Z575">
        <v>1.61989133072046E-3</v>
      </c>
      <c r="AA575">
        <v>2</v>
      </c>
    </row>
    <row r="576" spans="1:27" x14ac:dyDescent="0.2">
      <c r="A576">
        <v>10</v>
      </c>
      <c r="B576">
        <v>3</v>
      </c>
      <c r="C576">
        <v>0.1</v>
      </c>
      <c r="D576">
        <v>100</v>
      </c>
      <c r="E576">
        <v>0.90258894624010899</v>
      </c>
      <c r="F576">
        <v>3</v>
      </c>
      <c r="G576">
        <v>24.133512177</v>
      </c>
      <c r="H576">
        <v>0.902586562721583</v>
      </c>
      <c r="I576">
        <v>3</v>
      </c>
      <c r="J576">
        <v>4.2866633000000001E-2</v>
      </c>
      <c r="P576"/>
      <c r="V576">
        <v>0.95459177177349297</v>
      </c>
      <c r="W576">
        <v>3</v>
      </c>
      <c r="X576">
        <v>1277.480892694</v>
      </c>
      <c r="Y576">
        <v>10447</v>
      </c>
      <c r="Z576">
        <v>2.73496357872181E-3</v>
      </c>
      <c r="AA576">
        <v>2</v>
      </c>
    </row>
    <row r="577" spans="1:27" x14ac:dyDescent="0.2">
      <c r="A577">
        <v>10</v>
      </c>
      <c r="B577">
        <v>3</v>
      </c>
      <c r="C577">
        <v>0.2</v>
      </c>
      <c r="D577">
        <v>100</v>
      </c>
      <c r="E577">
        <v>0.98941199527082702</v>
      </c>
      <c r="F577">
        <v>3</v>
      </c>
      <c r="G577">
        <v>26.642120537</v>
      </c>
      <c r="H577">
        <v>0.900204898901518</v>
      </c>
      <c r="I577">
        <v>3</v>
      </c>
      <c r="J577">
        <v>0.51926477999999998</v>
      </c>
      <c r="P577"/>
      <c r="V577">
        <v>0.96550947122074404</v>
      </c>
      <c r="W577">
        <v>3</v>
      </c>
      <c r="X577">
        <v>153.81503880599999</v>
      </c>
      <c r="Y577">
        <v>9277</v>
      </c>
      <c r="Z577">
        <v>1.5476142642499001E-3</v>
      </c>
      <c r="AA577">
        <v>1</v>
      </c>
    </row>
    <row r="578" spans="1:27" x14ac:dyDescent="0.2">
      <c r="A578">
        <v>10</v>
      </c>
      <c r="B578">
        <v>3</v>
      </c>
      <c r="C578">
        <v>0.1</v>
      </c>
      <c r="D578">
        <v>100</v>
      </c>
      <c r="E578">
        <v>0.93948619315193804</v>
      </c>
      <c r="F578">
        <v>3</v>
      </c>
      <c r="G578">
        <v>32.519085019000002</v>
      </c>
      <c r="H578">
        <v>0.98384431803718697</v>
      </c>
      <c r="I578">
        <v>3</v>
      </c>
      <c r="J578">
        <v>0.186473481</v>
      </c>
      <c r="P578"/>
      <c r="V578">
        <v>0.99553190236492395</v>
      </c>
      <c r="W578">
        <v>3</v>
      </c>
      <c r="X578">
        <v>1279.319939367</v>
      </c>
      <c r="Y578">
        <v>4222</v>
      </c>
      <c r="Z578">
        <v>8.9680311759860398E-4</v>
      </c>
      <c r="AA578">
        <v>2</v>
      </c>
    </row>
    <row r="579" spans="1:27" x14ac:dyDescent="0.2">
      <c r="A579">
        <v>10</v>
      </c>
      <c r="B579">
        <v>3</v>
      </c>
      <c r="C579">
        <v>0.2</v>
      </c>
      <c r="D579">
        <v>100</v>
      </c>
      <c r="E579">
        <v>0.97018650815042295</v>
      </c>
      <c r="F579">
        <v>3</v>
      </c>
      <c r="G579">
        <v>26.398815043999999</v>
      </c>
      <c r="H579">
        <v>0.96828898688178699</v>
      </c>
      <c r="I579">
        <v>3</v>
      </c>
      <c r="J579">
        <v>9.5488329999999996E-2</v>
      </c>
      <c r="P579"/>
      <c r="V579">
        <v>0.967783562635951</v>
      </c>
      <c r="W579">
        <v>3</v>
      </c>
      <c r="X579">
        <v>1218.2155744050001</v>
      </c>
      <c r="Y579">
        <v>16157</v>
      </c>
      <c r="Z579">
        <v>1.2146739842016101E-3</v>
      </c>
      <c r="AA579">
        <v>1</v>
      </c>
    </row>
    <row r="580" spans="1:27" x14ac:dyDescent="0.2">
      <c r="A580" s="4">
        <v>10</v>
      </c>
      <c r="B580" s="4">
        <v>3</v>
      </c>
      <c r="C580" s="4">
        <v>0.1</v>
      </c>
      <c r="D580" s="4">
        <v>20</v>
      </c>
      <c r="E580" s="4">
        <v>0.95050785999999998</v>
      </c>
      <c r="F580" s="4">
        <v>3</v>
      </c>
      <c r="G580" s="4">
        <v>43.078363799999998</v>
      </c>
      <c r="H580" s="4">
        <v>0.95052692999999999</v>
      </c>
      <c r="I580" s="4">
        <v>3</v>
      </c>
      <c r="J580" s="4">
        <v>0.16017033999999999</v>
      </c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>
        <v>0.95200101000000004</v>
      </c>
      <c r="W580" s="4">
        <v>3</v>
      </c>
      <c r="X580" s="4">
        <v>1283.8896</v>
      </c>
      <c r="Y580" s="4">
        <v>7153</v>
      </c>
      <c r="Z580" s="4">
        <v>5.42487E-3</v>
      </c>
      <c r="AA580" s="4">
        <v>2</v>
      </c>
    </row>
    <row r="581" spans="1:27" x14ac:dyDescent="0.2">
      <c r="A581" s="4">
        <v>10</v>
      </c>
      <c r="B581" s="4">
        <v>3</v>
      </c>
      <c r="C581" s="4">
        <v>0.2</v>
      </c>
      <c r="D581" s="4">
        <v>20</v>
      </c>
      <c r="E581" s="4">
        <v>0.96855577000000004</v>
      </c>
      <c r="F581" s="4">
        <v>3</v>
      </c>
      <c r="G581" s="4">
        <v>40.206930700000001</v>
      </c>
      <c r="H581" s="4">
        <v>0.93733237999999997</v>
      </c>
      <c r="I581" s="4">
        <v>3</v>
      </c>
      <c r="J581" s="4">
        <v>0.21533302000000001</v>
      </c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>
        <v>0.93689507999999999</v>
      </c>
      <c r="W581" s="4">
        <v>3</v>
      </c>
      <c r="X581" s="4">
        <v>7612.0693099999999</v>
      </c>
      <c r="Y581" s="4">
        <v>74718</v>
      </c>
      <c r="Z581" s="4">
        <v>8.75073E-3</v>
      </c>
      <c r="AA581" s="4">
        <v>22</v>
      </c>
    </row>
    <row r="582" spans="1:27" x14ac:dyDescent="0.2">
      <c r="A582" s="4">
        <v>10</v>
      </c>
      <c r="B582" s="4">
        <v>3</v>
      </c>
      <c r="C582" s="4">
        <v>0.1</v>
      </c>
      <c r="D582" s="4">
        <v>20</v>
      </c>
      <c r="E582" s="4">
        <v>0.95938389000000002</v>
      </c>
      <c r="F582" s="4">
        <v>3</v>
      </c>
      <c r="G582" s="4">
        <v>36.084376200000001</v>
      </c>
      <c r="H582" s="4">
        <v>0.95938371</v>
      </c>
      <c r="I582" s="4">
        <v>3</v>
      </c>
      <c r="J582" s="4">
        <v>5.6264670000000003E-2</v>
      </c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>
        <v>1.1038337199999999</v>
      </c>
      <c r="W582" s="4">
        <v>3</v>
      </c>
      <c r="X582" s="4">
        <v>1231.78721</v>
      </c>
      <c r="Y582" s="4">
        <v>0</v>
      </c>
      <c r="Z582" s="4">
        <v>2.0468299999999999E-3</v>
      </c>
      <c r="AA582" s="4">
        <v>2</v>
      </c>
    </row>
    <row r="583" spans="1:27" x14ac:dyDescent="0.2">
      <c r="A583" s="4">
        <v>10</v>
      </c>
      <c r="B583" s="4">
        <v>3</v>
      </c>
      <c r="C583" s="4">
        <v>0.2</v>
      </c>
      <c r="D583" s="4">
        <v>20</v>
      </c>
      <c r="E583" s="4">
        <v>0.98287199999999997</v>
      </c>
      <c r="F583" s="4">
        <v>3</v>
      </c>
      <c r="G583" s="4">
        <v>35.470943300000002</v>
      </c>
      <c r="H583" s="4">
        <v>0.95214898999999997</v>
      </c>
      <c r="I583" s="4">
        <v>3</v>
      </c>
      <c r="J583" s="4">
        <v>0.33651963000000001</v>
      </c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>
        <v>0.96348581</v>
      </c>
      <c r="W583" s="4">
        <v>3</v>
      </c>
      <c r="X583" s="4">
        <v>4220.6176599999999</v>
      </c>
      <c r="Y583" s="4">
        <v>182715</v>
      </c>
      <c r="Z583" s="4">
        <v>1.2127500000000001E-3</v>
      </c>
      <c r="AA583" s="4">
        <v>40</v>
      </c>
    </row>
    <row r="584" spans="1:27" x14ac:dyDescent="0.2">
      <c r="A584" s="4">
        <v>10</v>
      </c>
      <c r="B584" s="4">
        <v>3</v>
      </c>
      <c r="C584" s="4">
        <v>0.1</v>
      </c>
      <c r="D584" s="4">
        <v>20</v>
      </c>
      <c r="E584" s="4">
        <v>0.96939295000000003</v>
      </c>
      <c r="F584" s="4">
        <v>3</v>
      </c>
      <c r="G584" s="4">
        <v>34.059033800000002</v>
      </c>
      <c r="H584" s="4">
        <v>0.98551434999999998</v>
      </c>
      <c r="I584" s="4">
        <v>3</v>
      </c>
      <c r="J584" s="4">
        <v>0.16964069000000001</v>
      </c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>
        <v>0.95725769000000005</v>
      </c>
      <c r="W584" s="4">
        <v>3</v>
      </c>
      <c r="X584" s="4">
        <v>197.999302</v>
      </c>
      <c r="Y584" s="4">
        <v>14774</v>
      </c>
      <c r="Z584" s="4">
        <v>1.5626999999999999E-4</v>
      </c>
      <c r="AA584" s="4">
        <v>1</v>
      </c>
    </row>
    <row r="585" spans="1:27" x14ac:dyDescent="0.2">
      <c r="A585">
        <v>10</v>
      </c>
      <c r="B585">
        <v>3</v>
      </c>
      <c r="C585">
        <v>0.2</v>
      </c>
      <c r="D585">
        <v>100</v>
      </c>
      <c r="E585">
        <v>0.95115280467057906</v>
      </c>
      <c r="F585">
        <v>3</v>
      </c>
      <c r="G585">
        <v>25.924945375</v>
      </c>
      <c r="H585">
        <v>0.95617302782930902</v>
      </c>
      <c r="I585">
        <v>3</v>
      </c>
      <c r="J585">
        <v>5.3104997000000001E-2</v>
      </c>
      <c r="P585"/>
      <c r="V585">
        <v>1.0148344554650699</v>
      </c>
      <c r="W585">
        <v>3</v>
      </c>
      <c r="X585">
        <v>1218.0426537610001</v>
      </c>
      <c r="Y585">
        <v>38617</v>
      </c>
      <c r="Z585">
        <v>2.7568732279665401E-3</v>
      </c>
      <c r="AA585">
        <v>1</v>
      </c>
    </row>
    <row r="586" spans="1:27" x14ac:dyDescent="0.2">
      <c r="A586">
        <v>10</v>
      </c>
      <c r="B586">
        <v>3</v>
      </c>
      <c r="C586">
        <v>0.2</v>
      </c>
      <c r="D586">
        <v>100</v>
      </c>
      <c r="E586">
        <v>0.98363304038212795</v>
      </c>
      <c r="F586">
        <v>3</v>
      </c>
      <c r="G586">
        <v>26.640296629000002</v>
      </c>
      <c r="H586">
        <v>0.93125402297349003</v>
      </c>
      <c r="I586">
        <v>3</v>
      </c>
      <c r="J586">
        <v>0.219338177</v>
      </c>
      <c r="P586"/>
      <c r="V586">
        <v>0.93146605151371498</v>
      </c>
      <c r="W586">
        <v>3</v>
      </c>
      <c r="X586">
        <v>1217.1061110529999</v>
      </c>
      <c r="Y586">
        <v>32357</v>
      </c>
      <c r="Z586">
        <v>4.6538858969142798E-3</v>
      </c>
      <c r="AA586">
        <v>1</v>
      </c>
    </row>
    <row r="587" spans="1:27" x14ac:dyDescent="0.2">
      <c r="A587">
        <v>10</v>
      </c>
      <c r="B587">
        <v>3</v>
      </c>
      <c r="C587">
        <v>0.1</v>
      </c>
      <c r="D587">
        <v>100</v>
      </c>
      <c r="E587">
        <v>0.93804851659367705</v>
      </c>
      <c r="F587">
        <v>3</v>
      </c>
      <c r="G587">
        <v>26.698072494000002</v>
      </c>
      <c r="H587">
        <v>0.93804851659367805</v>
      </c>
      <c r="I587">
        <v>3</v>
      </c>
      <c r="J587">
        <v>2.9940721999999999E-2</v>
      </c>
      <c r="P587"/>
      <c r="V587">
        <v>0.98472373148949399</v>
      </c>
      <c r="W587">
        <v>3</v>
      </c>
      <c r="X587">
        <v>115.772403967</v>
      </c>
      <c r="Y587">
        <v>19795</v>
      </c>
      <c r="Z587" s="1">
        <v>5.1842677450689102E-5</v>
      </c>
      <c r="AA587">
        <v>1</v>
      </c>
    </row>
    <row r="588" spans="1:27" x14ac:dyDescent="0.2">
      <c r="A588">
        <v>10</v>
      </c>
      <c r="B588">
        <v>3</v>
      </c>
      <c r="C588">
        <v>0.2</v>
      </c>
      <c r="D588">
        <v>100</v>
      </c>
      <c r="E588">
        <v>0.95037594813180104</v>
      </c>
      <c r="F588">
        <v>3</v>
      </c>
      <c r="G588">
        <v>28.231625688000001</v>
      </c>
      <c r="H588">
        <v>0.96226010152112795</v>
      </c>
      <c r="I588">
        <v>3</v>
      </c>
      <c r="J588">
        <v>0.20650059000000001</v>
      </c>
      <c r="P588"/>
      <c r="V588">
        <v>0.93448089275729695</v>
      </c>
      <c r="W588">
        <v>3</v>
      </c>
      <c r="X588">
        <v>1219.29237844</v>
      </c>
      <c r="Y588">
        <v>34004</v>
      </c>
      <c r="Z588">
        <v>5.4743057365856998E-4</v>
      </c>
      <c r="AA588">
        <v>1</v>
      </c>
    </row>
    <row r="589" spans="1:27" x14ac:dyDescent="0.2">
      <c r="A589">
        <v>10</v>
      </c>
      <c r="B589">
        <v>3</v>
      </c>
      <c r="C589">
        <v>0.1</v>
      </c>
      <c r="D589">
        <v>20</v>
      </c>
      <c r="E589">
        <v>0.98608119859642596</v>
      </c>
      <c r="F589">
        <v>3</v>
      </c>
      <c r="G589">
        <v>41.513842412000002</v>
      </c>
      <c r="H589">
        <v>1.0017168965285801</v>
      </c>
      <c r="I589">
        <v>3</v>
      </c>
      <c r="J589">
        <v>0.18471879099999999</v>
      </c>
      <c r="P589"/>
      <c r="V589">
        <v>0.96514293019391595</v>
      </c>
      <c r="W589">
        <v>3</v>
      </c>
      <c r="X589">
        <v>100.69874593900001</v>
      </c>
      <c r="Y589">
        <v>9670</v>
      </c>
      <c r="Z589">
        <v>5.8578079405088802E-4</v>
      </c>
      <c r="AA589">
        <v>1</v>
      </c>
    </row>
    <row r="590" spans="1:27" x14ac:dyDescent="0.2">
      <c r="A590">
        <v>10</v>
      </c>
      <c r="B590">
        <v>3</v>
      </c>
      <c r="C590">
        <v>0.1</v>
      </c>
      <c r="D590">
        <v>20</v>
      </c>
      <c r="E590">
        <v>0.98517149057652598</v>
      </c>
      <c r="F590">
        <v>3</v>
      </c>
      <c r="G590">
        <v>38.163257874000003</v>
      </c>
      <c r="H590">
        <v>0.98516955988848998</v>
      </c>
      <c r="I590">
        <v>3</v>
      </c>
      <c r="J590">
        <v>4.505646E-2</v>
      </c>
      <c r="P590"/>
      <c r="V590">
        <v>0.98274572955039996</v>
      </c>
      <c r="W590">
        <v>3</v>
      </c>
      <c r="X590">
        <v>530.35583574600003</v>
      </c>
      <c r="Y590">
        <v>66750</v>
      </c>
      <c r="Z590">
        <v>1.4558171794427899E-4</v>
      </c>
      <c r="AA590">
        <v>1</v>
      </c>
    </row>
    <row r="591" spans="1:27" x14ac:dyDescent="0.2">
      <c r="A591">
        <v>10</v>
      </c>
      <c r="B591">
        <v>3</v>
      </c>
      <c r="C591">
        <v>0.1</v>
      </c>
      <c r="D591">
        <v>20</v>
      </c>
      <c r="E591">
        <v>0.93965121890157799</v>
      </c>
      <c r="F591">
        <v>3</v>
      </c>
      <c r="G591">
        <v>28.134026432999999</v>
      </c>
      <c r="H591">
        <v>0.91917201147346494</v>
      </c>
      <c r="I591">
        <v>3</v>
      </c>
      <c r="J591">
        <v>8.6835649000000001E-2</v>
      </c>
      <c r="P591"/>
      <c r="V591">
        <v>0.97494354240390302</v>
      </c>
      <c r="W591">
        <v>3</v>
      </c>
      <c r="X591">
        <v>1217.397393639</v>
      </c>
      <c r="Y591">
        <v>65396</v>
      </c>
      <c r="Z591">
        <v>5.5775497272072903E-3</v>
      </c>
      <c r="AA591">
        <v>1</v>
      </c>
    </row>
    <row r="592" spans="1:27" x14ac:dyDescent="0.2">
      <c r="A592">
        <v>10</v>
      </c>
      <c r="B592">
        <v>3</v>
      </c>
      <c r="C592">
        <v>0.2</v>
      </c>
      <c r="D592">
        <v>20</v>
      </c>
      <c r="E592">
        <v>1.0035082737294001</v>
      </c>
      <c r="F592">
        <v>3</v>
      </c>
      <c r="G592">
        <v>28.740212633999999</v>
      </c>
      <c r="H592">
        <v>0.96354309806708405</v>
      </c>
      <c r="I592">
        <v>3</v>
      </c>
      <c r="J592">
        <v>0.285105355</v>
      </c>
      <c r="P592"/>
      <c r="V592">
        <v>0.963441704616112</v>
      </c>
      <c r="W592">
        <v>3</v>
      </c>
      <c r="X592">
        <v>1219.8930550729999</v>
      </c>
      <c r="Y592">
        <v>33649</v>
      </c>
      <c r="Z592">
        <v>5.892374424106E-3</v>
      </c>
      <c r="AA592">
        <v>1</v>
      </c>
    </row>
    <row r="593" spans="1:27" x14ac:dyDescent="0.2">
      <c r="A593">
        <v>10</v>
      </c>
      <c r="B593">
        <v>3</v>
      </c>
      <c r="C593">
        <v>0.2</v>
      </c>
      <c r="D593">
        <v>20</v>
      </c>
      <c r="E593">
        <v>0.91189437988489197</v>
      </c>
      <c r="F593">
        <v>3</v>
      </c>
      <c r="G593">
        <v>37.025923231</v>
      </c>
      <c r="H593">
        <v>0.898870848232876</v>
      </c>
      <c r="I593">
        <v>3</v>
      </c>
      <c r="J593">
        <v>0.64910899499999997</v>
      </c>
      <c r="P593"/>
      <c r="V593">
        <v>0.89955850587696196</v>
      </c>
      <c r="W593">
        <v>3</v>
      </c>
      <c r="X593">
        <v>1229.5135285040001</v>
      </c>
      <c r="Y593">
        <v>25096</v>
      </c>
      <c r="Z593">
        <v>8.18545179794955E-3</v>
      </c>
      <c r="AA593">
        <v>1</v>
      </c>
    </row>
    <row r="594" spans="1:27" x14ac:dyDescent="0.2">
      <c r="A594">
        <v>10</v>
      </c>
      <c r="B594">
        <v>3</v>
      </c>
      <c r="C594">
        <v>0.1</v>
      </c>
      <c r="D594">
        <v>20</v>
      </c>
      <c r="E594">
        <v>0.96231757376581795</v>
      </c>
      <c r="F594">
        <v>3</v>
      </c>
      <c r="G594">
        <v>40.626202223</v>
      </c>
      <c r="H594">
        <v>0.96245548555639404</v>
      </c>
      <c r="I594">
        <v>3</v>
      </c>
      <c r="J594">
        <v>0.17697054500000001</v>
      </c>
      <c r="P594"/>
      <c r="V594">
        <v>0.96227163171902297</v>
      </c>
      <c r="W594">
        <v>3</v>
      </c>
      <c r="X594">
        <v>12944.2326306</v>
      </c>
      <c r="Y594">
        <v>445772</v>
      </c>
      <c r="Z594">
        <v>8.8292899618054501E-4</v>
      </c>
      <c r="AA594">
        <v>30</v>
      </c>
    </row>
    <row r="595" spans="1:27" x14ac:dyDescent="0.2">
      <c r="A595">
        <v>10</v>
      </c>
      <c r="B595">
        <v>2</v>
      </c>
      <c r="C595">
        <v>0.1</v>
      </c>
      <c r="D595">
        <v>100</v>
      </c>
      <c r="E595">
        <v>0.94908689634619203</v>
      </c>
      <c r="F595">
        <v>2</v>
      </c>
      <c r="G595">
        <v>33.105550981999997</v>
      </c>
      <c r="H595">
        <v>0.94076675731050896</v>
      </c>
      <c r="I595">
        <v>2</v>
      </c>
      <c r="J595">
        <v>8.9778394999999997E-2</v>
      </c>
      <c r="P595"/>
      <c r="V595">
        <v>0.95946370011824</v>
      </c>
      <c r="W595">
        <v>2</v>
      </c>
      <c r="X595">
        <v>67.783512290999994</v>
      </c>
      <c r="Y595">
        <v>8214</v>
      </c>
      <c r="Z595" s="1">
        <v>5.0878991801313599E-5</v>
      </c>
      <c r="AA595">
        <v>1</v>
      </c>
    </row>
    <row r="596" spans="1:27" x14ac:dyDescent="0.2">
      <c r="A596">
        <v>10</v>
      </c>
      <c r="B596">
        <v>2</v>
      </c>
      <c r="C596">
        <v>0.1</v>
      </c>
      <c r="D596">
        <v>100</v>
      </c>
      <c r="E596">
        <v>0.92913274012205604</v>
      </c>
      <c r="F596">
        <v>2</v>
      </c>
      <c r="G596">
        <v>33.259576140999997</v>
      </c>
      <c r="H596">
        <v>0.91475282676732095</v>
      </c>
      <c r="I596">
        <v>2</v>
      </c>
      <c r="J596">
        <v>0.41263022100000002</v>
      </c>
      <c r="P596"/>
      <c r="V596">
        <v>0.96492131589246699</v>
      </c>
      <c r="W596">
        <v>2</v>
      </c>
      <c r="X596">
        <v>193.60581556599999</v>
      </c>
      <c r="Y596">
        <v>20372</v>
      </c>
      <c r="Z596" s="1">
        <v>5.2681532572117201E-6</v>
      </c>
      <c r="AA596">
        <v>1</v>
      </c>
    </row>
    <row r="597" spans="1:27" x14ac:dyDescent="0.2">
      <c r="A597">
        <v>10</v>
      </c>
      <c r="B597">
        <v>2</v>
      </c>
      <c r="C597">
        <v>0.1</v>
      </c>
      <c r="D597">
        <v>100</v>
      </c>
      <c r="E597">
        <v>0.89630746755836599</v>
      </c>
      <c r="F597">
        <v>2</v>
      </c>
      <c r="G597">
        <v>32.444319438999997</v>
      </c>
      <c r="H597">
        <v>0.89152966984264403</v>
      </c>
      <c r="I597">
        <v>2</v>
      </c>
      <c r="J597">
        <v>0.28188949699999999</v>
      </c>
      <c r="P597"/>
      <c r="V597">
        <v>0.91926455398367202</v>
      </c>
      <c r="W597">
        <v>2</v>
      </c>
      <c r="X597">
        <v>341.89758633700001</v>
      </c>
      <c r="Y597">
        <v>43707</v>
      </c>
      <c r="Z597" s="1">
        <v>2.5296769288068299E-5</v>
      </c>
      <c r="AA597">
        <v>1</v>
      </c>
    </row>
    <row r="598" spans="1:27" x14ac:dyDescent="0.2">
      <c r="A598">
        <v>10</v>
      </c>
      <c r="B598">
        <v>2</v>
      </c>
      <c r="C598">
        <v>0.1</v>
      </c>
      <c r="D598">
        <v>100</v>
      </c>
      <c r="E598">
        <v>0.98050792797491704</v>
      </c>
      <c r="F598">
        <v>2</v>
      </c>
      <c r="G598">
        <v>23.858923265000001</v>
      </c>
      <c r="H598">
        <v>0.980512690532366</v>
      </c>
      <c r="I598">
        <v>2</v>
      </c>
      <c r="J598">
        <v>3.0463936E-2</v>
      </c>
      <c r="P598"/>
      <c r="V598">
        <v>0.94810172362406697</v>
      </c>
      <c r="W598">
        <v>2</v>
      </c>
      <c r="X598">
        <v>42.28613283</v>
      </c>
      <c r="Y598">
        <v>6331</v>
      </c>
      <c r="Z598" s="1">
        <v>1.5871032323002501E-5</v>
      </c>
      <c r="AA598">
        <v>1</v>
      </c>
    </row>
    <row r="599" spans="1:27" x14ac:dyDescent="0.2">
      <c r="A599">
        <v>10</v>
      </c>
      <c r="B599">
        <v>2</v>
      </c>
      <c r="C599">
        <v>0.2</v>
      </c>
      <c r="D599">
        <v>100</v>
      </c>
      <c r="E599">
        <v>0.95903820198812295</v>
      </c>
      <c r="F599">
        <v>2</v>
      </c>
      <c r="G599">
        <v>32.040399676</v>
      </c>
      <c r="H599">
        <v>0.96619474049271103</v>
      </c>
      <c r="I599">
        <v>2</v>
      </c>
      <c r="J599">
        <v>8.1499298999999997E-2</v>
      </c>
      <c r="P599"/>
      <c r="V599">
        <v>1.0265762269715299</v>
      </c>
      <c r="W599">
        <v>2</v>
      </c>
      <c r="X599">
        <v>1221.5004076289999</v>
      </c>
      <c r="Y599">
        <v>25686</v>
      </c>
      <c r="Z599">
        <v>1.81692076850848E-3</v>
      </c>
      <c r="AA599">
        <v>1</v>
      </c>
    </row>
    <row r="600" spans="1:27" x14ac:dyDescent="0.2">
      <c r="A600">
        <v>10</v>
      </c>
      <c r="B600">
        <v>2</v>
      </c>
      <c r="C600">
        <v>0.1</v>
      </c>
      <c r="D600">
        <v>100</v>
      </c>
      <c r="E600">
        <v>0.95320292404573403</v>
      </c>
      <c r="F600">
        <v>2</v>
      </c>
      <c r="G600">
        <v>26.614090353000002</v>
      </c>
      <c r="H600">
        <v>0.94700226603054705</v>
      </c>
      <c r="I600">
        <v>2</v>
      </c>
      <c r="J600">
        <v>4.0486223000000002E-2</v>
      </c>
      <c r="P600"/>
      <c r="V600">
        <v>0.95086346563447699</v>
      </c>
      <c r="W600">
        <v>2</v>
      </c>
      <c r="X600">
        <v>1927.8399175009999</v>
      </c>
      <c r="Y600">
        <v>73829</v>
      </c>
      <c r="Z600">
        <v>6.8600759229209599E-4</v>
      </c>
      <c r="AA600">
        <v>7</v>
      </c>
    </row>
    <row r="601" spans="1:27" x14ac:dyDescent="0.2">
      <c r="A601">
        <v>10</v>
      </c>
      <c r="B601">
        <v>2</v>
      </c>
      <c r="C601">
        <v>0.1</v>
      </c>
      <c r="D601">
        <v>100</v>
      </c>
      <c r="E601">
        <v>0.91709079611123601</v>
      </c>
      <c r="F601">
        <v>2</v>
      </c>
      <c r="G601">
        <v>34.738939221000003</v>
      </c>
      <c r="H601">
        <v>0.91709081231964495</v>
      </c>
      <c r="I601">
        <v>2</v>
      </c>
      <c r="J601">
        <v>4.8123946000000001E-2</v>
      </c>
      <c r="P601"/>
      <c r="V601">
        <v>0.929091890077688</v>
      </c>
      <c r="W601">
        <v>2</v>
      </c>
      <c r="X601">
        <v>1222.314052834</v>
      </c>
      <c r="Y601">
        <v>50704</v>
      </c>
      <c r="Z601">
        <v>2.38613029613156E-3</v>
      </c>
      <c r="AA601">
        <v>1</v>
      </c>
    </row>
    <row r="602" spans="1:27" x14ac:dyDescent="0.2">
      <c r="A602">
        <v>10</v>
      </c>
      <c r="B602">
        <v>2</v>
      </c>
      <c r="C602">
        <v>0.2</v>
      </c>
      <c r="D602">
        <v>100</v>
      </c>
      <c r="E602">
        <v>1.0399686061556199</v>
      </c>
      <c r="F602">
        <v>2</v>
      </c>
      <c r="G602">
        <v>35.870311897000001</v>
      </c>
      <c r="H602">
        <v>1.00945345538509</v>
      </c>
      <c r="I602">
        <v>2</v>
      </c>
      <c r="J602">
        <v>0.59228603499999999</v>
      </c>
      <c r="P602"/>
      <c r="V602">
        <v>0.95902293856288801</v>
      </c>
      <c r="W602">
        <v>2</v>
      </c>
      <c r="X602">
        <v>4716.6800290319998</v>
      </c>
      <c r="Y602">
        <v>138937</v>
      </c>
      <c r="Z602">
        <v>5.3218005198904495E-4</v>
      </c>
      <c r="AA602">
        <v>17</v>
      </c>
    </row>
    <row r="603" spans="1:27" x14ac:dyDescent="0.2">
      <c r="A603">
        <v>10</v>
      </c>
      <c r="B603">
        <v>2</v>
      </c>
      <c r="C603">
        <v>0.1</v>
      </c>
      <c r="D603">
        <v>100</v>
      </c>
      <c r="E603">
        <v>0.93777025852604601</v>
      </c>
      <c r="F603">
        <v>2</v>
      </c>
      <c r="G603">
        <v>31.870322731000002</v>
      </c>
      <c r="H603">
        <v>0.95378027243461605</v>
      </c>
      <c r="I603">
        <v>2</v>
      </c>
      <c r="J603">
        <v>0.23072379400000001</v>
      </c>
      <c r="P603"/>
      <c r="V603">
        <v>0.977064031381216</v>
      </c>
      <c r="W603">
        <v>2</v>
      </c>
      <c r="X603">
        <v>76.466930892999997</v>
      </c>
      <c r="Y603">
        <v>14631</v>
      </c>
      <c r="Z603" s="1">
        <v>4.8239784135144205E-7</v>
      </c>
      <c r="AA603">
        <v>1</v>
      </c>
    </row>
    <row r="604" spans="1:27" x14ac:dyDescent="0.2">
      <c r="A604">
        <v>10</v>
      </c>
      <c r="B604">
        <v>2</v>
      </c>
      <c r="C604">
        <v>0.2</v>
      </c>
      <c r="D604">
        <v>100</v>
      </c>
      <c r="E604">
        <v>1.0453395053152501</v>
      </c>
      <c r="F604">
        <v>2</v>
      </c>
      <c r="G604">
        <v>32.226209892999996</v>
      </c>
      <c r="H604">
        <v>1.01658028767121</v>
      </c>
      <c r="I604">
        <v>2</v>
      </c>
      <c r="J604">
        <v>0.242222884</v>
      </c>
      <c r="P604"/>
      <c r="V604">
        <v>0.92329032230530494</v>
      </c>
      <c r="W604">
        <v>2</v>
      </c>
      <c r="X604">
        <v>1222.836685691</v>
      </c>
      <c r="Y604">
        <v>27286</v>
      </c>
      <c r="Z604">
        <v>7.2335507671344296E-4</v>
      </c>
      <c r="AA604">
        <v>1</v>
      </c>
    </row>
    <row r="605" spans="1:27" x14ac:dyDescent="0.2">
      <c r="A605">
        <v>10</v>
      </c>
      <c r="B605">
        <v>2</v>
      </c>
      <c r="C605">
        <v>0.1</v>
      </c>
      <c r="D605">
        <v>100</v>
      </c>
      <c r="E605">
        <v>0.98933313991942395</v>
      </c>
      <c r="F605">
        <v>2</v>
      </c>
      <c r="G605">
        <v>33.646334912999997</v>
      </c>
      <c r="H605">
        <v>0.98936952499330499</v>
      </c>
      <c r="I605">
        <v>2</v>
      </c>
      <c r="J605">
        <v>4.7788523999999999E-2</v>
      </c>
      <c r="P605"/>
      <c r="V605">
        <v>0.98943607388195298</v>
      </c>
      <c r="W605">
        <v>2</v>
      </c>
      <c r="X605">
        <v>1220.6560348089999</v>
      </c>
      <c r="Y605">
        <v>23720</v>
      </c>
      <c r="Z605">
        <v>1.5962235204769501E-3</v>
      </c>
      <c r="AA605">
        <v>1</v>
      </c>
    </row>
    <row r="606" spans="1:27" x14ac:dyDescent="0.2">
      <c r="A606">
        <v>10</v>
      </c>
      <c r="B606">
        <v>2</v>
      </c>
      <c r="C606">
        <v>0.2</v>
      </c>
      <c r="D606">
        <v>100</v>
      </c>
      <c r="E606">
        <v>0.83295652748375804</v>
      </c>
      <c r="F606">
        <v>2</v>
      </c>
      <c r="G606">
        <v>34.353122378999998</v>
      </c>
      <c r="H606">
        <v>0.82435608252008497</v>
      </c>
      <c r="I606">
        <v>2</v>
      </c>
      <c r="J606">
        <v>0.111636527</v>
      </c>
      <c r="P606"/>
      <c r="V606">
        <v>0.82456823820748004</v>
      </c>
      <c r="W606">
        <v>2</v>
      </c>
      <c r="X606">
        <v>1224.881790442</v>
      </c>
      <c r="Y606">
        <v>70696</v>
      </c>
      <c r="Z606">
        <v>3.8849865377414898E-3</v>
      </c>
      <c r="AA606">
        <v>1</v>
      </c>
    </row>
    <row r="607" spans="1:27" x14ac:dyDescent="0.2">
      <c r="A607">
        <v>10</v>
      </c>
      <c r="B607">
        <v>2</v>
      </c>
      <c r="C607">
        <v>0.1</v>
      </c>
      <c r="D607">
        <v>100</v>
      </c>
      <c r="E607">
        <v>0.97446965912170302</v>
      </c>
      <c r="F607">
        <v>2</v>
      </c>
      <c r="G607">
        <v>33.262937162999997</v>
      </c>
      <c r="H607">
        <v>1.0443891780368999</v>
      </c>
      <c r="I607">
        <v>2</v>
      </c>
      <c r="J607">
        <v>0.15709289300000001</v>
      </c>
      <c r="P607"/>
      <c r="V607">
        <v>1.0263232136226399</v>
      </c>
      <c r="W607">
        <v>2</v>
      </c>
      <c r="X607">
        <v>670.51383512899997</v>
      </c>
      <c r="Y607">
        <v>65850</v>
      </c>
      <c r="Z607" s="1">
        <v>3.1546878167292701E-5</v>
      </c>
      <c r="AA607">
        <v>1</v>
      </c>
    </row>
    <row r="608" spans="1:27" x14ac:dyDescent="0.2">
      <c r="A608">
        <v>10</v>
      </c>
      <c r="B608">
        <v>2</v>
      </c>
      <c r="C608">
        <v>0.1</v>
      </c>
      <c r="D608">
        <v>100</v>
      </c>
      <c r="E608">
        <v>0.96993763853662296</v>
      </c>
      <c r="F608">
        <v>2</v>
      </c>
      <c r="G608">
        <v>33.639655392999998</v>
      </c>
      <c r="H608">
        <v>0.96993952834236097</v>
      </c>
      <c r="I608">
        <v>2</v>
      </c>
      <c r="J608">
        <v>4.2816982000000003E-2</v>
      </c>
      <c r="P608"/>
      <c r="V608">
        <v>1.0342077123548501</v>
      </c>
      <c r="W608">
        <v>2</v>
      </c>
      <c r="X608">
        <v>117.63446249899999</v>
      </c>
      <c r="Y608">
        <v>15157</v>
      </c>
      <c r="Z608" s="1">
        <v>2.9274159353640599E-6</v>
      </c>
      <c r="AA608">
        <v>1</v>
      </c>
    </row>
    <row r="609" spans="1:27" x14ac:dyDescent="0.2">
      <c r="A609">
        <v>10</v>
      </c>
      <c r="B609">
        <v>2</v>
      </c>
      <c r="C609">
        <v>0.2</v>
      </c>
      <c r="D609">
        <v>100</v>
      </c>
      <c r="E609">
        <v>1.00346908380668</v>
      </c>
      <c r="F609">
        <v>2</v>
      </c>
      <c r="G609">
        <v>33.024055248000003</v>
      </c>
      <c r="H609">
        <v>1.12838176419363</v>
      </c>
      <c r="I609">
        <v>2</v>
      </c>
      <c r="J609">
        <v>0.42688162600000001</v>
      </c>
      <c r="P609"/>
      <c r="V609">
        <v>1.1026822989741401</v>
      </c>
      <c r="W609">
        <v>2</v>
      </c>
      <c r="X609">
        <v>184.271114238</v>
      </c>
      <c r="Y609">
        <v>6430</v>
      </c>
      <c r="Z609">
        <v>2.4075331441571801E-4</v>
      </c>
      <c r="AA609">
        <v>1</v>
      </c>
    </row>
    <row r="610" spans="1:27" x14ac:dyDescent="0.2">
      <c r="A610">
        <v>10</v>
      </c>
      <c r="B610">
        <v>2</v>
      </c>
      <c r="C610">
        <v>0.1</v>
      </c>
      <c r="D610">
        <v>100</v>
      </c>
      <c r="E610">
        <v>1.0042810606055901</v>
      </c>
      <c r="F610">
        <v>2</v>
      </c>
      <c r="G610">
        <v>34.973002135999998</v>
      </c>
      <c r="H610">
        <v>1.0873700891176801</v>
      </c>
      <c r="I610">
        <v>2</v>
      </c>
      <c r="J610">
        <v>0.36356688700000001</v>
      </c>
      <c r="P610"/>
      <c r="V610">
        <v>1.0146700166848399</v>
      </c>
      <c r="W610">
        <v>2</v>
      </c>
      <c r="X610">
        <v>56.838277816999998</v>
      </c>
      <c r="Y610">
        <v>6422</v>
      </c>
      <c r="Z610" s="1">
        <v>9.1325743900236204E-6</v>
      </c>
      <c r="AA610">
        <v>1</v>
      </c>
    </row>
    <row r="611" spans="1:27" x14ac:dyDescent="0.2">
      <c r="A611">
        <v>10</v>
      </c>
      <c r="B611">
        <v>2</v>
      </c>
      <c r="C611">
        <v>0.3</v>
      </c>
      <c r="D611">
        <v>100</v>
      </c>
      <c r="E611">
        <v>0.47276392302303799</v>
      </c>
      <c r="F611">
        <v>2</v>
      </c>
      <c r="G611">
        <v>34.119976817000001</v>
      </c>
      <c r="H611">
        <v>0.50175672932138404</v>
      </c>
      <c r="I611">
        <v>2</v>
      </c>
      <c r="J611">
        <v>0.13815370699999999</v>
      </c>
      <c r="P611"/>
      <c r="V611">
        <v>0.49992476072925601</v>
      </c>
      <c r="W611">
        <v>2</v>
      </c>
      <c r="X611">
        <v>1463.6045977230001</v>
      </c>
      <c r="Y611">
        <v>5881</v>
      </c>
      <c r="Z611">
        <v>7.8254656873468706E-3</v>
      </c>
      <c r="AA611">
        <v>4</v>
      </c>
    </row>
    <row r="612" spans="1:27" x14ac:dyDescent="0.2">
      <c r="A612">
        <v>10</v>
      </c>
      <c r="B612">
        <v>2</v>
      </c>
      <c r="C612">
        <v>0.1</v>
      </c>
      <c r="D612">
        <v>100</v>
      </c>
      <c r="E612">
        <v>0.902840377320274</v>
      </c>
      <c r="F612">
        <v>2</v>
      </c>
      <c r="G612">
        <v>35.396753480000001</v>
      </c>
      <c r="H612">
        <v>0.90284035506944005</v>
      </c>
      <c r="I612">
        <v>2</v>
      </c>
      <c r="J612">
        <v>4.5265223E-2</v>
      </c>
      <c r="P612"/>
      <c r="V612">
        <v>1.02115143450399</v>
      </c>
      <c r="W612">
        <v>2</v>
      </c>
      <c r="X612">
        <v>239.919348619</v>
      </c>
      <c r="Y612">
        <v>40647</v>
      </c>
      <c r="Z612" s="1">
        <v>3.9404412548352899E-5</v>
      </c>
      <c r="AA612">
        <v>1</v>
      </c>
    </row>
    <row r="613" spans="1:27" x14ac:dyDescent="0.2">
      <c r="A613">
        <v>10</v>
      </c>
      <c r="B613">
        <v>2</v>
      </c>
      <c r="C613">
        <v>0.1</v>
      </c>
      <c r="D613">
        <v>100</v>
      </c>
      <c r="E613">
        <v>0.98181459157867501</v>
      </c>
      <c r="F613">
        <v>2</v>
      </c>
      <c r="G613">
        <v>40.614913252000001</v>
      </c>
      <c r="H613">
        <v>0.99218471728145297</v>
      </c>
      <c r="I613">
        <v>2</v>
      </c>
      <c r="J613">
        <v>0.18458930200000001</v>
      </c>
      <c r="P613"/>
      <c r="V613">
        <v>0.95487805110583301</v>
      </c>
      <c r="W613">
        <v>2</v>
      </c>
      <c r="X613">
        <v>67.124407024000007</v>
      </c>
      <c r="Y613">
        <v>7833</v>
      </c>
      <c r="Z613" s="1">
        <v>9.6695867946920006E-5</v>
      </c>
      <c r="AA613">
        <v>1</v>
      </c>
    </row>
    <row r="614" spans="1:27" x14ac:dyDescent="0.2">
      <c r="A614">
        <v>10</v>
      </c>
      <c r="B614">
        <v>2</v>
      </c>
      <c r="C614">
        <v>0.1</v>
      </c>
      <c r="D614">
        <v>100</v>
      </c>
      <c r="E614">
        <v>0.94371517924566095</v>
      </c>
      <c r="F614">
        <v>2</v>
      </c>
      <c r="G614">
        <v>33.921428229999997</v>
      </c>
      <c r="H614">
        <v>0.94884579411866699</v>
      </c>
      <c r="I614">
        <v>2</v>
      </c>
      <c r="J614">
        <v>6.3031251999999996E-2</v>
      </c>
      <c r="P614"/>
      <c r="V614">
        <v>0.91504948393947505</v>
      </c>
      <c r="W614">
        <v>2</v>
      </c>
      <c r="X614">
        <v>75.792962158999998</v>
      </c>
      <c r="Y614">
        <v>12731</v>
      </c>
      <c r="Z614">
        <v>3.3377906779442901E-4</v>
      </c>
      <c r="AA614">
        <v>1</v>
      </c>
    </row>
    <row r="615" spans="1:27" x14ac:dyDescent="0.2">
      <c r="A615">
        <v>10</v>
      </c>
      <c r="B615">
        <v>2</v>
      </c>
      <c r="C615">
        <v>0.1</v>
      </c>
      <c r="D615">
        <v>100</v>
      </c>
      <c r="E615">
        <v>0.93675980922848201</v>
      </c>
      <c r="F615">
        <v>2</v>
      </c>
      <c r="G615">
        <v>34.456386111</v>
      </c>
      <c r="H615">
        <v>0.92309731319144295</v>
      </c>
      <c r="I615">
        <v>2</v>
      </c>
      <c r="J615">
        <v>0.21202231199999999</v>
      </c>
      <c r="P615"/>
      <c r="V615">
        <v>0.89571300482507699</v>
      </c>
      <c r="W615">
        <v>2</v>
      </c>
      <c r="X615">
        <v>79.506314830999997</v>
      </c>
      <c r="Y615">
        <v>12695</v>
      </c>
      <c r="Z615">
        <v>1.1745853314463999E-4</v>
      </c>
      <c r="AA615">
        <v>1</v>
      </c>
    </row>
    <row r="616" spans="1:27" x14ac:dyDescent="0.2">
      <c r="A616">
        <v>10</v>
      </c>
      <c r="B616">
        <v>2</v>
      </c>
      <c r="C616">
        <v>0.1</v>
      </c>
      <c r="D616">
        <v>100</v>
      </c>
      <c r="E616">
        <v>1.0001935165201099</v>
      </c>
      <c r="F616">
        <v>2</v>
      </c>
      <c r="G616">
        <v>31.115805844</v>
      </c>
      <c r="H616">
        <v>0.99248335311913904</v>
      </c>
      <c r="I616">
        <v>2</v>
      </c>
      <c r="J616">
        <v>9.3086446000000003E-2</v>
      </c>
      <c r="P616"/>
      <c r="V616">
        <v>0.99429721981846597</v>
      </c>
      <c r="W616">
        <v>2</v>
      </c>
      <c r="X616">
        <v>48.713063456</v>
      </c>
      <c r="Y616">
        <v>11916</v>
      </c>
      <c r="Z616" s="1">
        <v>1.6756382615473699E-7</v>
      </c>
      <c r="AA616">
        <v>1</v>
      </c>
    </row>
    <row r="617" spans="1:27" x14ac:dyDescent="0.2">
      <c r="A617">
        <v>10</v>
      </c>
      <c r="B617">
        <v>2</v>
      </c>
      <c r="C617">
        <v>0.2</v>
      </c>
      <c r="D617">
        <v>100</v>
      </c>
      <c r="E617">
        <v>1.0362339548569599</v>
      </c>
      <c r="F617">
        <v>2</v>
      </c>
      <c r="G617">
        <v>28.813383672000001</v>
      </c>
      <c r="H617">
        <v>0.88909743724270296</v>
      </c>
      <c r="I617">
        <v>2</v>
      </c>
      <c r="J617">
        <v>0.38133706099999998</v>
      </c>
      <c r="P617"/>
      <c r="V617">
        <v>0.88906023792565603</v>
      </c>
      <c r="W617">
        <v>2</v>
      </c>
      <c r="X617">
        <v>1219.108407833</v>
      </c>
      <c r="Y617">
        <v>41446</v>
      </c>
      <c r="Z617">
        <v>1.20416916615795E-3</v>
      </c>
      <c r="AA617">
        <v>1</v>
      </c>
    </row>
    <row r="618" spans="1:27" x14ac:dyDescent="0.2">
      <c r="A618">
        <v>10</v>
      </c>
      <c r="B618">
        <v>2</v>
      </c>
      <c r="C618">
        <v>0.2</v>
      </c>
      <c r="D618">
        <v>100</v>
      </c>
      <c r="E618">
        <v>0.83694110364461605</v>
      </c>
      <c r="F618">
        <v>2</v>
      </c>
      <c r="G618">
        <v>33.234275850000003</v>
      </c>
      <c r="H618">
        <v>0.85010091098187501</v>
      </c>
      <c r="I618">
        <v>2</v>
      </c>
      <c r="J618">
        <v>5.2990095000000001E-2</v>
      </c>
      <c r="P618"/>
      <c r="V618">
        <v>0.90521327537543095</v>
      </c>
      <c r="W618">
        <v>2</v>
      </c>
      <c r="X618">
        <v>1220.947037442</v>
      </c>
      <c r="Y618">
        <v>37842</v>
      </c>
      <c r="Z618">
        <v>2.5226525748005399E-4</v>
      </c>
      <c r="AA618">
        <v>1</v>
      </c>
    </row>
    <row r="619" spans="1:27" x14ac:dyDescent="0.2">
      <c r="A619">
        <v>10</v>
      </c>
      <c r="B619">
        <v>2</v>
      </c>
      <c r="C619">
        <v>0.2</v>
      </c>
      <c r="D619">
        <v>100</v>
      </c>
      <c r="E619">
        <v>0.70359108232812695</v>
      </c>
      <c r="F619">
        <v>2</v>
      </c>
      <c r="G619">
        <v>43.214407371999997</v>
      </c>
      <c r="H619">
        <v>0.71361581953469899</v>
      </c>
      <c r="I619">
        <v>2</v>
      </c>
      <c r="J619">
        <v>0.30296885699999998</v>
      </c>
      <c r="P619"/>
      <c r="V619">
        <v>0.71322678484563995</v>
      </c>
      <c r="W619">
        <v>2</v>
      </c>
      <c r="X619">
        <v>44.690354184</v>
      </c>
      <c r="Y619">
        <v>1</v>
      </c>
      <c r="Z619">
        <v>1.6251068609562901E-3</v>
      </c>
      <c r="AA619">
        <v>1</v>
      </c>
    </row>
    <row r="620" spans="1:27" x14ac:dyDescent="0.2">
      <c r="A620">
        <v>10</v>
      </c>
      <c r="B620">
        <v>2</v>
      </c>
      <c r="C620">
        <v>0.1</v>
      </c>
      <c r="D620">
        <v>100</v>
      </c>
      <c r="E620">
        <v>0.96909008296313903</v>
      </c>
      <c r="F620">
        <v>2</v>
      </c>
      <c r="G620">
        <v>41.041205384999998</v>
      </c>
      <c r="H620">
        <v>0.96908191768722496</v>
      </c>
      <c r="I620">
        <v>2</v>
      </c>
      <c r="J620">
        <v>0.14725608600000001</v>
      </c>
      <c r="P620"/>
      <c r="V620">
        <v>0.93626139773474903</v>
      </c>
      <c r="W620">
        <v>2</v>
      </c>
      <c r="X620">
        <v>83.992306083000003</v>
      </c>
      <c r="Y620">
        <v>14681</v>
      </c>
      <c r="Z620" s="1">
        <v>5.7298166211694405E-7</v>
      </c>
      <c r="AA620">
        <v>1</v>
      </c>
    </row>
    <row r="621" spans="1:27" x14ac:dyDescent="0.2">
      <c r="A621">
        <v>10</v>
      </c>
      <c r="B621">
        <v>2</v>
      </c>
      <c r="C621">
        <v>0.1</v>
      </c>
      <c r="D621">
        <v>100</v>
      </c>
      <c r="E621">
        <v>0.94635188993042296</v>
      </c>
      <c r="F621">
        <v>2</v>
      </c>
      <c r="G621">
        <v>28.623108579</v>
      </c>
      <c r="H621">
        <v>0.946458369295333</v>
      </c>
      <c r="I621">
        <v>2</v>
      </c>
      <c r="J621">
        <v>4.1489985E-2</v>
      </c>
      <c r="P621"/>
      <c r="V621">
        <v>0.98712448512111695</v>
      </c>
      <c r="W621">
        <v>2</v>
      </c>
      <c r="X621">
        <v>1218.274342808</v>
      </c>
      <c r="Y621">
        <v>114340</v>
      </c>
      <c r="Z621">
        <v>1.81067435120559E-3</v>
      </c>
      <c r="AA621">
        <v>1</v>
      </c>
    </row>
    <row r="622" spans="1:27" x14ac:dyDescent="0.2">
      <c r="A622">
        <v>10</v>
      </c>
      <c r="B622">
        <v>2</v>
      </c>
      <c r="C622">
        <v>0.1</v>
      </c>
      <c r="D622">
        <v>100</v>
      </c>
      <c r="E622">
        <v>0.983389581398464</v>
      </c>
      <c r="F622">
        <v>2</v>
      </c>
      <c r="G622">
        <v>37.192909251000003</v>
      </c>
      <c r="H622">
        <v>0.98347960667842005</v>
      </c>
      <c r="I622">
        <v>2</v>
      </c>
      <c r="J622">
        <v>4.7641076999999997E-2</v>
      </c>
      <c r="P622"/>
      <c r="V622">
        <v>0.89842586615405895</v>
      </c>
      <c r="W622">
        <v>2</v>
      </c>
      <c r="X622">
        <v>55.033571752999997</v>
      </c>
      <c r="Y622">
        <v>5682</v>
      </c>
      <c r="Z622" s="1">
        <v>7.4696725128785906E-5</v>
      </c>
      <c r="AA622">
        <v>1</v>
      </c>
    </row>
    <row r="623" spans="1:27" x14ac:dyDescent="0.2">
      <c r="A623">
        <v>10</v>
      </c>
      <c r="B623">
        <v>2</v>
      </c>
      <c r="C623">
        <v>0.2</v>
      </c>
      <c r="D623">
        <v>100</v>
      </c>
      <c r="E623">
        <v>1.0058022579753101</v>
      </c>
      <c r="F623">
        <v>2</v>
      </c>
      <c r="G623">
        <v>46.067491173999997</v>
      </c>
      <c r="H623">
        <v>0.99601450159863203</v>
      </c>
      <c r="I623">
        <v>2</v>
      </c>
      <c r="J623">
        <v>0.306750668</v>
      </c>
      <c r="P623"/>
      <c r="V623">
        <v>0.996279146997882</v>
      </c>
      <c r="W623">
        <v>2</v>
      </c>
      <c r="X623">
        <v>1237.9790245029999</v>
      </c>
      <c r="Y623">
        <v>0</v>
      </c>
      <c r="Z623">
        <v>2.3856427778809999E-3</v>
      </c>
      <c r="AA623">
        <v>2</v>
      </c>
    </row>
    <row r="624" spans="1:27" x14ac:dyDescent="0.2">
      <c r="A624">
        <v>10</v>
      </c>
      <c r="B624">
        <v>2</v>
      </c>
      <c r="C624">
        <v>0.1</v>
      </c>
      <c r="D624">
        <v>100</v>
      </c>
      <c r="E624">
        <v>0.90348752897315399</v>
      </c>
      <c r="F624">
        <v>2</v>
      </c>
      <c r="G624">
        <v>42.62709298</v>
      </c>
      <c r="H624">
        <v>0.92611683817330503</v>
      </c>
      <c r="I624">
        <v>2</v>
      </c>
      <c r="J624">
        <v>0.53958460600000002</v>
      </c>
      <c r="P624"/>
      <c r="V624">
        <v>1.02023120414043</v>
      </c>
      <c r="W624">
        <v>2</v>
      </c>
      <c r="X624">
        <v>185.69271092599999</v>
      </c>
      <c r="Y624">
        <v>29692</v>
      </c>
      <c r="Z624" s="1">
        <v>2.3458488838107601E-5</v>
      </c>
      <c r="AA624">
        <v>1</v>
      </c>
    </row>
    <row r="625" spans="1:27" x14ac:dyDescent="0.2">
      <c r="A625">
        <v>10</v>
      </c>
      <c r="B625">
        <v>2</v>
      </c>
      <c r="C625">
        <v>0.1</v>
      </c>
      <c r="D625">
        <v>100</v>
      </c>
      <c r="E625">
        <v>0.98547772135251699</v>
      </c>
      <c r="F625">
        <v>2</v>
      </c>
      <c r="G625">
        <v>31.479046784000001</v>
      </c>
      <c r="H625">
        <v>0.98547772135251699</v>
      </c>
      <c r="I625">
        <v>2</v>
      </c>
      <c r="J625">
        <v>5.6935289E-2</v>
      </c>
      <c r="P625"/>
      <c r="V625">
        <v>1.0101661466936001</v>
      </c>
      <c r="W625">
        <v>2</v>
      </c>
      <c r="X625">
        <v>98.354497469999998</v>
      </c>
      <c r="Y625">
        <v>19515</v>
      </c>
      <c r="Z625">
        <v>0</v>
      </c>
      <c r="AA625">
        <v>1</v>
      </c>
    </row>
    <row r="626" spans="1:27" x14ac:dyDescent="0.2">
      <c r="A626">
        <v>10</v>
      </c>
      <c r="B626">
        <v>2</v>
      </c>
      <c r="C626">
        <v>0.1</v>
      </c>
      <c r="D626">
        <v>100</v>
      </c>
      <c r="E626">
        <v>0.95956118876537799</v>
      </c>
      <c r="F626">
        <v>2</v>
      </c>
      <c r="G626">
        <v>30.306187772000001</v>
      </c>
      <c r="H626">
        <v>0.93100382902780199</v>
      </c>
      <c r="I626">
        <v>2</v>
      </c>
      <c r="J626">
        <v>0.14308415199999999</v>
      </c>
      <c r="P626"/>
      <c r="V626">
        <v>0.98498793971786702</v>
      </c>
      <c r="W626">
        <v>2</v>
      </c>
      <c r="X626">
        <v>108.53850797299999</v>
      </c>
      <c r="Y626">
        <v>18517</v>
      </c>
      <c r="Z626" s="1">
        <v>1.9809280394252001E-6</v>
      </c>
      <c r="AA626">
        <v>1</v>
      </c>
    </row>
    <row r="627" spans="1:27" x14ac:dyDescent="0.2">
      <c r="A627">
        <v>10</v>
      </c>
      <c r="B627">
        <v>2</v>
      </c>
      <c r="C627">
        <v>0.1</v>
      </c>
      <c r="D627">
        <v>100</v>
      </c>
      <c r="E627">
        <v>0.93789641919421296</v>
      </c>
      <c r="F627">
        <v>2</v>
      </c>
      <c r="G627">
        <v>47.032922364000001</v>
      </c>
      <c r="H627">
        <v>0.93662201768803599</v>
      </c>
      <c r="I627">
        <v>2</v>
      </c>
      <c r="J627">
        <v>0.26823641199999998</v>
      </c>
      <c r="P627"/>
      <c r="V627">
        <v>0.94220209557575896</v>
      </c>
      <c r="W627">
        <v>2</v>
      </c>
      <c r="X627">
        <v>64.476649457999997</v>
      </c>
      <c r="Y627">
        <v>7153</v>
      </c>
      <c r="Z627" s="1">
        <v>6.0018866770050001E-5</v>
      </c>
      <c r="AA627">
        <v>1</v>
      </c>
    </row>
    <row r="628" spans="1:27" x14ac:dyDescent="0.2">
      <c r="A628">
        <v>10</v>
      </c>
      <c r="B628">
        <v>2</v>
      </c>
      <c r="C628">
        <v>0.1</v>
      </c>
      <c r="D628">
        <v>100</v>
      </c>
      <c r="E628">
        <v>0.99603866734222002</v>
      </c>
      <c r="F628">
        <v>2</v>
      </c>
      <c r="G628">
        <v>30.472413779</v>
      </c>
      <c r="H628">
        <v>1.0123693153597699</v>
      </c>
      <c r="I628">
        <v>2</v>
      </c>
      <c r="J628">
        <v>0.224649504</v>
      </c>
      <c r="P628"/>
      <c r="V628">
        <v>0.95553240245139004</v>
      </c>
      <c r="W628">
        <v>2</v>
      </c>
      <c r="X628">
        <v>283.66685719600002</v>
      </c>
      <c r="Y628">
        <v>35978</v>
      </c>
      <c r="Z628" s="1">
        <v>4.0090795525087998E-6</v>
      </c>
      <c r="AA628">
        <v>1</v>
      </c>
    </row>
    <row r="629" spans="1:27" x14ac:dyDescent="0.2">
      <c r="A629">
        <v>10</v>
      </c>
      <c r="B629">
        <v>2</v>
      </c>
      <c r="C629">
        <v>0.2</v>
      </c>
      <c r="D629">
        <v>100</v>
      </c>
      <c r="E629">
        <v>1.24182363292149</v>
      </c>
      <c r="F629">
        <v>2</v>
      </c>
      <c r="G629">
        <v>38.059581602000002</v>
      </c>
      <c r="H629">
        <v>1.03093917273044</v>
      </c>
      <c r="I629">
        <v>2</v>
      </c>
      <c r="J629">
        <v>0.77484825999999996</v>
      </c>
      <c r="P629"/>
      <c r="V629">
        <v>0.97785365868949603</v>
      </c>
      <c r="W629">
        <v>2</v>
      </c>
      <c r="X629">
        <v>1228.071679571</v>
      </c>
      <c r="Y629">
        <v>40401</v>
      </c>
      <c r="Z629">
        <v>8.0953368986737902E-4</v>
      </c>
      <c r="AA629">
        <v>1</v>
      </c>
    </row>
    <row r="630" spans="1:27" x14ac:dyDescent="0.2">
      <c r="A630">
        <v>10</v>
      </c>
      <c r="B630">
        <v>2</v>
      </c>
      <c r="C630">
        <v>0.2</v>
      </c>
      <c r="D630">
        <v>100</v>
      </c>
      <c r="E630">
        <v>1.08170084046132</v>
      </c>
      <c r="F630">
        <v>2</v>
      </c>
      <c r="G630">
        <v>30.314569796000001</v>
      </c>
      <c r="H630">
        <v>0.90501048407388895</v>
      </c>
      <c r="I630">
        <v>2</v>
      </c>
      <c r="J630">
        <v>0.49196714000000002</v>
      </c>
      <c r="P630"/>
      <c r="V630">
        <v>0.87504797470714202</v>
      </c>
      <c r="W630">
        <v>2</v>
      </c>
      <c r="X630">
        <v>2421.9451161100001</v>
      </c>
      <c r="Y630">
        <v>69795</v>
      </c>
      <c r="Z630">
        <v>8.4370428487504697E-4</v>
      </c>
      <c r="AA630">
        <v>10</v>
      </c>
    </row>
    <row r="631" spans="1:27" x14ac:dyDescent="0.2">
      <c r="A631">
        <v>10</v>
      </c>
      <c r="B631">
        <v>2</v>
      </c>
      <c r="C631">
        <v>0.2</v>
      </c>
      <c r="D631">
        <v>100</v>
      </c>
      <c r="E631">
        <v>1.1949087921769701</v>
      </c>
      <c r="F631">
        <v>2</v>
      </c>
      <c r="G631">
        <v>40.942027942999999</v>
      </c>
      <c r="H631">
        <v>0.73235772874937799</v>
      </c>
      <c r="I631">
        <v>2</v>
      </c>
      <c r="J631">
        <v>0.71250446499999998</v>
      </c>
      <c r="P631"/>
      <c r="V631">
        <v>0.73636169367844395</v>
      </c>
      <c r="W631">
        <v>2</v>
      </c>
      <c r="X631">
        <v>1228.7400304329999</v>
      </c>
      <c r="Y631">
        <v>43683</v>
      </c>
      <c r="Z631">
        <v>6.94510421591167E-4</v>
      </c>
      <c r="AA631">
        <v>1</v>
      </c>
    </row>
    <row r="632" spans="1:27" x14ac:dyDescent="0.2">
      <c r="A632">
        <v>10</v>
      </c>
      <c r="B632">
        <v>2</v>
      </c>
      <c r="C632">
        <v>0.1</v>
      </c>
      <c r="D632">
        <v>100</v>
      </c>
      <c r="E632">
        <v>0.96777789834557604</v>
      </c>
      <c r="F632">
        <v>2</v>
      </c>
      <c r="G632">
        <v>39.403483661000003</v>
      </c>
      <c r="H632">
        <v>0.97762024941901404</v>
      </c>
      <c r="I632">
        <v>2</v>
      </c>
      <c r="J632">
        <v>0.14067746</v>
      </c>
      <c r="P632"/>
      <c r="V632">
        <v>0.96435210773843105</v>
      </c>
      <c r="W632">
        <v>2</v>
      </c>
      <c r="X632">
        <v>165.15887031599999</v>
      </c>
      <c r="Y632">
        <v>25844</v>
      </c>
      <c r="Z632">
        <v>1.7401037316892799E-4</v>
      </c>
      <c r="AA632">
        <v>1</v>
      </c>
    </row>
    <row r="633" spans="1:27" x14ac:dyDescent="0.2">
      <c r="A633">
        <v>10</v>
      </c>
      <c r="B633">
        <v>2</v>
      </c>
      <c r="C633">
        <v>0.1</v>
      </c>
      <c r="D633">
        <v>100</v>
      </c>
      <c r="E633">
        <v>0.94545779813710795</v>
      </c>
      <c r="F633">
        <v>2</v>
      </c>
      <c r="G633">
        <v>34.895812069000002</v>
      </c>
      <c r="H633">
        <v>0.94545779813711295</v>
      </c>
      <c r="I633">
        <v>2</v>
      </c>
      <c r="J633">
        <v>3.9619733999999997E-2</v>
      </c>
      <c r="P633"/>
      <c r="V633">
        <v>0.993049970618333</v>
      </c>
      <c r="W633">
        <v>2</v>
      </c>
      <c r="X633">
        <v>45.14643023</v>
      </c>
      <c r="Y633">
        <v>5930</v>
      </c>
      <c r="Z633">
        <v>4.6058728442334402E-4</v>
      </c>
      <c r="AA633">
        <v>1</v>
      </c>
    </row>
    <row r="634" spans="1:27" x14ac:dyDescent="0.2">
      <c r="A634">
        <v>10</v>
      </c>
      <c r="B634">
        <v>2</v>
      </c>
      <c r="C634">
        <v>0.1</v>
      </c>
      <c r="D634">
        <v>100</v>
      </c>
      <c r="E634">
        <v>0.932187849008145</v>
      </c>
      <c r="F634">
        <v>2</v>
      </c>
      <c r="G634">
        <v>35.254506118999998</v>
      </c>
      <c r="H634">
        <v>0.932186754049805</v>
      </c>
      <c r="I634">
        <v>2</v>
      </c>
      <c r="J634">
        <v>4.1492080000000001E-2</v>
      </c>
      <c r="P634"/>
      <c r="V634">
        <v>1.0881384037877599</v>
      </c>
      <c r="W634">
        <v>2</v>
      </c>
      <c r="X634">
        <v>232.865792527</v>
      </c>
      <c r="Y634">
        <v>29211</v>
      </c>
      <c r="Z634">
        <v>1.5404691274503E-4</v>
      </c>
      <c r="AA634">
        <v>1</v>
      </c>
    </row>
    <row r="635" spans="1:27" x14ac:dyDescent="0.2">
      <c r="A635">
        <v>10</v>
      </c>
      <c r="B635">
        <v>2</v>
      </c>
      <c r="C635">
        <v>0.1</v>
      </c>
      <c r="D635">
        <v>100</v>
      </c>
      <c r="E635">
        <v>0.98396893214821002</v>
      </c>
      <c r="F635">
        <v>2</v>
      </c>
      <c r="G635">
        <v>34.708506647999997</v>
      </c>
      <c r="H635">
        <v>0.99302324868067704</v>
      </c>
      <c r="I635">
        <v>2</v>
      </c>
      <c r="J635">
        <v>0.124565812</v>
      </c>
      <c r="P635"/>
      <c r="V635">
        <v>1.05544429066463</v>
      </c>
      <c r="W635">
        <v>2</v>
      </c>
      <c r="X635">
        <v>108.14261244799999</v>
      </c>
      <c r="Y635">
        <v>26393</v>
      </c>
      <c r="Z635" s="1">
        <v>2.10395899652091E-6</v>
      </c>
      <c r="AA635">
        <v>1</v>
      </c>
    </row>
    <row r="636" spans="1:27" x14ac:dyDescent="0.2">
      <c r="A636">
        <v>10</v>
      </c>
      <c r="B636">
        <v>2</v>
      </c>
      <c r="C636">
        <v>0.1</v>
      </c>
      <c r="D636">
        <v>100</v>
      </c>
      <c r="E636">
        <v>0.980793595479721</v>
      </c>
      <c r="F636">
        <v>2</v>
      </c>
      <c r="G636">
        <v>33.884681090999997</v>
      </c>
      <c r="H636">
        <v>0.980793595479725</v>
      </c>
      <c r="I636">
        <v>2</v>
      </c>
      <c r="J636">
        <v>3.9393533000000001E-2</v>
      </c>
      <c r="P636"/>
      <c r="V636">
        <v>0.92697429007912202</v>
      </c>
      <c r="W636">
        <v>2</v>
      </c>
      <c r="X636">
        <v>50.921640814</v>
      </c>
      <c r="Y636">
        <v>8802</v>
      </c>
      <c r="Z636" s="1">
        <v>1.90953778655966E-5</v>
      </c>
      <c r="AA636">
        <v>1</v>
      </c>
    </row>
    <row r="637" spans="1:27" x14ac:dyDescent="0.2">
      <c r="A637">
        <v>10</v>
      </c>
      <c r="B637">
        <v>2</v>
      </c>
      <c r="C637">
        <v>0.1</v>
      </c>
      <c r="D637">
        <v>100</v>
      </c>
      <c r="E637">
        <v>0.89289761193359096</v>
      </c>
      <c r="F637">
        <v>2</v>
      </c>
      <c r="G637">
        <v>33.205343616999997</v>
      </c>
      <c r="H637">
        <v>0.95671148653417604</v>
      </c>
      <c r="I637">
        <v>2</v>
      </c>
      <c r="J637">
        <v>0.39412515799999998</v>
      </c>
      <c r="P637"/>
      <c r="V637">
        <v>0.84977609140948895</v>
      </c>
      <c r="W637">
        <v>2</v>
      </c>
      <c r="X637">
        <v>283.65957751600001</v>
      </c>
      <c r="Y637">
        <v>52855</v>
      </c>
      <c r="Z637">
        <v>1.4865220900643901E-4</v>
      </c>
      <c r="AA637">
        <v>1</v>
      </c>
    </row>
    <row r="638" spans="1:27" x14ac:dyDescent="0.2">
      <c r="A638">
        <v>10</v>
      </c>
      <c r="B638">
        <v>2</v>
      </c>
      <c r="C638">
        <v>0.1</v>
      </c>
      <c r="D638">
        <v>100</v>
      </c>
      <c r="E638">
        <v>0.96078492366901302</v>
      </c>
      <c r="F638">
        <v>2</v>
      </c>
      <c r="G638">
        <v>34.082870509999999</v>
      </c>
      <c r="H638">
        <v>0.95229891861259697</v>
      </c>
      <c r="I638">
        <v>2</v>
      </c>
      <c r="J638">
        <v>0.77914315499999998</v>
      </c>
      <c r="P638"/>
      <c r="V638">
        <v>0.98006892449259297</v>
      </c>
      <c r="W638">
        <v>2</v>
      </c>
      <c r="X638">
        <v>75.051670078000001</v>
      </c>
      <c r="Y638">
        <v>8569</v>
      </c>
      <c r="Z638" s="1">
        <v>6.3307196434381194E-5</v>
      </c>
      <c r="AA638">
        <v>1</v>
      </c>
    </row>
    <row r="639" spans="1:27" x14ac:dyDescent="0.2">
      <c r="A639">
        <v>10</v>
      </c>
      <c r="B639">
        <v>2</v>
      </c>
      <c r="C639">
        <v>0.1</v>
      </c>
      <c r="D639">
        <v>100</v>
      </c>
      <c r="E639">
        <v>0.98322181949946397</v>
      </c>
      <c r="F639">
        <v>2</v>
      </c>
      <c r="G639">
        <v>34.071108852000002</v>
      </c>
      <c r="H639">
        <v>1.01012334079268</v>
      </c>
      <c r="I639">
        <v>2</v>
      </c>
      <c r="J639">
        <v>0.34964279300000001</v>
      </c>
      <c r="P639"/>
      <c r="V639">
        <v>1.03786087556429</v>
      </c>
      <c r="W639">
        <v>2</v>
      </c>
      <c r="X639">
        <v>76.353030665000006</v>
      </c>
      <c r="Y639">
        <v>14888</v>
      </c>
      <c r="Z639" s="1">
        <v>3.1819366631432402E-5</v>
      </c>
      <c r="AA639">
        <v>1</v>
      </c>
    </row>
    <row r="640" spans="1:27" x14ac:dyDescent="0.2">
      <c r="A640">
        <v>10</v>
      </c>
      <c r="B640">
        <v>2</v>
      </c>
      <c r="C640">
        <v>0.1</v>
      </c>
      <c r="D640">
        <v>100</v>
      </c>
      <c r="E640">
        <v>0.98064728823151903</v>
      </c>
      <c r="F640">
        <v>2</v>
      </c>
      <c r="G640">
        <v>33.666614463000002</v>
      </c>
      <c r="H640">
        <v>0.97591102128104401</v>
      </c>
      <c r="I640">
        <v>2</v>
      </c>
      <c r="J640">
        <v>0.14180540599999999</v>
      </c>
      <c r="P640"/>
      <c r="V640">
        <v>0.98457673897646003</v>
      </c>
      <c r="W640">
        <v>2</v>
      </c>
      <c r="X640">
        <v>393.93761809</v>
      </c>
      <c r="Y640">
        <v>39177</v>
      </c>
      <c r="Z640" s="1">
        <v>2.2731584264452499E-5</v>
      </c>
      <c r="AA640">
        <v>1</v>
      </c>
    </row>
    <row r="641" spans="1:27" x14ac:dyDescent="0.2">
      <c r="A641">
        <v>10</v>
      </c>
      <c r="B641">
        <v>2</v>
      </c>
      <c r="C641">
        <v>0.2</v>
      </c>
      <c r="D641">
        <v>100</v>
      </c>
      <c r="E641">
        <v>0.88370262471793104</v>
      </c>
      <c r="F641">
        <v>2</v>
      </c>
      <c r="G641">
        <v>35.837777068000001</v>
      </c>
      <c r="H641">
        <v>0.88941861242503695</v>
      </c>
      <c r="I641">
        <v>2</v>
      </c>
      <c r="J641">
        <v>0.35899365599999999</v>
      </c>
      <c r="P641"/>
      <c r="V641">
        <v>0.88945734958974698</v>
      </c>
      <c r="W641">
        <v>2</v>
      </c>
      <c r="X641">
        <v>1227.363253217</v>
      </c>
      <c r="Y641">
        <v>34853</v>
      </c>
      <c r="Z641">
        <v>1.59132316439095E-3</v>
      </c>
      <c r="AA641">
        <v>1</v>
      </c>
    </row>
    <row r="642" spans="1:27" x14ac:dyDescent="0.2">
      <c r="A642">
        <v>10</v>
      </c>
      <c r="B642">
        <v>2</v>
      </c>
      <c r="C642">
        <v>0.2</v>
      </c>
      <c r="D642">
        <v>100</v>
      </c>
      <c r="E642">
        <v>0.84413313132747703</v>
      </c>
      <c r="F642">
        <v>2</v>
      </c>
      <c r="G642">
        <v>33.651496059000003</v>
      </c>
      <c r="H642">
        <v>0.83435097311378603</v>
      </c>
      <c r="I642">
        <v>2</v>
      </c>
      <c r="J642">
        <v>0.100655851</v>
      </c>
      <c r="P642"/>
      <c r="V642">
        <v>0.83374529632791405</v>
      </c>
      <c r="W642">
        <v>2</v>
      </c>
      <c r="X642">
        <v>1282.4274919720001</v>
      </c>
      <c r="Y642">
        <v>3578</v>
      </c>
      <c r="Z642">
        <v>3.38176007971924E-3</v>
      </c>
      <c r="AA642">
        <v>2</v>
      </c>
    </row>
    <row r="643" spans="1:27" x14ac:dyDescent="0.2">
      <c r="A643">
        <v>10</v>
      </c>
      <c r="B643">
        <v>2</v>
      </c>
      <c r="C643">
        <v>0.2</v>
      </c>
      <c r="D643">
        <v>100</v>
      </c>
      <c r="E643">
        <v>0.94790881408052097</v>
      </c>
      <c r="F643">
        <v>2</v>
      </c>
      <c r="G643">
        <v>36.381208973</v>
      </c>
      <c r="H643">
        <v>0.95737480730508895</v>
      </c>
      <c r="I643">
        <v>2</v>
      </c>
      <c r="J643">
        <v>0.13375652599999999</v>
      </c>
      <c r="P643"/>
      <c r="V643">
        <v>0.95901422285706595</v>
      </c>
      <c r="W643">
        <v>2</v>
      </c>
      <c r="X643">
        <v>33.441894550000001</v>
      </c>
      <c r="Y643">
        <v>1</v>
      </c>
      <c r="Z643">
        <v>3.17134979923139E-4</v>
      </c>
      <c r="AA643">
        <v>1</v>
      </c>
    </row>
    <row r="644" spans="1:27" x14ac:dyDescent="0.2">
      <c r="A644">
        <v>10</v>
      </c>
      <c r="B644">
        <v>2</v>
      </c>
      <c r="C644">
        <v>0.2</v>
      </c>
      <c r="D644">
        <v>100</v>
      </c>
      <c r="E644">
        <v>0.83154982208607797</v>
      </c>
      <c r="F644">
        <v>2</v>
      </c>
      <c r="G644">
        <v>35.873463006000001</v>
      </c>
      <c r="H644">
        <v>0.625742563530028</v>
      </c>
      <c r="I644">
        <v>2</v>
      </c>
      <c r="J644">
        <v>0.53039816799999995</v>
      </c>
      <c r="P644"/>
      <c r="V644">
        <v>0.62566336667046696</v>
      </c>
      <c r="W644">
        <v>2</v>
      </c>
      <c r="X644">
        <v>1224.917155439</v>
      </c>
      <c r="Y644">
        <v>85023</v>
      </c>
      <c r="Z644">
        <v>2.5106889946080401E-3</v>
      </c>
      <c r="AA644">
        <v>1</v>
      </c>
    </row>
    <row r="645" spans="1:27" x14ac:dyDescent="0.2">
      <c r="A645">
        <v>10</v>
      </c>
      <c r="B645">
        <v>2</v>
      </c>
      <c r="C645">
        <v>0.1</v>
      </c>
      <c r="D645">
        <v>100</v>
      </c>
      <c r="E645">
        <v>1.63602301442312</v>
      </c>
      <c r="F645">
        <v>2</v>
      </c>
      <c r="G645">
        <v>37.664053653000003</v>
      </c>
      <c r="H645">
        <v>1.18347462167781</v>
      </c>
      <c r="I645">
        <v>2</v>
      </c>
      <c r="J645">
        <v>0.37531688299999999</v>
      </c>
      <c r="P645"/>
      <c r="V645">
        <v>1.0108351070047501</v>
      </c>
      <c r="W645">
        <v>2</v>
      </c>
      <c r="X645">
        <v>51.700713262000001</v>
      </c>
      <c r="Y645">
        <v>6838</v>
      </c>
      <c r="Z645" s="1">
        <v>1.6770319331435501E-5</v>
      </c>
      <c r="AA645">
        <v>1</v>
      </c>
    </row>
    <row r="646" spans="1:27" x14ac:dyDescent="0.2">
      <c r="A646">
        <v>10</v>
      </c>
      <c r="B646">
        <v>2</v>
      </c>
      <c r="C646">
        <v>0.1</v>
      </c>
      <c r="D646">
        <v>100</v>
      </c>
      <c r="E646">
        <v>0.97374884244295101</v>
      </c>
      <c r="F646">
        <v>2</v>
      </c>
      <c r="G646">
        <v>34.838967046</v>
      </c>
      <c r="H646">
        <v>0.97374877510044999</v>
      </c>
      <c r="I646">
        <v>2</v>
      </c>
      <c r="J646">
        <v>4.3105449999999997E-2</v>
      </c>
      <c r="P646"/>
      <c r="V646">
        <v>0.97374918367195895</v>
      </c>
      <c r="W646">
        <v>2</v>
      </c>
      <c r="X646">
        <v>1220.894390015</v>
      </c>
      <c r="Y646">
        <v>64338</v>
      </c>
      <c r="Z646">
        <v>2.3514422155130801E-3</v>
      </c>
      <c r="AA646">
        <v>1</v>
      </c>
    </row>
    <row r="647" spans="1:27" x14ac:dyDescent="0.2">
      <c r="A647">
        <v>10</v>
      </c>
      <c r="B647">
        <v>2</v>
      </c>
      <c r="C647">
        <v>0.2</v>
      </c>
      <c r="D647">
        <v>100</v>
      </c>
      <c r="E647">
        <v>1.1755595412983</v>
      </c>
      <c r="F647">
        <v>2</v>
      </c>
      <c r="G647">
        <v>30.319821255000001</v>
      </c>
      <c r="H647">
        <v>1.04139809414786</v>
      </c>
      <c r="I647">
        <v>2</v>
      </c>
      <c r="J647">
        <v>0.61317544599999996</v>
      </c>
      <c r="P647"/>
      <c r="V647">
        <v>0.73429647875006998</v>
      </c>
      <c r="W647">
        <v>2</v>
      </c>
      <c r="X647">
        <v>1223.380403789</v>
      </c>
      <c r="Y647">
        <v>68951</v>
      </c>
      <c r="Z647">
        <v>2.0431241349554898E-3</v>
      </c>
      <c r="AA647">
        <v>1</v>
      </c>
    </row>
    <row r="648" spans="1:27" x14ac:dyDescent="0.2">
      <c r="A648">
        <v>10</v>
      </c>
      <c r="B648">
        <v>2</v>
      </c>
      <c r="C648">
        <v>0.1</v>
      </c>
      <c r="D648">
        <v>100</v>
      </c>
      <c r="E648">
        <v>0.99624938025735399</v>
      </c>
      <c r="F648">
        <v>2</v>
      </c>
      <c r="G648">
        <v>32.635150836999998</v>
      </c>
      <c r="H648">
        <v>0.99625054567770499</v>
      </c>
      <c r="I648">
        <v>2</v>
      </c>
      <c r="J648">
        <v>3.4632993000000001E-2</v>
      </c>
      <c r="P648"/>
      <c r="V648">
        <v>0.99625549410066006</v>
      </c>
      <c r="W648">
        <v>2</v>
      </c>
      <c r="X648">
        <v>1219.0066435819999</v>
      </c>
      <c r="Y648">
        <v>27041</v>
      </c>
      <c r="Z648" s="1">
        <v>2.72427769858698E-5</v>
      </c>
      <c r="AA648">
        <v>1</v>
      </c>
    </row>
    <row r="649" spans="1:27" x14ac:dyDescent="0.2">
      <c r="A649">
        <v>10</v>
      </c>
      <c r="B649">
        <v>2</v>
      </c>
      <c r="C649">
        <v>0.1</v>
      </c>
      <c r="D649">
        <v>100</v>
      </c>
      <c r="E649">
        <v>0.87670334767667901</v>
      </c>
      <c r="F649">
        <v>2</v>
      </c>
      <c r="G649">
        <v>34.523655544</v>
      </c>
      <c r="H649">
        <v>0.87670334918265103</v>
      </c>
      <c r="I649">
        <v>2</v>
      </c>
      <c r="J649">
        <v>4.7924787000000003E-2</v>
      </c>
      <c r="P649"/>
      <c r="V649">
        <v>0.93301481191412505</v>
      </c>
      <c r="W649">
        <v>2</v>
      </c>
      <c r="X649">
        <v>1225.1370939599999</v>
      </c>
      <c r="Y649">
        <v>53045</v>
      </c>
      <c r="Z649">
        <v>6.0315478684759203E-4</v>
      </c>
      <c r="AA649">
        <v>1</v>
      </c>
    </row>
    <row r="650" spans="1:27" x14ac:dyDescent="0.2">
      <c r="A650">
        <v>10</v>
      </c>
      <c r="B650">
        <v>2</v>
      </c>
      <c r="C650">
        <v>0.2</v>
      </c>
      <c r="D650">
        <v>100</v>
      </c>
      <c r="E650">
        <v>1.07638758906539</v>
      </c>
      <c r="F650">
        <v>2</v>
      </c>
      <c r="G650">
        <v>33.932112023999998</v>
      </c>
      <c r="H650">
        <v>1.2437177214352699</v>
      </c>
      <c r="I650">
        <v>2</v>
      </c>
      <c r="J650">
        <v>0.11626109799999999</v>
      </c>
      <c r="P650"/>
      <c r="V650">
        <v>0.96783774047674698</v>
      </c>
      <c r="W650">
        <v>2</v>
      </c>
      <c r="X650">
        <v>2666.1169863230002</v>
      </c>
      <c r="Y650">
        <v>49064</v>
      </c>
      <c r="Z650">
        <v>6.5988492836023798E-4</v>
      </c>
      <c r="AA650">
        <v>10</v>
      </c>
    </row>
    <row r="651" spans="1:27" x14ac:dyDescent="0.2">
      <c r="A651">
        <v>10</v>
      </c>
      <c r="B651">
        <v>2</v>
      </c>
      <c r="C651">
        <v>0.2</v>
      </c>
      <c r="D651">
        <v>100</v>
      </c>
      <c r="E651">
        <v>1.1182970997956401</v>
      </c>
      <c r="F651">
        <v>2</v>
      </c>
      <c r="G651">
        <v>29.211821685</v>
      </c>
      <c r="H651">
        <v>1.0124253970243</v>
      </c>
      <c r="I651">
        <v>2</v>
      </c>
      <c r="J651">
        <v>0.55876406599999995</v>
      </c>
      <c r="P651"/>
      <c r="V651">
        <v>0.82145547906011995</v>
      </c>
      <c r="W651">
        <v>2</v>
      </c>
      <c r="X651">
        <v>3646.4034202590001</v>
      </c>
      <c r="Y651">
        <v>92546</v>
      </c>
      <c r="Z651">
        <v>7.2620875833534395E-4</v>
      </c>
      <c r="AA651">
        <v>19</v>
      </c>
    </row>
    <row r="652" spans="1:27" x14ac:dyDescent="0.2">
      <c r="A652">
        <v>10</v>
      </c>
      <c r="B652">
        <v>2</v>
      </c>
      <c r="C652">
        <v>0.2</v>
      </c>
      <c r="D652">
        <v>100</v>
      </c>
      <c r="E652">
        <v>0.88527662409660302</v>
      </c>
      <c r="F652">
        <v>2</v>
      </c>
      <c r="G652">
        <v>34.662682031000003</v>
      </c>
      <c r="H652">
        <v>0.83964998961852999</v>
      </c>
      <c r="I652">
        <v>2</v>
      </c>
      <c r="J652">
        <v>0.14900796599999999</v>
      </c>
      <c r="P652"/>
      <c r="V652">
        <v>0.95167490861630699</v>
      </c>
      <c r="W652">
        <v>2</v>
      </c>
      <c r="X652">
        <v>6418.1515720759999</v>
      </c>
      <c r="Y652">
        <v>119837</v>
      </c>
      <c r="Z652">
        <v>1.49188216943885E-3</v>
      </c>
      <c r="AA652">
        <v>20</v>
      </c>
    </row>
    <row r="653" spans="1:27" x14ac:dyDescent="0.2">
      <c r="A653">
        <v>10</v>
      </c>
      <c r="B653">
        <v>2</v>
      </c>
      <c r="C653">
        <v>0.1</v>
      </c>
      <c r="D653">
        <v>100</v>
      </c>
      <c r="E653">
        <v>0.90366208431196304</v>
      </c>
      <c r="F653">
        <v>2</v>
      </c>
      <c r="G653">
        <v>30.207583086</v>
      </c>
      <c r="H653">
        <v>0.90575215766737405</v>
      </c>
      <c r="I653">
        <v>2</v>
      </c>
      <c r="J653">
        <v>0.19760013900000001</v>
      </c>
      <c r="P653"/>
      <c r="V653">
        <v>0.97768729093732798</v>
      </c>
      <c r="W653">
        <v>2</v>
      </c>
      <c r="X653">
        <v>45.408502941000002</v>
      </c>
      <c r="Y653">
        <v>6096</v>
      </c>
      <c r="Z653">
        <v>2.5752407765738201E-4</v>
      </c>
      <c r="AA653">
        <v>1</v>
      </c>
    </row>
    <row r="654" spans="1:27" x14ac:dyDescent="0.2">
      <c r="A654">
        <v>10</v>
      </c>
      <c r="B654">
        <v>2</v>
      </c>
      <c r="C654">
        <v>0.1</v>
      </c>
      <c r="D654">
        <v>100</v>
      </c>
      <c r="E654">
        <v>0.98162536327347205</v>
      </c>
      <c r="F654">
        <v>2</v>
      </c>
      <c r="G654">
        <v>35.091077738000003</v>
      </c>
      <c r="H654">
        <v>0.99677487224893502</v>
      </c>
      <c r="I654">
        <v>2</v>
      </c>
      <c r="J654">
        <v>0.15725978600000001</v>
      </c>
      <c r="P654"/>
      <c r="V654">
        <v>0.91827562084381198</v>
      </c>
      <c r="W654">
        <v>2</v>
      </c>
      <c r="X654">
        <v>46.513283170999998</v>
      </c>
      <c r="Y654">
        <v>1227</v>
      </c>
      <c r="Z654">
        <v>2.1669112330938099E-4</v>
      </c>
      <c r="AA654">
        <v>1</v>
      </c>
    </row>
    <row r="655" spans="1:27" x14ac:dyDescent="0.2">
      <c r="A655">
        <v>10</v>
      </c>
      <c r="B655">
        <v>2</v>
      </c>
      <c r="C655">
        <v>0.2</v>
      </c>
      <c r="D655">
        <v>100</v>
      </c>
      <c r="E655">
        <v>0.98651521197709802</v>
      </c>
      <c r="F655">
        <v>2</v>
      </c>
      <c r="G655">
        <v>37.262083973999999</v>
      </c>
      <c r="H655">
        <v>0.98840888469062105</v>
      </c>
      <c r="I655">
        <v>2</v>
      </c>
      <c r="J655">
        <v>0.415531663</v>
      </c>
      <c r="P655"/>
      <c r="V655">
        <v>0.98836550802091205</v>
      </c>
      <c r="W655">
        <v>2</v>
      </c>
      <c r="X655">
        <v>6420.1845154120001</v>
      </c>
      <c r="Y655">
        <v>100537</v>
      </c>
      <c r="Z655">
        <v>8.9301485522993301E-4</v>
      </c>
      <c r="AA655">
        <v>20</v>
      </c>
    </row>
    <row r="656" spans="1:27" x14ac:dyDescent="0.2">
      <c r="A656">
        <v>10</v>
      </c>
      <c r="B656">
        <v>2</v>
      </c>
      <c r="C656">
        <v>0.1</v>
      </c>
      <c r="D656">
        <v>100</v>
      </c>
      <c r="E656">
        <v>0.92864642984795898</v>
      </c>
      <c r="F656">
        <v>2</v>
      </c>
      <c r="G656">
        <v>31.624516508999999</v>
      </c>
      <c r="H656">
        <v>0.92865877047120304</v>
      </c>
      <c r="I656">
        <v>2</v>
      </c>
      <c r="J656">
        <v>3.7913519999999999E-2</v>
      </c>
      <c r="P656"/>
      <c r="V656">
        <v>0.926595717933688</v>
      </c>
      <c r="W656">
        <v>2</v>
      </c>
      <c r="X656">
        <v>1219.959444693</v>
      </c>
      <c r="Y656">
        <v>54277</v>
      </c>
      <c r="Z656">
        <v>8.1845705030202994E-3</v>
      </c>
      <c r="AA656">
        <v>1</v>
      </c>
    </row>
    <row r="657" spans="1:27" x14ac:dyDescent="0.2">
      <c r="A657">
        <v>10</v>
      </c>
      <c r="B657">
        <v>2</v>
      </c>
      <c r="C657">
        <v>0.2</v>
      </c>
      <c r="D657">
        <v>100</v>
      </c>
      <c r="E657">
        <v>0.81322816429897604</v>
      </c>
      <c r="F657">
        <v>2</v>
      </c>
      <c r="G657">
        <v>34.511857988999999</v>
      </c>
      <c r="H657">
        <v>0.81128663885860997</v>
      </c>
      <c r="I657">
        <v>2</v>
      </c>
      <c r="J657">
        <v>0.12905718999999999</v>
      </c>
      <c r="P657"/>
      <c r="V657">
        <v>0.81181692852383203</v>
      </c>
      <c r="W657">
        <v>2</v>
      </c>
      <c r="X657">
        <v>1222.5328136420001</v>
      </c>
      <c r="Y657">
        <v>44478</v>
      </c>
      <c r="Z657">
        <v>9.6269227536247195E-3</v>
      </c>
      <c r="AA657">
        <v>1</v>
      </c>
    </row>
    <row r="658" spans="1:27" x14ac:dyDescent="0.2">
      <c r="A658">
        <v>10</v>
      </c>
      <c r="B658">
        <v>2</v>
      </c>
      <c r="C658">
        <v>0.1</v>
      </c>
      <c r="D658">
        <v>100</v>
      </c>
      <c r="E658">
        <v>0.94246660913927804</v>
      </c>
      <c r="F658">
        <v>2</v>
      </c>
      <c r="G658">
        <v>37.425327422000002</v>
      </c>
      <c r="H658">
        <v>1.01352481976275</v>
      </c>
      <c r="I658">
        <v>2</v>
      </c>
      <c r="J658">
        <v>0.41716145100000002</v>
      </c>
      <c r="P658"/>
      <c r="V658">
        <v>0.95800298241509796</v>
      </c>
      <c r="W658">
        <v>2</v>
      </c>
      <c r="X658">
        <v>1224.142192005</v>
      </c>
      <c r="Y658">
        <v>61370</v>
      </c>
      <c r="Z658">
        <v>3.3737975691551601E-3</v>
      </c>
      <c r="AA658">
        <v>1</v>
      </c>
    </row>
    <row r="659" spans="1:27" x14ac:dyDescent="0.2">
      <c r="A659">
        <v>10</v>
      </c>
      <c r="B659">
        <v>2</v>
      </c>
      <c r="C659">
        <v>0.1</v>
      </c>
      <c r="D659">
        <v>100</v>
      </c>
      <c r="E659">
        <v>1.0007095293218</v>
      </c>
      <c r="F659">
        <v>2</v>
      </c>
      <c r="G659">
        <v>34.988372470999998</v>
      </c>
      <c r="H659">
        <v>1.0310911956122399</v>
      </c>
      <c r="I659">
        <v>2</v>
      </c>
      <c r="J659">
        <v>0.118849886</v>
      </c>
      <c r="P659"/>
      <c r="V659">
        <v>1.006966798483</v>
      </c>
      <c r="W659">
        <v>2</v>
      </c>
      <c r="X659">
        <v>1222.580240628</v>
      </c>
      <c r="Y659">
        <v>15197</v>
      </c>
      <c r="Z659">
        <v>3.3922807633500701E-4</v>
      </c>
      <c r="AA659">
        <v>1</v>
      </c>
    </row>
    <row r="660" spans="1:27" x14ac:dyDescent="0.2">
      <c r="A660">
        <v>10</v>
      </c>
      <c r="B660">
        <v>2</v>
      </c>
      <c r="C660">
        <v>0.1</v>
      </c>
      <c r="D660">
        <v>100</v>
      </c>
      <c r="E660">
        <v>0.92419614496593705</v>
      </c>
      <c r="F660">
        <v>2</v>
      </c>
      <c r="G660">
        <v>41.264881015</v>
      </c>
      <c r="H660">
        <v>1.2090095019246001</v>
      </c>
      <c r="I660">
        <v>2</v>
      </c>
      <c r="J660">
        <v>0.353428258</v>
      </c>
      <c r="P660"/>
      <c r="V660">
        <v>0.89700474514996897</v>
      </c>
      <c r="W660">
        <v>2</v>
      </c>
      <c r="X660">
        <v>151.18130413700001</v>
      </c>
      <c r="Y660">
        <v>30415</v>
      </c>
      <c r="Z660" s="1">
        <v>2.22192979419805E-5</v>
      </c>
      <c r="AA660">
        <v>1</v>
      </c>
    </row>
    <row r="661" spans="1:27" x14ac:dyDescent="0.2">
      <c r="A661">
        <v>10</v>
      </c>
      <c r="B661">
        <v>2</v>
      </c>
      <c r="C661">
        <v>0.1</v>
      </c>
      <c r="D661">
        <v>100</v>
      </c>
      <c r="E661">
        <v>1.33753877728311</v>
      </c>
      <c r="F661">
        <v>2</v>
      </c>
      <c r="G661">
        <v>35.613462097999999</v>
      </c>
      <c r="H661">
        <v>1.0424200026772401</v>
      </c>
      <c r="I661">
        <v>2</v>
      </c>
      <c r="J661">
        <v>0.29348881500000001</v>
      </c>
      <c r="P661"/>
      <c r="V661">
        <v>1.02055773350196</v>
      </c>
      <c r="W661">
        <v>2</v>
      </c>
      <c r="X661">
        <v>99.481006617000006</v>
      </c>
      <c r="Y661">
        <v>19072</v>
      </c>
      <c r="Z661" s="1">
        <v>8.3771456676658106E-6</v>
      </c>
      <c r="AA661">
        <v>1</v>
      </c>
    </row>
    <row r="662" spans="1:27" x14ac:dyDescent="0.2">
      <c r="A662">
        <v>10</v>
      </c>
      <c r="B662">
        <v>2</v>
      </c>
      <c r="C662">
        <v>0.2</v>
      </c>
      <c r="D662">
        <v>100</v>
      </c>
      <c r="E662">
        <v>0.96467762609811403</v>
      </c>
      <c r="F662">
        <v>2</v>
      </c>
      <c r="G662">
        <v>38.954531660000001</v>
      </c>
      <c r="H662">
        <v>0.88224939956472204</v>
      </c>
      <c r="I662">
        <v>2</v>
      </c>
      <c r="J662">
        <v>0.44177575800000002</v>
      </c>
      <c r="P662"/>
      <c r="V662">
        <v>0.85981678821208096</v>
      </c>
      <c r="W662">
        <v>2</v>
      </c>
      <c r="X662">
        <v>61.043357845999999</v>
      </c>
      <c r="Y662">
        <v>3810</v>
      </c>
      <c r="Z662">
        <v>1.3890933778275901E-4</v>
      </c>
      <c r="AA662">
        <v>1</v>
      </c>
    </row>
    <row r="663" spans="1:27" x14ac:dyDescent="0.2">
      <c r="A663">
        <v>10</v>
      </c>
      <c r="B663">
        <v>2</v>
      </c>
      <c r="C663">
        <v>0.2</v>
      </c>
      <c r="D663">
        <v>100</v>
      </c>
      <c r="E663">
        <v>1.1402650666808301</v>
      </c>
      <c r="F663">
        <v>2</v>
      </c>
      <c r="G663">
        <v>33.817896548999997</v>
      </c>
      <c r="H663">
        <v>0.91200682545280598</v>
      </c>
      <c r="I663">
        <v>2</v>
      </c>
      <c r="J663">
        <v>0.61457242000000001</v>
      </c>
      <c r="P663"/>
      <c r="V663">
        <v>0.95116101337697001</v>
      </c>
      <c r="W663">
        <v>2</v>
      </c>
      <c r="X663">
        <v>2985.3944302210002</v>
      </c>
      <c r="Y663">
        <v>94221</v>
      </c>
      <c r="Z663">
        <v>1.32547238431396E-4</v>
      </c>
      <c r="AA663">
        <v>14</v>
      </c>
    </row>
    <row r="664" spans="1:27" x14ac:dyDescent="0.2">
      <c r="A664">
        <v>10</v>
      </c>
      <c r="B664">
        <v>2</v>
      </c>
      <c r="C664">
        <v>0.2</v>
      </c>
      <c r="D664">
        <v>100</v>
      </c>
      <c r="E664">
        <v>1.1856694630884299</v>
      </c>
      <c r="F664">
        <v>2</v>
      </c>
      <c r="G664">
        <v>33.261782965000002</v>
      </c>
      <c r="H664">
        <v>1.04549451559322</v>
      </c>
      <c r="I664">
        <v>2</v>
      </c>
      <c r="J664">
        <v>0.19318058900000001</v>
      </c>
      <c r="P664"/>
      <c r="V664">
        <v>1.05388823450136</v>
      </c>
      <c r="W664">
        <v>2</v>
      </c>
      <c r="X664">
        <v>2896.6451506210001</v>
      </c>
      <c r="Y664">
        <v>114752</v>
      </c>
      <c r="Z664">
        <v>1.00707905438092E-3</v>
      </c>
      <c r="AA664">
        <v>11</v>
      </c>
    </row>
    <row r="665" spans="1:27" x14ac:dyDescent="0.2">
      <c r="A665">
        <v>10</v>
      </c>
      <c r="B665">
        <v>2</v>
      </c>
      <c r="C665">
        <v>0.1</v>
      </c>
      <c r="D665">
        <v>100</v>
      </c>
      <c r="E665">
        <v>0.98709752575777798</v>
      </c>
      <c r="F665">
        <v>2</v>
      </c>
      <c r="G665">
        <v>40.1256038</v>
      </c>
      <c r="H665">
        <v>0.98709752575777798</v>
      </c>
      <c r="I665">
        <v>2</v>
      </c>
      <c r="J665">
        <v>0.107296351</v>
      </c>
      <c r="P665"/>
      <c r="V665">
        <v>0.97757250910545401</v>
      </c>
      <c r="W665">
        <v>2</v>
      </c>
      <c r="X665">
        <v>58.600431376000003</v>
      </c>
      <c r="Y665">
        <v>8437</v>
      </c>
      <c r="Z665">
        <v>0</v>
      </c>
      <c r="AA665">
        <v>1</v>
      </c>
    </row>
    <row r="666" spans="1:27" x14ac:dyDescent="0.2">
      <c r="A666">
        <v>10</v>
      </c>
      <c r="B666">
        <v>2</v>
      </c>
      <c r="C666">
        <v>0.2</v>
      </c>
      <c r="D666">
        <v>100</v>
      </c>
      <c r="E666">
        <v>1.0495923680253001</v>
      </c>
      <c r="F666">
        <v>2</v>
      </c>
      <c r="G666">
        <v>33.627983516</v>
      </c>
      <c r="H666">
        <v>0.82572383101646896</v>
      </c>
      <c r="I666">
        <v>2</v>
      </c>
      <c r="J666">
        <v>0.41703947800000002</v>
      </c>
      <c r="P666"/>
      <c r="V666">
        <v>0.83905950763057702</v>
      </c>
      <c r="W666">
        <v>2</v>
      </c>
      <c r="X666">
        <v>21456.825926158999</v>
      </c>
      <c r="Y666">
        <v>169742</v>
      </c>
      <c r="Z666">
        <v>1.4620402031561999E-3</v>
      </c>
      <c r="AA666">
        <v>40</v>
      </c>
    </row>
    <row r="667" spans="1:27" x14ac:dyDescent="0.2">
      <c r="A667">
        <v>10</v>
      </c>
      <c r="B667">
        <v>2</v>
      </c>
      <c r="C667">
        <v>0.1</v>
      </c>
      <c r="D667">
        <v>100</v>
      </c>
      <c r="E667">
        <v>0.98473443322418897</v>
      </c>
      <c r="F667">
        <v>2</v>
      </c>
      <c r="G667">
        <v>29.519577134999999</v>
      </c>
      <c r="H667">
        <v>0.98473443322418897</v>
      </c>
      <c r="I667">
        <v>2</v>
      </c>
      <c r="J667">
        <v>0.22601523000000001</v>
      </c>
      <c r="P667"/>
      <c r="V667">
        <v>0.973690005314647</v>
      </c>
      <c r="W667">
        <v>2</v>
      </c>
      <c r="X667">
        <v>63.875375869999999</v>
      </c>
      <c r="Y667">
        <v>15330</v>
      </c>
      <c r="Z667" s="1">
        <v>6.2088575377927601E-5</v>
      </c>
      <c r="AA667">
        <v>1</v>
      </c>
    </row>
    <row r="668" spans="1:27" x14ac:dyDescent="0.2">
      <c r="A668">
        <v>10</v>
      </c>
      <c r="B668">
        <v>2</v>
      </c>
      <c r="C668">
        <v>0.2</v>
      </c>
      <c r="D668">
        <v>100</v>
      </c>
      <c r="E668">
        <v>1.0940069568822599</v>
      </c>
      <c r="F668">
        <v>2</v>
      </c>
      <c r="G668">
        <v>29.719004041000002</v>
      </c>
      <c r="H668">
        <v>1.03672500316403</v>
      </c>
      <c r="I668">
        <v>2</v>
      </c>
      <c r="J668">
        <v>0.84399337900000004</v>
      </c>
      <c r="P668"/>
      <c r="V668">
        <v>1.03837351072429</v>
      </c>
      <c r="W668">
        <v>2</v>
      </c>
      <c r="X668">
        <v>31.328789244999999</v>
      </c>
      <c r="Y668">
        <v>1</v>
      </c>
      <c r="Z668">
        <v>9.0341681607242197E-4</v>
      </c>
      <c r="AA668">
        <v>1</v>
      </c>
    </row>
    <row r="669" spans="1:27" x14ac:dyDescent="0.2">
      <c r="A669">
        <v>10</v>
      </c>
      <c r="B669">
        <v>2</v>
      </c>
      <c r="C669">
        <v>0.1</v>
      </c>
      <c r="D669">
        <v>100</v>
      </c>
      <c r="E669">
        <v>0.96648157415798697</v>
      </c>
      <c r="F669">
        <v>2</v>
      </c>
      <c r="G669">
        <v>37.408187087000002</v>
      </c>
      <c r="H669">
        <v>0.96648157415798697</v>
      </c>
      <c r="I669">
        <v>2</v>
      </c>
      <c r="J669">
        <v>4.7338907E-2</v>
      </c>
      <c r="P669"/>
      <c r="V669">
        <v>1.05673844475122</v>
      </c>
      <c r="W669">
        <v>2</v>
      </c>
      <c r="X669">
        <v>233.625097729</v>
      </c>
      <c r="Y669">
        <v>36693</v>
      </c>
      <c r="Z669" s="1">
        <v>1.2003722446345801E-5</v>
      </c>
      <c r="AA669">
        <v>1</v>
      </c>
    </row>
    <row r="670" spans="1:27" x14ac:dyDescent="0.2">
      <c r="A670">
        <v>10</v>
      </c>
      <c r="B670">
        <v>2</v>
      </c>
      <c r="C670">
        <v>0.1</v>
      </c>
      <c r="D670">
        <v>100</v>
      </c>
      <c r="E670">
        <v>0.98613225579448704</v>
      </c>
      <c r="F670">
        <v>2</v>
      </c>
      <c r="G670">
        <v>38.242096322999998</v>
      </c>
      <c r="H670">
        <v>0.98581452112721701</v>
      </c>
      <c r="I670">
        <v>2</v>
      </c>
      <c r="J670">
        <v>6.2380339E-2</v>
      </c>
      <c r="P670"/>
      <c r="V670">
        <v>0.991665503977056</v>
      </c>
      <c r="W670">
        <v>2</v>
      </c>
      <c r="X670">
        <v>22225.166371384999</v>
      </c>
      <c r="Y670">
        <v>166381</v>
      </c>
      <c r="Z670">
        <v>6.9759450013066003E-4</v>
      </c>
      <c r="AA670">
        <v>41</v>
      </c>
    </row>
    <row r="671" spans="1:27" x14ac:dyDescent="0.2">
      <c r="A671">
        <v>10</v>
      </c>
      <c r="B671">
        <v>2</v>
      </c>
      <c r="C671">
        <v>0.1</v>
      </c>
      <c r="D671">
        <v>100</v>
      </c>
      <c r="E671">
        <v>1.1090402305681599</v>
      </c>
      <c r="F671">
        <v>2</v>
      </c>
      <c r="G671">
        <v>31.742958685000001</v>
      </c>
      <c r="H671">
        <v>0.93575554220398505</v>
      </c>
      <c r="I671">
        <v>2</v>
      </c>
      <c r="J671">
        <v>0.36539930900000001</v>
      </c>
      <c r="P671"/>
      <c r="V671">
        <v>0.96429778553922496</v>
      </c>
      <c r="W671">
        <v>2</v>
      </c>
      <c r="X671">
        <v>61.598902707000001</v>
      </c>
      <c r="Y671">
        <v>5049</v>
      </c>
      <c r="Z671" s="1">
        <v>5.6254924386427098E-5</v>
      </c>
      <c r="AA671">
        <v>1</v>
      </c>
    </row>
    <row r="672" spans="1:27" x14ac:dyDescent="0.2">
      <c r="A672">
        <v>10</v>
      </c>
      <c r="B672">
        <v>2</v>
      </c>
      <c r="C672">
        <v>0.1</v>
      </c>
      <c r="D672">
        <v>100</v>
      </c>
      <c r="E672">
        <v>0.96738926751168197</v>
      </c>
      <c r="F672">
        <v>2</v>
      </c>
      <c r="G672">
        <v>28.364874557</v>
      </c>
      <c r="H672">
        <v>0.96738926751168297</v>
      </c>
      <c r="I672">
        <v>2</v>
      </c>
      <c r="J672">
        <v>3.4618946999999997E-2</v>
      </c>
      <c r="P672"/>
      <c r="V672">
        <v>0.98556353259720797</v>
      </c>
      <c r="W672">
        <v>2</v>
      </c>
      <c r="X672">
        <v>165.30246222</v>
      </c>
      <c r="Y672">
        <v>31008</v>
      </c>
      <c r="Z672" s="1">
        <v>5.1831474867126896E-7</v>
      </c>
      <c r="AA672">
        <v>1</v>
      </c>
    </row>
    <row r="673" spans="1:27" x14ac:dyDescent="0.2">
      <c r="A673">
        <v>10</v>
      </c>
      <c r="B673">
        <v>2</v>
      </c>
      <c r="C673">
        <v>0.1</v>
      </c>
      <c r="D673">
        <v>100</v>
      </c>
      <c r="E673">
        <v>0.99548452348098504</v>
      </c>
      <c r="F673">
        <v>2</v>
      </c>
      <c r="G673">
        <v>40.478441267000001</v>
      </c>
      <c r="H673">
        <v>0.96052676607171295</v>
      </c>
      <c r="I673">
        <v>2</v>
      </c>
      <c r="J673">
        <v>0.54188062599999998</v>
      </c>
      <c r="P673"/>
      <c r="V673">
        <v>0.95718933312937204</v>
      </c>
      <c r="W673">
        <v>2</v>
      </c>
      <c r="X673">
        <v>1227.140681076</v>
      </c>
      <c r="Y673">
        <v>74059</v>
      </c>
      <c r="Z673">
        <v>4.2646634969316599E-4</v>
      </c>
      <c r="AA673">
        <v>1</v>
      </c>
    </row>
    <row r="674" spans="1:27" x14ac:dyDescent="0.2">
      <c r="A674">
        <v>10</v>
      </c>
      <c r="B674">
        <v>2</v>
      </c>
      <c r="C674">
        <v>0.1</v>
      </c>
      <c r="D674">
        <v>100</v>
      </c>
      <c r="E674">
        <v>0.94633432042372001</v>
      </c>
      <c r="F674">
        <v>2</v>
      </c>
      <c r="G674">
        <v>33.740982711999997</v>
      </c>
      <c r="H674">
        <v>0.94840325722789998</v>
      </c>
      <c r="I674">
        <v>2</v>
      </c>
      <c r="J674">
        <v>0.18729891200000001</v>
      </c>
      <c r="P674"/>
      <c r="V674">
        <v>0.904647973827295</v>
      </c>
      <c r="W674">
        <v>2</v>
      </c>
      <c r="X674">
        <v>66.536509381000002</v>
      </c>
      <c r="Y674">
        <v>6462</v>
      </c>
      <c r="Z674">
        <v>1.2181133652378E-4</v>
      </c>
      <c r="AA674">
        <v>1</v>
      </c>
    </row>
    <row r="675" spans="1:27" x14ac:dyDescent="0.2">
      <c r="A675">
        <v>10</v>
      </c>
      <c r="B675">
        <v>2</v>
      </c>
      <c r="C675">
        <v>0.2</v>
      </c>
      <c r="D675">
        <v>100</v>
      </c>
      <c r="E675">
        <v>0.96627796547450095</v>
      </c>
      <c r="F675">
        <v>2</v>
      </c>
      <c r="G675">
        <v>36.358079041000003</v>
      </c>
      <c r="H675">
        <v>1.0055956906796699</v>
      </c>
      <c r="I675">
        <v>2</v>
      </c>
      <c r="J675">
        <v>0.60374432200000006</v>
      </c>
      <c r="P675"/>
      <c r="V675">
        <v>0.96542554385788903</v>
      </c>
      <c r="W675">
        <v>2</v>
      </c>
      <c r="X675">
        <v>259.32566572100001</v>
      </c>
      <c r="Y675">
        <v>19257</v>
      </c>
      <c r="Z675">
        <v>2.0242613945130301E-4</v>
      </c>
      <c r="AA675">
        <v>1</v>
      </c>
    </row>
    <row r="676" spans="1:27" x14ac:dyDescent="0.2">
      <c r="A676">
        <v>10</v>
      </c>
      <c r="B676">
        <v>2</v>
      </c>
      <c r="C676">
        <v>0.1</v>
      </c>
      <c r="D676">
        <v>100</v>
      </c>
      <c r="E676">
        <v>0.98163092896544701</v>
      </c>
      <c r="F676">
        <v>2</v>
      </c>
      <c r="G676">
        <v>38.555592187000002</v>
      </c>
      <c r="H676">
        <v>0.98163092896544601</v>
      </c>
      <c r="I676">
        <v>2</v>
      </c>
      <c r="J676">
        <v>7.7408208000000006E-2</v>
      </c>
      <c r="P676"/>
      <c r="V676">
        <v>0.96046863854613096</v>
      </c>
      <c r="W676">
        <v>2</v>
      </c>
      <c r="X676">
        <v>78.261194083000007</v>
      </c>
      <c r="Y676">
        <v>14456</v>
      </c>
      <c r="Z676" s="1">
        <v>1.05400385344029E-5</v>
      </c>
      <c r="AA676">
        <v>1</v>
      </c>
    </row>
    <row r="677" spans="1:27" x14ac:dyDescent="0.2">
      <c r="A677" s="4">
        <v>10</v>
      </c>
      <c r="B677" s="4">
        <v>2</v>
      </c>
      <c r="C677" s="4">
        <v>0.1</v>
      </c>
      <c r="D677">
        <v>100</v>
      </c>
      <c r="E677" s="4">
        <v>0.98318828999999996</v>
      </c>
      <c r="F677" s="4">
        <v>2</v>
      </c>
      <c r="G677" s="4">
        <v>33.690671600000002</v>
      </c>
      <c r="H677" s="4">
        <v>0.98318828999999996</v>
      </c>
      <c r="I677" s="4">
        <v>2</v>
      </c>
      <c r="J677" s="4">
        <v>4.3111969999999999E-2</v>
      </c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>
        <v>1.07672747</v>
      </c>
      <c r="W677" s="4">
        <v>2</v>
      </c>
      <c r="X677" s="4">
        <v>139.26662200000001</v>
      </c>
      <c r="Y677" s="4">
        <v>20726</v>
      </c>
      <c r="Z677" s="8">
        <v>2.1299999999999999E-6</v>
      </c>
      <c r="AA677" s="4">
        <v>1</v>
      </c>
    </row>
    <row r="678" spans="1:27" x14ac:dyDescent="0.2">
      <c r="A678" s="4">
        <v>10</v>
      </c>
      <c r="B678" s="4">
        <v>2</v>
      </c>
      <c r="C678" s="4">
        <v>0.2</v>
      </c>
      <c r="D678">
        <v>100</v>
      </c>
      <c r="E678" s="4">
        <v>0.79146561000000004</v>
      </c>
      <c r="F678" s="4">
        <v>2</v>
      </c>
      <c r="G678" s="4">
        <v>38.607535900000002</v>
      </c>
      <c r="H678" s="4">
        <v>0.87785645999999995</v>
      </c>
      <c r="I678" s="4">
        <v>2</v>
      </c>
      <c r="J678" s="4">
        <v>0.28004326000000002</v>
      </c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>
        <v>0.88065731000000003</v>
      </c>
      <c r="W678" s="4">
        <v>2</v>
      </c>
      <c r="X678" s="4">
        <v>1225.6240299999999</v>
      </c>
      <c r="Y678" s="4">
        <v>41811</v>
      </c>
      <c r="Z678" s="4">
        <v>1.8765100000000001E-3</v>
      </c>
      <c r="AA678" s="4">
        <v>1</v>
      </c>
    </row>
    <row r="679" spans="1:27" x14ac:dyDescent="0.2">
      <c r="A679">
        <v>10</v>
      </c>
      <c r="B679">
        <v>2</v>
      </c>
      <c r="C679">
        <v>0.2</v>
      </c>
      <c r="D679">
        <v>100</v>
      </c>
      <c r="E679">
        <v>0.71869622833456204</v>
      </c>
      <c r="F679">
        <v>2</v>
      </c>
      <c r="G679">
        <v>37.981159210000001</v>
      </c>
      <c r="H679">
        <v>0.68593583464132002</v>
      </c>
      <c r="I679">
        <v>2</v>
      </c>
      <c r="J679">
        <v>0.46273945599999999</v>
      </c>
      <c r="P679"/>
      <c r="V679">
        <v>0.68190725074801195</v>
      </c>
      <c r="W679">
        <v>2</v>
      </c>
      <c r="X679">
        <v>10055.713405311</v>
      </c>
      <c r="Y679">
        <v>152687</v>
      </c>
      <c r="Z679">
        <v>1.0512667347530699E-3</v>
      </c>
      <c r="AA679">
        <v>27</v>
      </c>
    </row>
    <row r="680" spans="1:27" x14ac:dyDescent="0.2">
      <c r="A680">
        <v>20</v>
      </c>
      <c r="B680">
        <v>3</v>
      </c>
      <c r="C680">
        <v>0.1</v>
      </c>
      <c r="D680">
        <v>20</v>
      </c>
      <c r="E680">
        <v>0.911280792951636</v>
      </c>
      <c r="F680">
        <v>3</v>
      </c>
      <c r="G680">
        <v>21.535437663</v>
      </c>
      <c r="H680">
        <v>0.88930824713448198</v>
      </c>
      <c r="I680">
        <v>3</v>
      </c>
      <c r="J680">
        <v>0.514169455</v>
      </c>
      <c r="P680"/>
      <c r="V680">
        <v>0.89000124895727994</v>
      </c>
      <c r="W680">
        <v>3</v>
      </c>
      <c r="X680">
        <v>44.652566686999997</v>
      </c>
      <c r="Y680">
        <v>1</v>
      </c>
      <c r="Z680">
        <v>5.9044316125507201E-3</v>
      </c>
      <c r="AA680">
        <v>1</v>
      </c>
    </row>
    <row r="681" spans="1:27" x14ac:dyDescent="0.2">
      <c r="A681">
        <v>20</v>
      </c>
      <c r="B681">
        <v>3</v>
      </c>
      <c r="C681">
        <v>0.1</v>
      </c>
      <c r="D681">
        <v>20</v>
      </c>
      <c r="E681">
        <v>0.968729906294856</v>
      </c>
      <c r="F681">
        <v>3</v>
      </c>
      <c r="G681">
        <v>31.089683859000001</v>
      </c>
      <c r="H681">
        <v>0.96819941923125996</v>
      </c>
      <c r="I681">
        <v>3</v>
      </c>
      <c r="J681">
        <v>5.2967317E-2</v>
      </c>
      <c r="P681"/>
      <c r="V681">
        <v>0.96888990233014904</v>
      </c>
      <c r="W681">
        <v>3</v>
      </c>
      <c r="X681">
        <v>54.304704842</v>
      </c>
      <c r="Y681">
        <v>1</v>
      </c>
      <c r="Z681">
        <v>6.10797414782859E-3</v>
      </c>
      <c r="AA681">
        <v>1</v>
      </c>
    </row>
    <row r="682" spans="1:27" x14ac:dyDescent="0.2">
      <c r="A682" s="4">
        <v>20</v>
      </c>
      <c r="B682" s="4">
        <v>3</v>
      </c>
      <c r="C682" s="4">
        <v>0.1</v>
      </c>
      <c r="D682" s="4">
        <v>100</v>
      </c>
      <c r="E682" s="4">
        <v>1.04202058</v>
      </c>
      <c r="F682" s="4">
        <v>3</v>
      </c>
      <c r="G682" s="4">
        <v>33.844579799999998</v>
      </c>
      <c r="H682" s="4">
        <v>0.93335641000000003</v>
      </c>
      <c r="I682" s="4">
        <v>3</v>
      </c>
      <c r="J682" s="4">
        <v>0.98987703999999999</v>
      </c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>
        <v>0.93353624999999996</v>
      </c>
      <c r="W682" s="4">
        <v>3</v>
      </c>
      <c r="X682" s="4">
        <v>1959.8353199999999</v>
      </c>
      <c r="Y682" s="4">
        <v>3763</v>
      </c>
      <c r="Z682" s="4">
        <v>3.4322599999999999E-3</v>
      </c>
      <c r="AA682" s="4">
        <v>7</v>
      </c>
    </row>
    <row r="683" spans="1:27" x14ac:dyDescent="0.2">
      <c r="A683" s="4">
        <v>20</v>
      </c>
      <c r="B683" s="4">
        <v>3</v>
      </c>
      <c r="C683" s="4">
        <v>0.1</v>
      </c>
      <c r="D683" s="4">
        <v>100</v>
      </c>
      <c r="E683" s="4">
        <v>0.94016584000000003</v>
      </c>
      <c r="F683" s="4">
        <v>3</v>
      </c>
      <c r="G683" s="4">
        <v>28.838914899999999</v>
      </c>
      <c r="H683" s="4">
        <v>0.94507711999999999</v>
      </c>
      <c r="I683" s="4">
        <v>3</v>
      </c>
      <c r="J683" s="4">
        <v>0.16000225000000001</v>
      </c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>
        <v>0.94642316000000004</v>
      </c>
      <c r="W683" s="4">
        <v>3</v>
      </c>
      <c r="X683" s="4">
        <v>1244.1395299999999</v>
      </c>
      <c r="Y683" s="4">
        <v>13108</v>
      </c>
      <c r="Z683" s="4">
        <v>4.7445100000000004E-3</v>
      </c>
      <c r="AA683" s="4">
        <v>1</v>
      </c>
    </row>
    <row r="684" spans="1:27" x14ac:dyDescent="0.2">
      <c r="A684">
        <v>40</v>
      </c>
      <c r="B684">
        <v>1</v>
      </c>
      <c r="C684">
        <v>0.1</v>
      </c>
      <c r="D684">
        <v>100</v>
      </c>
      <c r="E684">
        <v>0.28624703593109702</v>
      </c>
      <c r="F684">
        <v>1</v>
      </c>
      <c r="G684">
        <v>35.435052742000003</v>
      </c>
      <c r="H684">
        <v>0.12545412459069299</v>
      </c>
      <c r="I684">
        <v>1</v>
      </c>
      <c r="J684">
        <v>0.81634064299999998</v>
      </c>
      <c r="P684"/>
      <c r="V684">
        <v>0.119794916720234</v>
      </c>
      <c r="W684">
        <v>1</v>
      </c>
      <c r="X684">
        <v>30297.346692200001</v>
      </c>
      <c r="Y684">
        <v>34484</v>
      </c>
      <c r="Z684">
        <v>6.4478238492561596E-2</v>
      </c>
      <c r="AA684">
        <v>50</v>
      </c>
    </row>
    <row r="685" spans="1:27" x14ac:dyDescent="0.2">
      <c r="A685">
        <v>40</v>
      </c>
      <c r="B685">
        <v>1</v>
      </c>
      <c r="C685">
        <v>0.1</v>
      </c>
      <c r="D685">
        <v>100</v>
      </c>
      <c r="E685">
        <v>0.23615015383656901</v>
      </c>
      <c r="F685">
        <v>1</v>
      </c>
      <c r="G685">
        <v>33.460793105</v>
      </c>
      <c r="H685">
        <v>0.12626138722053001</v>
      </c>
      <c r="I685">
        <v>1</v>
      </c>
      <c r="J685">
        <v>0.81520755899999997</v>
      </c>
      <c r="P685"/>
      <c r="V685">
        <v>0.11567436080576</v>
      </c>
      <c r="W685">
        <v>1</v>
      </c>
      <c r="X685">
        <v>30293.048075049999</v>
      </c>
      <c r="Y685">
        <v>38220</v>
      </c>
      <c r="Z685">
        <v>5.7712866768772797E-2</v>
      </c>
      <c r="AA685">
        <v>50</v>
      </c>
    </row>
    <row r="686" spans="1:27" x14ac:dyDescent="0.2">
      <c r="A686">
        <v>40</v>
      </c>
      <c r="B686">
        <v>1</v>
      </c>
      <c r="C686">
        <v>0.1</v>
      </c>
      <c r="D686">
        <v>100</v>
      </c>
      <c r="E686">
        <v>0.24029816289982001</v>
      </c>
      <c r="F686">
        <v>1</v>
      </c>
      <c r="G686">
        <v>31.963540301999998</v>
      </c>
      <c r="H686">
        <v>0.185455357588585</v>
      </c>
      <c r="I686">
        <v>1</v>
      </c>
      <c r="J686">
        <v>0.69884623099999998</v>
      </c>
      <c r="P686"/>
      <c r="V686">
        <v>0.14460875429933401</v>
      </c>
      <c r="W686">
        <v>1</v>
      </c>
      <c r="X686">
        <v>30299.187172174999</v>
      </c>
      <c r="Y686">
        <v>34472</v>
      </c>
      <c r="Z686">
        <v>6.19161020448315E-2</v>
      </c>
      <c r="AA686">
        <v>50</v>
      </c>
    </row>
    <row r="687" spans="1:27" x14ac:dyDescent="0.2">
      <c r="A687">
        <v>40</v>
      </c>
      <c r="B687">
        <v>1</v>
      </c>
      <c r="C687">
        <v>0.1</v>
      </c>
      <c r="D687">
        <v>100</v>
      </c>
      <c r="E687">
        <v>0.43123684315644301</v>
      </c>
      <c r="F687">
        <v>1</v>
      </c>
      <c r="G687">
        <v>30.936347527999999</v>
      </c>
      <c r="H687">
        <v>0.213591332618078</v>
      </c>
      <c r="I687">
        <v>1</v>
      </c>
      <c r="J687">
        <v>1.432311951</v>
      </c>
      <c r="P687"/>
      <c r="V687">
        <v>0.19986571132162501</v>
      </c>
      <c r="W687">
        <v>1</v>
      </c>
      <c r="X687">
        <v>30241.190054654999</v>
      </c>
      <c r="Y687">
        <v>26593</v>
      </c>
      <c r="Z687">
        <v>5.2929219722241197E-2</v>
      </c>
      <c r="AA687">
        <v>50</v>
      </c>
    </row>
    <row r="688" spans="1:27" x14ac:dyDescent="0.2">
      <c r="A688">
        <v>40</v>
      </c>
      <c r="B688">
        <v>1</v>
      </c>
      <c r="C688">
        <v>0.1</v>
      </c>
      <c r="D688">
        <v>100</v>
      </c>
      <c r="E688">
        <v>0.330103542944093</v>
      </c>
      <c r="F688">
        <v>1</v>
      </c>
      <c r="G688">
        <v>36.613765031</v>
      </c>
      <c r="H688">
        <v>0.23916221456133599</v>
      </c>
      <c r="I688">
        <v>1</v>
      </c>
      <c r="J688">
        <v>1.780578612</v>
      </c>
      <c r="P688"/>
      <c r="V688">
        <v>0.23779537751216201</v>
      </c>
      <c r="W688">
        <v>1</v>
      </c>
      <c r="X688">
        <v>30328.285206673001</v>
      </c>
      <c r="Y688">
        <v>31733</v>
      </c>
      <c r="Z688">
        <v>6.8949430041509205E-2</v>
      </c>
      <c r="AA688">
        <v>50</v>
      </c>
    </row>
    <row r="689" spans="1:27" x14ac:dyDescent="0.2">
      <c r="A689">
        <v>40</v>
      </c>
      <c r="B689">
        <v>1</v>
      </c>
      <c r="C689">
        <v>0.1</v>
      </c>
      <c r="D689">
        <v>100</v>
      </c>
      <c r="E689">
        <v>0.14597320770531999</v>
      </c>
      <c r="F689">
        <v>1</v>
      </c>
      <c r="G689">
        <v>41.065105389000003</v>
      </c>
      <c r="H689">
        <v>9.8518402846676303E-2</v>
      </c>
      <c r="I689">
        <v>1</v>
      </c>
      <c r="J689">
        <v>0.94916234799999999</v>
      </c>
      <c r="P689"/>
      <c r="V689">
        <v>7.9779265295202698E-2</v>
      </c>
      <c r="W689">
        <v>1</v>
      </c>
      <c r="X689">
        <v>30316.644734893998</v>
      </c>
      <c r="Y689">
        <v>35913</v>
      </c>
      <c r="Z689">
        <v>5.89343609021096E-2</v>
      </c>
      <c r="AA689">
        <v>50</v>
      </c>
    </row>
    <row r="690" spans="1:27" x14ac:dyDescent="0.2">
      <c r="A690">
        <v>40</v>
      </c>
      <c r="B690">
        <v>1</v>
      </c>
      <c r="C690">
        <v>0.1</v>
      </c>
      <c r="D690">
        <v>20</v>
      </c>
      <c r="E690">
        <v>0.32523231639870798</v>
      </c>
      <c r="F690">
        <v>1</v>
      </c>
      <c r="G690">
        <v>33.998815465</v>
      </c>
      <c r="H690">
        <v>0.31111206807998198</v>
      </c>
      <c r="I690">
        <v>1</v>
      </c>
      <c r="J690">
        <v>0.38896103500000001</v>
      </c>
      <c r="V690" s="5">
        <v>0.279444981062278</v>
      </c>
      <c r="W690">
        <v>1</v>
      </c>
      <c r="X690">
        <v>30979.413813429001</v>
      </c>
      <c r="Y690">
        <v>1734</v>
      </c>
      <c r="Z690">
        <v>6.5707838289877196E-2</v>
      </c>
      <c r="AA690">
        <v>50</v>
      </c>
    </row>
    <row r="691" spans="1:27" x14ac:dyDescent="0.2">
      <c r="A691">
        <v>40</v>
      </c>
      <c r="B691">
        <v>1</v>
      </c>
      <c r="C691">
        <v>0.1</v>
      </c>
      <c r="D691">
        <v>20</v>
      </c>
      <c r="E691">
        <v>0.293847415450737</v>
      </c>
      <c r="F691">
        <v>1</v>
      </c>
      <c r="G691">
        <v>47.441069149</v>
      </c>
      <c r="H691">
        <v>0.221345634605705</v>
      </c>
      <c r="I691">
        <v>1</v>
      </c>
      <c r="J691">
        <v>0.82016462899999998</v>
      </c>
      <c r="P691" s="7"/>
      <c r="V691" s="7">
        <v>0.20677912007254801</v>
      </c>
      <c r="W691">
        <v>1</v>
      </c>
      <c r="X691">
        <v>30555.653789803</v>
      </c>
      <c r="Y691">
        <v>24796</v>
      </c>
      <c r="Z691">
        <v>4.0778268146450303E-2</v>
      </c>
      <c r="AA691">
        <v>50</v>
      </c>
    </row>
    <row r="692" spans="1:27" x14ac:dyDescent="0.2">
      <c r="A692">
        <v>40</v>
      </c>
      <c r="B692">
        <v>1</v>
      </c>
      <c r="C692">
        <v>0.1</v>
      </c>
      <c r="D692">
        <v>20</v>
      </c>
      <c r="E692">
        <v>0.44497243243835599</v>
      </c>
      <c r="F692">
        <v>1</v>
      </c>
      <c r="G692">
        <v>31.200682874000002</v>
      </c>
      <c r="H692">
        <v>0.35749708058663199</v>
      </c>
      <c r="I692">
        <v>1</v>
      </c>
      <c r="J692">
        <v>0.29902686099999998</v>
      </c>
      <c r="P692" s="7"/>
      <c r="V692" s="7">
        <v>0.33556564359137703</v>
      </c>
      <c r="W692">
        <v>1</v>
      </c>
      <c r="X692">
        <v>31160.838001606</v>
      </c>
      <c r="Y692">
        <v>48440</v>
      </c>
      <c r="Z692">
        <v>4.90380025022321E-2</v>
      </c>
      <c r="AA692">
        <v>50</v>
      </c>
    </row>
    <row r="693" spans="1:27" x14ac:dyDescent="0.2">
      <c r="A693">
        <v>40</v>
      </c>
      <c r="B693">
        <v>1</v>
      </c>
      <c r="C693">
        <v>0.1</v>
      </c>
      <c r="D693">
        <v>20</v>
      </c>
      <c r="E693">
        <v>0.43786184299449299</v>
      </c>
      <c r="F693">
        <v>1</v>
      </c>
      <c r="G693">
        <v>39.030350233999997</v>
      </c>
      <c r="H693">
        <v>0.40600937110244001</v>
      </c>
      <c r="I693">
        <v>1</v>
      </c>
      <c r="J693">
        <v>0.606327226</v>
      </c>
      <c r="P693" s="7"/>
      <c r="V693" s="7">
        <v>0.395121046656291</v>
      </c>
      <c r="W693">
        <v>1</v>
      </c>
      <c r="X693">
        <v>30704.217581514</v>
      </c>
      <c r="Y693">
        <v>39605</v>
      </c>
      <c r="Z693">
        <v>6.6925644994187294E-2</v>
      </c>
      <c r="AA693">
        <v>50</v>
      </c>
    </row>
    <row r="694" spans="1:27" x14ac:dyDescent="0.2">
      <c r="A694">
        <v>40</v>
      </c>
      <c r="B694">
        <v>1</v>
      </c>
      <c r="C694">
        <v>0.1</v>
      </c>
      <c r="D694">
        <v>20</v>
      </c>
      <c r="E694">
        <v>0.36367069450056699</v>
      </c>
      <c r="F694">
        <v>1</v>
      </c>
      <c r="G694">
        <v>31.915130046000002</v>
      </c>
      <c r="H694">
        <v>0.30117360834357898</v>
      </c>
      <c r="I694">
        <v>1</v>
      </c>
      <c r="J694">
        <v>1.0288469179999999</v>
      </c>
      <c r="P694" s="7"/>
      <c r="V694" s="7">
        <v>0.27157085433565098</v>
      </c>
      <c r="W694">
        <v>1</v>
      </c>
      <c r="X694">
        <v>30869.938966301001</v>
      </c>
      <c r="Y694">
        <v>1000</v>
      </c>
      <c r="Z694">
        <v>9.98003428927694E-2</v>
      </c>
      <c r="AA694">
        <v>50</v>
      </c>
    </row>
    <row r="695" spans="1:27" x14ac:dyDescent="0.2">
      <c r="A695">
        <v>40</v>
      </c>
      <c r="B695">
        <v>1</v>
      </c>
      <c r="C695">
        <v>0.1</v>
      </c>
      <c r="D695">
        <v>20</v>
      </c>
      <c r="E695">
        <v>0.628045360564222</v>
      </c>
      <c r="F695">
        <v>1</v>
      </c>
      <c r="G695">
        <v>31.376473418</v>
      </c>
      <c r="H695">
        <v>0.55797116816749504</v>
      </c>
      <c r="I695">
        <v>1</v>
      </c>
      <c r="J695">
        <v>0.643071112</v>
      </c>
      <c r="P695" s="7"/>
      <c r="V695" s="7">
        <v>0.55152482487811905</v>
      </c>
      <c r="W695">
        <v>1</v>
      </c>
      <c r="X695">
        <v>31485.002575620001</v>
      </c>
      <c r="Y695">
        <v>1457</v>
      </c>
      <c r="Z695">
        <v>8.1248601266599996E-2</v>
      </c>
      <c r="AA695">
        <v>50</v>
      </c>
    </row>
    <row r="696" spans="1:27" x14ac:dyDescent="0.2">
      <c r="A696">
        <v>40</v>
      </c>
      <c r="B696">
        <v>1</v>
      </c>
      <c r="C696">
        <v>0.1</v>
      </c>
      <c r="D696">
        <v>20</v>
      </c>
      <c r="E696">
        <v>0.28677162779506798</v>
      </c>
      <c r="F696">
        <v>1</v>
      </c>
      <c r="G696">
        <v>32.461401563000003</v>
      </c>
      <c r="H696">
        <v>0.23462781139768901</v>
      </c>
      <c r="I696">
        <v>1</v>
      </c>
      <c r="J696">
        <v>0.64679541100000004</v>
      </c>
      <c r="P696" s="7"/>
      <c r="V696" s="7">
        <v>0.20722151995823901</v>
      </c>
      <c r="W696">
        <v>1</v>
      </c>
      <c r="X696">
        <v>31064.986719778</v>
      </c>
      <c r="Y696">
        <v>1015</v>
      </c>
      <c r="Z696">
        <v>6.1802031490051097E-2</v>
      </c>
      <c r="AA696">
        <v>50</v>
      </c>
    </row>
    <row r="697" spans="1:27" x14ac:dyDescent="0.2">
      <c r="A697">
        <v>40</v>
      </c>
      <c r="B697">
        <v>1</v>
      </c>
      <c r="C697">
        <v>0.1</v>
      </c>
      <c r="D697">
        <v>20</v>
      </c>
      <c r="E697">
        <v>0.21543783426395299</v>
      </c>
      <c r="F697">
        <v>1</v>
      </c>
      <c r="G697">
        <v>32.093512707000002</v>
      </c>
      <c r="H697">
        <v>0.206837757601679</v>
      </c>
      <c r="I697">
        <v>1</v>
      </c>
      <c r="J697">
        <v>0.54310931799999995</v>
      </c>
      <c r="P697" s="7"/>
      <c r="V697" s="7">
        <v>0.197679606157417</v>
      </c>
      <c r="W697">
        <v>1</v>
      </c>
      <c r="X697">
        <v>30787.893866213999</v>
      </c>
      <c r="Y697">
        <v>42087</v>
      </c>
      <c r="Z697">
        <v>5.3279842668619598E-2</v>
      </c>
      <c r="AA697">
        <v>50</v>
      </c>
    </row>
    <row r="698" spans="1:27" x14ac:dyDescent="0.2">
      <c r="A698">
        <v>40</v>
      </c>
      <c r="B698">
        <v>1</v>
      </c>
      <c r="C698">
        <v>0.1</v>
      </c>
      <c r="D698">
        <v>20</v>
      </c>
      <c r="E698">
        <v>0.346288269227295</v>
      </c>
      <c r="F698">
        <v>1</v>
      </c>
      <c r="G698">
        <v>39.678692394000002</v>
      </c>
      <c r="H698">
        <v>0.36672058831327597</v>
      </c>
      <c r="I698">
        <v>1</v>
      </c>
      <c r="J698">
        <v>0.81309891099999998</v>
      </c>
      <c r="P698" s="7"/>
      <c r="V698" s="7">
        <v>0.34176622654030397</v>
      </c>
      <c r="W698">
        <v>1</v>
      </c>
      <c r="X698">
        <v>30553.713875768</v>
      </c>
      <c r="Y698">
        <v>37641</v>
      </c>
      <c r="Z698">
        <v>6.5466315942998204E-2</v>
      </c>
      <c r="AA698">
        <v>50</v>
      </c>
    </row>
    <row r="699" spans="1:27" x14ac:dyDescent="0.2">
      <c r="A699">
        <v>40</v>
      </c>
      <c r="B699">
        <v>1</v>
      </c>
      <c r="C699">
        <v>0.1</v>
      </c>
      <c r="D699">
        <v>20</v>
      </c>
      <c r="E699">
        <v>0.52558277918621599</v>
      </c>
      <c r="F699">
        <v>1</v>
      </c>
      <c r="G699">
        <v>32.062867324999999</v>
      </c>
      <c r="H699">
        <v>0.51930135259366605</v>
      </c>
      <c r="I699">
        <v>1</v>
      </c>
      <c r="J699">
        <v>0.66326427600000004</v>
      </c>
      <c r="P699" s="7"/>
      <c r="V699" s="7">
        <v>0.50617857339655603</v>
      </c>
      <c r="W699">
        <v>1</v>
      </c>
      <c r="X699">
        <v>30437.511314133</v>
      </c>
      <c r="Y699">
        <v>42532</v>
      </c>
      <c r="Z699">
        <v>8.4256852582663397E-2</v>
      </c>
      <c r="AA699">
        <v>50</v>
      </c>
    </row>
    <row r="700" spans="1:27" x14ac:dyDescent="0.2">
      <c r="A700">
        <v>40</v>
      </c>
      <c r="B700">
        <v>1</v>
      </c>
      <c r="C700">
        <v>0.1</v>
      </c>
      <c r="D700">
        <v>20</v>
      </c>
      <c r="E700">
        <v>0.30378483618540397</v>
      </c>
      <c r="F700">
        <v>1</v>
      </c>
      <c r="G700">
        <v>31.189008886</v>
      </c>
      <c r="H700">
        <v>0.205534785042601</v>
      </c>
      <c r="I700">
        <v>1</v>
      </c>
      <c r="J700">
        <v>0.71647306200000005</v>
      </c>
      <c r="P700" s="7"/>
      <c r="V700" s="7">
        <v>0.18766282587236799</v>
      </c>
      <c r="W700">
        <v>1</v>
      </c>
      <c r="X700">
        <v>30251.764581461</v>
      </c>
      <c r="Y700">
        <v>55760</v>
      </c>
      <c r="Z700">
        <v>5.71966577968816E-2</v>
      </c>
      <c r="AA700">
        <v>50</v>
      </c>
    </row>
    <row r="701" spans="1:27" x14ac:dyDescent="0.2">
      <c r="A701">
        <v>20</v>
      </c>
      <c r="B701">
        <v>1</v>
      </c>
      <c r="C701">
        <v>0.1</v>
      </c>
      <c r="D701">
        <v>20</v>
      </c>
      <c r="E701">
        <v>0.78163482399339201</v>
      </c>
      <c r="F701">
        <v>1</v>
      </c>
      <c r="G701">
        <v>30.290874294999998</v>
      </c>
      <c r="H701">
        <v>0.69939150142401796</v>
      </c>
      <c r="I701">
        <v>1</v>
      </c>
      <c r="J701">
        <v>0.22153077400000001</v>
      </c>
      <c r="V701" s="5">
        <v>0.84643264951334896</v>
      </c>
      <c r="W701">
        <v>1</v>
      </c>
      <c r="X701">
        <v>74.157781553000007</v>
      </c>
      <c r="Y701">
        <v>5040</v>
      </c>
      <c r="Z701">
        <v>8.1860709620051799E-4</v>
      </c>
      <c r="AA701">
        <v>1</v>
      </c>
    </row>
    <row r="702" spans="1:27" x14ac:dyDescent="0.2">
      <c r="A702">
        <v>20</v>
      </c>
      <c r="B702">
        <v>1</v>
      </c>
      <c r="C702">
        <v>0.1</v>
      </c>
      <c r="D702">
        <v>20</v>
      </c>
      <c r="E702">
        <v>0.62347362604230505</v>
      </c>
      <c r="F702">
        <v>1</v>
      </c>
      <c r="G702">
        <v>35.164363418000001</v>
      </c>
      <c r="H702">
        <v>0.68884551278010897</v>
      </c>
      <c r="I702">
        <v>1</v>
      </c>
      <c r="J702">
        <v>0.38330548800000003</v>
      </c>
      <c r="V702" s="5">
        <v>1.0229603316484399</v>
      </c>
      <c r="W702">
        <v>1</v>
      </c>
      <c r="X702">
        <v>307.17990363400003</v>
      </c>
      <c r="Y702">
        <v>4220</v>
      </c>
      <c r="Z702">
        <v>8.8953422526127902E-4</v>
      </c>
      <c r="AA702">
        <v>6</v>
      </c>
    </row>
    <row r="703" spans="1:27" x14ac:dyDescent="0.2">
      <c r="A703">
        <v>20</v>
      </c>
      <c r="B703">
        <v>1</v>
      </c>
      <c r="C703">
        <v>0.1</v>
      </c>
      <c r="D703">
        <v>100</v>
      </c>
      <c r="E703">
        <v>0.90511615463013495</v>
      </c>
      <c r="F703">
        <v>1</v>
      </c>
      <c r="G703">
        <v>33.366527898000001</v>
      </c>
      <c r="H703">
        <v>0.86964962820996405</v>
      </c>
      <c r="I703">
        <v>1</v>
      </c>
      <c r="J703">
        <v>0.39023608799999998</v>
      </c>
      <c r="V703" s="5">
        <v>0.94796591924098506</v>
      </c>
      <c r="W703">
        <v>1</v>
      </c>
      <c r="X703">
        <v>423.54680069199998</v>
      </c>
      <c r="Y703">
        <v>1</v>
      </c>
      <c r="Z703">
        <v>3.9464117427293998E-4</v>
      </c>
      <c r="AA703">
        <v>7</v>
      </c>
    </row>
    <row r="704" spans="1:27" x14ac:dyDescent="0.2">
      <c r="A704">
        <v>20</v>
      </c>
      <c r="B704">
        <v>1</v>
      </c>
      <c r="C704">
        <v>0.1</v>
      </c>
      <c r="D704">
        <v>100</v>
      </c>
      <c r="E704">
        <v>0.67110714308244701</v>
      </c>
      <c r="F704">
        <v>1</v>
      </c>
      <c r="G704">
        <v>32.446153369999998</v>
      </c>
      <c r="H704">
        <v>0.66006787133912803</v>
      </c>
      <c r="I704">
        <v>1</v>
      </c>
      <c r="J704">
        <v>0.27363147999999998</v>
      </c>
      <c r="V704" s="5">
        <v>0.90020838852728502</v>
      </c>
      <c r="W704">
        <v>1</v>
      </c>
      <c r="X704">
        <v>1370.2805942939999</v>
      </c>
      <c r="Y704">
        <v>10352</v>
      </c>
      <c r="Z704">
        <v>5.2691800735307705E-4</v>
      </c>
      <c r="AA704">
        <v>14</v>
      </c>
    </row>
    <row r="705" spans="1:27" x14ac:dyDescent="0.2">
      <c r="A705">
        <v>30</v>
      </c>
      <c r="B705">
        <v>1</v>
      </c>
      <c r="C705">
        <v>0.3</v>
      </c>
      <c r="D705">
        <v>20</v>
      </c>
      <c r="E705">
        <v>5.9890705016329801E-2</v>
      </c>
      <c r="F705">
        <v>1</v>
      </c>
      <c r="G705">
        <v>28.410797393999999</v>
      </c>
      <c r="H705">
        <v>6.7214617473581803E-2</v>
      </c>
      <c r="I705">
        <v>1</v>
      </c>
      <c r="J705">
        <v>0.16645938900000001</v>
      </c>
      <c r="V705" s="5">
        <v>4.1353926562380502E-2</v>
      </c>
      <c r="W705">
        <v>1</v>
      </c>
      <c r="X705">
        <v>58.068825883000002</v>
      </c>
      <c r="Y705">
        <v>256</v>
      </c>
      <c r="Z705">
        <v>6.1496321168981096E-3</v>
      </c>
      <c r="AA705">
        <v>1</v>
      </c>
    </row>
    <row r="706" spans="1:27" x14ac:dyDescent="0.2">
      <c r="A706">
        <v>30</v>
      </c>
      <c r="B706">
        <v>1</v>
      </c>
      <c r="C706">
        <v>0.3</v>
      </c>
      <c r="D706">
        <v>100</v>
      </c>
      <c r="E706">
        <v>9.2890959589162006E-3</v>
      </c>
      <c r="F706">
        <v>1</v>
      </c>
      <c r="G706">
        <v>25.827953439000002</v>
      </c>
      <c r="H706">
        <v>1.1173799550947499E-2</v>
      </c>
      <c r="I706">
        <v>1</v>
      </c>
      <c r="J706">
        <v>9.2251041000000006E-2</v>
      </c>
      <c r="V706" s="5">
        <v>7.2481470436640402E-3</v>
      </c>
      <c r="W706">
        <v>1</v>
      </c>
      <c r="X706">
        <v>81.661763120000003</v>
      </c>
      <c r="Y706">
        <v>33</v>
      </c>
      <c r="Z706">
        <v>3.6345936585704302E-3</v>
      </c>
      <c r="AA706">
        <v>1</v>
      </c>
    </row>
    <row r="707" spans="1:27" x14ac:dyDescent="0.2">
      <c r="A707">
        <v>30</v>
      </c>
      <c r="B707">
        <v>1</v>
      </c>
      <c r="C707">
        <v>0.3</v>
      </c>
      <c r="D707">
        <v>100</v>
      </c>
      <c r="E707">
        <v>8.8498286160151096E-2</v>
      </c>
      <c r="F707">
        <v>1</v>
      </c>
      <c r="G707">
        <v>25.871079248000001</v>
      </c>
      <c r="H707">
        <v>3.2280783353908798E-2</v>
      </c>
      <c r="I707">
        <v>1</v>
      </c>
      <c r="J707">
        <v>0.109677761</v>
      </c>
      <c r="V707" s="5">
        <v>3.0016346690611598E-2</v>
      </c>
      <c r="W707">
        <v>1</v>
      </c>
      <c r="X707">
        <v>79.555085230000003</v>
      </c>
      <c r="Y707">
        <v>19</v>
      </c>
      <c r="Z707">
        <v>6.4679167578282001E-3</v>
      </c>
      <c r="AA707">
        <v>1</v>
      </c>
    </row>
    <row r="708" spans="1:27" x14ac:dyDescent="0.2">
      <c r="A708">
        <v>30</v>
      </c>
      <c r="B708">
        <v>1</v>
      </c>
      <c r="C708">
        <v>0.3</v>
      </c>
      <c r="D708">
        <v>100</v>
      </c>
      <c r="E708">
        <v>1.2166560615502999E-2</v>
      </c>
      <c r="F708">
        <v>1</v>
      </c>
      <c r="G708">
        <v>30.207849465999999</v>
      </c>
      <c r="H708">
        <v>1.5734184583098901E-2</v>
      </c>
      <c r="I708">
        <v>1</v>
      </c>
      <c r="J708">
        <v>0.133454299</v>
      </c>
      <c r="V708" s="5">
        <v>1.09334705333347E-2</v>
      </c>
      <c r="W708">
        <v>1</v>
      </c>
      <c r="X708">
        <v>522.08755340200003</v>
      </c>
      <c r="Y708">
        <v>126</v>
      </c>
      <c r="Z708">
        <v>8.9242652750864907E-3</v>
      </c>
      <c r="AA708">
        <v>13</v>
      </c>
    </row>
    <row r="709" spans="1:27" x14ac:dyDescent="0.2">
      <c r="A709">
        <v>30</v>
      </c>
      <c r="B709">
        <v>1</v>
      </c>
      <c r="C709">
        <v>0.2</v>
      </c>
      <c r="D709">
        <v>100</v>
      </c>
      <c r="E709">
        <v>3.4586897621056802E-2</v>
      </c>
      <c r="F709">
        <v>1</v>
      </c>
      <c r="G709">
        <v>30.441957768000002</v>
      </c>
      <c r="H709">
        <v>3.6971559443523101E-2</v>
      </c>
      <c r="I709">
        <v>1</v>
      </c>
      <c r="J709">
        <v>0.23577189800000001</v>
      </c>
      <c r="V709" s="5">
        <v>3.5084187927568102E-2</v>
      </c>
      <c r="W709">
        <v>1</v>
      </c>
      <c r="X709">
        <v>1306.4989419169999</v>
      </c>
      <c r="Y709">
        <v>2886</v>
      </c>
      <c r="Z709">
        <v>9.6414545398267795E-3</v>
      </c>
      <c r="AA709">
        <v>1</v>
      </c>
    </row>
    <row r="710" spans="1:27" x14ac:dyDescent="0.2">
      <c r="A710">
        <v>30</v>
      </c>
      <c r="B710">
        <v>1</v>
      </c>
      <c r="C710">
        <v>0.3</v>
      </c>
      <c r="D710">
        <v>100</v>
      </c>
      <c r="E710">
        <v>1.15537082663285E-2</v>
      </c>
      <c r="F710">
        <v>1</v>
      </c>
      <c r="G710">
        <v>26.814011521000001</v>
      </c>
      <c r="H710">
        <v>2.16290672020794E-2</v>
      </c>
      <c r="I710">
        <v>1</v>
      </c>
      <c r="J710">
        <v>0.15459413799999999</v>
      </c>
      <c r="V710" s="5">
        <v>1.7392111528159001E-2</v>
      </c>
      <c r="W710">
        <v>1</v>
      </c>
      <c r="X710">
        <v>4328.5180826830001</v>
      </c>
      <c r="Y710">
        <v>5956</v>
      </c>
      <c r="Z710">
        <v>8.9274122377984693E-3</v>
      </c>
      <c r="AA710">
        <v>16</v>
      </c>
    </row>
    <row r="711" spans="1:27" x14ac:dyDescent="0.2">
      <c r="A711">
        <v>30</v>
      </c>
      <c r="B711">
        <v>1</v>
      </c>
      <c r="C711">
        <v>0.3</v>
      </c>
      <c r="D711">
        <v>100</v>
      </c>
      <c r="E711">
        <v>1.2011218584798099E-2</v>
      </c>
      <c r="F711">
        <v>1</v>
      </c>
      <c r="G711">
        <v>29.910292103</v>
      </c>
      <c r="H711">
        <v>1.55222776053754E-2</v>
      </c>
      <c r="I711">
        <v>1</v>
      </c>
      <c r="J711">
        <v>7.4116341000000002E-2</v>
      </c>
      <c r="V711" s="5">
        <v>1.07591067751993E-2</v>
      </c>
      <c r="W711">
        <v>1</v>
      </c>
      <c r="X711">
        <v>126.865634695</v>
      </c>
      <c r="Y711">
        <v>79</v>
      </c>
      <c r="Z711">
        <v>9.8776938503040094E-3</v>
      </c>
      <c r="AA711">
        <v>1</v>
      </c>
    </row>
    <row r="712" spans="1:27" x14ac:dyDescent="0.2">
      <c r="A712">
        <v>30</v>
      </c>
      <c r="B712">
        <v>1</v>
      </c>
      <c r="C712">
        <v>0.3</v>
      </c>
      <c r="D712">
        <v>100</v>
      </c>
      <c r="E712">
        <v>1.34230084725834E-2</v>
      </c>
      <c r="F712">
        <v>1</v>
      </c>
      <c r="G712">
        <v>30.611362264</v>
      </c>
      <c r="H712">
        <v>1.8273427806581199E-2</v>
      </c>
      <c r="I712">
        <v>1</v>
      </c>
      <c r="J712">
        <v>0.16417183499999999</v>
      </c>
      <c r="V712" s="5">
        <v>1.28474265489522E-2</v>
      </c>
      <c r="W712">
        <v>1</v>
      </c>
      <c r="X712">
        <v>12492.292647192</v>
      </c>
      <c r="Y712">
        <v>29234</v>
      </c>
      <c r="Z712">
        <v>9.7426805750149195E-3</v>
      </c>
      <c r="AA712">
        <v>32</v>
      </c>
    </row>
    <row r="713" spans="1:27" x14ac:dyDescent="0.2">
      <c r="A713">
        <v>30</v>
      </c>
      <c r="B713">
        <v>1</v>
      </c>
      <c r="C713">
        <v>0.2</v>
      </c>
      <c r="D713">
        <v>100</v>
      </c>
      <c r="E713">
        <v>0.120684940067563</v>
      </c>
      <c r="F713">
        <v>1</v>
      </c>
      <c r="G713">
        <v>30.712324381999998</v>
      </c>
      <c r="H713">
        <v>3.9149984892555799E-2</v>
      </c>
      <c r="I713">
        <v>1</v>
      </c>
      <c r="J713">
        <v>0.47374239899999998</v>
      </c>
      <c r="V713" s="5">
        <v>3.5783934470178698E-2</v>
      </c>
      <c r="W713">
        <v>1</v>
      </c>
      <c r="X713">
        <v>15976.528193804999</v>
      </c>
      <c r="Y713">
        <v>27678</v>
      </c>
      <c r="Z713">
        <v>6.8971771939079704E-3</v>
      </c>
      <c r="AA713">
        <v>34</v>
      </c>
    </row>
    <row r="714" spans="1:27" x14ac:dyDescent="0.2">
      <c r="A714">
        <v>30</v>
      </c>
      <c r="B714">
        <v>1</v>
      </c>
      <c r="C714">
        <v>0.3</v>
      </c>
      <c r="D714">
        <v>100</v>
      </c>
      <c r="E714">
        <v>1.7251332584317301E-2</v>
      </c>
      <c r="F714">
        <v>1</v>
      </c>
      <c r="G714">
        <v>26.062185159999999</v>
      </c>
      <c r="H714">
        <v>2.42331017817492E-2</v>
      </c>
      <c r="I714">
        <v>1</v>
      </c>
      <c r="J714">
        <v>0.132825896</v>
      </c>
      <c r="V714" s="5">
        <v>1.74095727167673E-2</v>
      </c>
      <c r="W714">
        <v>1</v>
      </c>
      <c r="X714">
        <v>9454.2134506340008</v>
      </c>
      <c r="Y714">
        <v>13754</v>
      </c>
      <c r="Z714">
        <v>9.4455129483652592E-3</v>
      </c>
      <c r="AA714">
        <v>25</v>
      </c>
    </row>
    <row r="715" spans="1:27" x14ac:dyDescent="0.2">
      <c r="A715">
        <v>30</v>
      </c>
      <c r="B715">
        <v>1</v>
      </c>
      <c r="C715">
        <v>0.3</v>
      </c>
      <c r="D715">
        <v>100</v>
      </c>
      <c r="E715">
        <v>2.95531559280563E-2</v>
      </c>
      <c r="F715">
        <v>1</v>
      </c>
      <c r="G715">
        <v>31.050678789999999</v>
      </c>
      <c r="H715">
        <v>2.9921143790938499E-2</v>
      </c>
      <c r="I715">
        <v>1</v>
      </c>
      <c r="J715">
        <v>0.14416696000000001</v>
      </c>
      <c r="V715" s="5">
        <v>2.1573159093334199E-2</v>
      </c>
      <c r="W715">
        <v>1</v>
      </c>
      <c r="X715">
        <v>23511.090783393</v>
      </c>
      <c r="Y715">
        <v>62870</v>
      </c>
      <c r="Z715">
        <v>6.9533771569235603E-3</v>
      </c>
      <c r="AA715">
        <v>42</v>
      </c>
    </row>
    <row r="716" spans="1:27" x14ac:dyDescent="0.2">
      <c r="A716">
        <v>30</v>
      </c>
      <c r="B716">
        <v>1</v>
      </c>
      <c r="C716">
        <v>0.2</v>
      </c>
      <c r="D716">
        <v>100</v>
      </c>
      <c r="E716">
        <v>0.120684940067563</v>
      </c>
      <c r="F716">
        <v>1</v>
      </c>
      <c r="G716">
        <v>30.712324381999998</v>
      </c>
      <c r="H716">
        <v>3.9149984892555799E-2</v>
      </c>
      <c r="I716">
        <v>1</v>
      </c>
      <c r="J716">
        <v>0.47374239899999998</v>
      </c>
      <c r="P716"/>
      <c r="V716">
        <v>3.5783934470178698E-2</v>
      </c>
      <c r="W716">
        <v>1</v>
      </c>
      <c r="X716">
        <v>15976.528193804999</v>
      </c>
      <c r="Y716">
        <v>27678</v>
      </c>
      <c r="Z716">
        <v>6.8971771939079704E-3</v>
      </c>
      <c r="AA716">
        <v>34</v>
      </c>
    </row>
    <row r="717" spans="1:27" x14ac:dyDescent="0.2">
      <c r="A717">
        <v>30</v>
      </c>
      <c r="B717">
        <v>1</v>
      </c>
      <c r="C717">
        <v>0.3</v>
      </c>
      <c r="D717">
        <v>100</v>
      </c>
      <c r="E717">
        <v>1.7251332584317301E-2</v>
      </c>
      <c r="F717">
        <v>1</v>
      </c>
      <c r="G717">
        <v>26.062185159999999</v>
      </c>
      <c r="H717">
        <v>2.42331017817492E-2</v>
      </c>
      <c r="I717">
        <v>1</v>
      </c>
      <c r="J717">
        <v>0.132825896</v>
      </c>
      <c r="P717"/>
      <c r="V717">
        <v>1.74095727167673E-2</v>
      </c>
      <c r="W717">
        <v>1</v>
      </c>
      <c r="X717">
        <v>9454.2134506340008</v>
      </c>
      <c r="Y717">
        <v>13754</v>
      </c>
      <c r="Z717">
        <v>9.4455129483652592E-3</v>
      </c>
      <c r="AA717">
        <v>25</v>
      </c>
    </row>
    <row r="718" spans="1:27" x14ac:dyDescent="0.2">
      <c r="A718">
        <v>30</v>
      </c>
      <c r="B718">
        <v>1</v>
      </c>
      <c r="C718">
        <v>0.3</v>
      </c>
      <c r="D718">
        <v>100</v>
      </c>
      <c r="E718">
        <v>2.95531559280563E-2</v>
      </c>
      <c r="F718">
        <v>1</v>
      </c>
      <c r="G718">
        <v>31.050678789999999</v>
      </c>
      <c r="H718">
        <v>2.9921143790938499E-2</v>
      </c>
      <c r="I718">
        <v>1</v>
      </c>
      <c r="J718">
        <v>0.14416696000000001</v>
      </c>
      <c r="P718"/>
      <c r="V718">
        <v>2.1573159093334199E-2</v>
      </c>
      <c r="W718">
        <v>1</v>
      </c>
      <c r="X718">
        <v>23511.090783393</v>
      </c>
      <c r="Y718">
        <v>62870</v>
      </c>
      <c r="Z718">
        <v>6.9533771569235603E-3</v>
      </c>
      <c r="AA718">
        <v>42</v>
      </c>
    </row>
    <row r="719" spans="1:27" x14ac:dyDescent="0.2">
      <c r="A719">
        <v>30</v>
      </c>
      <c r="B719">
        <v>1</v>
      </c>
      <c r="C719">
        <v>0.3</v>
      </c>
      <c r="D719">
        <v>100</v>
      </c>
      <c r="E719">
        <v>1.9955878820050101E-2</v>
      </c>
      <c r="F719">
        <v>1</v>
      </c>
      <c r="G719">
        <v>29.918419759999999</v>
      </c>
      <c r="H719">
        <v>2.5055702990740399E-2</v>
      </c>
      <c r="I719">
        <v>1</v>
      </c>
      <c r="J719">
        <v>0.155668379</v>
      </c>
      <c r="P719"/>
      <c r="V719">
        <v>1.7851953548115002E-2</v>
      </c>
      <c r="W719">
        <v>1</v>
      </c>
      <c r="X719">
        <v>12107.039492066</v>
      </c>
      <c r="Y719">
        <v>25208</v>
      </c>
      <c r="Z719">
        <v>9.0073413448670207E-3</v>
      </c>
      <c r="AA719">
        <v>28</v>
      </c>
    </row>
    <row r="720" spans="1:27" x14ac:dyDescent="0.2">
      <c r="A720">
        <v>10</v>
      </c>
      <c r="B720">
        <v>3</v>
      </c>
      <c r="C720">
        <v>0.1</v>
      </c>
      <c r="D720">
        <v>20</v>
      </c>
      <c r="E720">
        <v>0.99336149824151099</v>
      </c>
      <c r="F720">
        <v>3</v>
      </c>
      <c r="G720">
        <v>27.867381886</v>
      </c>
      <c r="H720">
        <v>0.99129771629528496</v>
      </c>
      <c r="I720">
        <v>3</v>
      </c>
      <c r="J720">
        <v>9.1182309000000003E-2</v>
      </c>
      <c r="P720"/>
      <c r="V720">
        <v>1.0005176121959101</v>
      </c>
      <c r="W720">
        <v>3</v>
      </c>
      <c r="X720">
        <v>57.852835603999999</v>
      </c>
      <c r="Y720">
        <v>0</v>
      </c>
      <c r="Z720">
        <v>3.2673085750033101E-4</v>
      </c>
      <c r="AA720">
        <v>2</v>
      </c>
    </row>
    <row r="721" spans="1:27" x14ac:dyDescent="0.2">
      <c r="A721">
        <v>10</v>
      </c>
      <c r="B721">
        <v>3</v>
      </c>
      <c r="C721">
        <v>0.1</v>
      </c>
      <c r="D721">
        <v>20</v>
      </c>
      <c r="E721">
        <v>0.97613334391093998</v>
      </c>
      <c r="F721">
        <v>3</v>
      </c>
      <c r="G721">
        <v>34.798193699000002</v>
      </c>
      <c r="H721">
        <v>0.97903964424413203</v>
      </c>
      <c r="I721">
        <v>3</v>
      </c>
      <c r="J721">
        <v>0.134907424</v>
      </c>
      <c r="P721"/>
      <c r="V721">
        <v>0.99924336219777898</v>
      </c>
      <c r="W721">
        <v>3</v>
      </c>
      <c r="X721">
        <v>74.034133230999998</v>
      </c>
      <c r="Y721">
        <v>0</v>
      </c>
      <c r="Z721">
        <v>1.7559902425027299E-3</v>
      </c>
      <c r="AA721">
        <v>2</v>
      </c>
    </row>
    <row r="722" spans="1:27" x14ac:dyDescent="0.2">
      <c r="A722">
        <v>10</v>
      </c>
      <c r="B722">
        <v>3</v>
      </c>
      <c r="C722">
        <v>0.1</v>
      </c>
      <c r="D722">
        <v>20</v>
      </c>
      <c r="E722">
        <v>0.97242477053155596</v>
      </c>
      <c r="F722">
        <v>3</v>
      </c>
      <c r="G722">
        <v>35.161333183000004</v>
      </c>
      <c r="H722">
        <v>0.97209786387626695</v>
      </c>
      <c r="I722">
        <v>3</v>
      </c>
      <c r="J722">
        <v>7.2322330000000004E-2</v>
      </c>
      <c r="P722"/>
      <c r="V722">
        <v>0.992490624213057</v>
      </c>
      <c r="W722">
        <v>3</v>
      </c>
      <c r="X722">
        <v>87.542178763999999</v>
      </c>
      <c r="Y722">
        <v>0</v>
      </c>
      <c r="Z722">
        <v>1.6093780498723201E-3</v>
      </c>
      <c r="AA722">
        <v>3</v>
      </c>
    </row>
    <row r="723" spans="1:27" x14ac:dyDescent="0.2">
      <c r="A723">
        <v>10</v>
      </c>
      <c r="B723">
        <v>3</v>
      </c>
      <c r="C723">
        <v>0.2</v>
      </c>
      <c r="D723">
        <v>20</v>
      </c>
      <c r="E723">
        <v>0.91050601335793302</v>
      </c>
      <c r="F723">
        <v>3</v>
      </c>
      <c r="G723">
        <v>34.686209269000003</v>
      </c>
      <c r="H723">
        <v>0.92153445236248799</v>
      </c>
      <c r="I723">
        <v>3</v>
      </c>
      <c r="J723">
        <v>0.35724363100000001</v>
      </c>
      <c r="P723"/>
      <c r="V723">
        <v>0.92365183506276805</v>
      </c>
      <c r="W723">
        <v>3</v>
      </c>
      <c r="X723">
        <v>998.69744983500004</v>
      </c>
      <c r="Y723">
        <v>14402</v>
      </c>
      <c r="Z723">
        <v>3.3601742441929101E-2</v>
      </c>
      <c r="AA723">
        <v>3</v>
      </c>
    </row>
    <row r="724" spans="1:27" x14ac:dyDescent="0.2">
      <c r="A724">
        <v>10</v>
      </c>
      <c r="B724">
        <v>3</v>
      </c>
      <c r="C724">
        <v>0.1</v>
      </c>
      <c r="D724">
        <v>20</v>
      </c>
      <c r="E724">
        <v>0.97784951722931501</v>
      </c>
      <c r="F724">
        <v>3</v>
      </c>
      <c r="G724">
        <v>34.527817880999997</v>
      </c>
      <c r="H724">
        <v>0.98038644410827902</v>
      </c>
      <c r="I724">
        <v>3</v>
      </c>
      <c r="J724">
        <v>0.10662229500000001</v>
      </c>
      <c r="P724"/>
      <c r="V724">
        <v>0.98075020199588103</v>
      </c>
      <c r="W724">
        <v>3</v>
      </c>
      <c r="X724">
        <v>60.236603019</v>
      </c>
      <c r="Y724">
        <v>1</v>
      </c>
      <c r="Z724">
        <v>4.8154382670423396E-3</v>
      </c>
      <c r="AA724">
        <v>1</v>
      </c>
    </row>
    <row r="725" spans="1:27" x14ac:dyDescent="0.2">
      <c r="A725">
        <v>10</v>
      </c>
      <c r="B725">
        <v>3</v>
      </c>
      <c r="C725">
        <v>0.1</v>
      </c>
      <c r="D725">
        <v>20</v>
      </c>
      <c r="E725">
        <v>0.96341434050027197</v>
      </c>
      <c r="F725">
        <v>3</v>
      </c>
      <c r="G725">
        <v>34.449724287999999</v>
      </c>
      <c r="H725">
        <v>1.07528543137163</v>
      </c>
      <c r="I725">
        <v>3</v>
      </c>
      <c r="J725">
        <v>0.20467259300000001</v>
      </c>
      <c r="P725"/>
      <c r="V725">
        <v>0.94304569998492205</v>
      </c>
      <c r="W725">
        <v>3</v>
      </c>
      <c r="X725">
        <v>272.86049741099998</v>
      </c>
      <c r="Y725">
        <v>2926</v>
      </c>
      <c r="Z725">
        <v>2.1907753349297899E-3</v>
      </c>
      <c r="AA725">
        <v>2</v>
      </c>
    </row>
    <row r="726" spans="1:27" x14ac:dyDescent="0.2">
      <c r="A726">
        <v>10</v>
      </c>
      <c r="B726">
        <v>3</v>
      </c>
      <c r="C726">
        <v>0.1</v>
      </c>
      <c r="D726">
        <v>20</v>
      </c>
      <c r="E726">
        <v>0.97726013459320005</v>
      </c>
      <c r="F726">
        <v>3</v>
      </c>
      <c r="G726">
        <v>34.793925365</v>
      </c>
      <c r="H726">
        <v>0.99907399968791</v>
      </c>
      <c r="I726">
        <v>3</v>
      </c>
      <c r="J726">
        <v>0.237044374</v>
      </c>
      <c r="P726"/>
      <c r="V726">
        <v>0.96347795270728598</v>
      </c>
      <c r="W726">
        <v>3</v>
      </c>
      <c r="X726">
        <v>87.330382212999993</v>
      </c>
      <c r="Y726">
        <v>0</v>
      </c>
      <c r="Z726">
        <v>2.9594583925526799E-3</v>
      </c>
      <c r="AA726">
        <v>2</v>
      </c>
    </row>
    <row r="727" spans="1:27" x14ac:dyDescent="0.2">
      <c r="A727">
        <v>10</v>
      </c>
      <c r="B727">
        <v>3</v>
      </c>
      <c r="C727">
        <v>0.1</v>
      </c>
      <c r="D727">
        <v>20</v>
      </c>
      <c r="E727">
        <v>0.96015889737443305</v>
      </c>
      <c r="F727">
        <v>3</v>
      </c>
      <c r="G727">
        <v>42.274027083999997</v>
      </c>
      <c r="H727">
        <v>0.97230979867631595</v>
      </c>
      <c r="I727">
        <v>3</v>
      </c>
      <c r="J727">
        <v>0.19566940999999999</v>
      </c>
      <c r="P727"/>
      <c r="V727">
        <v>0.98090835749993599</v>
      </c>
      <c r="W727">
        <v>3</v>
      </c>
      <c r="X727">
        <v>676.46903137300001</v>
      </c>
      <c r="Y727">
        <v>14239</v>
      </c>
      <c r="Z727">
        <v>2.1617653852866701E-3</v>
      </c>
      <c r="AA727">
        <v>2</v>
      </c>
    </row>
    <row r="728" spans="1:27" x14ac:dyDescent="0.2">
      <c r="A728">
        <v>10</v>
      </c>
      <c r="B728">
        <v>3</v>
      </c>
      <c r="C728">
        <v>0.1</v>
      </c>
      <c r="D728">
        <v>20</v>
      </c>
      <c r="E728">
        <v>0.96241704762288705</v>
      </c>
      <c r="F728">
        <v>3</v>
      </c>
      <c r="G728">
        <v>42.730913827999998</v>
      </c>
      <c r="H728">
        <v>0.96172303933909198</v>
      </c>
      <c r="I728">
        <v>3</v>
      </c>
      <c r="J728">
        <v>7.6696896000000001E-2</v>
      </c>
      <c r="P728"/>
      <c r="V728">
        <v>1.00226106310944</v>
      </c>
      <c r="W728">
        <v>3</v>
      </c>
      <c r="X728">
        <v>676.87577324300003</v>
      </c>
      <c r="Y728">
        <v>8647</v>
      </c>
      <c r="Z728">
        <v>3.7972267747791301E-3</v>
      </c>
      <c r="AA728">
        <v>2</v>
      </c>
    </row>
    <row r="729" spans="1:27" x14ac:dyDescent="0.2">
      <c r="A729">
        <v>10</v>
      </c>
      <c r="B729">
        <v>3</v>
      </c>
      <c r="C729">
        <v>0.1</v>
      </c>
      <c r="D729">
        <v>20</v>
      </c>
      <c r="E729">
        <v>0.93741129857445304</v>
      </c>
      <c r="F729">
        <v>3</v>
      </c>
      <c r="G729">
        <v>34.549212492999999</v>
      </c>
      <c r="H729">
        <v>0.937410663565585</v>
      </c>
      <c r="I729">
        <v>3</v>
      </c>
      <c r="J729">
        <v>5.7729109000000001E-2</v>
      </c>
      <c r="P729"/>
      <c r="V729">
        <v>0.95908621796782501</v>
      </c>
      <c r="W729">
        <v>3</v>
      </c>
      <c r="X729">
        <v>76.688527966999999</v>
      </c>
      <c r="Y729">
        <v>0</v>
      </c>
      <c r="Z729">
        <v>7.3807845583755399E-3</v>
      </c>
      <c r="AA729">
        <v>2</v>
      </c>
    </row>
    <row r="730" spans="1:27" x14ac:dyDescent="0.2">
      <c r="A730">
        <v>10</v>
      </c>
      <c r="B730">
        <v>3</v>
      </c>
      <c r="C730">
        <v>0.1</v>
      </c>
      <c r="D730">
        <v>20</v>
      </c>
      <c r="E730">
        <v>0.98191444030620201</v>
      </c>
      <c r="F730">
        <v>3</v>
      </c>
      <c r="G730">
        <v>36.861434453999998</v>
      </c>
      <c r="H730">
        <v>0.98698938253733604</v>
      </c>
      <c r="I730">
        <v>3</v>
      </c>
      <c r="J730">
        <v>0.36512625199999998</v>
      </c>
      <c r="P730"/>
      <c r="V730">
        <v>0.969530148101996</v>
      </c>
      <c r="W730">
        <v>3</v>
      </c>
      <c r="X730">
        <v>88.703971328999998</v>
      </c>
      <c r="Y730">
        <v>1</v>
      </c>
      <c r="Z730">
        <v>9.5509684833404397E-4</v>
      </c>
      <c r="AA730">
        <v>2</v>
      </c>
    </row>
    <row r="731" spans="1:27" x14ac:dyDescent="0.2">
      <c r="A731">
        <v>10</v>
      </c>
      <c r="B731">
        <v>3</v>
      </c>
      <c r="C731">
        <v>0.1</v>
      </c>
      <c r="D731">
        <v>20</v>
      </c>
      <c r="E731">
        <v>0.95131513938448897</v>
      </c>
      <c r="F731">
        <v>3</v>
      </c>
      <c r="G731">
        <v>35.015534201000001</v>
      </c>
      <c r="H731">
        <v>0.94811346040438205</v>
      </c>
      <c r="I731">
        <v>3</v>
      </c>
      <c r="J731">
        <v>0.12506710900000001</v>
      </c>
      <c r="P731"/>
      <c r="V731">
        <v>0.97336131563266703</v>
      </c>
      <c r="W731">
        <v>3</v>
      </c>
      <c r="X731">
        <v>1562.875102641</v>
      </c>
      <c r="Y731">
        <v>13152</v>
      </c>
      <c r="Z731">
        <v>6.99950771860399E-3</v>
      </c>
      <c r="AA731">
        <v>3</v>
      </c>
    </row>
    <row r="732" spans="1:27" x14ac:dyDescent="0.2">
      <c r="A732">
        <v>10</v>
      </c>
      <c r="B732">
        <v>3</v>
      </c>
      <c r="C732">
        <v>0.1</v>
      </c>
      <c r="D732">
        <v>20</v>
      </c>
      <c r="E732">
        <v>0.99838041970276303</v>
      </c>
      <c r="F732">
        <v>3</v>
      </c>
      <c r="G732">
        <v>34.772701615999999</v>
      </c>
      <c r="H732">
        <v>0.98082146551129201</v>
      </c>
      <c r="I732">
        <v>3</v>
      </c>
      <c r="J732">
        <v>0.24237552200000001</v>
      </c>
      <c r="P732"/>
      <c r="V732">
        <v>0.96603051065830403</v>
      </c>
      <c r="W732">
        <v>3</v>
      </c>
      <c r="X732">
        <v>75.095855518999997</v>
      </c>
      <c r="Y732">
        <v>1</v>
      </c>
      <c r="Z732">
        <v>1.41514316478966E-3</v>
      </c>
      <c r="AA732">
        <v>2</v>
      </c>
    </row>
    <row r="733" spans="1:27" x14ac:dyDescent="0.2">
      <c r="A733">
        <v>10</v>
      </c>
      <c r="B733">
        <v>3</v>
      </c>
      <c r="C733">
        <v>0.1</v>
      </c>
      <c r="D733">
        <v>20</v>
      </c>
      <c r="E733">
        <v>0.98059827366147401</v>
      </c>
      <c r="F733">
        <v>3</v>
      </c>
      <c r="G733">
        <v>34.279785021000002</v>
      </c>
      <c r="H733">
        <v>0.98059827366147001</v>
      </c>
      <c r="I733">
        <v>3</v>
      </c>
      <c r="J733">
        <v>5.6041454999999997E-2</v>
      </c>
      <c r="P733"/>
      <c r="V733">
        <v>1.01546892987469</v>
      </c>
      <c r="W733">
        <v>3</v>
      </c>
      <c r="X733">
        <v>77.915289919000003</v>
      </c>
      <c r="Y733">
        <v>1</v>
      </c>
      <c r="Z733">
        <v>1.8767785499621799E-3</v>
      </c>
      <c r="AA733">
        <v>2</v>
      </c>
    </row>
    <row r="734" spans="1:27" x14ac:dyDescent="0.2">
      <c r="A734">
        <v>10</v>
      </c>
      <c r="B734">
        <v>3</v>
      </c>
      <c r="C734">
        <v>0.2</v>
      </c>
      <c r="D734">
        <v>20</v>
      </c>
      <c r="E734">
        <v>1.0298312628296999</v>
      </c>
      <c r="F734">
        <v>3</v>
      </c>
      <c r="G734">
        <v>44.847045424000001</v>
      </c>
      <c r="H734">
        <v>0.96045020738776299</v>
      </c>
      <c r="I734">
        <v>3</v>
      </c>
      <c r="J734">
        <v>0.48904742000000001</v>
      </c>
      <c r="P734"/>
      <c r="V734">
        <v>0.96194870373838404</v>
      </c>
      <c r="W734">
        <v>3</v>
      </c>
      <c r="X734">
        <v>126.860619934</v>
      </c>
      <c r="Y734">
        <v>1</v>
      </c>
      <c r="Z734">
        <v>7.1589537158972504E-3</v>
      </c>
      <c r="AA734">
        <v>2</v>
      </c>
    </row>
    <row r="735" spans="1:27" x14ac:dyDescent="0.2">
      <c r="A735">
        <v>10</v>
      </c>
      <c r="B735">
        <v>3</v>
      </c>
      <c r="C735">
        <v>0.2</v>
      </c>
      <c r="D735">
        <v>20</v>
      </c>
      <c r="E735">
        <v>0.96137299692394795</v>
      </c>
      <c r="F735">
        <v>3</v>
      </c>
      <c r="G735">
        <v>36.324895501999997</v>
      </c>
      <c r="H735">
        <v>0.98405350723390905</v>
      </c>
      <c r="I735">
        <v>3</v>
      </c>
      <c r="J735">
        <v>0.24175101199999999</v>
      </c>
      <c r="P735"/>
      <c r="V735">
        <v>0.98540759600710104</v>
      </c>
      <c r="W735">
        <v>3</v>
      </c>
      <c r="X735">
        <v>136.76126245500001</v>
      </c>
      <c r="Y735">
        <v>1</v>
      </c>
      <c r="Z735">
        <v>4.7836859422747497E-3</v>
      </c>
      <c r="AA735">
        <v>2</v>
      </c>
    </row>
    <row r="736" spans="1:27" x14ac:dyDescent="0.2">
      <c r="A736">
        <v>10</v>
      </c>
      <c r="B736">
        <v>3</v>
      </c>
      <c r="C736">
        <v>0.1</v>
      </c>
      <c r="D736">
        <v>20</v>
      </c>
      <c r="E736">
        <v>0.97964238536376302</v>
      </c>
      <c r="F736">
        <v>3</v>
      </c>
      <c r="G736">
        <v>37.114991236999998</v>
      </c>
      <c r="H736">
        <v>0.98565974410936297</v>
      </c>
      <c r="I736">
        <v>3</v>
      </c>
      <c r="J736">
        <v>0.17560517</v>
      </c>
      <c r="P736"/>
      <c r="V736">
        <v>1.026446039906</v>
      </c>
      <c r="W736">
        <v>3</v>
      </c>
      <c r="X736">
        <v>101.398902877</v>
      </c>
      <c r="Y736">
        <v>1</v>
      </c>
      <c r="Z736">
        <v>1.1288656933771601E-3</v>
      </c>
      <c r="AA736">
        <v>3</v>
      </c>
    </row>
    <row r="737" spans="1:27" x14ac:dyDescent="0.2">
      <c r="A737">
        <v>10</v>
      </c>
      <c r="B737">
        <v>3</v>
      </c>
      <c r="C737">
        <v>0.1</v>
      </c>
      <c r="D737">
        <v>20</v>
      </c>
      <c r="E737">
        <v>0.96127291111561197</v>
      </c>
      <c r="F737">
        <v>3</v>
      </c>
      <c r="G737">
        <v>36.533472261999997</v>
      </c>
      <c r="H737">
        <v>0.95845368755891502</v>
      </c>
      <c r="I737">
        <v>3</v>
      </c>
      <c r="J737">
        <v>0.12638099699999999</v>
      </c>
      <c r="P737"/>
      <c r="V737">
        <v>0.97764568764340198</v>
      </c>
      <c r="W737">
        <v>3</v>
      </c>
      <c r="X737">
        <v>95.146508276000006</v>
      </c>
      <c r="Y737">
        <v>0</v>
      </c>
      <c r="Z737">
        <v>1.9254930280594501E-3</v>
      </c>
      <c r="AA737">
        <v>2</v>
      </c>
    </row>
    <row r="738" spans="1:27" x14ac:dyDescent="0.2">
      <c r="A738">
        <v>10</v>
      </c>
      <c r="B738">
        <v>3</v>
      </c>
      <c r="C738">
        <v>0.1</v>
      </c>
      <c r="D738">
        <v>20</v>
      </c>
      <c r="E738">
        <v>0.96697451033676995</v>
      </c>
      <c r="F738">
        <v>3</v>
      </c>
      <c r="G738">
        <v>34.592935879000002</v>
      </c>
      <c r="H738">
        <v>0.96699927675361796</v>
      </c>
      <c r="I738">
        <v>3</v>
      </c>
      <c r="J738">
        <v>5.8877727999999997E-2</v>
      </c>
      <c r="P738"/>
      <c r="V738">
        <v>0.96725230086224201</v>
      </c>
      <c r="W738">
        <v>3</v>
      </c>
      <c r="X738">
        <v>660.92941587200005</v>
      </c>
      <c r="Y738">
        <v>13975</v>
      </c>
      <c r="Z738">
        <v>7.2117426543199404E-3</v>
      </c>
      <c r="AA738">
        <v>2</v>
      </c>
    </row>
    <row r="739" spans="1:27" x14ac:dyDescent="0.2">
      <c r="A739">
        <v>10</v>
      </c>
      <c r="B739">
        <v>3</v>
      </c>
      <c r="C739">
        <v>0.1</v>
      </c>
      <c r="D739">
        <v>20</v>
      </c>
      <c r="E739">
        <v>0.95340555133856297</v>
      </c>
      <c r="F739">
        <v>3</v>
      </c>
      <c r="G739">
        <v>34.655136597999999</v>
      </c>
      <c r="H739">
        <v>0.95340555134345095</v>
      </c>
      <c r="I739">
        <v>3</v>
      </c>
      <c r="J739">
        <v>5.7020510000000003E-2</v>
      </c>
      <c r="P739"/>
      <c r="V739">
        <v>0.96606826735534002</v>
      </c>
      <c r="W739">
        <v>3</v>
      </c>
      <c r="X739">
        <v>661.82961676100001</v>
      </c>
      <c r="Y739">
        <v>10888</v>
      </c>
      <c r="Z739">
        <v>3.42485658065798E-3</v>
      </c>
      <c r="AA739">
        <v>2</v>
      </c>
    </row>
    <row r="740" spans="1:27" x14ac:dyDescent="0.2">
      <c r="A740">
        <v>10</v>
      </c>
      <c r="B740">
        <v>3</v>
      </c>
      <c r="C740">
        <v>0.1</v>
      </c>
      <c r="D740">
        <v>20</v>
      </c>
      <c r="E740">
        <v>0.97938830933713095</v>
      </c>
      <c r="F740">
        <v>3</v>
      </c>
      <c r="G740">
        <v>33.984963297999997</v>
      </c>
      <c r="H740">
        <v>1.0237805759731999</v>
      </c>
      <c r="I740">
        <v>3</v>
      </c>
      <c r="J740">
        <v>0.14923448</v>
      </c>
      <c r="P740"/>
      <c r="V740">
        <v>0.97269957191828404</v>
      </c>
      <c r="W740">
        <v>3</v>
      </c>
      <c r="X740">
        <v>1563.9647544320001</v>
      </c>
      <c r="Y740">
        <v>18080</v>
      </c>
      <c r="Z740">
        <v>6.8107410925987502E-3</v>
      </c>
      <c r="AA740">
        <v>3</v>
      </c>
    </row>
    <row r="741" spans="1:27" x14ac:dyDescent="0.2">
      <c r="A741">
        <v>10</v>
      </c>
      <c r="B741">
        <v>3</v>
      </c>
      <c r="C741">
        <v>0.1</v>
      </c>
      <c r="D741">
        <v>20</v>
      </c>
      <c r="E741">
        <v>0.94882912250934004</v>
      </c>
      <c r="F741">
        <v>3</v>
      </c>
      <c r="G741">
        <v>31.645710543</v>
      </c>
      <c r="H741">
        <v>0.94616128341443595</v>
      </c>
      <c r="I741">
        <v>3</v>
      </c>
      <c r="J741">
        <v>0.108041491</v>
      </c>
      <c r="P741"/>
      <c r="V741">
        <v>0.974244830292463</v>
      </c>
      <c r="W741">
        <v>3</v>
      </c>
      <c r="X741">
        <v>2764.9193682569999</v>
      </c>
      <c r="Y741">
        <v>21314</v>
      </c>
      <c r="Z741">
        <v>4.2080980755075797E-3</v>
      </c>
      <c r="AA741">
        <v>4</v>
      </c>
    </row>
    <row r="742" spans="1:27" x14ac:dyDescent="0.2">
      <c r="A742">
        <v>10</v>
      </c>
      <c r="B742">
        <v>3</v>
      </c>
      <c r="C742">
        <v>0.1</v>
      </c>
      <c r="D742">
        <v>20</v>
      </c>
      <c r="E742">
        <v>0.94068047515476505</v>
      </c>
      <c r="F742">
        <v>3</v>
      </c>
      <c r="G742">
        <v>33.953713923000002</v>
      </c>
      <c r="H742">
        <v>0.94614581306520895</v>
      </c>
      <c r="I742">
        <v>3</v>
      </c>
      <c r="J742">
        <v>9.4976415999999994E-2</v>
      </c>
      <c r="P742"/>
      <c r="V742">
        <v>0.95327171196121396</v>
      </c>
      <c r="W742">
        <v>3</v>
      </c>
      <c r="X742">
        <v>2763.6605757719999</v>
      </c>
      <c r="Y742">
        <v>34283</v>
      </c>
      <c r="Z742">
        <v>5.1853839238660401E-3</v>
      </c>
      <c r="AA742">
        <v>4</v>
      </c>
    </row>
    <row r="743" spans="1:27" x14ac:dyDescent="0.2">
      <c r="A743">
        <v>10</v>
      </c>
      <c r="B743">
        <v>3</v>
      </c>
      <c r="C743">
        <v>0.1</v>
      </c>
      <c r="D743">
        <v>20</v>
      </c>
      <c r="E743">
        <v>0.936568075616944</v>
      </c>
      <c r="F743">
        <v>3</v>
      </c>
      <c r="G743">
        <v>33.898156124000003</v>
      </c>
      <c r="H743">
        <v>0.93872422929772903</v>
      </c>
      <c r="I743">
        <v>3</v>
      </c>
      <c r="J743">
        <v>6.7420416999999996E-2</v>
      </c>
      <c r="P743"/>
      <c r="V743">
        <v>0.94883890123540904</v>
      </c>
      <c r="W743">
        <v>3</v>
      </c>
      <c r="X743">
        <v>2758.2131801340001</v>
      </c>
      <c r="Y743">
        <v>16814</v>
      </c>
      <c r="Z743">
        <v>5.5620038868912898E-3</v>
      </c>
      <c r="AA743">
        <v>4</v>
      </c>
    </row>
    <row r="744" spans="1:27" x14ac:dyDescent="0.2">
      <c r="A744">
        <v>10</v>
      </c>
      <c r="B744">
        <v>3</v>
      </c>
      <c r="C744">
        <v>0.1</v>
      </c>
      <c r="D744">
        <v>20</v>
      </c>
      <c r="E744">
        <v>0.94809371158343203</v>
      </c>
      <c r="F744">
        <v>3</v>
      </c>
      <c r="G744">
        <v>35.860477434000003</v>
      </c>
      <c r="H744">
        <v>0.94812979444021594</v>
      </c>
      <c r="I744">
        <v>3</v>
      </c>
      <c r="J744">
        <v>5.9429744E-2</v>
      </c>
      <c r="P744"/>
      <c r="V744">
        <v>0.92683697014467603</v>
      </c>
      <c r="W744">
        <v>3</v>
      </c>
      <c r="X744">
        <v>4268.2370633729997</v>
      </c>
      <c r="Y744">
        <v>20578</v>
      </c>
      <c r="Z744">
        <v>3.4582227038612002E-3</v>
      </c>
      <c r="AA744">
        <v>5</v>
      </c>
    </row>
    <row r="745" spans="1:27" x14ac:dyDescent="0.2">
      <c r="A745">
        <v>10</v>
      </c>
      <c r="B745">
        <v>3</v>
      </c>
      <c r="C745">
        <v>0.2</v>
      </c>
      <c r="D745">
        <v>20</v>
      </c>
      <c r="E745">
        <v>0.91409400383307804</v>
      </c>
      <c r="F745">
        <v>3</v>
      </c>
      <c r="G745">
        <v>44.418622220000003</v>
      </c>
      <c r="H745">
        <v>0.90719198051301597</v>
      </c>
      <c r="I745">
        <v>3</v>
      </c>
      <c r="J745">
        <v>0.192185461</v>
      </c>
      <c r="P745"/>
      <c r="V745">
        <v>0.93315616084817399</v>
      </c>
      <c r="W745">
        <v>3</v>
      </c>
      <c r="X745">
        <v>3871.5157025779999</v>
      </c>
      <c r="Y745">
        <v>21187</v>
      </c>
      <c r="Z745">
        <v>9.0234749647999303E-4</v>
      </c>
      <c r="AA745">
        <v>6</v>
      </c>
    </row>
    <row r="746" spans="1:27" x14ac:dyDescent="0.2">
      <c r="A746">
        <v>10</v>
      </c>
      <c r="B746">
        <v>3</v>
      </c>
      <c r="C746">
        <v>0.1</v>
      </c>
      <c r="D746">
        <v>20</v>
      </c>
      <c r="E746">
        <v>0.99234061729892398</v>
      </c>
      <c r="F746">
        <v>3</v>
      </c>
      <c r="G746">
        <v>33.701824101</v>
      </c>
      <c r="H746">
        <v>0.99210230573509905</v>
      </c>
      <c r="I746">
        <v>3</v>
      </c>
      <c r="J746">
        <v>0.101586127</v>
      </c>
      <c r="P746"/>
      <c r="V746">
        <v>1.00773956381162</v>
      </c>
      <c r="W746">
        <v>3</v>
      </c>
      <c r="X746">
        <v>76.875291677000007</v>
      </c>
      <c r="Y746">
        <v>1</v>
      </c>
      <c r="Z746">
        <v>1.1046168656654201E-3</v>
      </c>
      <c r="AA746">
        <v>2</v>
      </c>
    </row>
    <row r="747" spans="1:27" x14ac:dyDescent="0.2">
      <c r="A747">
        <v>10</v>
      </c>
      <c r="B747">
        <v>3</v>
      </c>
      <c r="C747">
        <v>0.2</v>
      </c>
      <c r="D747">
        <v>20</v>
      </c>
      <c r="E747">
        <v>1.0019424152563901</v>
      </c>
      <c r="F747">
        <v>3</v>
      </c>
      <c r="G747">
        <v>33.964984501000004</v>
      </c>
      <c r="H747">
        <v>0.98824499141197197</v>
      </c>
      <c r="I747">
        <v>3</v>
      </c>
      <c r="J747">
        <v>0.49532362699999999</v>
      </c>
      <c r="P747"/>
      <c r="V747">
        <v>0.98984676987537201</v>
      </c>
      <c r="W747">
        <v>3</v>
      </c>
      <c r="X747">
        <v>218.12874855499999</v>
      </c>
      <c r="Y747">
        <v>1</v>
      </c>
      <c r="Z747">
        <v>8.6201036156125996E-3</v>
      </c>
      <c r="AA747">
        <v>4</v>
      </c>
    </row>
    <row r="748" spans="1:27" x14ac:dyDescent="0.2">
      <c r="A748">
        <v>10</v>
      </c>
      <c r="B748">
        <v>3</v>
      </c>
      <c r="C748">
        <v>0.1</v>
      </c>
      <c r="D748">
        <v>20</v>
      </c>
      <c r="E748">
        <v>0.97653991655681005</v>
      </c>
      <c r="F748">
        <v>3</v>
      </c>
      <c r="G748">
        <v>33.914565801999998</v>
      </c>
      <c r="H748">
        <v>0.97651741110927903</v>
      </c>
      <c r="I748">
        <v>3</v>
      </c>
      <c r="J748">
        <v>6.6419667000000002E-2</v>
      </c>
      <c r="P748"/>
      <c r="V748">
        <v>0.98480827641416502</v>
      </c>
      <c r="W748">
        <v>3</v>
      </c>
      <c r="X748">
        <v>659.85617574399998</v>
      </c>
      <c r="Y748">
        <v>11432</v>
      </c>
      <c r="Z748">
        <v>6.8049795532965302E-3</v>
      </c>
      <c r="AA748">
        <v>2</v>
      </c>
    </row>
    <row r="749" spans="1:27" x14ac:dyDescent="0.2">
      <c r="A749">
        <v>10</v>
      </c>
      <c r="B749">
        <v>3</v>
      </c>
      <c r="C749">
        <v>0.1</v>
      </c>
      <c r="D749">
        <v>20</v>
      </c>
      <c r="E749">
        <v>0.99028854367167995</v>
      </c>
      <c r="F749">
        <v>3</v>
      </c>
      <c r="G749">
        <v>35.270568879999999</v>
      </c>
      <c r="H749">
        <v>0.99427714460889904</v>
      </c>
      <c r="I749">
        <v>3</v>
      </c>
      <c r="J749">
        <v>0.11338807400000001</v>
      </c>
      <c r="P749"/>
      <c r="V749">
        <v>1.01462101077694</v>
      </c>
      <c r="W749">
        <v>3</v>
      </c>
      <c r="X749">
        <v>25864.485077025001</v>
      </c>
      <c r="Y749">
        <v>26346</v>
      </c>
      <c r="Z749">
        <v>9.0076930106960593E-3</v>
      </c>
      <c r="AA749">
        <v>10</v>
      </c>
    </row>
    <row r="750" spans="1:27" x14ac:dyDescent="0.2">
      <c r="A750">
        <v>10</v>
      </c>
      <c r="B750">
        <v>3</v>
      </c>
      <c r="C750">
        <v>0.1</v>
      </c>
      <c r="D750">
        <v>20</v>
      </c>
      <c r="E750">
        <v>0.98949991180982799</v>
      </c>
      <c r="F750">
        <v>3</v>
      </c>
      <c r="G750">
        <v>33.980710139999999</v>
      </c>
      <c r="H750">
        <v>0.97644370707284101</v>
      </c>
      <c r="I750">
        <v>3</v>
      </c>
      <c r="J750">
        <v>0.15754314899999999</v>
      </c>
      <c r="P750"/>
      <c r="V750">
        <v>1.03688536756836</v>
      </c>
      <c r="W750">
        <v>3</v>
      </c>
      <c r="X750">
        <v>86.915911789999996</v>
      </c>
      <c r="Y750">
        <v>0</v>
      </c>
      <c r="Z750">
        <v>6.2238575896415502E-3</v>
      </c>
      <c r="AA750">
        <v>3</v>
      </c>
    </row>
    <row r="751" spans="1:27" x14ac:dyDescent="0.2">
      <c r="A751">
        <v>20</v>
      </c>
      <c r="B751">
        <v>1</v>
      </c>
      <c r="C751">
        <v>0.1</v>
      </c>
      <c r="D751">
        <v>20</v>
      </c>
      <c r="E751">
        <v>0.74269200485618203</v>
      </c>
      <c r="F751">
        <v>1</v>
      </c>
      <c r="G751">
        <v>34.260368952</v>
      </c>
      <c r="H751">
        <v>0.68426733544194696</v>
      </c>
      <c r="I751">
        <v>1</v>
      </c>
      <c r="J751">
        <v>0.32239297900000002</v>
      </c>
      <c r="P751"/>
      <c r="V751">
        <v>0.67338144590192694</v>
      </c>
      <c r="W751">
        <v>1</v>
      </c>
      <c r="X751">
        <v>260.29651792599998</v>
      </c>
      <c r="Y751">
        <v>15</v>
      </c>
      <c r="Z751">
        <v>6.7285799367572396E-3</v>
      </c>
      <c r="AA751">
        <v>4</v>
      </c>
    </row>
    <row r="752" spans="1:27" x14ac:dyDescent="0.2">
      <c r="A752">
        <v>20</v>
      </c>
      <c r="B752">
        <v>1</v>
      </c>
      <c r="C752">
        <v>0.2</v>
      </c>
      <c r="D752">
        <v>20</v>
      </c>
      <c r="E752">
        <v>0.15193714913923001</v>
      </c>
      <c r="F752">
        <v>1</v>
      </c>
      <c r="G752">
        <v>34.735668175000001</v>
      </c>
      <c r="H752">
        <v>0.16165666143156099</v>
      </c>
      <c r="I752">
        <v>1</v>
      </c>
      <c r="J752">
        <v>0.14717418099999999</v>
      </c>
      <c r="P752"/>
      <c r="V752">
        <v>0.126077020944209</v>
      </c>
      <c r="W752">
        <v>1</v>
      </c>
      <c r="X752">
        <v>721.27637123500006</v>
      </c>
      <c r="Y752">
        <v>37</v>
      </c>
      <c r="Z752">
        <v>8.0498623179832106E-3</v>
      </c>
      <c r="AA752">
        <v>9</v>
      </c>
    </row>
    <row r="753" spans="1:27" x14ac:dyDescent="0.2">
      <c r="A753">
        <v>20</v>
      </c>
      <c r="B753">
        <v>1</v>
      </c>
      <c r="C753">
        <v>0.1</v>
      </c>
      <c r="D753">
        <v>20</v>
      </c>
      <c r="E753">
        <v>0.86080043730632205</v>
      </c>
      <c r="F753">
        <v>1</v>
      </c>
      <c r="G753">
        <v>34.924404119000002</v>
      </c>
      <c r="H753">
        <v>0.62419104410131898</v>
      </c>
      <c r="I753">
        <v>1</v>
      </c>
      <c r="J753">
        <v>0.52256944900000002</v>
      </c>
      <c r="P753"/>
      <c r="V753">
        <v>0.53793649757631301</v>
      </c>
      <c r="W753">
        <v>1</v>
      </c>
      <c r="X753">
        <v>6282.502326541</v>
      </c>
      <c r="Y753">
        <v>1467</v>
      </c>
      <c r="Z753">
        <v>1.00280787890905E-3</v>
      </c>
      <c r="AA753">
        <v>9</v>
      </c>
    </row>
    <row r="754" spans="1:27" x14ac:dyDescent="0.2">
      <c r="A754">
        <v>10</v>
      </c>
      <c r="B754">
        <v>3</v>
      </c>
      <c r="C754">
        <v>0.1</v>
      </c>
      <c r="D754">
        <v>20</v>
      </c>
      <c r="E754">
        <v>0.98157075488650902</v>
      </c>
      <c r="F754">
        <v>3</v>
      </c>
      <c r="G754">
        <v>30.189327493</v>
      </c>
      <c r="H754">
        <v>0.98170065015356101</v>
      </c>
      <c r="I754">
        <v>3</v>
      </c>
      <c r="J754">
        <v>6.0161973000000001E-2</v>
      </c>
      <c r="P754"/>
      <c r="V754">
        <v>0.99448292116319703</v>
      </c>
      <c r="W754">
        <v>3</v>
      </c>
      <c r="X754">
        <v>62.052526921999998</v>
      </c>
      <c r="Y754">
        <v>0</v>
      </c>
      <c r="Z754">
        <v>3.5645824832180798E-4</v>
      </c>
      <c r="AA754">
        <v>2</v>
      </c>
    </row>
    <row r="755" spans="1:27" x14ac:dyDescent="0.2">
      <c r="A755">
        <v>20</v>
      </c>
      <c r="B755">
        <v>1</v>
      </c>
      <c r="C755">
        <v>0.1</v>
      </c>
      <c r="D755">
        <v>20</v>
      </c>
      <c r="E755">
        <v>0.73302282315233103</v>
      </c>
      <c r="F755">
        <v>1</v>
      </c>
      <c r="G755">
        <v>44.381742604999999</v>
      </c>
      <c r="H755">
        <v>0.70577195552990002</v>
      </c>
      <c r="I755">
        <v>1</v>
      </c>
      <c r="J755">
        <v>0.180518241</v>
      </c>
      <c r="P755"/>
      <c r="V755">
        <v>0.701684819982343</v>
      </c>
      <c r="W755">
        <v>1</v>
      </c>
      <c r="X755">
        <v>159.68786706200001</v>
      </c>
      <c r="Y755">
        <v>1</v>
      </c>
      <c r="Z755">
        <v>4.7348713971213903E-3</v>
      </c>
      <c r="AA755">
        <v>2</v>
      </c>
    </row>
    <row r="756" spans="1:27" x14ac:dyDescent="0.2">
      <c r="A756">
        <v>20</v>
      </c>
      <c r="B756">
        <v>1</v>
      </c>
      <c r="C756">
        <v>0.1</v>
      </c>
      <c r="D756">
        <v>20</v>
      </c>
      <c r="E756">
        <v>0.478562807852487</v>
      </c>
      <c r="F756">
        <v>1</v>
      </c>
      <c r="G756">
        <v>57.807305874000001</v>
      </c>
      <c r="H756">
        <v>0.49962140937622601</v>
      </c>
      <c r="I756">
        <v>1</v>
      </c>
      <c r="J756">
        <v>0.35194900200000001</v>
      </c>
      <c r="P756"/>
      <c r="V756">
        <v>0.49772824023322498</v>
      </c>
      <c r="W756">
        <v>1</v>
      </c>
      <c r="X756">
        <v>225.59185611500001</v>
      </c>
      <c r="Y756">
        <v>1</v>
      </c>
      <c r="Z756">
        <v>2.9320717142948499E-3</v>
      </c>
      <c r="AA756">
        <v>3</v>
      </c>
    </row>
    <row r="757" spans="1:27" x14ac:dyDescent="0.2">
      <c r="A757">
        <v>20</v>
      </c>
      <c r="B757">
        <v>1</v>
      </c>
      <c r="C757">
        <v>0.1</v>
      </c>
      <c r="D757">
        <v>20</v>
      </c>
      <c r="E757">
        <v>0.86445148154604101</v>
      </c>
      <c r="F757">
        <v>1</v>
      </c>
      <c r="G757">
        <v>36.926918346999997</v>
      </c>
      <c r="H757">
        <v>0.86417503190835498</v>
      </c>
      <c r="I757">
        <v>1</v>
      </c>
      <c r="J757">
        <v>0.20142933900000001</v>
      </c>
      <c r="P757"/>
      <c r="V757">
        <v>0.98619651372411099</v>
      </c>
      <c r="W757">
        <v>1</v>
      </c>
      <c r="X757">
        <v>178.06714474099999</v>
      </c>
      <c r="Y757">
        <v>1</v>
      </c>
      <c r="Z757">
        <v>3.6569420488690701E-3</v>
      </c>
      <c r="AA757">
        <v>3</v>
      </c>
    </row>
    <row r="758" spans="1:27" x14ac:dyDescent="0.2">
      <c r="A758">
        <v>20</v>
      </c>
      <c r="B758">
        <v>1</v>
      </c>
      <c r="C758">
        <v>0.1</v>
      </c>
      <c r="D758">
        <v>20</v>
      </c>
      <c r="E758">
        <v>0.801386094882372</v>
      </c>
      <c r="F758">
        <v>1</v>
      </c>
      <c r="G758">
        <v>34.633336137000001</v>
      </c>
      <c r="H758">
        <v>0.80692913239172104</v>
      </c>
      <c r="I758">
        <v>1</v>
      </c>
      <c r="J758">
        <v>0.292196966</v>
      </c>
      <c r="P758"/>
      <c r="V758">
        <v>1.28213559172078</v>
      </c>
      <c r="W758">
        <v>1</v>
      </c>
      <c r="X758">
        <v>1377.9006315730001</v>
      </c>
      <c r="Y758">
        <v>1</v>
      </c>
      <c r="Z758">
        <v>3.1982501260874301E-3</v>
      </c>
      <c r="AA758">
        <v>13</v>
      </c>
    </row>
    <row r="759" spans="1:27" x14ac:dyDescent="0.2">
      <c r="A759">
        <v>20</v>
      </c>
      <c r="B759">
        <v>1</v>
      </c>
      <c r="C759">
        <v>0.1</v>
      </c>
      <c r="D759">
        <v>20</v>
      </c>
      <c r="E759">
        <v>0.64068848584533999</v>
      </c>
      <c r="F759">
        <v>1</v>
      </c>
      <c r="G759">
        <v>32.447913856</v>
      </c>
      <c r="H759">
        <v>0.59314788616168701</v>
      </c>
      <c r="I759">
        <v>1</v>
      </c>
      <c r="J759">
        <v>0.36470585700000002</v>
      </c>
      <c r="P759"/>
      <c r="V759">
        <v>0.68678102076545</v>
      </c>
      <c r="W759">
        <v>1</v>
      </c>
      <c r="X759">
        <v>1906.6505643949999</v>
      </c>
      <c r="Y759">
        <v>2254</v>
      </c>
      <c r="Z759">
        <v>1.1173696708833801E-3</v>
      </c>
      <c r="AA759">
        <v>8</v>
      </c>
    </row>
    <row r="760" spans="1:27" x14ac:dyDescent="0.2">
      <c r="A760">
        <v>20</v>
      </c>
      <c r="B760">
        <v>1</v>
      </c>
      <c r="C760">
        <v>0.1</v>
      </c>
      <c r="D760">
        <v>20</v>
      </c>
      <c r="E760">
        <v>0.59589223478178299</v>
      </c>
      <c r="F760">
        <v>1</v>
      </c>
      <c r="G760">
        <v>35.224989399999998</v>
      </c>
      <c r="H760">
        <v>0.57761579263280804</v>
      </c>
      <c r="I760">
        <v>1</v>
      </c>
      <c r="J760">
        <v>0.33376491000000003</v>
      </c>
      <c r="P760"/>
      <c r="V760">
        <v>0.572382419056778</v>
      </c>
      <c r="W760">
        <v>1</v>
      </c>
      <c r="X760">
        <v>2026.116962112</v>
      </c>
      <c r="Y760">
        <v>7520</v>
      </c>
      <c r="Z760">
        <v>6.5474266827190101E-3</v>
      </c>
      <c r="AA760">
        <v>9</v>
      </c>
    </row>
    <row r="761" spans="1:27" x14ac:dyDescent="0.2">
      <c r="A761">
        <v>20</v>
      </c>
      <c r="B761">
        <v>1</v>
      </c>
      <c r="C761">
        <v>0.2</v>
      </c>
      <c r="D761">
        <v>20</v>
      </c>
      <c r="E761">
        <v>8.3619830074868395E-2</v>
      </c>
      <c r="F761">
        <v>1</v>
      </c>
      <c r="G761">
        <v>34.870066053999999</v>
      </c>
      <c r="H761">
        <v>0.103863065476291</v>
      </c>
      <c r="I761">
        <v>1</v>
      </c>
      <c r="J761">
        <v>0.144597219</v>
      </c>
      <c r="P761"/>
      <c r="V761">
        <v>7.6516847519789599E-2</v>
      </c>
      <c r="W761">
        <v>1</v>
      </c>
      <c r="X761">
        <v>2139.8702840269998</v>
      </c>
      <c r="Y761">
        <v>428</v>
      </c>
      <c r="Z761">
        <v>9.60360425291195E-3</v>
      </c>
      <c r="AA761">
        <v>16</v>
      </c>
    </row>
    <row r="762" spans="1:27" x14ac:dyDescent="0.2">
      <c r="A762">
        <v>20</v>
      </c>
      <c r="B762">
        <v>1</v>
      </c>
      <c r="C762">
        <v>0.1</v>
      </c>
      <c r="D762">
        <v>20</v>
      </c>
      <c r="E762">
        <v>0.90754554558054001</v>
      </c>
      <c r="F762">
        <v>1</v>
      </c>
      <c r="G762">
        <v>38.282611819000003</v>
      </c>
      <c r="H762">
        <v>0.87797643723764995</v>
      </c>
      <c r="I762">
        <v>1</v>
      </c>
      <c r="J762">
        <v>0.33538481199999998</v>
      </c>
      <c r="P762"/>
      <c r="V762">
        <v>0.79287370190586004</v>
      </c>
      <c r="W762">
        <v>1</v>
      </c>
      <c r="X762">
        <v>15868.799085266999</v>
      </c>
      <c r="Y762">
        <v>984</v>
      </c>
      <c r="Z762">
        <v>1.22699914986879E-3</v>
      </c>
      <c r="AA762">
        <v>19</v>
      </c>
    </row>
    <row r="763" spans="1:27" x14ac:dyDescent="0.2">
      <c r="A763" s="4">
        <v>30</v>
      </c>
      <c r="B763" s="4">
        <v>1</v>
      </c>
      <c r="C763" s="4">
        <v>0.2</v>
      </c>
      <c r="D763" s="4">
        <v>100</v>
      </c>
      <c r="E763" s="4">
        <v>1.122481E-2</v>
      </c>
      <c r="F763" s="4">
        <v>1</v>
      </c>
      <c r="G763" s="4">
        <v>31.0345011</v>
      </c>
      <c r="H763" s="4">
        <v>1.2593699999999999E-2</v>
      </c>
      <c r="I763" s="4">
        <v>1</v>
      </c>
      <c r="J763" s="4">
        <v>0.13674047</v>
      </c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>
        <v>7.88378E-3</v>
      </c>
      <c r="W763" s="4">
        <v>1</v>
      </c>
      <c r="X763" s="4">
        <v>1156.4807800000001</v>
      </c>
      <c r="Y763" s="4">
        <v>1</v>
      </c>
      <c r="Z763" s="4">
        <v>7.16331E-3</v>
      </c>
      <c r="AA763" s="4">
        <v>8</v>
      </c>
    </row>
    <row r="764" spans="1:27" x14ac:dyDescent="0.2">
      <c r="A764">
        <v>20</v>
      </c>
      <c r="B764">
        <v>1</v>
      </c>
      <c r="C764">
        <v>0.2</v>
      </c>
      <c r="D764">
        <v>20</v>
      </c>
      <c r="E764">
        <v>6.9321456133692796E-2</v>
      </c>
      <c r="F764">
        <v>1</v>
      </c>
      <c r="G764">
        <v>31.009540516000001</v>
      </c>
      <c r="H764">
        <v>9.67333380974566E-2</v>
      </c>
      <c r="I764">
        <v>1</v>
      </c>
      <c r="J764">
        <v>8.6098951000000007E-2</v>
      </c>
      <c r="P764"/>
      <c r="V764">
        <v>7.8179285308170393E-2</v>
      </c>
      <c r="W764">
        <v>1</v>
      </c>
      <c r="X764">
        <v>650.32379377799998</v>
      </c>
      <c r="Y764">
        <v>524</v>
      </c>
      <c r="Z764">
        <v>5.3136941548781404E-4</v>
      </c>
      <c r="AA764">
        <v>9</v>
      </c>
    </row>
    <row r="765" spans="1:27" x14ac:dyDescent="0.2">
      <c r="A765">
        <v>20</v>
      </c>
      <c r="B765">
        <v>1</v>
      </c>
      <c r="C765">
        <v>0.2</v>
      </c>
      <c r="D765">
        <v>20</v>
      </c>
      <c r="E765">
        <v>0.12304554827056099</v>
      </c>
      <c r="F765">
        <v>1</v>
      </c>
      <c r="G765">
        <v>32.136506073</v>
      </c>
      <c r="H765">
        <v>0.12874016331598701</v>
      </c>
      <c r="I765">
        <v>1</v>
      </c>
      <c r="J765">
        <v>0.21327992600000001</v>
      </c>
      <c r="P765"/>
      <c r="V765">
        <v>0.107977058280883</v>
      </c>
      <c r="W765">
        <v>1</v>
      </c>
      <c r="X765">
        <v>5212.9296586840001</v>
      </c>
      <c r="Y765">
        <v>3978</v>
      </c>
      <c r="Z765">
        <v>9.76900786652035E-3</v>
      </c>
      <c r="AA765">
        <v>9</v>
      </c>
    </row>
    <row r="766" spans="1:27" x14ac:dyDescent="0.2">
      <c r="A766">
        <v>30</v>
      </c>
      <c r="B766">
        <v>1</v>
      </c>
      <c r="C766">
        <v>0.2</v>
      </c>
      <c r="D766">
        <v>100</v>
      </c>
      <c r="E766">
        <v>1.3252004869796099E-2</v>
      </c>
      <c r="F766">
        <v>1</v>
      </c>
      <c r="G766">
        <v>31.765830814000001</v>
      </c>
      <c r="H766">
        <v>1.9665885631900099E-2</v>
      </c>
      <c r="I766">
        <v>1</v>
      </c>
      <c r="J766">
        <v>8.1147623000000002E-2</v>
      </c>
      <c r="P766"/>
      <c r="V766">
        <v>1.5271228459351201E-2</v>
      </c>
      <c r="W766">
        <v>1</v>
      </c>
      <c r="X766">
        <v>6473.0174239190001</v>
      </c>
      <c r="Y766">
        <v>721</v>
      </c>
      <c r="Z766">
        <v>7.2505504842698097E-3</v>
      </c>
      <c r="AA766">
        <v>6</v>
      </c>
    </row>
    <row r="767" spans="1:27" x14ac:dyDescent="0.2">
      <c r="A767">
        <v>10</v>
      </c>
      <c r="B767">
        <v>3</v>
      </c>
      <c r="C767">
        <v>0.1</v>
      </c>
      <c r="D767">
        <v>20</v>
      </c>
      <c r="E767">
        <v>1.00647567985119</v>
      </c>
      <c r="F767">
        <v>3</v>
      </c>
      <c r="G767">
        <v>32.299069193999998</v>
      </c>
      <c r="H767">
        <v>0.96383017612655797</v>
      </c>
      <c r="I767">
        <v>3</v>
      </c>
      <c r="J767">
        <v>0.34273295399999998</v>
      </c>
      <c r="P767"/>
      <c r="V767">
        <v>0.96399896258498097</v>
      </c>
      <c r="W767">
        <v>3</v>
      </c>
      <c r="X767">
        <v>59.001085846000002</v>
      </c>
      <c r="Y767">
        <v>1</v>
      </c>
      <c r="Z767">
        <v>3.6157775264954702E-3</v>
      </c>
      <c r="AA767">
        <v>1</v>
      </c>
    </row>
    <row r="768" spans="1:27" x14ac:dyDescent="0.2">
      <c r="A768">
        <v>10</v>
      </c>
      <c r="B768">
        <v>3</v>
      </c>
      <c r="C768">
        <v>0.1</v>
      </c>
      <c r="D768">
        <v>20</v>
      </c>
      <c r="E768">
        <v>0.97181694397764395</v>
      </c>
      <c r="F768">
        <v>3</v>
      </c>
      <c r="G768">
        <v>30.904807308999999</v>
      </c>
      <c r="H768">
        <v>0.97001220790079501</v>
      </c>
      <c r="I768">
        <v>3</v>
      </c>
      <c r="J768">
        <v>0.23575900499999999</v>
      </c>
      <c r="P768"/>
      <c r="V768">
        <v>0.93958338178484202</v>
      </c>
      <c r="W768">
        <v>3</v>
      </c>
      <c r="X768">
        <v>82.990173959000003</v>
      </c>
      <c r="Y768">
        <v>1</v>
      </c>
      <c r="Z768">
        <v>2.8805179674770199E-3</v>
      </c>
      <c r="AA768">
        <v>2</v>
      </c>
    </row>
    <row r="769" spans="1:27" x14ac:dyDescent="0.2">
      <c r="A769">
        <v>10</v>
      </c>
      <c r="B769">
        <v>3</v>
      </c>
      <c r="C769">
        <v>0.2</v>
      </c>
      <c r="D769">
        <v>20</v>
      </c>
      <c r="E769">
        <v>0.983471002081305</v>
      </c>
      <c r="F769">
        <v>3</v>
      </c>
      <c r="G769">
        <v>32.253656700999997</v>
      </c>
      <c r="H769">
        <v>0.92929783983941305</v>
      </c>
      <c r="I769">
        <v>3</v>
      </c>
      <c r="J769">
        <v>0.31162376200000003</v>
      </c>
      <c r="P769"/>
      <c r="V769">
        <v>0.92984895477215002</v>
      </c>
      <c r="W769">
        <v>3</v>
      </c>
      <c r="X769">
        <v>101.660389834</v>
      </c>
      <c r="Y769">
        <v>1</v>
      </c>
      <c r="Z769">
        <v>6.2726991272938903E-3</v>
      </c>
      <c r="AA769">
        <v>2</v>
      </c>
    </row>
    <row r="770" spans="1:27" x14ac:dyDescent="0.2">
      <c r="A770">
        <v>10</v>
      </c>
      <c r="B770">
        <v>3</v>
      </c>
      <c r="C770">
        <v>0.1</v>
      </c>
      <c r="D770">
        <v>20</v>
      </c>
      <c r="E770">
        <v>0.97217166547038802</v>
      </c>
      <c r="F770">
        <v>3</v>
      </c>
      <c r="G770">
        <v>27.293194902</v>
      </c>
      <c r="H770">
        <v>0.97156208504175801</v>
      </c>
      <c r="I770">
        <v>3</v>
      </c>
      <c r="J770">
        <v>5.4318247E-2</v>
      </c>
      <c r="P770"/>
      <c r="V770">
        <v>0.97154829065321802</v>
      </c>
      <c r="W770">
        <v>3</v>
      </c>
      <c r="X770">
        <v>651.42060289599999</v>
      </c>
      <c r="Y770">
        <v>5151</v>
      </c>
      <c r="Z770">
        <v>7.2041724023121203E-3</v>
      </c>
      <c r="AA770">
        <v>2</v>
      </c>
    </row>
    <row r="771" spans="1:27" x14ac:dyDescent="0.2">
      <c r="A771">
        <v>10</v>
      </c>
      <c r="B771">
        <v>3</v>
      </c>
      <c r="C771">
        <v>0.1</v>
      </c>
      <c r="D771">
        <v>20</v>
      </c>
      <c r="E771">
        <v>0.97129113604428297</v>
      </c>
      <c r="F771">
        <v>3</v>
      </c>
      <c r="G771">
        <v>31.340525747000001</v>
      </c>
      <c r="H771">
        <v>0.97085630088908104</v>
      </c>
      <c r="I771">
        <v>3</v>
      </c>
      <c r="J771">
        <v>5.3725402999999998E-2</v>
      </c>
      <c r="P771"/>
      <c r="V771">
        <v>0.96471310946863797</v>
      </c>
      <c r="W771">
        <v>3</v>
      </c>
      <c r="X771">
        <v>650.05236304599998</v>
      </c>
      <c r="Y771">
        <v>14186</v>
      </c>
      <c r="Z771">
        <v>6.1151845197943101E-4</v>
      </c>
      <c r="AA771">
        <v>2</v>
      </c>
    </row>
    <row r="772" spans="1:27" x14ac:dyDescent="0.2">
      <c r="A772">
        <v>10</v>
      </c>
      <c r="B772">
        <v>3</v>
      </c>
      <c r="C772">
        <v>0.1</v>
      </c>
      <c r="D772">
        <v>20</v>
      </c>
      <c r="E772">
        <v>0.97520184454441206</v>
      </c>
      <c r="F772">
        <v>3</v>
      </c>
      <c r="G772">
        <v>31.703879251</v>
      </c>
      <c r="H772">
        <v>0.97530672558572495</v>
      </c>
      <c r="I772">
        <v>3</v>
      </c>
      <c r="J772">
        <v>5.8233248000000001E-2</v>
      </c>
      <c r="P772"/>
      <c r="V772">
        <v>0.97227793474565205</v>
      </c>
      <c r="W772">
        <v>3</v>
      </c>
      <c r="X772">
        <v>660.22169940900005</v>
      </c>
      <c r="Y772">
        <v>9430</v>
      </c>
      <c r="Z772">
        <v>1.98721637248888E-3</v>
      </c>
      <c r="AA772">
        <v>2</v>
      </c>
    </row>
    <row r="773" spans="1:27" x14ac:dyDescent="0.2">
      <c r="A773">
        <v>20</v>
      </c>
      <c r="B773">
        <v>1</v>
      </c>
      <c r="C773">
        <v>0.1</v>
      </c>
      <c r="D773">
        <v>20</v>
      </c>
      <c r="E773">
        <v>0.474677319059916</v>
      </c>
      <c r="F773">
        <v>1</v>
      </c>
      <c r="G773">
        <v>30.680406479999998</v>
      </c>
      <c r="H773">
        <v>0.44586204572161803</v>
      </c>
      <c r="I773">
        <v>1</v>
      </c>
      <c r="J773">
        <v>0.32182960500000002</v>
      </c>
      <c r="P773"/>
      <c r="V773">
        <v>0.44443505652854498</v>
      </c>
      <c r="W773">
        <v>1</v>
      </c>
      <c r="X773">
        <v>465.35454861900001</v>
      </c>
      <c r="Y773">
        <v>1</v>
      </c>
      <c r="Z773">
        <v>5.0977118470692997E-3</v>
      </c>
      <c r="AA773">
        <v>10</v>
      </c>
    </row>
    <row r="774" spans="1:27" x14ac:dyDescent="0.2">
      <c r="A774">
        <v>20</v>
      </c>
      <c r="B774">
        <v>1</v>
      </c>
      <c r="C774">
        <v>0.1</v>
      </c>
      <c r="D774">
        <v>20</v>
      </c>
      <c r="E774">
        <v>0.64331255284374</v>
      </c>
      <c r="F774">
        <v>1</v>
      </c>
      <c r="G774">
        <v>29.45060908</v>
      </c>
      <c r="H774">
        <v>0.66015487296546804</v>
      </c>
      <c r="I774">
        <v>1</v>
      </c>
      <c r="J774">
        <v>0.13752387899999999</v>
      </c>
      <c r="P774"/>
      <c r="V774">
        <v>0.76691572855255796</v>
      </c>
      <c r="W774">
        <v>1</v>
      </c>
      <c r="X774">
        <v>1058.8802984619999</v>
      </c>
      <c r="Y774">
        <v>2477</v>
      </c>
      <c r="Z774">
        <v>6.3939347292124495E-4</v>
      </c>
      <c r="AA774">
        <v>9</v>
      </c>
    </row>
    <row r="775" spans="1:27" x14ac:dyDescent="0.2">
      <c r="A775">
        <v>20</v>
      </c>
      <c r="B775">
        <v>1</v>
      </c>
      <c r="C775">
        <v>0.2</v>
      </c>
      <c r="D775">
        <v>20</v>
      </c>
      <c r="E775">
        <v>9.0171169061087603E-2</v>
      </c>
      <c r="F775">
        <v>1</v>
      </c>
      <c r="G775">
        <v>29.450607291000001</v>
      </c>
      <c r="H775">
        <v>9.5491363977418295E-2</v>
      </c>
      <c r="I775">
        <v>1</v>
      </c>
      <c r="J775">
        <v>9.6797778000000001E-2</v>
      </c>
      <c r="P775"/>
      <c r="V775">
        <v>6.8488747032340105E-2</v>
      </c>
      <c r="W775">
        <v>1</v>
      </c>
      <c r="X775">
        <v>1147.1202705749999</v>
      </c>
      <c r="Y775">
        <v>23</v>
      </c>
      <c r="Z775">
        <v>8.9191750664099293E-3</v>
      </c>
      <c r="AA775">
        <v>23</v>
      </c>
    </row>
    <row r="776" spans="1:27" x14ac:dyDescent="0.2">
      <c r="A776">
        <v>50</v>
      </c>
      <c r="B776">
        <v>1</v>
      </c>
      <c r="C776">
        <v>0.1</v>
      </c>
      <c r="D776">
        <v>100</v>
      </c>
      <c r="E776">
        <v>0.35015594623381302</v>
      </c>
      <c r="F776">
        <v>1</v>
      </c>
      <c r="G776">
        <v>24.815505427000002</v>
      </c>
      <c r="H776">
        <v>0.195467899931793</v>
      </c>
      <c r="I776">
        <v>1</v>
      </c>
      <c r="J776">
        <v>1.1756136370000001</v>
      </c>
      <c r="P776"/>
      <c r="V776">
        <v>0.191003887666992</v>
      </c>
      <c r="W776">
        <v>1</v>
      </c>
      <c r="X776">
        <v>308631.23101814301</v>
      </c>
      <c r="Y776">
        <v>113</v>
      </c>
      <c r="Z776">
        <v>4.6723411363328103E-2</v>
      </c>
      <c r="AA776">
        <v>50</v>
      </c>
    </row>
    <row r="777" spans="1:27" x14ac:dyDescent="0.2">
      <c r="A777">
        <v>50</v>
      </c>
      <c r="B777">
        <v>1</v>
      </c>
      <c r="C777">
        <v>0.1</v>
      </c>
      <c r="D777">
        <v>100</v>
      </c>
      <c r="E777">
        <v>0.35348954624191797</v>
      </c>
      <c r="F777">
        <v>1</v>
      </c>
      <c r="G777">
        <v>24.348380458000001</v>
      </c>
      <c r="H777">
        <v>0.180758480650824</v>
      </c>
      <c r="I777">
        <v>1</v>
      </c>
      <c r="J777">
        <v>1.702303401</v>
      </c>
      <c r="P777"/>
      <c r="V777">
        <v>0.177522769625958</v>
      </c>
      <c r="W777">
        <v>1</v>
      </c>
      <c r="X777">
        <v>308550.15665001702</v>
      </c>
      <c r="Y777">
        <v>91</v>
      </c>
      <c r="Z777">
        <v>0.18489498917640801</v>
      </c>
      <c r="AA777">
        <v>50</v>
      </c>
    </row>
    <row r="778" spans="1:27" x14ac:dyDescent="0.2">
      <c r="A778">
        <v>10</v>
      </c>
      <c r="B778">
        <v>3</v>
      </c>
      <c r="C778">
        <v>0.1</v>
      </c>
      <c r="D778">
        <v>20</v>
      </c>
      <c r="E778">
        <v>0.92941186186681402</v>
      </c>
      <c r="F778">
        <v>3</v>
      </c>
      <c r="G778">
        <v>27.458742746999999</v>
      </c>
      <c r="H778">
        <v>0.92941081962426797</v>
      </c>
      <c r="I778">
        <v>3</v>
      </c>
      <c r="J778">
        <v>4.9524659999999998E-2</v>
      </c>
      <c r="P778"/>
      <c r="V778">
        <v>0.93148149803587699</v>
      </c>
      <c r="W778">
        <v>3</v>
      </c>
      <c r="X778">
        <v>295872.76393676602</v>
      </c>
      <c r="Y778">
        <v>235843</v>
      </c>
      <c r="Z778">
        <v>3.8677639093052003E-2</v>
      </c>
      <c r="AA778">
        <v>50</v>
      </c>
    </row>
    <row r="779" spans="1:27" x14ac:dyDescent="0.2">
      <c r="A779">
        <v>10</v>
      </c>
      <c r="B779">
        <v>3</v>
      </c>
      <c r="C779">
        <v>0.2</v>
      </c>
      <c r="D779">
        <v>20</v>
      </c>
      <c r="E779">
        <v>0.94933668230828405</v>
      </c>
      <c r="F779">
        <v>3</v>
      </c>
      <c r="G779">
        <v>32.657983745999999</v>
      </c>
      <c r="H779">
        <v>0.93269052334551505</v>
      </c>
      <c r="I779">
        <v>3</v>
      </c>
      <c r="J779">
        <v>0.10019257600000001</v>
      </c>
      <c r="P779"/>
      <c r="V779">
        <v>0.92514700876356104</v>
      </c>
      <c r="W779">
        <v>3</v>
      </c>
      <c r="X779">
        <v>51667.565816217</v>
      </c>
      <c r="Y779">
        <v>29829</v>
      </c>
      <c r="Z779">
        <v>3.7970364415568698E-3</v>
      </c>
      <c r="AA779">
        <v>15</v>
      </c>
    </row>
    <row r="780" spans="1:27" x14ac:dyDescent="0.2">
      <c r="A780">
        <v>10</v>
      </c>
      <c r="B780">
        <v>3</v>
      </c>
      <c r="C780">
        <v>0.1</v>
      </c>
      <c r="D780">
        <v>20</v>
      </c>
      <c r="E780">
        <v>0.98982191750411697</v>
      </c>
      <c r="F780">
        <v>3</v>
      </c>
      <c r="G780">
        <v>30.783590257</v>
      </c>
      <c r="H780">
        <v>0.99011124143873097</v>
      </c>
      <c r="I780">
        <v>3</v>
      </c>
      <c r="J780">
        <v>5.3494925999999998E-2</v>
      </c>
      <c r="P780"/>
      <c r="V780">
        <v>1.0034000641423899</v>
      </c>
      <c r="W780">
        <v>3</v>
      </c>
      <c r="X780">
        <v>658.42275172200004</v>
      </c>
      <c r="Y780">
        <v>11296</v>
      </c>
      <c r="Z780">
        <v>2.0189115759639601E-3</v>
      </c>
      <c r="AA780">
        <v>2</v>
      </c>
    </row>
    <row r="781" spans="1:27" x14ac:dyDescent="0.2">
      <c r="A781">
        <v>10</v>
      </c>
      <c r="B781">
        <v>3</v>
      </c>
      <c r="C781">
        <v>0.2</v>
      </c>
      <c r="D781">
        <v>20</v>
      </c>
      <c r="E781">
        <v>0.98471337732179598</v>
      </c>
      <c r="F781">
        <v>3</v>
      </c>
      <c r="G781">
        <v>30.502956736000002</v>
      </c>
      <c r="H781">
        <v>0.937738728730798</v>
      </c>
      <c r="I781">
        <v>3</v>
      </c>
      <c r="J781">
        <v>0.21194558599999999</v>
      </c>
      <c r="P781"/>
      <c r="V781">
        <v>0.93828275316602805</v>
      </c>
      <c r="W781">
        <v>3</v>
      </c>
      <c r="X781">
        <v>661.03644705700003</v>
      </c>
      <c r="Y781">
        <v>8552</v>
      </c>
      <c r="Z781">
        <v>7.0088081538415203E-3</v>
      </c>
      <c r="AA781">
        <v>2</v>
      </c>
    </row>
    <row r="782" spans="1:27" x14ac:dyDescent="0.2">
      <c r="A782">
        <v>10</v>
      </c>
      <c r="B782">
        <v>3</v>
      </c>
      <c r="C782">
        <v>0.1</v>
      </c>
      <c r="D782">
        <v>20</v>
      </c>
      <c r="E782">
        <v>0.94983593641208297</v>
      </c>
      <c r="F782">
        <v>3</v>
      </c>
      <c r="G782">
        <v>30.200004692</v>
      </c>
      <c r="H782">
        <v>0.95059140780292894</v>
      </c>
      <c r="I782">
        <v>3</v>
      </c>
      <c r="J782">
        <v>5.3774756E-2</v>
      </c>
      <c r="P782"/>
      <c r="V782">
        <v>0.96414815275194998</v>
      </c>
      <c r="W782">
        <v>3</v>
      </c>
      <c r="X782">
        <v>1556.278588035</v>
      </c>
      <c r="Y782">
        <v>13466</v>
      </c>
      <c r="Z782">
        <v>6.8502780563266096E-3</v>
      </c>
      <c r="AA782">
        <v>3</v>
      </c>
    </row>
    <row r="783" spans="1:27" x14ac:dyDescent="0.2">
      <c r="A783">
        <v>10</v>
      </c>
      <c r="B783">
        <v>3</v>
      </c>
      <c r="C783">
        <v>0.1</v>
      </c>
      <c r="D783">
        <v>20</v>
      </c>
      <c r="E783">
        <v>0.90734952445380102</v>
      </c>
      <c r="F783">
        <v>3</v>
      </c>
      <c r="G783">
        <v>30.669118743999999</v>
      </c>
      <c r="H783">
        <v>0.90539347312282603</v>
      </c>
      <c r="I783">
        <v>3</v>
      </c>
      <c r="J783">
        <v>0.30884397400000002</v>
      </c>
      <c r="P783"/>
      <c r="V783">
        <v>0.96690877753698001</v>
      </c>
      <c r="W783">
        <v>3</v>
      </c>
      <c r="X783">
        <v>2759.0370441549999</v>
      </c>
      <c r="Y783">
        <v>32975</v>
      </c>
      <c r="Z783">
        <v>3.41589489342561E-3</v>
      </c>
      <c r="AA783">
        <v>4</v>
      </c>
    </row>
    <row r="784" spans="1:27" x14ac:dyDescent="0.2">
      <c r="A784">
        <v>10</v>
      </c>
      <c r="B784">
        <v>3</v>
      </c>
      <c r="C784">
        <v>0.1</v>
      </c>
      <c r="D784">
        <v>20</v>
      </c>
      <c r="E784">
        <v>0.95345523838593405</v>
      </c>
      <c r="F784">
        <v>3</v>
      </c>
      <c r="G784">
        <v>30.550902375</v>
      </c>
      <c r="H784">
        <v>0.95430641396383997</v>
      </c>
      <c r="I784">
        <v>3</v>
      </c>
      <c r="J784">
        <v>5.7352504999999998E-2</v>
      </c>
      <c r="P784"/>
      <c r="V784">
        <v>0.974055704447925</v>
      </c>
      <c r="W784">
        <v>3</v>
      </c>
      <c r="X784">
        <v>296470.14780590503</v>
      </c>
      <c r="Y784">
        <v>206061</v>
      </c>
      <c r="Z784">
        <v>2.5834660552759101E-2</v>
      </c>
      <c r="AA784">
        <v>50</v>
      </c>
    </row>
    <row r="785" spans="1:27" x14ac:dyDescent="0.2">
      <c r="A785">
        <v>10</v>
      </c>
      <c r="B785">
        <v>3</v>
      </c>
      <c r="C785">
        <v>0.1</v>
      </c>
      <c r="D785">
        <v>20</v>
      </c>
      <c r="E785">
        <v>0.96092850313317202</v>
      </c>
      <c r="F785">
        <v>3</v>
      </c>
      <c r="G785">
        <v>29.385126416999999</v>
      </c>
      <c r="H785">
        <v>0.96097971412389005</v>
      </c>
      <c r="I785">
        <v>3</v>
      </c>
      <c r="J785">
        <v>5.3889905000000002E-2</v>
      </c>
      <c r="P785"/>
      <c r="V785">
        <v>0.99000617198719998</v>
      </c>
      <c r="W785">
        <v>2</v>
      </c>
      <c r="X785">
        <v>54.626569809999999</v>
      </c>
      <c r="Y785">
        <v>1</v>
      </c>
      <c r="Z785">
        <v>1.7072852110917699E-3</v>
      </c>
      <c r="AA785">
        <v>1</v>
      </c>
    </row>
    <row r="786" spans="1:27" x14ac:dyDescent="0.2">
      <c r="A786">
        <v>10</v>
      </c>
      <c r="B786">
        <v>3</v>
      </c>
      <c r="C786">
        <v>0.1</v>
      </c>
      <c r="D786">
        <v>20</v>
      </c>
      <c r="E786">
        <v>1.0048066896736201</v>
      </c>
      <c r="F786">
        <v>3</v>
      </c>
      <c r="G786">
        <v>29.811967649</v>
      </c>
      <c r="H786">
        <v>0.99205852822436602</v>
      </c>
      <c r="I786">
        <v>3</v>
      </c>
      <c r="J786">
        <v>9.4057763000000003E-2</v>
      </c>
      <c r="P786"/>
      <c r="V786">
        <v>0.96340140022745502</v>
      </c>
      <c r="W786">
        <v>3</v>
      </c>
      <c r="X786">
        <v>82.193295249000002</v>
      </c>
      <c r="Y786">
        <v>0</v>
      </c>
      <c r="Z786">
        <v>3.0968991721070501E-3</v>
      </c>
      <c r="AA786">
        <v>2</v>
      </c>
    </row>
    <row r="787" spans="1:27" x14ac:dyDescent="0.2">
      <c r="A787">
        <v>10</v>
      </c>
      <c r="B787">
        <v>3</v>
      </c>
      <c r="C787">
        <v>0.1</v>
      </c>
      <c r="D787">
        <v>20</v>
      </c>
      <c r="E787">
        <v>0.89527874433244004</v>
      </c>
      <c r="F787">
        <v>3</v>
      </c>
      <c r="G787">
        <v>29.928967796999999</v>
      </c>
      <c r="H787">
        <v>0.89533706567730997</v>
      </c>
      <c r="I787">
        <v>3</v>
      </c>
      <c r="J787">
        <v>7.6059363000000005E-2</v>
      </c>
      <c r="P787"/>
      <c r="V787">
        <v>0.89642951483692002</v>
      </c>
      <c r="W787">
        <v>3</v>
      </c>
      <c r="X787">
        <v>668.70736865499998</v>
      </c>
      <c r="Y787">
        <v>0</v>
      </c>
      <c r="Z787">
        <v>9.3902865689721095E-4</v>
      </c>
      <c r="AA787">
        <v>3</v>
      </c>
    </row>
    <row r="788" spans="1:27" x14ac:dyDescent="0.2">
      <c r="A788">
        <v>10</v>
      </c>
      <c r="B788">
        <v>3</v>
      </c>
      <c r="C788">
        <v>0.1</v>
      </c>
      <c r="D788">
        <v>20</v>
      </c>
      <c r="E788">
        <v>0.98234880443802997</v>
      </c>
      <c r="F788">
        <v>3</v>
      </c>
      <c r="G788">
        <v>30.527784319999999</v>
      </c>
      <c r="H788">
        <v>0.98245023278849897</v>
      </c>
      <c r="I788">
        <v>3</v>
      </c>
      <c r="J788">
        <v>6.4036913000000001E-2</v>
      </c>
      <c r="P788"/>
      <c r="V788">
        <v>0.976630311551554</v>
      </c>
      <c r="W788">
        <v>3</v>
      </c>
      <c r="X788">
        <v>79.149614729000007</v>
      </c>
      <c r="Y788">
        <v>1</v>
      </c>
      <c r="Z788">
        <v>8.5055364305353695E-4</v>
      </c>
      <c r="AA788">
        <v>2</v>
      </c>
    </row>
    <row r="789" spans="1:27" x14ac:dyDescent="0.2">
      <c r="A789">
        <v>10</v>
      </c>
      <c r="B789">
        <v>3</v>
      </c>
      <c r="C789">
        <v>0.2</v>
      </c>
      <c r="D789">
        <v>20</v>
      </c>
      <c r="E789">
        <v>0.99367786594895802</v>
      </c>
      <c r="F789">
        <v>3</v>
      </c>
      <c r="G789">
        <v>28.485881454000001</v>
      </c>
      <c r="H789">
        <v>0.99143808972430503</v>
      </c>
      <c r="I789">
        <v>3</v>
      </c>
      <c r="J789">
        <v>0.10294597</v>
      </c>
      <c r="P789"/>
      <c r="V789">
        <v>0.99276864668200104</v>
      </c>
      <c r="W789">
        <v>3</v>
      </c>
      <c r="X789">
        <v>143.280079247</v>
      </c>
      <c r="Y789">
        <v>1</v>
      </c>
      <c r="Z789">
        <v>9.4574320210085699E-3</v>
      </c>
      <c r="AA789">
        <v>3</v>
      </c>
    </row>
    <row r="790" spans="1:27" x14ac:dyDescent="0.2">
      <c r="A790">
        <v>10</v>
      </c>
      <c r="B790">
        <v>3</v>
      </c>
      <c r="C790">
        <v>0.1</v>
      </c>
      <c r="D790">
        <v>20</v>
      </c>
      <c r="E790">
        <v>1.01109361248207</v>
      </c>
      <c r="F790">
        <v>3</v>
      </c>
      <c r="G790">
        <v>29.042597772000001</v>
      </c>
      <c r="H790">
        <v>1.0081273295229201</v>
      </c>
      <c r="I790">
        <v>3</v>
      </c>
      <c r="J790">
        <v>6.2015659000000001E-2</v>
      </c>
      <c r="P790"/>
      <c r="V790">
        <v>0.95847394141562803</v>
      </c>
      <c r="W790">
        <v>3</v>
      </c>
      <c r="X790">
        <v>84.702202751000002</v>
      </c>
      <c r="Y790">
        <v>0</v>
      </c>
      <c r="Z790">
        <v>2.1939567965345002E-3</v>
      </c>
      <c r="AA790">
        <v>3</v>
      </c>
    </row>
    <row r="791" spans="1:27" x14ac:dyDescent="0.2">
      <c r="A791">
        <v>10</v>
      </c>
      <c r="B791">
        <v>3</v>
      </c>
      <c r="C791">
        <v>0.2</v>
      </c>
      <c r="D791">
        <v>20</v>
      </c>
      <c r="E791">
        <v>0.82685401361746602</v>
      </c>
      <c r="F791">
        <v>3</v>
      </c>
      <c r="G791">
        <v>28.053798489999998</v>
      </c>
      <c r="H791">
        <v>0.83354241643663096</v>
      </c>
      <c r="I791">
        <v>3</v>
      </c>
      <c r="J791">
        <v>8.9602573000000005E-2</v>
      </c>
      <c r="P791"/>
      <c r="V791">
        <v>0.83580919590165403</v>
      </c>
      <c r="W791">
        <v>3</v>
      </c>
      <c r="X791">
        <v>303962.13214721897</v>
      </c>
      <c r="Y791">
        <v>70651</v>
      </c>
      <c r="Z791">
        <v>4.8625374719501999E-2</v>
      </c>
      <c r="AA791">
        <v>50</v>
      </c>
    </row>
    <row r="792" spans="1:27" x14ac:dyDescent="0.2">
      <c r="A792">
        <v>10</v>
      </c>
      <c r="B792">
        <v>3</v>
      </c>
      <c r="C792">
        <v>0.1</v>
      </c>
      <c r="D792">
        <v>20</v>
      </c>
      <c r="E792">
        <v>1.01653654940833</v>
      </c>
      <c r="F792">
        <v>3</v>
      </c>
      <c r="G792">
        <v>29.415679313999998</v>
      </c>
      <c r="H792">
        <v>1.00514007640414</v>
      </c>
      <c r="I792">
        <v>3</v>
      </c>
      <c r="J792">
        <v>0.32262898200000001</v>
      </c>
      <c r="P792"/>
      <c r="V792">
        <v>0.99448757400143795</v>
      </c>
      <c r="W792">
        <v>3</v>
      </c>
      <c r="X792">
        <v>67.716348765000006</v>
      </c>
      <c r="Y792">
        <v>1</v>
      </c>
      <c r="Z792">
        <v>7.9005035342731198E-4</v>
      </c>
      <c r="AA792">
        <v>2</v>
      </c>
    </row>
    <row r="793" spans="1:27" x14ac:dyDescent="0.2">
      <c r="A793">
        <v>10</v>
      </c>
      <c r="B793">
        <v>3</v>
      </c>
      <c r="C793">
        <v>0.1</v>
      </c>
      <c r="D793">
        <v>20</v>
      </c>
      <c r="E793">
        <v>0.96310453742644897</v>
      </c>
      <c r="F793">
        <v>3</v>
      </c>
      <c r="G793">
        <v>29.826641695999999</v>
      </c>
      <c r="H793">
        <v>0.961123711648602</v>
      </c>
      <c r="I793">
        <v>3</v>
      </c>
      <c r="J793">
        <v>0.14205829</v>
      </c>
      <c r="P793"/>
      <c r="V793">
        <v>0.96035156450551995</v>
      </c>
      <c r="W793">
        <v>3</v>
      </c>
      <c r="X793">
        <v>53.781829205999998</v>
      </c>
      <c r="Y793">
        <v>1</v>
      </c>
      <c r="Z793">
        <v>5.7184135275747299E-3</v>
      </c>
      <c r="AA793">
        <v>1</v>
      </c>
    </row>
    <row r="794" spans="1:27" x14ac:dyDescent="0.2">
      <c r="A794">
        <v>10</v>
      </c>
      <c r="B794">
        <v>3</v>
      </c>
      <c r="C794">
        <v>0.1</v>
      </c>
      <c r="D794">
        <v>20</v>
      </c>
      <c r="E794">
        <v>0.96659877843158004</v>
      </c>
      <c r="F794">
        <v>3</v>
      </c>
      <c r="G794">
        <v>29.629923601000002</v>
      </c>
      <c r="H794">
        <v>0.97022172857672095</v>
      </c>
      <c r="I794">
        <v>3</v>
      </c>
      <c r="J794">
        <v>7.3316668000000002E-2</v>
      </c>
      <c r="P794"/>
      <c r="V794">
        <v>1.03436889324766</v>
      </c>
      <c r="W794">
        <v>3</v>
      </c>
      <c r="X794">
        <v>666.37548345300002</v>
      </c>
      <c r="Y794">
        <v>0</v>
      </c>
      <c r="Z794">
        <v>6.6730226205739796E-4</v>
      </c>
      <c r="AA794">
        <v>3</v>
      </c>
    </row>
    <row r="795" spans="1:27" x14ac:dyDescent="0.2">
      <c r="A795">
        <v>10</v>
      </c>
      <c r="B795">
        <v>3</v>
      </c>
      <c r="C795">
        <v>0.1</v>
      </c>
      <c r="D795">
        <v>20</v>
      </c>
      <c r="E795">
        <v>0.89192032485026396</v>
      </c>
      <c r="F795">
        <v>3</v>
      </c>
      <c r="G795">
        <v>29.434371242000001</v>
      </c>
      <c r="H795">
        <v>0.89152082038199199</v>
      </c>
      <c r="I795">
        <v>3</v>
      </c>
      <c r="J795">
        <v>7.4150811999999997E-2</v>
      </c>
      <c r="P795"/>
      <c r="V795">
        <v>0.90911563354404601</v>
      </c>
      <c r="W795">
        <v>3</v>
      </c>
      <c r="X795">
        <v>1554.7817278160001</v>
      </c>
      <c r="Y795">
        <v>26576</v>
      </c>
      <c r="Z795">
        <v>5.36235488386158E-3</v>
      </c>
      <c r="AA795">
        <v>3</v>
      </c>
    </row>
    <row r="796" spans="1:27" x14ac:dyDescent="0.2">
      <c r="A796">
        <v>10</v>
      </c>
      <c r="B796">
        <v>3</v>
      </c>
      <c r="C796">
        <v>0.1</v>
      </c>
      <c r="D796">
        <v>20</v>
      </c>
      <c r="E796">
        <v>0.98915940101522903</v>
      </c>
      <c r="F796">
        <v>3</v>
      </c>
      <c r="G796">
        <v>30.017999647</v>
      </c>
      <c r="H796">
        <v>0.98915613652762302</v>
      </c>
      <c r="I796">
        <v>3</v>
      </c>
      <c r="J796">
        <v>5.0532198E-2</v>
      </c>
      <c r="P796"/>
      <c r="V796">
        <v>0.99141613360478897</v>
      </c>
      <c r="W796">
        <v>3</v>
      </c>
      <c r="X796">
        <v>658.25342839100006</v>
      </c>
      <c r="Y796">
        <v>16556</v>
      </c>
      <c r="Z796">
        <v>1.3931831693621301E-3</v>
      </c>
      <c r="AA796">
        <v>2</v>
      </c>
    </row>
    <row r="797" spans="1:27" x14ac:dyDescent="0.2">
      <c r="A797">
        <v>10</v>
      </c>
      <c r="B797">
        <v>3</v>
      </c>
      <c r="C797">
        <v>0.1</v>
      </c>
      <c r="D797">
        <v>20</v>
      </c>
      <c r="E797">
        <v>0.93819510044171095</v>
      </c>
      <c r="F797">
        <v>3</v>
      </c>
      <c r="G797">
        <v>29.790076807999998</v>
      </c>
      <c r="H797">
        <v>0.93389321288851901</v>
      </c>
      <c r="I797">
        <v>3</v>
      </c>
      <c r="J797">
        <v>9.4702324000000004E-2</v>
      </c>
      <c r="P797"/>
      <c r="V797">
        <v>0.94672159611058004</v>
      </c>
      <c r="W797">
        <v>3</v>
      </c>
      <c r="X797">
        <v>303367.24637377099</v>
      </c>
      <c r="Y797">
        <v>150270</v>
      </c>
      <c r="Z797">
        <v>4.1354181285053498E-2</v>
      </c>
      <c r="AA797">
        <v>50</v>
      </c>
    </row>
    <row r="798" spans="1:27" x14ac:dyDescent="0.2">
      <c r="A798">
        <v>10</v>
      </c>
      <c r="B798">
        <v>3</v>
      </c>
      <c r="C798">
        <v>0.2</v>
      </c>
      <c r="D798">
        <v>20</v>
      </c>
      <c r="E798">
        <v>0.99453356879283705</v>
      </c>
      <c r="F798">
        <v>3</v>
      </c>
      <c r="G798">
        <v>27.692266316000001</v>
      </c>
      <c r="H798">
        <v>0.96962817633784304</v>
      </c>
      <c r="I798">
        <v>3</v>
      </c>
      <c r="J798">
        <v>0.17685833400000001</v>
      </c>
      <c r="P798"/>
      <c r="V798">
        <v>0.97015350814643797</v>
      </c>
      <c r="W798">
        <v>3</v>
      </c>
      <c r="X798">
        <v>303959.873071882</v>
      </c>
      <c r="Y798">
        <v>58477</v>
      </c>
      <c r="Z798">
        <v>4.85265452021739E-2</v>
      </c>
      <c r="AA798">
        <v>50</v>
      </c>
    </row>
    <row r="799" spans="1:27" x14ac:dyDescent="0.2">
      <c r="A799">
        <v>10</v>
      </c>
      <c r="B799">
        <v>3</v>
      </c>
      <c r="C799">
        <v>0.1</v>
      </c>
      <c r="D799">
        <v>20</v>
      </c>
      <c r="E799">
        <v>0.89150910514072501</v>
      </c>
      <c r="F799">
        <v>3</v>
      </c>
      <c r="G799">
        <v>25.733121484000002</v>
      </c>
      <c r="H799">
        <v>0.89495786819602297</v>
      </c>
      <c r="I799">
        <v>3</v>
      </c>
      <c r="J799">
        <v>4.6504113999999999E-2</v>
      </c>
      <c r="P799"/>
      <c r="V799">
        <v>0.89490868512822896</v>
      </c>
      <c r="W799">
        <v>3</v>
      </c>
      <c r="X799">
        <v>308461.10992157902</v>
      </c>
      <c r="Y799">
        <v>87116</v>
      </c>
      <c r="Z799">
        <v>3.5497966766587397E-2</v>
      </c>
      <c r="AA799">
        <v>50</v>
      </c>
    </row>
    <row r="800" spans="1:27" x14ac:dyDescent="0.2">
      <c r="A800">
        <v>10</v>
      </c>
      <c r="B800">
        <v>3</v>
      </c>
      <c r="C800">
        <v>0.1</v>
      </c>
      <c r="D800">
        <v>20</v>
      </c>
      <c r="E800">
        <v>0.93825556338001603</v>
      </c>
      <c r="F800">
        <v>3</v>
      </c>
      <c r="G800">
        <v>27.626252293</v>
      </c>
      <c r="H800">
        <v>0.93885753466764899</v>
      </c>
      <c r="I800">
        <v>3</v>
      </c>
      <c r="J800">
        <v>5.4248207E-2</v>
      </c>
      <c r="P800"/>
      <c r="V800">
        <v>0.93657071945544101</v>
      </c>
      <c r="W800">
        <v>3</v>
      </c>
      <c r="X800">
        <v>304263.06468030199</v>
      </c>
      <c r="Y800">
        <v>152515</v>
      </c>
      <c r="Z800">
        <v>7.1201447560123199E-2</v>
      </c>
      <c r="AA800">
        <v>50</v>
      </c>
    </row>
    <row r="801" spans="1:27" x14ac:dyDescent="0.2">
      <c r="A801">
        <v>10</v>
      </c>
      <c r="B801">
        <v>3</v>
      </c>
      <c r="C801">
        <v>0.3</v>
      </c>
      <c r="D801">
        <v>20</v>
      </c>
      <c r="E801">
        <v>0.98230085912199905</v>
      </c>
      <c r="F801">
        <v>3</v>
      </c>
      <c r="G801">
        <v>30.067159446000002</v>
      </c>
      <c r="H801">
        <v>0.96347597299267695</v>
      </c>
      <c r="I801">
        <v>3</v>
      </c>
      <c r="J801">
        <v>0.240374054</v>
      </c>
      <c r="P801"/>
      <c r="V801">
        <v>0.96577326307494704</v>
      </c>
      <c r="W801">
        <v>3</v>
      </c>
      <c r="X801">
        <v>306660.38705343701</v>
      </c>
      <c r="Y801">
        <v>55002</v>
      </c>
      <c r="Z801">
        <v>0.11338146405111101</v>
      </c>
      <c r="AA801">
        <v>50</v>
      </c>
    </row>
    <row r="802" spans="1:27" x14ac:dyDescent="0.2">
      <c r="A802">
        <v>10</v>
      </c>
      <c r="B802">
        <v>3</v>
      </c>
      <c r="C802">
        <v>0.1</v>
      </c>
      <c r="D802">
        <v>20</v>
      </c>
      <c r="E802">
        <v>0.93467344136005903</v>
      </c>
      <c r="F802">
        <v>3</v>
      </c>
      <c r="G802">
        <v>30.451296556999999</v>
      </c>
      <c r="H802">
        <v>0.93462071396688895</v>
      </c>
      <c r="I802">
        <v>3</v>
      </c>
      <c r="J802">
        <v>5.3642252000000001E-2</v>
      </c>
      <c r="P802"/>
      <c r="V802">
        <v>0.96125783584513302</v>
      </c>
      <c r="W802">
        <v>3</v>
      </c>
      <c r="X802">
        <v>18058.327775577</v>
      </c>
      <c r="Y802">
        <v>51670</v>
      </c>
      <c r="Z802">
        <v>6.8746637723989101E-3</v>
      </c>
      <c r="AA802">
        <v>9</v>
      </c>
    </row>
    <row r="803" spans="1:27" x14ac:dyDescent="0.2">
      <c r="A803">
        <v>10</v>
      </c>
      <c r="B803">
        <v>3</v>
      </c>
      <c r="C803">
        <v>0.2</v>
      </c>
      <c r="D803">
        <v>20</v>
      </c>
      <c r="E803">
        <v>0.88484032288438397</v>
      </c>
      <c r="F803">
        <v>3</v>
      </c>
      <c r="G803">
        <v>30.438596156999999</v>
      </c>
      <c r="H803">
        <v>0.90734732265339102</v>
      </c>
      <c r="I803">
        <v>3</v>
      </c>
      <c r="J803">
        <v>0.22148942599999999</v>
      </c>
      <c r="P803"/>
      <c r="V803">
        <v>0.90879362966288801</v>
      </c>
      <c r="W803">
        <v>3</v>
      </c>
      <c r="X803">
        <v>309962.86060862202</v>
      </c>
      <c r="Y803">
        <v>68092</v>
      </c>
      <c r="Z803">
        <v>5.08066823864948E-2</v>
      </c>
      <c r="AA803">
        <v>50</v>
      </c>
    </row>
    <row r="804" spans="1:27" x14ac:dyDescent="0.2">
      <c r="A804">
        <v>10</v>
      </c>
      <c r="B804">
        <v>3</v>
      </c>
      <c r="C804">
        <v>0.3</v>
      </c>
      <c r="D804">
        <v>20</v>
      </c>
      <c r="E804">
        <v>0.79777482156858004</v>
      </c>
      <c r="F804">
        <v>3</v>
      </c>
      <c r="G804">
        <v>26.026309993000002</v>
      </c>
      <c r="H804">
        <v>0.82728634755837305</v>
      </c>
      <c r="I804">
        <v>3</v>
      </c>
      <c r="J804">
        <v>0.34393171500000003</v>
      </c>
      <c r="P804"/>
      <c r="V804">
        <v>0.83089280088529205</v>
      </c>
      <c r="W804">
        <v>3</v>
      </c>
      <c r="X804">
        <v>306960.83046011103</v>
      </c>
      <c r="Y804">
        <v>62899</v>
      </c>
      <c r="Z804">
        <v>0.16092471555020799</v>
      </c>
      <c r="AA804">
        <v>50</v>
      </c>
    </row>
    <row r="805" spans="1:27" x14ac:dyDescent="0.2">
      <c r="A805">
        <v>10</v>
      </c>
      <c r="B805">
        <v>3</v>
      </c>
      <c r="C805">
        <v>0.1</v>
      </c>
      <c r="D805">
        <v>20</v>
      </c>
      <c r="E805">
        <v>0.95947886055335296</v>
      </c>
      <c r="F805">
        <v>3</v>
      </c>
      <c r="G805">
        <v>29.078670635000002</v>
      </c>
      <c r="H805">
        <v>0.95946803057211305</v>
      </c>
      <c r="I805">
        <v>3</v>
      </c>
      <c r="J805">
        <v>4.9408003999999998E-2</v>
      </c>
      <c r="P805"/>
      <c r="V805">
        <v>0.96751403077266795</v>
      </c>
      <c r="W805">
        <v>3</v>
      </c>
      <c r="X805">
        <v>21358.669285993001</v>
      </c>
      <c r="Y805">
        <v>27668</v>
      </c>
      <c r="Z805">
        <v>7.43479246565061E-3</v>
      </c>
      <c r="AA805">
        <v>8</v>
      </c>
    </row>
    <row r="806" spans="1:27" x14ac:dyDescent="0.2">
      <c r="A806">
        <v>10</v>
      </c>
      <c r="B806">
        <v>3</v>
      </c>
      <c r="C806">
        <v>0.4</v>
      </c>
      <c r="D806">
        <v>20</v>
      </c>
      <c r="E806">
        <v>0.87422722102952999</v>
      </c>
      <c r="F806">
        <v>3</v>
      </c>
      <c r="G806">
        <v>28.663978158999999</v>
      </c>
      <c r="H806">
        <v>0.80701368267962004</v>
      </c>
      <c r="I806">
        <v>3</v>
      </c>
      <c r="J806">
        <v>0.25681498699999999</v>
      </c>
      <c r="P806"/>
      <c r="V806">
        <v>0.81782296754166695</v>
      </c>
      <c r="W806">
        <v>3</v>
      </c>
      <c r="X806">
        <v>303369.16148664203</v>
      </c>
      <c r="Y806">
        <v>65088</v>
      </c>
      <c r="Z806">
        <v>0.288574390001058</v>
      </c>
      <c r="AA806">
        <v>50</v>
      </c>
    </row>
    <row r="807" spans="1:27" x14ac:dyDescent="0.2">
      <c r="A807">
        <v>10</v>
      </c>
      <c r="B807">
        <v>3</v>
      </c>
      <c r="C807">
        <v>0.1</v>
      </c>
      <c r="D807">
        <v>20</v>
      </c>
      <c r="E807">
        <v>0.97744614243421202</v>
      </c>
      <c r="F807">
        <v>3</v>
      </c>
      <c r="G807">
        <v>31.536687252</v>
      </c>
      <c r="H807">
        <v>0.97549684471903397</v>
      </c>
      <c r="I807">
        <v>3</v>
      </c>
      <c r="J807">
        <v>5.4227298E-2</v>
      </c>
      <c r="P807"/>
      <c r="V807">
        <v>0.992684795980316</v>
      </c>
      <c r="W807">
        <v>3</v>
      </c>
      <c r="X807">
        <v>128473.567951084</v>
      </c>
      <c r="Y807">
        <v>53088</v>
      </c>
      <c r="Z807">
        <v>8.5732713330241208E-3</v>
      </c>
      <c r="AA807">
        <v>26</v>
      </c>
    </row>
    <row r="808" spans="1:27" x14ac:dyDescent="0.2">
      <c r="A808">
        <v>30</v>
      </c>
      <c r="B808">
        <v>1</v>
      </c>
      <c r="C808">
        <v>0.2</v>
      </c>
      <c r="D808">
        <v>100</v>
      </c>
      <c r="E808">
        <v>5.50745832434636E-2</v>
      </c>
      <c r="F808">
        <v>1</v>
      </c>
      <c r="G808">
        <v>32.318787933999999</v>
      </c>
      <c r="H808">
        <v>5.8112896046956103E-2</v>
      </c>
      <c r="I808">
        <v>1</v>
      </c>
      <c r="J808">
        <v>0.14245171200000001</v>
      </c>
      <c r="P808"/>
      <c r="V808">
        <v>3.71368054208292E-2</v>
      </c>
      <c r="W808">
        <v>1</v>
      </c>
      <c r="X808">
        <v>300959.51809865597</v>
      </c>
      <c r="Y808">
        <v>1695</v>
      </c>
      <c r="Z808">
        <v>2.1451614660247399E-2</v>
      </c>
      <c r="AA808">
        <v>50</v>
      </c>
    </row>
    <row r="809" spans="1:27" x14ac:dyDescent="0.2">
      <c r="A809">
        <v>30</v>
      </c>
      <c r="B809">
        <v>1</v>
      </c>
      <c r="C809">
        <v>0.2</v>
      </c>
      <c r="D809">
        <v>100</v>
      </c>
      <c r="E809">
        <v>0.18036862642976201</v>
      </c>
      <c r="F809">
        <v>1</v>
      </c>
      <c r="G809">
        <v>31.464689794000002</v>
      </c>
      <c r="H809">
        <v>0.12489815746187199</v>
      </c>
      <c r="I809">
        <v>1</v>
      </c>
      <c r="J809">
        <v>0.52547892500000004</v>
      </c>
      <c r="P809"/>
      <c r="V809">
        <v>0.1214332002713</v>
      </c>
      <c r="W809">
        <v>1</v>
      </c>
      <c r="X809">
        <v>303426.60096328298</v>
      </c>
      <c r="Y809">
        <v>857</v>
      </c>
      <c r="Z809">
        <v>8.90973541390849E-2</v>
      </c>
      <c r="AA809">
        <v>50</v>
      </c>
    </row>
    <row r="810" spans="1:27" x14ac:dyDescent="0.2">
      <c r="A810">
        <v>30</v>
      </c>
      <c r="B810">
        <v>1</v>
      </c>
      <c r="C810">
        <v>0.2</v>
      </c>
      <c r="D810">
        <v>100</v>
      </c>
      <c r="E810">
        <v>0.14740512198982</v>
      </c>
      <c r="F810">
        <v>1</v>
      </c>
      <c r="G810">
        <v>30.593898601999999</v>
      </c>
      <c r="H810">
        <v>5.2834948895628099E-2</v>
      </c>
      <c r="I810">
        <v>1</v>
      </c>
      <c r="J810">
        <v>0.51656990800000002</v>
      </c>
      <c r="P810"/>
      <c r="V810">
        <v>4.6322053310621399E-2</v>
      </c>
      <c r="W810">
        <v>1</v>
      </c>
      <c r="X810">
        <v>305188.72009792598</v>
      </c>
      <c r="Y810">
        <v>891</v>
      </c>
      <c r="Z810">
        <v>4.0380767663009402E-2</v>
      </c>
      <c r="AA810">
        <v>50</v>
      </c>
    </row>
    <row r="811" spans="1:27" x14ac:dyDescent="0.2">
      <c r="A811">
        <v>30</v>
      </c>
      <c r="B811">
        <v>1</v>
      </c>
      <c r="C811">
        <v>0.1</v>
      </c>
      <c r="D811">
        <v>100</v>
      </c>
      <c r="E811">
        <v>0.488177456523193</v>
      </c>
      <c r="F811">
        <v>1</v>
      </c>
      <c r="G811">
        <v>30.894917776</v>
      </c>
      <c r="H811">
        <v>0.28535291892435299</v>
      </c>
      <c r="I811">
        <v>1</v>
      </c>
      <c r="J811">
        <v>1.049481807</v>
      </c>
      <c r="P811"/>
      <c r="V811">
        <v>0.27277758743320202</v>
      </c>
      <c r="W811">
        <v>1</v>
      </c>
      <c r="X811">
        <v>306706.56461395603</v>
      </c>
      <c r="Y811">
        <v>1539</v>
      </c>
      <c r="Z811">
        <v>1.12892586728134E-2</v>
      </c>
      <c r="AA811">
        <v>50</v>
      </c>
    </row>
    <row r="812" spans="1:27" x14ac:dyDescent="0.2">
      <c r="A812">
        <v>30</v>
      </c>
      <c r="B812">
        <v>1</v>
      </c>
      <c r="C812">
        <v>0.1</v>
      </c>
      <c r="D812">
        <v>100</v>
      </c>
      <c r="E812">
        <v>0.59905410564953798</v>
      </c>
      <c r="F812">
        <v>1</v>
      </c>
      <c r="G812">
        <v>31.723373205000001</v>
      </c>
      <c r="H812">
        <v>0.39075115472295802</v>
      </c>
      <c r="I812">
        <v>1</v>
      </c>
      <c r="J812">
        <v>0.776721879</v>
      </c>
      <c r="P812"/>
      <c r="V812">
        <v>0.38875765481471097</v>
      </c>
      <c r="W812">
        <v>1</v>
      </c>
      <c r="X812">
        <v>307070.57543295698</v>
      </c>
      <c r="Y812">
        <v>1030</v>
      </c>
      <c r="Z812">
        <v>1.6313978017953298E-2</v>
      </c>
      <c r="AA812">
        <v>50</v>
      </c>
    </row>
    <row r="813" spans="1:27" x14ac:dyDescent="0.2">
      <c r="A813">
        <v>30</v>
      </c>
      <c r="B813">
        <v>1</v>
      </c>
      <c r="C813">
        <v>0.1</v>
      </c>
      <c r="D813">
        <v>100</v>
      </c>
      <c r="E813">
        <v>0.59096773232640298</v>
      </c>
      <c r="F813">
        <v>1</v>
      </c>
      <c r="G813">
        <v>30.544391100999999</v>
      </c>
      <c r="H813">
        <v>0.57187966359326503</v>
      </c>
      <c r="I813">
        <v>1</v>
      </c>
      <c r="J813">
        <v>0.43515516900000001</v>
      </c>
      <c r="P813"/>
      <c r="V813">
        <v>0.56856197332503799</v>
      </c>
      <c r="W813">
        <v>1</v>
      </c>
      <c r="X813">
        <v>307337.56116117397</v>
      </c>
      <c r="Y813">
        <v>1785</v>
      </c>
      <c r="Z813">
        <v>7.3687725696643296E-3</v>
      </c>
      <c r="AA813">
        <v>50</v>
      </c>
    </row>
    <row r="814" spans="1:27" x14ac:dyDescent="0.2">
      <c r="A814">
        <v>30</v>
      </c>
      <c r="B814">
        <v>1</v>
      </c>
      <c r="C814">
        <v>0.1</v>
      </c>
      <c r="D814">
        <v>100</v>
      </c>
      <c r="E814">
        <v>0.28887007342940602</v>
      </c>
      <c r="F814">
        <v>1</v>
      </c>
      <c r="G814">
        <v>30.557915341000001</v>
      </c>
      <c r="H814">
        <v>0.19886885232252999</v>
      </c>
      <c r="I814">
        <v>1</v>
      </c>
      <c r="J814">
        <v>0.30042592099999998</v>
      </c>
      <c r="P814"/>
      <c r="V814">
        <v>0.184379454983011</v>
      </c>
      <c r="W814">
        <v>1</v>
      </c>
      <c r="X814">
        <v>307424.196433203</v>
      </c>
      <c r="Y814">
        <v>1070</v>
      </c>
      <c r="Z814">
        <v>1.6412663720956601E-2</v>
      </c>
      <c r="AA814">
        <v>50</v>
      </c>
    </row>
    <row r="815" spans="1:27" x14ac:dyDescent="0.2">
      <c r="A815">
        <v>30</v>
      </c>
      <c r="B815">
        <v>1</v>
      </c>
      <c r="C815">
        <v>0.2</v>
      </c>
      <c r="D815">
        <v>100</v>
      </c>
      <c r="E815">
        <v>0.150747474477614</v>
      </c>
      <c r="F815">
        <v>1</v>
      </c>
      <c r="G815">
        <v>30.930725355</v>
      </c>
      <c r="H815">
        <v>7.8728927922987704E-2</v>
      </c>
      <c r="I815">
        <v>1</v>
      </c>
      <c r="J815">
        <v>0.43493322099999998</v>
      </c>
      <c r="P815"/>
      <c r="V815">
        <v>6.5066361783474802E-2</v>
      </c>
      <c r="W815">
        <v>1</v>
      </c>
      <c r="X815">
        <v>308129.260975076</v>
      </c>
      <c r="Y815">
        <v>819</v>
      </c>
      <c r="Z815">
        <v>2.6378468869815298E-2</v>
      </c>
      <c r="AA815">
        <v>50</v>
      </c>
    </row>
    <row r="816" spans="1:27" x14ac:dyDescent="0.2">
      <c r="A816">
        <v>30</v>
      </c>
      <c r="B816">
        <v>1</v>
      </c>
      <c r="C816">
        <v>0.1</v>
      </c>
      <c r="D816">
        <v>100</v>
      </c>
      <c r="E816">
        <v>0.59381597062565405</v>
      </c>
      <c r="F816">
        <v>1</v>
      </c>
      <c r="G816">
        <v>30.506804575</v>
      </c>
      <c r="H816">
        <v>0.54394631342309796</v>
      </c>
      <c r="I816">
        <v>1</v>
      </c>
      <c r="J816">
        <v>0.61474976299999995</v>
      </c>
      <c r="P816"/>
      <c r="V816">
        <v>0.52440564746196905</v>
      </c>
      <c r="W816">
        <v>1</v>
      </c>
      <c r="X816">
        <v>294743.52287229901</v>
      </c>
      <c r="Y816">
        <v>1298</v>
      </c>
      <c r="Z816">
        <v>2.6876545494815201E-2</v>
      </c>
      <c r="AA816">
        <v>50</v>
      </c>
    </row>
    <row r="817" spans="1:27" x14ac:dyDescent="0.2">
      <c r="A817">
        <v>30</v>
      </c>
      <c r="B817">
        <v>1</v>
      </c>
      <c r="C817">
        <v>0.2</v>
      </c>
      <c r="D817">
        <v>100</v>
      </c>
      <c r="E817">
        <v>0.22172207238496999</v>
      </c>
      <c r="F817">
        <v>1</v>
      </c>
      <c r="G817">
        <v>29.880734108999999</v>
      </c>
      <c r="H817">
        <v>5.20850639051193E-2</v>
      </c>
      <c r="I817">
        <v>1</v>
      </c>
      <c r="J817">
        <v>0.28202776000000002</v>
      </c>
      <c r="P817"/>
      <c r="V817">
        <v>4.86556698437191E-2</v>
      </c>
      <c r="W817">
        <v>1</v>
      </c>
      <c r="X817">
        <v>299527.04180361098</v>
      </c>
      <c r="Y817">
        <v>975</v>
      </c>
      <c r="Z817">
        <v>9.2007801324617208E-3</v>
      </c>
      <c r="AA817">
        <v>50</v>
      </c>
    </row>
    <row r="818" spans="1:27" x14ac:dyDescent="0.2">
      <c r="A818">
        <v>30</v>
      </c>
      <c r="B818">
        <v>1</v>
      </c>
      <c r="C818">
        <v>0.2</v>
      </c>
      <c r="D818">
        <v>100</v>
      </c>
      <c r="E818">
        <v>0.114896162707031</v>
      </c>
      <c r="F818">
        <v>1</v>
      </c>
      <c r="G818">
        <v>32.092709683999999</v>
      </c>
      <c r="H818">
        <v>4.72847882734986E-2</v>
      </c>
      <c r="I818">
        <v>1</v>
      </c>
      <c r="J818">
        <v>0.19788275399999999</v>
      </c>
      <c r="P818"/>
      <c r="V818">
        <v>4.13540412540115E-2</v>
      </c>
      <c r="W818">
        <v>1</v>
      </c>
      <c r="X818">
        <v>298292.40693286498</v>
      </c>
      <c r="Y818">
        <v>1358</v>
      </c>
      <c r="Z818">
        <v>2.3078932314573398E-2</v>
      </c>
      <c r="AA818">
        <v>50</v>
      </c>
    </row>
    <row r="819" spans="1:27" x14ac:dyDescent="0.2">
      <c r="A819">
        <v>30</v>
      </c>
      <c r="B819">
        <v>1</v>
      </c>
      <c r="C819">
        <v>0.2</v>
      </c>
      <c r="D819">
        <v>100</v>
      </c>
      <c r="E819">
        <v>0.111959947685474</v>
      </c>
      <c r="F819">
        <v>1</v>
      </c>
      <c r="G819">
        <v>32.005262221000002</v>
      </c>
      <c r="H819">
        <v>4.2380452496374003E-2</v>
      </c>
      <c r="I819">
        <v>1</v>
      </c>
      <c r="J819">
        <v>0.43937414400000002</v>
      </c>
      <c r="P819"/>
      <c r="V819">
        <v>3.4095882043053499E-2</v>
      </c>
      <c r="W819">
        <v>1</v>
      </c>
      <c r="X819">
        <v>296913.17902023101</v>
      </c>
      <c r="Y819">
        <v>681</v>
      </c>
      <c r="Z819">
        <v>5.3380060028415999E-2</v>
      </c>
      <c r="AA819">
        <v>50</v>
      </c>
    </row>
    <row r="820" spans="1:27" x14ac:dyDescent="0.2">
      <c r="A820">
        <v>30</v>
      </c>
      <c r="B820">
        <v>1</v>
      </c>
      <c r="C820">
        <v>0.1</v>
      </c>
      <c r="D820">
        <v>100</v>
      </c>
      <c r="E820">
        <v>0.36918965978852902</v>
      </c>
      <c r="F820">
        <v>1</v>
      </c>
      <c r="G820">
        <v>30.995015218999999</v>
      </c>
      <c r="H820">
        <v>0.337134387612541</v>
      </c>
      <c r="I820">
        <v>1</v>
      </c>
      <c r="J820">
        <v>0.69013851699999995</v>
      </c>
      <c r="P820"/>
      <c r="V820">
        <v>0.33376241501651499</v>
      </c>
      <c r="W820">
        <v>1</v>
      </c>
      <c r="X820">
        <v>300213.29257946601</v>
      </c>
      <c r="Y820">
        <v>1588</v>
      </c>
      <c r="Z820">
        <v>4.86314671592325E-3</v>
      </c>
      <c r="AA820">
        <v>50</v>
      </c>
    </row>
    <row r="821" spans="1:27" x14ac:dyDescent="0.2">
      <c r="A821">
        <v>30</v>
      </c>
      <c r="B821">
        <v>1</v>
      </c>
      <c r="C821">
        <v>0.1</v>
      </c>
      <c r="D821">
        <v>100</v>
      </c>
      <c r="E821">
        <v>0.47351337037090802</v>
      </c>
      <c r="F821">
        <v>1</v>
      </c>
      <c r="G821">
        <v>32.305081342000001</v>
      </c>
      <c r="H821">
        <v>0.28369697717422299</v>
      </c>
      <c r="I821">
        <v>1</v>
      </c>
      <c r="J821">
        <v>0.62254866099999995</v>
      </c>
      <c r="P821"/>
      <c r="V821">
        <v>0.27293913046430102</v>
      </c>
      <c r="W821">
        <v>1</v>
      </c>
      <c r="X821">
        <v>303932.68133618799</v>
      </c>
      <c r="Y821">
        <v>1865</v>
      </c>
      <c r="Z821">
        <v>2.6529174546946199E-2</v>
      </c>
      <c r="AA821">
        <v>50</v>
      </c>
    </row>
    <row r="822" spans="1:27" x14ac:dyDescent="0.2">
      <c r="A822">
        <v>30</v>
      </c>
      <c r="B822">
        <v>1</v>
      </c>
      <c r="C822">
        <v>0.1</v>
      </c>
      <c r="D822">
        <v>100</v>
      </c>
      <c r="E822">
        <v>0.32179824288067899</v>
      </c>
      <c r="F822">
        <v>1</v>
      </c>
      <c r="G822">
        <v>29.954781668999999</v>
      </c>
      <c r="H822">
        <v>0.20384511661739299</v>
      </c>
      <c r="I822">
        <v>1</v>
      </c>
      <c r="J822">
        <v>0.54138496700000005</v>
      </c>
      <c r="P822"/>
      <c r="V822">
        <v>0.199657828660294</v>
      </c>
      <c r="W822">
        <v>1</v>
      </c>
      <c r="X822">
        <v>307419.87931985501</v>
      </c>
      <c r="Y822">
        <v>1471</v>
      </c>
      <c r="Z822">
        <v>8.8858293461880605E-3</v>
      </c>
      <c r="AA822">
        <v>50</v>
      </c>
    </row>
    <row r="823" spans="1:27" x14ac:dyDescent="0.2">
      <c r="A823">
        <v>30</v>
      </c>
      <c r="B823">
        <v>1</v>
      </c>
      <c r="C823">
        <v>0.2</v>
      </c>
      <c r="D823">
        <v>100</v>
      </c>
      <c r="E823">
        <v>0.235465170640166</v>
      </c>
      <c r="F823">
        <v>1</v>
      </c>
      <c r="G823">
        <v>31.873257446</v>
      </c>
      <c r="H823">
        <v>7.1321870511104904E-2</v>
      </c>
      <c r="I823">
        <v>1</v>
      </c>
      <c r="J823">
        <v>0.30705903699999998</v>
      </c>
      <c r="P823"/>
      <c r="V823">
        <v>6.49371028250285E-2</v>
      </c>
      <c r="W823">
        <v>1</v>
      </c>
      <c r="X823">
        <v>302842.28352676798</v>
      </c>
      <c r="Y823">
        <v>787</v>
      </c>
      <c r="Z823">
        <v>6.2301827670111803E-2</v>
      </c>
      <c r="AA823">
        <v>50</v>
      </c>
    </row>
    <row r="824" spans="1:27" x14ac:dyDescent="0.2">
      <c r="A824">
        <v>30</v>
      </c>
      <c r="B824">
        <v>1</v>
      </c>
      <c r="C824">
        <v>0.2</v>
      </c>
      <c r="D824">
        <v>100</v>
      </c>
      <c r="E824">
        <v>0.10373623515779</v>
      </c>
      <c r="F824">
        <v>1</v>
      </c>
      <c r="G824">
        <v>30.578188195999999</v>
      </c>
      <c r="H824">
        <v>3.0848702826801699E-2</v>
      </c>
      <c r="I824">
        <v>1</v>
      </c>
      <c r="J824">
        <v>0.373747357</v>
      </c>
      <c r="P824"/>
      <c r="V824">
        <v>2.5081026868324498E-2</v>
      </c>
      <c r="W824">
        <v>1</v>
      </c>
      <c r="X824">
        <v>304160.56152740901</v>
      </c>
      <c r="Y824">
        <v>763</v>
      </c>
      <c r="Z824">
        <v>1.43193658819374E-2</v>
      </c>
      <c r="AA824">
        <v>50</v>
      </c>
    </row>
    <row r="825" spans="1:27" x14ac:dyDescent="0.2">
      <c r="A825">
        <v>30</v>
      </c>
      <c r="B825">
        <v>1</v>
      </c>
      <c r="C825">
        <v>0.2</v>
      </c>
      <c r="D825">
        <v>100</v>
      </c>
      <c r="E825">
        <v>0.173427947534989</v>
      </c>
      <c r="F825">
        <v>1</v>
      </c>
      <c r="G825">
        <v>31.355970024000001</v>
      </c>
      <c r="H825">
        <v>4.6272409580440599E-2</v>
      </c>
      <c r="I825">
        <v>1</v>
      </c>
      <c r="J825">
        <v>0.50091496499999999</v>
      </c>
      <c r="P825"/>
      <c r="V825">
        <v>3.78681154297901E-2</v>
      </c>
      <c r="W825">
        <v>1</v>
      </c>
      <c r="X825">
        <v>304638.55679214699</v>
      </c>
      <c r="Y825">
        <v>837</v>
      </c>
      <c r="Z825">
        <v>4.6269535382932402E-2</v>
      </c>
      <c r="AA825">
        <v>50</v>
      </c>
    </row>
    <row r="826" spans="1:27" x14ac:dyDescent="0.2">
      <c r="A826">
        <v>30</v>
      </c>
      <c r="B826">
        <v>1</v>
      </c>
      <c r="C826">
        <v>0.1</v>
      </c>
      <c r="D826">
        <v>100</v>
      </c>
      <c r="E826">
        <v>0.448010534171842</v>
      </c>
      <c r="F826">
        <v>1</v>
      </c>
      <c r="G826">
        <v>31.391412945999999</v>
      </c>
      <c r="H826">
        <v>0.33055059187776797</v>
      </c>
      <c r="I826">
        <v>1</v>
      </c>
      <c r="J826">
        <v>1.159397206</v>
      </c>
      <c r="P826"/>
      <c r="V826">
        <v>0.31857466517727101</v>
      </c>
      <c r="W826">
        <v>1</v>
      </c>
      <c r="X826">
        <v>307362.67593962001</v>
      </c>
      <c r="Y826">
        <v>3090</v>
      </c>
      <c r="Z826">
        <v>2.4980869483374399E-2</v>
      </c>
      <c r="AA826">
        <v>50</v>
      </c>
    </row>
    <row r="827" spans="1:27" x14ac:dyDescent="0.2">
      <c r="A827">
        <v>30</v>
      </c>
      <c r="B827">
        <v>1</v>
      </c>
      <c r="C827">
        <v>0.1</v>
      </c>
      <c r="D827">
        <v>100</v>
      </c>
      <c r="E827">
        <v>0.41093669608587002</v>
      </c>
      <c r="F827">
        <v>1</v>
      </c>
      <c r="G827">
        <v>31.847555747000001</v>
      </c>
      <c r="H827">
        <v>0.25180063512225698</v>
      </c>
      <c r="I827">
        <v>1</v>
      </c>
      <c r="J827">
        <v>0.60838284499999995</v>
      </c>
      <c r="P827"/>
      <c r="V827">
        <v>0.244854758774359</v>
      </c>
      <c r="W827">
        <v>1</v>
      </c>
      <c r="X827">
        <v>306923.13295397698</v>
      </c>
      <c r="Y827">
        <v>2324</v>
      </c>
      <c r="Z827">
        <v>2.9195115115529899E-2</v>
      </c>
      <c r="AA827">
        <v>50</v>
      </c>
    </row>
    <row r="828" spans="1:27" x14ac:dyDescent="0.2">
      <c r="A828">
        <v>30</v>
      </c>
      <c r="B828">
        <v>1</v>
      </c>
      <c r="C828">
        <v>0.1</v>
      </c>
      <c r="D828">
        <v>100</v>
      </c>
      <c r="E828">
        <v>0.53536143390051205</v>
      </c>
      <c r="F828">
        <v>1</v>
      </c>
      <c r="G828">
        <v>31.599460338</v>
      </c>
      <c r="H828">
        <v>0.26845535080079302</v>
      </c>
      <c r="I828">
        <v>1</v>
      </c>
      <c r="J828">
        <v>0.46391358799999999</v>
      </c>
      <c r="P828"/>
      <c r="V828">
        <v>0.25388887450507303</v>
      </c>
      <c r="W828">
        <v>1</v>
      </c>
      <c r="X828">
        <v>307327.851170359</v>
      </c>
      <c r="Y828">
        <v>2353</v>
      </c>
      <c r="Z828">
        <v>1.2098785452495601E-2</v>
      </c>
      <c r="AA828">
        <v>50</v>
      </c>
    </row>
    <row r="829" spans="1:27" x14ac:dyDescent="0.2">
      <c r="A829">
        <v>30</v>
      </c>
      <c r="B829">
        <v>1</v>
      </c>
      <c r="C829">
        <v>0.1</v>
      </c>
      <c r="D829">
        <v>100</v>
      </c>
      <c r="E829">
        <v>0.59503430430763904</v>
      </c>
      <c r="F829">
        <v>1</v>
      </c>
      <c r="G829">
        <v>31.826088582000001</v>
      </c>
      <c r="H829">
        <v>0.46652155784556198</v>
      </c>
      <c r="I829">
        <v>1</v>
      </c>
      <c r="J829">
        <v>0.62068352000000004</v>
      </c>
      <c r="P829"/>
      <c r="V829">
        <v>0.46597448151607301</v>
      </c>
      <c r="W829">
        <v>1</v>
      </c>
      <c r="X829">
        <v>307212.446754337</v>
      </c>
      <c r="Y829">
        <v>975</v>
      </c>
      <c r="Z829">
        <v>1.2893755622535001E-2</v>
      </c>
      <c r="AA829">
        <v>50</v>
      </c>
    </row>
    <row r="830" spans="1:27" x14ac:dyDescent="0.2">
      <c r="A830">
        <v>30</v>
      </c>
      <c r="B830">
        <v>1</v>
      </c>
      <c r="C830">
        <v>0.1</v>
      </c>
      <c r="D830">
        <v>100</v>
      </c>
      <c r="E830">
        <v>0.52620746848267497</v>
      </c>
      <c r="F830">
        <v>1</v>
      </c>
      <c r="G830">
        <v>31.788134500000002</v>
      </c>
      <c r="H830">
        <v>0.32028830188445401</v>
      </c>
      <c r="I830">
        <v>1</v>
      </c>
      <c r="J830">
        <v>0.66717344999999995</v>
      </c>
      <c r="P830"/>
      <c r="V830">
        <v>0.31716273264601302</v>
      </c>
      <c r="W830">
        <v>1</v>
      </c>
      <c r="X830">
        <v>306874.79280630703</v>
      </c>
      <c r="Y830">
        <v>905</v>
      </c>
      <c r="Z830">
        <v>8.7201021284025095E-3</v>
      </c>
      <c r="AA830">
        <v>50</v>
      </c>
    </row>
    <row r="831" spans="1:27" x14ac:dyDescent="0.2">
      <c r="A831">
        <v>30</v>
      </c>
      <c r="B831">
        <v>1</v>
      </c>
      <c r="C831">
        <v>0.2</v>
      </c>
      <c r="D831">
        <v>100</v>
      </c>
      <c r="E831">
        <v>0.28650247666029899</v>
      </c>
      <c r="F831">
        <v>1</v>
      </c>
      <c r="G831">
        <v>31.203595742000001</v>
      </c>
      <c r="H831">
        <v>6.76026210630645E-2</v>
      </c>
      <c r="I831">
        <v>1</v>
      </c>
      <c r="J831">
        <v>0.57523769599999997</v>
      </c>
      <c r="P831"/>
      <c r="V831">
        <v>5.8508049823545898E-2</v>
      </c>
      <c r="W831">
        <v>1</v>
      </c>
      <c r="X831">
        <v>308078.85082944698</v>
      </c>
      <c r="Y831">
        <v>1194</v>
      </c>
      <c r="Z831">
        <v>0.137509308519352</v>
      </c>
      <c r="AA831">
        <v>50</v>
      </c>
    </row>
    <row r="832" spans="1:27" x14ac:dyDescent="0.2">
      <c r="A832">
        <v>30</v>
      </c>
      <c r="B832">
        <v>1</v>
      </c>
      <c r="C832">
        <v>0.1</v>
      </c>
      <c r="D832">
        <v>100</v>
      </c>
      <c r="E832">
        <v>0.34497521027550299</v>
      </c>
      <c r="F832">
        <v>1</v>
      </c>
      <c r="G832">
        <v>29.725463435000002</v>
      </c>
      <c r="H832">
        <v>0.24032867052572601</v>
      </c>
      <c r="I832">
        <v>1</v>
      </c>
      <c r="J832">
        <v>0.681084413</v>
      </c>
      <c r="P832"/>
      <c r="V832">
        <v>0.23514124314141699</v>
      </c>
      <c r="W832">
        <v>1</v>
      </c>
      <c r="X832">
        <v>298128.31950368901</v>
      </c>
      <c r="Y832">
        <v>2283</v>
      </c>
      <c r="Z832">
        <v>2.5769127896115601E-2</v>
      </c>
      <c r="AA832">
        <v>50</v>
      </c>
    </row>
    <row r="833" spans="1:27" x14ac:dyDescent="0.2">
      <c r="A833">
        <v>30</v>
      </c>
      <c r="B833">
        <v>1</v>
      </c>
      <c r="C833">
        <v>0.2</v>
      </c>
      <c r="D833">
        <v>100</v>
      </c>
      <c r="E833">
        <v>0.14063339587548301</v>
      </c>
      <c r="F833">
        <v>1</v>
      </c>
      <c r="G833">
        <v>31.854680157000001</v>
      </c>
      <c r="H833">
        <v>4.7766737100944798E-2</v>
      </c>
      <c r="I833">
        <v>1</v>
      </c>
      <c r="J833">
        <v>0.528112005</v>
      </c>
      <c r="P833"/>
      <c r="V833">
        <v>4.3798181073538202E-2</v>
      </c>
      <c r="W833">
        <v>1</v>
      </c>
      <c r="X833">
        <v>299011.22698230302</v>
      </c>
      <c r="Y833">
        <v>588</v>
      </c>
      <c r="Z833">
        <v>2.4061375895797699E-2</v>
      </c>
      <c r="AA833">
        <v>50</v>
      </c>
    </row>
    <row r="834" spans="1:27" x14ac:dyDescent="0.2">
      <c r="A834">
        <v>30</v>
      </c>
      <c r="B834">
        <v>1</v>
      </c>
      <c r="C834">
        <v>0.2</v>
      </c>
      <c r="D834">
        <v>100</v>
      </c>
      <c r="E834">
        <v>0.122214702466341</v>
      </c>
      <c r="F834">
        <v>1</v>
      </c>
      <c r="G834">
        <v>30.510548270000001</v>
      </c>
      <c r="H834">
        <v>0.11477967034275099</v>
      </c>
      <c r="I834">
        <v>1</v>
      </c>
      <c r="J834">
        <v>0.19519156100000001</v>
      </c>
      <c r="P834"/>
      <c r="V834">
        <v>0.112113040449732</v>
      </c>
      <c r="W834">
        <v>1</v>
      </c>
      <c r="X834">
        <v>301405.25119149702</v>
      </c>
      <c r="Y834">
        <v>570</v>
      </c>
      <c r="Z834">
        <v>3.0328099519293598E-2</v>
      </c>
      <c r="AA834">
        <v>50</v>
      </c>
    </row>
    <row r="835" spans="1:27" x14ac:dyDescent="0.2">
      <c r="A835">
        <v>30</v>
      </c>
      <c r="B835">
        <v>1</v>
      </c>
      <c r="C835">
        <v>0.2</v>
      </c>
      <c r="D835">
        <v>100</v>
      </c>
      <c r="E835">
        <v>0.13323224065195799</v>
      </c>
      <c r="F835">
        <v>1</v>
      </c>
      <c r="G835">
        <v>32.144429956000003</v>
      </c>
      <c r="H835">
        <v>0.10259521121993</v>
      </c>
      <c r="I835">
        <v>1</v>
      </c>
      <c r="J835">
        <v>0.23534349199999999</v>
      </c>
      <c r="P835"/>
      <c r="V835">
        <v>9.77510605112E-2</v>
      </c>
      <c r="W835">
        <v>1</v>
      </c>
      <c r="X835">
        <v>302507.33793945302</v>
      </c>
      <c r="Y835">
        <v>651</v>
      </c>
      <c r="Z835">
        <v>2.35961810521985E-2</v>
      </c>
      <c r="AA835">
        <v>50</v>
      </c>
    </row>
    <row r="836" spans="1:27" x14ac:dyDescent="0.2">
      <c r="A836">
        <v>30</v>
      </c>
      <c r="B836">
        <v>1</v>
      </c>
      <c r="C836">
        <v>0.1</v>
      </c>
      <c r="D836">
        <v>100</v>
      </c>
      <c r="E836">
        <v>0.57800037834571005</v>
      </c>
      <c r="F836">
        <v>1</v>
      </c>
      <c r="G836">
        <v>31.783152195</v>
      </c>
      <c r="H836">
        <v>0.424025419210669</v>
      </c>
      <c r="I836">
        <v>1</v>
      </c>
      <c r="J836">
        <v>0.73762404699999995</v>
      </c>
      <c r="P836"/>
      <c r="V836">
        <v>0.41339911262175799</v>
      </c>
      <c r="W836">
        <v>1</v>
      </c>
      <c r="X836">
        <v>303986.70215530501</v>
      </c>
      <c r="Y836">
        <v>1543</v>
      </c>
      <c r="Z836">
        <v>1.0246487334152499E-2</v>
      </c>
      <c r="AA836">
        <v>50</v>
      </c>
    </row>
    <row r="837" spans="1:27" x14ac:dyDescent="0.2">
      <c r="A837">
        <v>30</v>
      </c>
      <c r="B837">
        <v>1</v>
      </c>
      <c r="C837">
        <v>0.2</v>
      </c>
      <c r="D837">
        <v>100</v>
      </c>
      <c r="E837">
        <v>0.133429756484364</v>
      </c>
      <c r="F837">
        <v>1</v>
      </c>
      <c r="G837">
        <v>29.905137156999999</v>
      </c>
      <c r="H837">
        <v>6.9467454387911104E-2</v>
      </c>
      <c r="I837">
        <v>1</v>
      </c>
      <c r="J837">
        <v>0.46808065999999998</v>
      </c>
      <c r="P837"/>
      <c r="V837">
        <v>5.4739648035520998E-2</v>
      </c>
      <c r="W837">
        <v>1</v>
      </c>
      <c r="X837">
        <v>305001.14645940397</v>
      </c>
      <c r="Y837">
        <v>573</v>
      </c>
      <c r="Z837">
        <v>2.36080848830173E-2</v>
      </c>
      <c r="AA837">
        <v>50</v>
      </c>
    </row>
    <row r="838" spans="1:27" x14ac:dyDescent="0.2">
      <c r="A838">
        <v>30</v>
      </c>
      <c r="B838">
        <v>1</v>
      </c>
      <c r="C838">
        <v>0.2</v>
      </c>
      <c r="D838">
        <v>100</v>
      </c>
      <c r="E838">
        <v>6.80591609994914E-2</v>
      </c>
      <c r="F838">
        <v>1</v>
      </c>
      <c r="G838">
        <v>29.774136114000001</v>
      </c>
      <c r="H838">
        <v>3.2900929177440801E-2</v>
      </c>
      <c r="I838">
        <v>1</v>
      </c>
      <c r="J838">
        <v>0.335906235</v>
      </c>
      <c r="P838"/>
      <c r="V838">
        <v>2.5292442040380302E-2</v>
      </c>
      <c r="W838">
        <v>1</v>
      </c>
      <c r="X838">
        <v>305148.71762734099</v>
      </c>
      <c r="Y838">
        <v>596</v>
      </c>
      <c r="Z838">
        <v>2.58681000250362E-2</v>
      </c>
      <c r="AA838">
        <v>50</v>
      </c>
    </row>
    <row r="839" spans="1:27" x14ac:dyDescent="0.2">
      <c r="A839">
        <v>30</v>
      </c>
      <c r="B839">
        <v>1</v>
      </c>
      <c r="C839">
        <v>0.2</v>
      </c>
      <c r="D839">
        <v>100</v>
      </c>
      <c r="E839">
        <v>0.117409625875287</v>
      </c>
      <c r="F839">
        <v>1</v>
      </c>
      <c r="G839">
        <v>32.377393755</v>
      </c>
      <c r="H839">
        <v>4.3531283668280803E-2</v>
      </c>
      <c r="I839">
        <v>1</v>
      </c>
      <c r="J839">
        <v>0.39506355700000001</v>
      </c>
      <c r="P839"/>
      <c r="V839">
        <v>3.8290313301593798E-2</v>
      </c>
      <c r="W839">
        <v>1</v>
      </c>
      <c r="X839">
        <v>306271.45460452302</v>
      </c>
      <c r="Y839">
        <v>869</v>
      </c>
      <c r="Z839">
        <v>2.3072844416560701E-2</v>
      </c>
      <c r="AA839">
        <v>50</v>
      </c>
    </row>
    <row r="840" spans="1:27" x14ac:dyDescent="0.2">
      <c r="A840">
        <v>30</v>
      </c>
      <c r="B840">
        <v>1</v>
      </c>
      <c r="C840">
        <v>0.1</v>
      </c>
      <c r="D840">
        <v>100</v>
      </c>
      <c r="E840">
        <v>0.41719716422898301</v>
      </c>
      <c r="F840">
        <v>1</v>
      </c>
      <c r="G840">
        <v>31.514576341000001</v>
      </c>
      <c r="H840">
        <v>0.20516134194872501</v>
      </c>
      <c r="I840">
        <v>1</v>
      </c>
      <c r="J840">
        <v>0.95866322299999995</v>
      </c>
      <c r="P840"/>
      <c r="V840">
        <v>0.203204346933472</v>
      </c>
      <c r="W840">
        <v>1</v>
      </c>
      <c r="X840">
        <v>306612.05768569303</v>
      </c>
      <c r="Y840">
        <v>2559</v>
      </c>
      <c r="Z840">
        <v>4.0293974274074502E-2</v>
      </c>
      <c r="AA840">
        <v>50</v>
      </c>
    </row>
    <row r="841" spans="1:27" x14ac:dyDescent="0.2">
      <c r="A841">
        <v>30</v>
      </c>
      <c r="B841">
        <v>1</v>
      </c>
      <c r="C841">
        <v>0.2</v>
      </c>
      <c r="D841">
        <v>100</v>
      </c>
      <c r="E841">
        <v>0.19199943437627201</v>
      </c>
      <c r="F841">
        <v>1</v>
      </c>
      <c r="G841">
        <v>35.934141199999999</v>
      </c>
      <c r="H841">
        <v>4.3451683438392202E-2</v>
      </c>
      <c r="I841">
        <v>1</v>
      </c>
      <c r="J841">
        <v>0.36670316800000002</v>
      </c>
      <c r="P841"/>
      <c r="V841">
        <v>3.8003796051989398E-2</v>
      </c>
      <c r="W841">
        <v>1</v>
      </c>
      <c r="X841">
        <v>306782.28211397998</v>
      </c>
      <c r="Y841">
        <v>843</v>
      </c>
      <c r="Z841">
        <v>2.5388941353051801E-2</v>
      </c>
      <c r="AA841">
        <v>50</v>
      </c>
    </row>
    <row r="842" spans="1:27" x14ac:dyDescent="0.2">
      <c r="A842">
        <v>30</v>
      </c>
      <c r="B842">
        <v>1</v>
      </c>
      <c r="C842">
        <v>0.1</v>
      </c>
      <c r="D842">
        <v>100</v>
      </c>
      <c r="E842">
        <v>0.73765381755249804</v>
      </c>
      <c r="F842">
        <v>1</v>
      </c>
      <c r="G842">
        <v>31.753991629000001</v>
      </c>
      <c r="H842">
        <v>0.293626882080053</v>
      </c>
      <c r="I842">
        <v>1</v>
      </c>
      <c r="J842">
        <v>1.060009725</v>
      </c>
      <c r="P842"/>
      <c r="V842">
        <v>0.28468570350688099</v>
      </c>
      <c r="W842">
        <v>1</v>
      </c>
      <c r="X842">
        <v>307339.81876913598</v>
      </c>
      <c r="Y842">
        <v>4769</v>
      </c>
      <c r="Z842">
        <v>1.7209099296510499E-2</v>
      </c>
      <c r="AA842">
        <v>50</v>
      </c>
    </row>
    <row r="843" spans="1:27" x14ac:dyDescent="0.2">
      <c r="A843">
        <v>30</v>
      </c>
      <c r="B843">
        <v>1</v>
      </c>
      <c r="C843">
        <v>0.1</v>
      </c>
      <c r="D843">
        <v>100</v>
      </c>
      <c r="E843">
        <v>0.42007281933067497</v>
      </c>
      <c r="F843">
        <v>1</v>
      </c>
      <c r="G843">
        <v>35.667513980999999</v>
      </c>
      <c r="H843">
        <v>0.30112158370537001</v>
      </c>
      <c r="I843">
        <v>1</v>
      </c>
      <c r="J843">
        <v>1.192893513</v>
      </c>
      <c r="P843"/>
      <c r="V843">
        <v>0.29809600533040298</v>
      </c>
      <c r="W843">
        <v>1</v>
      </c>
      <c r="X843">
        <v>307344.82636667503</v>
      </c>
      <c r="Y843">
        <v>760</v>
      </c>
      <c r="Z843">
        <v>1.6260917100736599E-2</v>
      </c>
      <c r="AA843">
        <v>50</v>
      </c>
    </row>
    <row r="844" spans="1:27" x14ac:dyDescent="0.2">
      <c r="A844">
        <v>30</v>
      </c>
      <c r="B844">
        <v>1</v>
      </c>
      <c r="C844">
        <v>0.1</v>
      </c>
      <c r="D844">
        <v>100</v>
      </c>
      <c r="E844">
        <v>0.564805498777603</v>
      </c>
      <c r="F844">
        <v>1</v>
      </c>
      <c r="G844">
        <v>31.731003968</v>
      </c>
      <c r="H844">
        <v>0.37539171238156999</v>
      </c>
      <c r="I844">
        <v>1</v>
      </c>
      <c r="J844">
        <v>0.97932654500000005</v>
      </c>
      <c r="P844"/>
      <c r="V844">
        <v>0.37071400960433998</v>
      </c>
      <c r="W844">
        <v>1</v>
      </c>
      <c r="X844">
        <v>307522.05987467599</v>
      </c>
      <c r="Y844">
        <v>899</v>
      </c>
      <c r="Z844">
        <v>8.9821109925430007E-3</v>
      </c>
      <c r="AA844">
        <v>50</v>
      </c>
    </row>
    <row r="845" spans="1:27" x14ac:dyDescent="0.2">
      <c r="A845">
        <v>30</v>
      </c>
      <c r="B845">
        <v>1</v>
      </c>
      <c r="C845">
        <v>0.1</v>
      </c>
      <c r="D845">
        <v>100</v>
      </c>
      <c r="E845">
        <v>0.58033056106527103</v>
      </c>
      <c r="F845">
        <v>1</v>
      </c>
      <c r="G845">
        <v>37.248469630999999</v>
      </c>
      <c r="H845">
        <v>0.39398985739418202</v>
      </c>
      <c r="I845">
        <v>1</v>
      </c>
      <c r="J845">
        <v>0.61830189000000002</v>
      </c>
      <c r="P845"/>
      <c r="V845">
        <v>0.39069066540994601</v>
      </c>
      <c r="W845">
        <v>1</v>
      </c>
      <c r="X845">
        <v>307503.40122834902</v>
      </c>
      <c r="Y845">
        <v>0</v>
      </c>
      <c r="Z845">
        <v>0.22791842098781301</v>
      </c>
      <c r="AA845">
        <v>50</v>
      </c>
    </row>
    <row r="846" spans="1:27" x14ac:dyDescent="0.2">
      <c r="A846">
        <v>20</v>
      </c>
      <c r="B846">
        <v>2</v>
      </c>
      <c r="C846">
        <v>0.1</v>
      </c>
      <c r="D846">
        <v>20</v>
      </c>
      <c r="E846">
        <v>1.0889426791275301</v>
      </c>
      <c r="F846">
        <v>2</v>
      </c>
      <c r="G846">
        <v>32.618700076000003</v>
      </c>
      <c r="H846">
        <v>1.0502335743238</v>
      </c>
      <c r="I846">
        <v>2</v>
      </c>
      <c r="J846">
        <v>0.42985601899999998</v>
      </c>
      <c r="P846"/>
      <c r="V846">
        <v>1.0521699255988199</v>
      </c>
      <c r="W846">
        <v>2</v>
      </c>
      <c r="X846">
        <v>318.19020899700001</v>
      </c>
      <c r="Y846">
        <v>1</v>
      </c>
      <c r="Z846">
        <v>9.0951103468003506E-3</v>
      </c>
      <c r="AA846">
        <v>2</v>
      </c>
    </row>
    <row r="847" spans="1:27" x14ac:dyDescent="0.2">
      <c r="A847">
        <v>20</v>
      </c>
      <c r="B847">
        <v>2</v>
      </c>
      <c r="C847">
        <v>0.1</v>
      </c>
      <c r="D847">
        <v>20</v>
      </c>
      <c r="E847">
        <v>1.1089909424094999</v>
      </c>
      <c r="F847">
        <v>2</v>
      </c>
      <c r="G847">
        <v>31.179163286000001</v>
      </c>
      <c r="H847">
        <v>0.83641975828814896</v>
      </c>
      <c r="I847">
        <v>2</v>
      </c>
      <c r="J847">
        <v>0.68529500799999998</v>
      </c>
      <c r="P847"/>
      <c r="V847">
        <v>0.83711180567996302</v>
      </c>
      <c r="W847">
        <v>2</v>
      </c>
      <c r="X847">
        <v>1399.852886873</v>
      </c>
      <c r="Y847">
        <v>1</v>
      </c>
      <c r="Z847">
        <v>6.4335944988931897E-3</v>
      </c>
      <c r="AA847">
        <v>4</v>
      </c>
    </row>
    <row r="848" spans="1:27" x14ac:dyDescent="0.2">
      <c r="A848">
        <v>20</v>
      </c>
      <c r="B848">
        <v>2</v>
      </c>
      <c r="C848">
        <v>0.1</v>
      </c>
      <c r="D848">
        <v>20</v>
      </c>
      <c r="E848">
        <v>1.17403184098882</v>
      </c>
      <c r="F848">
        <v>2</v>
      </c>
      <c r="G848">
        <v>32.734150018000001</v>
      </c>
      <c r="H848">
        <v>1.0456732539537099</v>
      </c>
      <c r="I848">
        <v>2</v>
      </c>
      <c r="J848">
        <v>0.72967944200000001</v>
      </c>
      <c r="P848"/>
      <c r="V848">
        <v>1.04867395509099</v>
      </c>
      <c r="W848">
        <v>2</v>
      </c>
      <c r="X848">
        <v>469.823287483</v>
      </c>
      <c r="Y848">
        <v>1</v>
      </c>
      <c r="Z848">
        <v>9.1474463002121295E-3</v>
      </c>
      <c r="AA848">
        <v>2</v>
      </c>
    </row>
    <row r="849" spans="1:27" x14ac:dyDescent="0.2">
      <c r="A849">
        <v>10</v>
      </c>
      <c r="B849">
        <v>3</v>
      </c>
      <c r="C849">
        <v>0.1</v>
      </c>
      <c r="D849">
        <v>20</v>
      </c>
      <c r="E849">
        <v>0.94614487607957998</v>
      </c>
      <c r="F849">
        <v>3</v>
      </c>
      <c r="G849">
        <v>30.378772990000002</v>
      </c>
      <c r="H849">
        <v>0.96766258423993201</v>
      </c>
      <c r="I849">
        <v>3</v>
      </c>
      <c r="J849">
        <v>0.179247717</v>
      </c>
      <c r="P849"/>
      <c r="V849">
        <v>0.95789961465451301</v>
      </c>
      <c r="W849">
        <v>3</v>
      </c>
      <c r="X849">
        <v>294388.72759541299</v>
      </c>
      <c r="Y849">
        <v>65881</v>
      </c>
      <c r="Z849">
        <v>5.20583172851364E-2</v>
      </c>
      <c r="AA849">
        <v>50</v>
      </c>
    </row>
    <row r="850" spans="1:27" x14ac:dyDescent="0.2">
      <c r="A850">
        <v>10</v>
      </c>
      <c r="B850">
        <v>3</v>
      </c>
      <c r="C850">
        <v>0.3</v>
      </c>
      <c r="D850">
        <v>20</v>
      </c>
      <c r="E850">
        <v>0.74290794033699703</v>
      </c>
      <c r="F850">
        <v>3</v>
      </c>
      <c r="G850">
        <v>31.303184048999999</v>
      </c>
      <c r="H850">
        <v>0.79930856126052197</v>
      </c>
      <c r="I850">
        <v>3</v>
      </c>
      <c r="J850">
        <v>0.200401513</v>
      </c>
      <c r="P850"/>
      <c r="V850">
        <v>0.80556643795303295</v>
      </c>
      <c r="W850">
        <v>3</v>
      </c>
      <c r="X850">
        <v>296784.09777803899</v>
      </c>
      <c r="Y850">
        <v>26357</v>
      </c>
      <c r="Z850">
        <v>0.221813369361475</v>
      </c>
      <c r="AA850">
        <v>50</v>
      </c>
    </row>
    <row r="851" spans="1:27" x14ac:dyDescent="0.2">
      <c r="A851">
        <v>10</v>
      </c>
      <c r="B851">
        <v>3</v>
      </c>
      <c r="C851">
        <v>0.1</v>
      </c>
      <c r="D851">
        <v>20</v>
      </c>
      <c r="E851">
        <v>0.93179648531189896</v>
      </c>
      <c r="F851">
        <v>3</v>
      </c>
      <c r="G851">
        <v>23.533871486999999</v>
      </c>
      <c r="H851">
        <v>0.93181921723737804</v>
      </c>
      <c r="I851">
        <v>3</v>
      </c>
      <c r="J851">
        <v>4.2662130999999999E-2</v>
      </c>
      <c r="P851"/>
      <c r="V851">
        <v>0.93542819405375399</v>
      </c>
      <c r="W851">
        <v>3</v>
      </c>
      <c r="X851">
        <v>299472.42966523499</v>
      </c>
      <c r="Y851">
        <v>79000</v>
      </c>
      <c r="Z851">
        <v>1.6794059880357901E-2</v>
      </c>
      <c r="AA851">
        <v>50</v>
      </c>
    </row>
    <row r="852" spans="1:27" x14ac:dyDescent="0.2">
      <c r="A852">
        <v>10</v>
      </c>
      <c r="B852">
        <v>3</v>
      </c>
      <c r="C852">
        <v>0.3</v>
      </c>
      <c r="D852">
        <v>20</v>
      </c>
      <c r="E852">
        <v>0.87017794786786595</v>
      </c>
      <c r="F852">
        <v>3</v>
      </c>
      <c r="G852">
        <v>28.394746026</v>
      </c>
      <c r="H852">
        <v>0.89493891691290695</v>
      </c>
      <c r="I852">
        <v>3</v>
      </c>
      <c r="J852">
        <v>0.260776809</v>
      </c>
      <c r="P852"/>
      <c r="V852">
        <v>0.89595505570666201</v>
      </c>
      <c r="W852">
        <v>3</v>
      </c>
      <c r="X852">
        <v>300072.17178878502</v>
      </c>
      <c r="Y852">
        <v>25651</v>
      </c>
      <c r="Z852">
        <v>0.152250723060562</v>
      </c>
      <c r="AA852">
        <v>50</v>
      </c>
    </row>
    <row r="853" spans="1:27" x14ac:dyDescent="0.2">
      <c r="A853">
        <v>10</v>
      </c>
      <c r="B853">
        <v>3</v>
      </c>
      <c r="C853">
        <v>0.2</v>
      </c>
      <c r="D853">
        <v>20</v>
      </c>
      <c r="E853">
        <v>1.0054049354886301</v>
      </c>
      <c r="F853">
        <v>3</v>
      </c>
      <c r="G853">
        <v>30.427143621999999</v>
      </c>
      <c r="H853">
        <v>0.97933271212551098</v>
      </c>
      <c r="I853">
        <v>3</v>
      </c>
      <c r="J853">
        <v>0.14468531200000001</v>
      </c>
      <c r="P853"/>
      <c r="V853">
        <v>0.97958608216451704</v>
      </c>
      <c r="W853">
        <v>3</v>
      </c>
      <c r="X853">
        <v>301282.01801486203</v>
      </c>
      <c r="Y853">
        <v>48935</v>
      </c>
      <c r="Z853">
        <v>2.47447110756586E-2</v>
      </c>
      <c r="AA853">
        <v>50</v>
      </c>
    </row>
    <row r="854" spans="1:27" x14ac:dyDescent="0.2">
      <c r="A854">
        <v>10</v>
      </c>
      <c r="B854">
        <v>3</v>
      </c>
      <c r="C854">
        <v>0.1</v>
      </c>
      <c r="D854">
        <v>20</v>
      </c>
      <c r="E854">
        <v>0.95818813793443003</v>
      </c>
      <c r="F854">
        <v>3</v>
      </c>
      <c r="G854">
        <v>28.967838233999998</v>
      </c>
      <c r="H854">
        <v>0.95781794834031897</v>
      </c>
      <c r="I854">
        <v>3</v>
      </c>
      <c r="J854">
        <v>8.4339065000000005E-2</v>
      </c>
      <c r="P854"/>
      <c r="V854">
        <v>0.98364052326468898</v>
      </c>
      <c r="W854">
        <v>3</v>
      </c>
      <c r="X854">
        <v>301291.64997090201</v>
      </c>
      <c r="Y854">
        <v>58019</v>
      </c>
      <c r="Z854">
        <v>1.21701301465242E-2</v>
      </c>
      <c r="AA854">
        <v>50</v>
      </c>
    </row>
    <row r="855" spans="1:27" x14ac:dyDescent="0.2">
      <c r="A855">
        <v>10</v>
      </c>
      <c r="B855">
        <v>3</v>
      </c>
      <c r="C855">
        <v>0.2</v>
      </c>
      <c r="D855">
        <v>20</v>
      </c>
      <c r="E855">
        <v>0.80386120435087605</v>
      </c>
      <c r="F855">
        <v>3</v>
      </c>
      <c r="G855">
        <v>30.688553267</v>
      </c>
      <c r="H855">
        <v>0.87347150560641296</v>
      </c>
      <c r="I855">
        <v>3</v>
      </c>
      <c r="J855">
        <v>0.395673726</v>
      </c>
      <c r="P855"/>
      <c r="V855">
        <v>0.87041844194318196</v>
      </c>
      <c r="W855">
        <v>3</v>
      </c>
      <c r="X855">
        <v>301881.06925736403</v>
      </c>
      <c r="Y855">
        <v>34789</v>
      </c>
      <c r="Z855">
        <v>0.139068888781785</v>
      </c>
      <c r="AA855">
        <v>50</v>
      </c>
    </row>
    <row r="856" spans="1:27" x14ac:dyDescent="0.2">
      <c r="A856">
        <v>10</v>
      </c>
      <c r="B856">
        <v>3</v>
      </c>
      <c r="C856">
        <v>0.2</v>
      </c>
      <c r="D856">
        <v>20</v>
      </c>
      <c r="E856">
        <v>0.86509167584156699</v>
      </c>
      <c r="F856">
        <v>3</v>
      </c>
      <c r="G856">
        <v>30.513391227</v>
      </c>
      <c r="H856">
        <v>0.869085938876893</v>
      </c>
      <c r="I856">
        <v>3</v>
      </c>
      <c r="J856">
        <v>0.22620801800000001</v>
      </c>
      <c r="P856"/>
      <c r="V856">
        <v>0.87020832771777501</v>
      </c>
      <c r="W856">
        <v>3</v>
      </c>
      <c r="X856">
        <v>302779.55839911097</v>
      </c>
      <c r="Y856">
        <v>25162</v>
      </c>
      <c r="Z856">
        <v>0.15166776180600999</v>
      </c>
      <c r="AA856">
        <v>50</v>
      </c>
    </row>
    <row r="857" spans="1:27" x14ac:dyDescent="0.2">
      <c r="A857">
        <v>10</v>
      </c>
      <c r="B857">
        <v>3</v>
      </c>
      <c r="C857">
        <v>0.3</v>
      </c>
      <c r="D857">
        <v>20</v>
      </c>
      <c r="E857">
        <v>0.872364702435794</v>
      </c>
      <c r="F857">
        <v>3</v>
      </c>
      <c r="G857">
        <v>30.594813823999999</v>
      </c>
      <c r="H857">
        <v>0.87495772792511795</v>
      </c>
      <c r="I857">
        <v>3</v>
      </c>
      <c r="J857">
        <v>0.206538998</v>
      </c>
      <c r="P857"/>
      <c r="V857">
        <v>0.880416907841862</v>
      </c>
      <c r="W857">
        <v>3</v>
      </c>
      <c r="X857">
        <v>303682.34405920299</v>
      </c>
      <c r="Y857">
        <v>33050</v>
      </c>
      <c r="Z857">
        <v>0.51151107940226304</v>
      </c>
      <c r="AA857">
        <v>50</v>
      </c>
    </row>
    <row r="858" spans="1:27" x14ac:dyDescent="0.2">
      <c r="A858">
        <v>10</v>
      </c>
      <c r="B858">
        <v>3</v>
      </c>
      <c r="C858">
        <v>0.2</v>
      </c>
      <c r="D858">
        <v>20</v>
      </c>
      <c r="E858">
        <v>0.86034447382830603</v>
      </c>
      <c r="F858">
        <v>3</v>
      </c>
      <c r="G858">
        <v>24.085595591000001</v>
      </c>
      <c r="H858">
        <v>0.84428086267994096</v>
      </c>
      <c r="I858">
        <v>3</v>
      </c>
      <c r="J858">
        <v>0.18517597199999999</v>
      </c>
      <c r="P858"/>
      <c r="V858">
        <v>0.84416770444991596</v>
      </c>
      <c r="W858">
        <v>3</v>
      </c>
      <c r="X858">
        <v>303968.12161001901</v>
      </c>
      <c r="Y858">
        <v>29833</v>
      </c>
      <c r="Z858">
        <v>5.6237102188534498E-2</v>
      </c>
      <c r="AA858">
        <v>50</v>
      </c>
    </row>
    <row r="859" spans="1:27" x14ac:dyDescent="0.2">
      <c r="A859">
        <v>10</v>
      </c>
      <c r="B859">
        <v>3</v>
      </c>
      <c r="C859">
        <v>0.2</v>
      </c>
      <c r="D859">
        <v>20</v>
      </c>
      <c r="E859">
        <v>1.02150558528626</v>
      </c>
      <c r="F859">
        <v>3</v>
      </c>
      <c r="G859">
        <v>34.544989045000001</v>
      </c>
      <c r="H859">
        <v>0.96940488611046904</v>
      </c>
      <c r="I859">
        <v>3</v>
      </c>
      <c r="J859">
        <v>0.35337368299999999</v>
      </c>
      <c r="P859"/>
      <c r="V859">
        <v>0.97081892131912595</v>
      </c>
      <c r="W859">
        <v>3</v>
      </c>
      <c r="X859">
        <v>303985.87188408198</v>
      </c>
      <c r="Y859">
        <v>40323</v>
      </c>
      <c r="Z859">
        <v>3.0925323779356001E-2</v>
      </c>
      <c r="AA859">
        <v>50</v>
      </c>
    </row>
    <row r="860" spans="1:27" x14ac:dyDescent="0.2">
      <c r="A860">
        <v>10</v>
      </c>
      <c r="B860">
        <v>3</v>
      </c>
      <c r="C860">
        <v>0.2</v>
      </c>
      <c r="D860">
        <v>20</v>
      </c>
      <c r="E860">
        <v>1.0058561367510901</v>
      </c>
      <c r="F860">
        <v>3</v>
      </c>
      <c r="G860">
        <v>28.347237067999998</v>
      </c>
      <c r="H860">
        <v>1.0496158473077799</v>
      </c>
      <c r="I860">
        <v>3</v>
      </c>
      <c r="J860">
        <v>0.184451529</v>
      </c>
      <c r="P860"/>
      <c r="V860">
        <v>1.05211759750125</v>
      </c>
      <c r="W860">
        <v>3</v>
      </c>
      <c r="X860">
        <v>304281.10831968801</v>
      </c>
      <c r="Y860">
        <v>32246</v>
      </c>
      <c r="Z860">
        <v>2.4221094658821201E-2</v>
      </c>
      <c r="AA860">
        <v>50</v>
      </c>
    </row>
    <row r="861" spans="1:27" x14ac:dyDescent="0.2">
      <c r="A861">
        <v>10</v>
      </c>
      <c r="B861">
        <v>3</v>
      </c>
      <c r="C861">
        <v>0.3</v>
      </c>
      <c r="D861">
        <v>20</v>
      </c>
      <c r="E861">
        <v>0.99907766897751404</v>
      </c>
      <c r="F861">
        <v>3</v>
      </c>
      <c r="G861">
        <v>30.722312516999999</v>
      </c>
      <c r="H861">
        <v>0.99335035792371396</v>
      </c>
      <c r="I861">
        <v>3</v>
      </c>
      <c r="J861">
        <v>0.13436704599999999</v>
      </c>
      <c r="P861"/>
      <c r="V861">
        <v>0.996090496943145</v>
      </c>
      <c r="W861">
        <v>3</v>
      </c>
      <c r="X861">
        <v>306979.691263335</v>
      </c>
      <c r="Y861">
        <v>28579</v>
      </c>
      <c r="Z861">
        <v>0.127896504629778</v>
      </c>
      <c r="AA861">
        <v>50</v>
      </c>
    </row>
    <row r="862" spans="1:27" x14ac:dyDescent="0.2">
      <c r="A862">
        <v>10</v>
      </c>
      <c r="B862">
        <v>3</v>
      </c>
      <c r="C862">
        <v>0.2</v>
      </c>
      <c r="D862">
        <v>20</v>
      </c>
      <c r="E862">
        <v>0.87514512695084101</v>
      </c>
      <c r="F862">
        <v>3</v>
      </c>
      <c r="G862">
        <v>32.964776659000002</v>
      </c>
      <c r="H862">
        <v>0.87538278240017098</v>
      </c>
      <c r="I862">
        <v>3</v>
      </c>
      <c r="J862">
        <v>7.7073254999999993E-2</v>
      </c>
      <c r="P862"/>
      <c r="V862">
        <v>0.875206111916076</v>
      </c>
      <c r="W862">
        <v>3</v>
      </c>
      <c r="X862">
        <v>302778.84380755399</v>
      </c>
      <c r="Y862">
        <v>26359</v>
      </c>
      <c r="Z862">
        <v>7.9729117345750999E-2</v>
      </c>
      <c r="AA862">
        <v>50</v>
      </c>
    </row>
    <row r="863" spans="1:27" x14ac:dyDescent="0.2">
      <c r="A863">
        <v>10</v>
      </c>
      <c r="B863">
        <v>3</v>
      </c>
      <c r="C863">
        <v>0.3</v>
      </c>
      <c r="D863">
        <v>20</v>
      </c>
      <c r="E863">
        <v>0.870730568919863</v>
      </c>
      <c r="F863">
        <v>3</v>
      </c>
      <c r="G863">
        <v>30.375628643999999</v>
      </c>
      <c r="H863">
        <v>0.89512150833825699</v>
      </c>
      <c r="I863">
        <v>3</v>
      </c>
      <c r="J863">
        <v>0.30684931100000001</v>
      </c>
      <c r="P863"/>
      <c r="V863">
        <v>0.90053114501115705</v>
      </c>
      <c r="W863">
        <v>3</v>
      </c>
      <c r="X863">
        <v>300074.46866113599</v>
      </c>
      <c r="Y863">
        <v>22993</v>
      </c>
      <c r="Z863">
        <v>0.28182276504862602</v>
      </c>
      <c r="AA863">
        <v>50</v>
      </c>
    </row>
    <row r="864" spans="1:27" x14ac:dyDescent="0.2">
      <c r="A864">
        <v>10</v>
      </c>
      <c r="B864">
        <v>3</v>
      </c>
      <c r="C864">
        <v>0.3</v>
      </c>
      <c r="D864">
        <v>20</v>
      </c>
      <c r="E864">
        <v>0.88065842736568201</v>
      </c>
      <c r="F864">
        <v>3</v>
      </c>
      <c r="G864">
        <v>31.849957661000001</v>
      </c>
      <c r="H864">
        <v>0.89625860329718499</v>
      </c>
      <c r="I864">
        <v>3</v>
      </c>
      <c r="J864">
        <v>0.445975222</v>
      </c>
      <c r="P864"/>
      <c r="V864">
        <v>0.90076892964463295</v>
      </c>
      <c r="W864">
        <v>3</v>
      </c>
      <c r="X864">
        <v>306984.65871156601</v>
      </c>
      <c r="Y864">
        <v>34473</v>
      </c>
      <c r="Z864">
        <v>0.40190575385350502</v>
      </c>
      <c r="AA864">
        <v>50</v>
      </c>
    </row>
    <row r="865" spans="1:27" x14ac:dyDescent="0.2">
      <c r="A865">
        <v>10</v>
      </c>
      <c r="B865">
        <v>3</v>
      </c>
      <c r="C865">
        <v>0.3</v>
      </c>
      <c r="D865">
        <v>20</v>
      </c>
      <c r="E865">
        <v>0.844021932184289</v>
      </c>
      <c r="F865">
        <v>3</v>
      </c>
      <c r="G865">
        <v>29.374221752</v>
      </c>
      <c r="H865">
        <v>0.74369955884986105</v>
      </c>
      <c r="I865">
        <v>3</v>
      </c>
      <c r="J865">
        <v>0.72112139099999994</v>
      </c>
      <c r="P865"/>
      <c r="V865">
        <v>0.74433980886644002</v>
      </c>
      <c r="W865">
        <v>3</v>
      </c>
      <c r="X865">
        <v>302183.27303624502</v>
      </c>
      <c r="Y865">
        <v>25153</v>
      </c>
      <c r="Z865">
        <v>0.23566369665438699</v>
      </c>
      <c r="AA865">
        <v>50</v>
      </c>
    </row>
    <row r="866" spans="1:27" x14ac:dyDescent="0.2">
      <c r="A866">
        <v>10</v>
      </c>
      <c r="B866">
        <v>3</v>
      </c>
      <c r="C866">
        <v>0.3</v>
      </c>
      <c r="D866">
        <v>20</v>
      </c>
      <c r="E866">
        <v>0.951403950434632</v>
      </c>
      <c r="F866">
        <v>3</v>
      </c>
      <c r="G866">
        <v>30.276150531999999</v>
      </c>
      <c r="H866">
        <v>0.77464813952450895</v>
      </c>
      <c r="I866">
        <v>3</v>
      </c>
      <c r="J866">
        <v>0.418333754</v>
      </c>
      <c r="P866"/>
      <c r="V866">
        <v>0.77565764019176797</v>
      </c>
      <c r="W866">
        <v>3</v>
      </c>
      <c r="X866">
        <v>303978.79191270698</v>
      </c>
      <c r="Y866">
        <v>25621</v>
      </c>
      <c r="Z866">
        <v>0.29915141090645297</v>
      </c>
      <c r="AA866">
        <v>50</v>
      </c>
    </row>
    <row r="867" spans="1:27" x14ac:dyDescent="0.2">
      <c r="A867">
        <v>10</v>
      </c>
      <c r="B867">
        <v>3</v>
      </c>
      <c r="C867">
        <v>0.3</v>
      </c>
      <c r="D867">
        <v>20</v>
      </c>
      <c r="E867">
        <v>0.81474835969299098</v>
      </c>
      <c r="F867">
        <v>3</v>
      </c>
      <c r="G867">
        <v>30.253805452999998</v>
      </c>
      <c r="H867">
        <v>0.76021651600012197</v>
      </c>
      <c r="I867">
        <v>3</v>
      </c>
      <c r="J867">
        <v>0.32334209699999999</v>
      </c>
      <c r="P867"/>
      <c r="V867">
        <v>0.76262564701284696</v>
      </c>
      <c r="W867">
        <v>3</v>
      </c>
      <c r="X867">
        <v>303982.61191920203</v>
      </c>
      <c r="Y867">
        <v>26551</v>
      </c>
      <c r="Z867">
        <v>8.5385802880048198E-2</v>
      </c>
      <c r="AA867">
        <v>50</v>
      </c>
    </row>
    <row r="868" spans="1:27" x14ac:dyDescent="0.2">
      <c r="A868">
        <v>10</v>
      </c>
      <c r="B868">
        <v>3</v>
      </c>
      <c r="C868">
        <v>0.3</v>
      </c>
      <c r="D868">
        <v>20</v>
      </c>
      <c r="E868">
        <v>0.85494788770222596</v>
      </c>
      <c r="F868">
        <v>3</v>
      </c>
      <c r="G868">
        <v>31.059282997</v>
      </c>
      <c r="H868">
        <v>0.80033818187049699</v>
      </c>
      <c r="I868">
        <v>3</v>
      </c>
      <c r="J868">
        <v>0.45439879999999999</v>
      </c>
      <c r="P868"/>
      <c r="V868">
        <v>0.79277838881450202</v>
      </c>
      <c r="W868">
        <v>3</v>
      </c>
      <c r="X868">
        <v>303980.75028457399</v>
      </c>
      <c r="Y868">
        <v>37216</v>
      </c>
      <c r="Z868">
        <v>0.208686557803066</v>
      </c>
      <c r="AA868">
        <v>50</v>
      </c>
    </row>
    <row r="869" spans="1:27" x14ac:dyDescent="0.2">
      <c r="A869">
        <v>10</v>
      </c>
      <c r="B869">
        <v>3</v>
      </c>
      <c r="C869">
        <v>0.3</v>
      </c>
      <c r="D869">
        <v>20</v>
      </c>
      <c r="E869">
        <v>0.84433947859501002</v>
      </c>
      <c r="F869">
        <v>3</v>
      </c>
      <c r="G869">
        <v>30.902459008000001</v>
      </c>
      <c r="H869">
        <v>0.84703516775445298</v>
      </c>
      <c r="I869">
        <v>3</v>
      </c>
      <c r="J869">
        <v>0.19450710299999999</v>
      </c>
      <c r="P869"/>
      <c r="V869">
        <v>0.84706672850026499</v>
      </c>
      <c r="W869">
        <v>3</v>
      </c>
      <c r="X869">
        <v>302179.93415026501</v>
      </c>
      <c r="Y869">
        <v>30086</v>
      </c>
      <c r="Z869">
        <v>0.28923639678630703</v>
      </c>
      <c r="AA869">
        <v>50</v>
      </c>
    </row>
    <row r="870" spans="1:27" x14ac:dyDescent="0.2">
      <c r="A870">
        <v>10</v>
      </c>
      <c r="B870">
        <v>2</v>
      </c>
      <c r="C870">
        <v>0.3</v>
      </c>
      <c r="D870">
        <v>100</v>
      </c>
      <c r="E870">
        <v>1.0955349642079899</v>
      </c>
      <c r="F870">
        <v>2</v>
      </c>
      <c r="G870">
        <v>28.652512239</v>
      </c>
      <c r="H870">
        <v>1.0933457466419501</v>
      </c>
      <c r="I870">
        <v>2</v>
      </c>
      <c r="J870">
        <v>0.39292885300000002</v>
      </c>
      <c r="P870"/>
      <c r="V870">
        <v>1.0950982527488</v>
      </c>
      <c r="W870">
        <v>2</v>
      </c>
      <c r="X870">
        <v>53.601511535999997</v>
      </c>
      <c r="Y870">
        <v>1</v>
      </c>
      <c r="Z870">
        <v>8.8937428627104895E-3</v>
      </c>
      <c r="AA870">
        <v>1</v>
      </c>
    </row>
    <row r="871" spans="1:27" x14ac:dyDescent="0.2">
      <c r="A871">
        <v>10</v>
      </c>
      <c r="B871">
        <v>3</v>
      </c>
      <c r="C871">
        <v>0.3</v>
      </c>
      <c r="D871">
        <v>20</v>
      </c>
      <c r="E871">
        <v>0.90754123051278901</v>
      </c>
      <c r="F871">
        <v>3</v>
      </c>
      <c r="G871">
        <v>29.460525558000001</v>
      </c>
      <c r="H871">
        <v>0.88117618870817305</v>
      </c>
      <c r="I871">
        <v>3</v>
      </c>
      <c r="J871">
        <v>0.69198136600000004</v>
      </c>
      <c r="P871"/>
      <c r="V871">
        <v>0.88178888197878802</v>
      </c>
      <c r="W871">
        <v>3</v>
      </c>
      <c r="X871">
        <v>295279.41173471499</v>
      </c>
      <c r="Y871">
        <v>24460</v>
      </c>
      <c r="Z871">
        <v>0.179768581038144</v>
      </c>
      <c r="AA871">
        <v>50</v>
      </c>
    </row>
    <row r="872" spans="1:27" x14ac:dyDescent="0.2">
      <c r="A872">
        <v>10</v>
      </c>
      <c r="B872">
        <v>3</v>
      </c>
      <c r="C872">
        <v>0.3</v>
      </c>
      <c r="D872">
        <v>20</v>
      </c>
      <c r="E872">
        <v>0.76913890009344199</v>
      </c>
      <c r="F872">
        <v>3</v>
      </c>
      <c r="G872">
        <v>29.466379037999999</v>
      </c>
      <c r="H872">
        <v>0.801177629669098</v>
      </c>
      <c r="I872">
        <v>3</v>
      </c>
      <c r="J872">
        <v>0.16554539600000001</v>
      </c>
      <c r="P872"/>
      <c r="V872">
        <v>0.80805112897210096</v>
      </c>
      <c r="W872">
        <v>3</v>
      </c>
      <c r="X872">
        <v>295280.88745843503</v>
      </c>
      <c r="Y872">
        <v>30429</v>
      </c>
      <c r="Z872">
        <v>0.11843189866878399</v>
      </c>
      <c r="AA872">
        <v>50</v>
      </c>
    </row>
    <row r="873" spans="1:27" x14ac:dyDescent="0.2">
      <c r="A873">
        <v>10</v>
      </c>
      <c r="B873">
        <v>3</v>
      </c>
      <c r="C873">
        <v>0.3</v>
      </c>
      <c r="D873">
        <v>20</v>
      </c>
      <c r="E873">
        <v>0.90660802220572301</v>
      </c>
      <c r="F873">
        <v>3</v>
      </c>
      <c r="G873">
        <v>29.658986220999999</v>
      </c>
      <c r="H873">
        <v>0.88671570116880805</v>
      </c>
      <c r="I873">
        <v>3</v>
      </c>
      <c r="J873">
        <v>0.23948004000000001</v>
      </c>
      <c r="P873"/>
      <c r="V873">
        <v>0.88795394064414601</v>
      </c>
      <c r="W873">
        <v>3</v>
      </c>
      <c r="X873">
        <v>296180.53531982499</v>
      </c>
      <c r="Y873">
        <v>24513</v>
      </c>
      <c r="Z873">
        <v>0.18251920285547299</v>
      </c>
      <c r="AA873">
        <v>50</v>
      </c>
    </row>
    <row r="874" spans="1:27" x14ac:dyDescent="0.2">
      <c r="A874">
        <v>10</v>
      </c>
      <c r="B874">
        <v>3</v>
      </c>
      <c r="C874">
        <v>0.3</v>
      </c>
      <c r="D874">
        <v>20</v>
      </c>
      <c r="E874">
        <v>0.94551590618212999</v>
      </c>
      <c r="F874">
        <v>3</v>
      </c>
      <c r="G874">
        <v>29.908444368000001</v>
      </c>
      <c r="H874">
        <v>0.95147111209089597</v>
      </c>
      <c r="I874">
        <v>3</v>
      </c>
      <c r="J874">
        <v>0.486414758</v>
      </c>
      <c r="P874"/>
      <c r="V874">
        <v>0.95384921576960802</v>
      </c>
      <c r="W874">
        <v>3</v>
      </c>
      <c r="X874">
        <v>303984.09498459002</v>
      </c>
      <c r="Y874">
        <v>36839</v>
      </c>
      <c r="Z874">
        <v>0.138235550800589</v>
      </c>
      <c r="AA874">
        <v>50</v>
      </c>
    </row>
    <row r="875" spans="1:27" x14ac:dyDescent="0.2">
      <c r="A875">
        <v>10</v>
      </c>
      <c r="B875">
        <v>3</v>
      </c>
      <c r="C875">
        <v>0.3</v>
      </c>
      <c r="D875">
        <v>20</v>
      </c>
      <c r="E875">
        <v>0.98521370216055204</v>
      </c>
      <c r="F875">
        <v>3</v>
      </c>
      <c r="G875">
        <v>30.408067102</v>
      </c>
      <c r="H875">
        <v>0.98324912502792705</v>
      </c>
      <c r="I875">
        <v>3</v>
      </c>
      <c r="J875">
        <v>0.47254878</v>
      </c>
      <c r="P875"/>
      <c r="V875">
        <v>0.99001755691578197</v>
      </c>
      <c r="W875">
        <v>3</v>
      </c>
      <c r="X875">
        <v>299177.87990053999</v>
      </c>
      <c r="Y875">
        <v>33762</v>
      </c>
      <c r="Z875">
        <v>4.51485557416305E-2</v>
      </c>
      <c r="AA875">
        <v>50</v>
      </c>
    </row>
    <row r="876" spans="1:27" x14ac:dyDescent="0.2">
      <c r="A876">
        <v>10</v>
      </c>
      <c r="B876">
        <v>3</v>
      </c>
      <c r="C876">
        <v>0.3</v>
      </c>
      <c r="D876">
        <v>20</v>
      </c>
      <c r="E876">
        <v>0.82072053642478004</v>
      </c>
      <c r="F876">
        <v>3</v>
      </c>
      <c r="G876">
        <v>29.811969511000001</v>
      </c>
      <c r="H876">
        <v>0.88217086309612003</v>
      </c>
      <c r="I876">
        <v>3</v>
      </c>
      <c r="J876">
        <v>0.32853496199999999</v>
      </c>
      <c r="P876"/>
      <c r="V876">
        <v>0.88561780761096198</v>
      </c>
      <c r="W876">
        <v>3</v>
      </c>
      <c r="X876">
        <v>304876.14194641297</v>
      </c>
      <c r="Y876">
        <v>24956</v>
      </c>
      <c r="Z876">
        <v>8.2146767554414801E-2</v>
      </c>
      <c r="AA876">
        <v>50</v>
      </c>
    </row>
    <row r="877" spans="1:27" x14ac:dyDescent="0.2">
      <c r="A877">
        <v>10</v>
      </c>
      <c r="B877">
        <v>3</v>
      </c>
      <c r="C877">
        <v>0.3</v>
      </c>
      <c r="D877">
        <v>20</v>
      </c>
      <c r="E877">
        <v>0.877847799726302</v>
      </c>
      <c r="F877">
        <v>3</v>
      </c>
      <c r="G877">
        <v>28.393744365</v>
      </c>
      <c r="H877">
        <v>0.84683326070546605</v>
      </c>
      <c r="I877">
        <v>3</v>
      </c>
      <c r="J877">
        <v>0.23563835999999999</v>
      </c>
      <c r="P877"/>
      <c r="V877">
        <v>0.84667520213460301</v>
      </c>
      <c r="W877">
        <v>3</v>
      </c>
      <c r="X877">
        <v>301879.08143575699</v>
      </c>
      <c r="Y877">
        <v>28715</v>
      </c>
      <c r="Z877">
        <v>0.11210540625462601</v>
      </c>
      <c r="AA877">
        <v>50</v>
      </c>
    </row>
    <row r="878" spans="1:27" x14ac:dyDescent="0.2">
      <c r="A878">
        <v>50</v>
      </c>
      <c r="B878">
        <v>1</v>
      </c>
      <c r="C878">
        <v>0.1</v>
      </c>
      <c r="D878">
        <v>100</v>
      </c>
      <c r="E878">
        <v>0.26203792300693002</v>
      </c>
      <c r="F878">
        <v>1</v>
      </c>
      <c r="G878">
        <v>32.027148529000002</v>
      </c>
      <c r="H878">
        <v>6.0007707076589499E-2</v>
      </c>
      <c r="I878">
        <v>1</v>
      </c>
      <c r="J878">
        <v>1.241916263</v>
      </c>
      <c r="P878"/>
      <c r="V878">
        <v>5.4203752371963697E-2</v>
      </c>
      <c r="W878">
        <v>1</v>
      </c>
      <c r="X878">
        <v>306720.146124942</v>
      </c>
      <c r="Y878">
        <v>62</v>
      </c>
      <c r="Z878">
        <v>7.7655485707584807E-2</v>
      </c>
      <c r="AA878">
        <v>50</v>
      </c>
    </row>
    <row r="879" spans="1:27" x14ac:dyDescent="0.2">
      <c r="A879">
        <v>50</v>
      </c>
      <c r="B879">
        <v>1</v>
      </c>
      <c r="C879">
        <v>0.1</v>
      </c>
      <c r="D879">
        <v>100</v>
      </c>
      <c r="E879">
        <v>0.479739143758038</v>
      </c>
      <c r="F879">
        <v>1</v>
      </c>
      <c r="G879">
        <v>32.039539394000002</v>
      </c>
      <c r="H879">
        <v>0.432799710025837</v>
      </c>
      <c r="I879">
        <v>1</v>
      </c>
      <c r="J879">
        <v>1.0245684580000001</v>
      </c>
      <c r="P879"/>
      <c r="V879">
        <v>0.41659260459187197</v>
      </c>
      <c r="W879">
        <v>1</v>
      </c>
      <c r="X879">
        <v>306841.783245172</v>
      </c>
      <c r="Y879">
        <v>36</v>
      </c>
      <c r="Z879">
        <v>4.5839358869684398E-2</v>
      </c>
      <c r="AA879">
        <v>50</v>
      </c>
    </row>
    <row r="880" spans="1:27" x14ac:dyDescent="0.2">
      <c r="A880">
        <v>50</v>
      </c>
      <c r="B880">
        <v>1</v>
      </c>
      <c r="C880">
        <v>0.1</v>
      </c>
      <c r="D880">
        <v>100</v>
      </c>
      <c r="E880">
        <v>0.22942182437370501</v>
      </c>
      <c r="F880">
        <v>1</v>
      </c>
      <c r="G880">
        <v>32.005774508000002</v>
      </c>
      <c r="H880">
        <v>8.2925955791160494E-2</v>
      </c>
      <c r="I880">
        <v>1</v>
      </c>
      <c r="J880">
        <v>1.5103312419999999</v>
      </c>
      <c r="P880"/>
      <c r="V880">
        <v>7.6206311426028503E-2</v>
      </c>
      <c r="W880">
        <v>1</v>
      </c>
      <c r="X880">
        <v>307607.59619279503</v>
      </c>
      <c r="Y880">
        <v>1</v>
      </c>
      <c r="Z880">
        <v>0.163160681215863</v>
      </c>
      <c r="AA880">
        <v>50</v>
      </c>
    </row>
    <row r="881" spans="1:27" x14ac:dyDescent="0.2">
      <c r="A881">
        <v>50</v>
      </c>
      <c r="B881">
        <v>1</v>
      </c>
      <c r="C881">
        <v>0.1</v>
      </c>
      <c r="D881">
        <v>100</v>
      </c>
      <c r="E881">
        <v>0.164570293106965</v>
      </c>
      <c r="F881">
        <v>1</v>
      </c>
      <c r="G881">
        <v>32.164614942</v>
      </c>
      <c r="H881">
        <v>8.7022150186714997E-2</v>
      </c>
      <c r="I881">
        <v>1</v>
      </c>
      <c r="J881">
        <v>1.446633281</v>
      </c>
      <c r="P881"/>
      <c r="V881">
        <v>7.18497697127293E-2</v>
      </c>
      <c r="W881">
        <v>1</v>
      </c>
      <c r="X881">
        <v>306653.268537461</v>
      </c>
      <c r="Y881">
        <v>88</v>
      </c>
      <c r="Z881">
        <v>8.9174341467970805E-2</v>
      </c>
      <c r="AA881">
        <v>50</v>
      </c>
    </row>
    <row r="882" spans="1:27" x14ac:dyDescent="0.2">
      <c r="A882">
        <v>50</v>
      </c>
      <c r="B882">
        <v>1</v>
      </c>
      <c r="C882">
        <v>0.1</v>
      </c>
      <c r="D882">
        <v>100</v>
      </c>
      <c r="E882">
        <v>0.14123298263660899</v>
      </c>
      <c r="F882">
        <v>1</v>
      </c>
      <c r="G882">
        <v>31.480954840999999</v>
      </c>
      <c r="H882">
        <v>6.5215561837999897E-2</v>
      </c>
      <c r="I882">
        <v>1</v>
      </c>
      <c r="J882">
        <v>0.85872929600000003</v>
      </c>
      <c r="P882"/>
      <c r="V882">
        <v>5.6333762597183999E-2</v>
      </c>
      <c r="W882">
        <v>1</v>
      </c>
      <c r="X882">
        <v>307251.46304241702</v>
      </c>
      <c r="Y882">
        <v>75</v>
      </c>
      <c r="Z882">
        <v>8.7284609729060894E-2</v>
      </c>
      <c r="AA882">
        <v>50</v>
      </c>
    </row>
    <row r="883" spans="1:27" x14ac:dyDescent="0.2">
      <c r="A883">
        <v>50</v>
      </c>
      <c r="B883">
        <v>1</v>
      </c>
      <c r="C883">
        <v>0.1</v>
      </c>
      <c r="D883">
        <v>100</v>
      </c>
      <c r="E883">
        <v>0.24532225333580501</v>
      </c>
      <c r="F883">
        <v>1</v>
      </c>
      <c r="G883">
        <v>32.186326647000001</v>
      </c>
      <c r="H883">
        <v>6.83802064724853E-2</v>
      </c>
      <c r="I883">
        <v>1</v>
      </c>
      <c r="J883">
        <v>1.490431716</v>
      </c>
      <c r="P883"/>
      <c r="V883">
        <v>6.4302905144092898E-2</v>
      </c>
      <c r="W883">
        <v>1</v>
      </c>
      <c r="X883">
        <v>307283.87226534</v>
      </c>
      <c r="Y883">
        <v>86</v>
      </c>
      <c r="Z883">
        <v>8.7472648332213201E-2</v>
      </c>
      <c r="AA883">
        <v>50</v>
      </c>
    </row>
    <row r="884" spans="1:27" x14ac:dyDescent="0.2">
      <c r="A884">
        <v>50</v>
      </c>
      <c r="B884">
        <v>1</v>
      </c>
      <c r="C884">
        <v>0.1</v>
      </c>
      <c r="D884">
        <v>100</v>
      </c>
      <c r="E884">
        <v>0.29350507334214598</v>
      </c>
      <c r="F884">
        <v>1</v>
      </c>
      <c r="G884">
        <v>31.795795571999999</v>
      </c>
      <c r="H884">
        <v>0.15481915503281601</v>
      </c>
      <c r="I884">
        <v>1</v>
      </c>
      <c r="J884">
        <v>1.0678164809999999</v>
      </c>
      <c r="P884"/>
      <c r="V884">
        <v>0.146654961778102</v>
      </c>
      <c r="W884">
        <v>1</v>
      </c>
      <c r="X884">
        <v>309102.972033314</v>
      </c>
      <c r="Y884">
        <v>18</v>
      </c>
      <c r="Z884">
        <v>0.11970632185290001</v>
      </c>
      <c r="AA884">
        <v>50</v>
      </c>
    </row>
    <row r="885" spans="1:27" x14ac:dyDescent="0.2">
      <c r="A885">
        <v>50</v>
      </c>
      <c r="B885">
        <v>1</v>
      </c>
      <c r="C885">
        <v>0.1</v>
      </c>
      <c r="D885">
        <v>100</v>
      </c>
      <c r="E885">
        <v>0.40070694926788197</v>
      </c>
      <c r="F885">
        <v>1</v>
      </c>
      <c r="G885">
        <v>31.907637112</v>
      </c>
      <c r="H885">
        <v>0.21914027787604001</v>
      </c>
      <c r="I885">
        <v>1</v>
      </c>
      <c r="J885">
        <v>1.4582435570000001</v>
      </c>
      <c r="P885"/>
      <c r="V885">
        <v>0.21560908290962899</v>
      </c>
      <c r="W885">
        <v>1</v>
      </c>
      <c r="X885">
        <v>309145.15970637999</v>
      </c>
      <c r="Y885">
        <v>13</v>
      </c>
      <c r="Z885">
        <v>7.8232241169401195E-2</v>
      </c>
      <c r="AA885">
        <v>50</v>
      </c>
    </row>
    <row r="886" spans="1:27" x14ac:dyDescent="0.2">
      <c r="A886">
        <v>50</v>
      </c>
      <c r="B886">
        <v>1</v>
      </c>
      <c r="C886">
        <v>0.1</v>
      </c>
      <c r="D886">
        <v>100</v>
      </c>
      <c r="E886">
        <v>0.257074926757343</v>
      </c>
      <c r="F886">
        <v>1</v>
      </c>
      <c r="G886">
        <v>31.864992137000002</v>
      </c>
      <c r="H886">
        <v>0.23794435021377799</v>
      </c>
      <c r="I886">
        <v>1</v>
      </c>
      <c r="J886">
        <v>2.2562306759999999</v>
      </c>
      <c r="P886"/>
      <c r="V886">
        <v>0.23370164188159201</v>
      </c>
      <c r="W886">
        <v>1</v>
      </c>
      <c r="X886">
        <v>305764.80787956301</v>
      </c>
      <c r="Y886">
        <v>60</v>
      </c>
      <c r="Z886">
        <v>7.8416565122279305E-2</v>
      </c>
      <c r="AA886">
        <v>50</v>
      </c>
    </row>
    <row r="887" spans="1:27" x14ac:dyDescent="0.2">
      <c r="A887">
        <v>50</v>
      </c>
      <c r="B887">
        <v>1</v>
      </c>
      <c r="C887">
        <v>0.1</v>
      </c>
      <c r="D887">
        <v>100</v>
      </c>
      <c r="E887">
        <v>0.25693505560143798</v>
      </c>
      <c r="F887">
        <v>1</v>
      </c>
      <c r="G887">
        <v>32.316652748000003</v>
      </c>
      <c r="H887">
        <v>0.200864914917464</v>
      </c>
      <c r="I887">
        <v>1</v>
      </c>
      <c r="J887">
        <v>1.2988959790000001</v>
      </c>
      <c r="P887"/>
      <c r="V887">
        <v>0.171113795805835</v>
      </c>
      <c r="W887">
        <v>1</v>
      </c>
      <c r="X887">
        <v>309178.023054127</v>
      </c>
      <c r="Y887">
        <v>50</v>
      </c>
      <c r="Z887">
        <v>0.12116044046534</v>
      </c>
      <c r="AA887">
        <v>50</v>
      </c>
    </row>
    <row r="888" spans="1:27" x14ac:dyDescent="0.2">
      <c r="A888">
        <v>50</v>
      </c>
      <c r="B888">
        <v>1</v>
      </c>
      <c r="C888">
        <v>0.1</v>
      </c>
      <c r="D888">
        <v>100</v>
      </c>
      <c r="E888">
        <v>0.438534506008328</v>
      </c>
      <c r="F888">
        <v>1</v>
      </c>
      <c r="G888">
        <v>31.835871955999998</v>
      </c>
      <c r="H888">
        <v>0.26755539315244897</v>
      </c>
      <c r="I888">
        <v>1</v>
      </c>
      <c r="J888">
        <v>1.4633031649999999</v>
      </c>
      <c r="P888"/>
      <c r="V888">
        <v>0.23831604076197399</v>
      </c>
      <c r="W888">
        <v>1</v>
      </c>
      <c r="X888">
        <v>309166.43940634403</v>
      </c>
      <c r="Y888">
        <v>22</v>
      </c>
      <c r="Z888">
        <v>0.248247047528767</v>
      </c>
      <c r="AA888">
        <v>50</v>
      </c>
    </row>
    <row r="889" spans="1:27" x14ac:dyDescent="0.2">
      <c r="A889">
        <v>50</v>
      </c>
      <c r="B889">
        <v>1</v>
      </c>
      <c r="C889">
        <v>0.1</v>
      </c>
      <c r="D889">
        <v>100</v>
      </c>
      <c r="E889">
        <v>0.21841956607510299</v>
      </c>
      <c r="F889">
        <v>1</v>
      </c>
      <c r="G889">
        <v>31.480909438000001</v>
      </c>
      <c r="H889">
        <v>9.2856198914344296E-2</v>
      </c>
      <c r="I889">
        <v>1</v>
      </c>
      <c r="J889">
        <v>1.4369851709999999</v>
      </c>
      <c r="P889"/>
      <c r="V889">
        <v>8.6000589777444306E-2</v>
      </c>
      <c r="W889">
        <v>1</v>
      </c>
      <c r="X889">
        <v>309083.961893767</v>
      </c>
      <c r="Y889">
        <v>38</v>
      </c>
      <c r="Z889">
        <v>0.27025124386548599</v>
      </c>
      <c r="AA889">
        <v>50</v>
      </c>
    </row>
    <row r="890" spans="1:27" x14ac:dyDescent="0.2">
      <c r="A890">
        <v>50</v>
      </c>
      <c r="B890">
        <v>1</v>
      </c>
      <c r="C890">
        <v>0.1</v>
      </c>
      <c r="D890">
        <v>100</v>
      </c>
      <c r="E890">
        <v>0.22287137656769501</v>
      </c>
      <c r="F890">
        <v>1</v>
      </c>
      <c r="G890">
        <v>31.301040066999999</v>
      </c>
      <c r="H890">
        <v>6.3913816136510496E-2</v>
      </c>
      <c r="I890">
        <v>1</v>
      </c>
      <c r="J890">
        <v>1.4260776369999999</v>
      </c>
      <c r="P890"/>
      <c r="V890">
        <v>6.0237322360183997E-2</v>
      </c>
      <c r="W890">
        <v>1</v>
      </c>
      <c r="X890">
        <v>309094.77308631799</v>
      </c>
      <c r="Y890">
        <v>27</v>
      </c>
      <c r="Z890">
        <v>0.152929129910996</v>
      </c>
      <c r="AA890">
        <v>50</v>
      </c>
    </row>
    <row r="891" spans="1:27" x14ac:dyDescent="0.2">
      <c r="A891">
        <v>50</v>
      </c>
      <c r="B891">
        <v>1</v>
      </c>
      <c r="C891">
        <v>0.1</v>
      </c>
      <c r="D891">
        <v>100</v>
      </c>
      <c r="E891">
        <v>0.192450216452075</v>
      </c>
      <c r="F891">
        <v>1</v>
      </c>
      <c r="G891">
        <v>31.636260305</v>
      </c>
      <c r="H891">
        <v>4.3211750947175998E-2</v>
      </c>
      <c r="I891">
        <v>1</v>
      </c>
      <c r="J891">
        <v>1.0598265149999999</v>
      </c>
      <c r="P891"/>
      <c r="V891">
        <v>3.7327839999212797E-2</v>
      </c>
      <c r="W891">
        <v>1</v>
      </c>
      <c r="X891">
        <v>304847.91172783199</v>
      </c>
      <c r="Y891">
        <v>1</v>
      </c>
      <c r="Z891">
        <v>0.34465675145844099</v>
      </c>
      <c r="AA891">
        <v>50</v>
      </c>
    </row>
    <row r="892" spans="1:27" x14ac:dyDescent="0.2">
      <c r="A892">
        <v>50</v>
      </c>
      <c r="B892">
        <v>1</v>
      </c>
      <c r="C892">
        <v>0.1</v>
      </c>
      <c r="D892">
        <v>100</v>
      </c>
      <c r="E892">
        <v>0.28156299897952197</v>
      </c>
      <c r="F892">
        <v>1</v>
      </c>
      <c r="G892">
        <v>33.036818359999998</v>
      </c>
      <c r="H892">
        <v>0.223264411260749</v>
      </c>
      <c r="I892">
        <v>1</v>
      </c>
      <c r="J892">
        <v>1.113762973</v>
      </c>
      <c r="P892"/>
      <c r="V892">
        <v>0.21637506433137799</v>
      </c>
      <c r="W892">
        <v>1</v>
      </c>
      <c r="X892">
        <v>309150.57922364102</v>
      </c>
      <c r="Y892">
        <v>38</v>
      </c>
      <c r="Z892">
        <v>4.6393043325082803E-2</v>
      </c>
      <c r="AA892">
        <v>50</v>
      </c>
    </row>
    <row r="893" spans="1:27" x14ac:dyDescent="0.2">
      <c r="A893">
        <v>50</v>
      </c>
      <c r="B893">
        <v>1</v>
      </c>
      <c r="C893">
        <v>0.1</v>
      </c>
      <c r="D893">
        <v>100</v>
      </c>
      <c r="E893">
        <v>0.34629546813723</v>
      </c>
      <c r="F893">
        <v>1</v>
      </c>
      <c r="G893">
        <v>31.752275252</v>
      </c>
      <c r="H893">
        <v>0.19189186966224001</v>
      </c>
      <c r="I893">
        <v>1</v>
      </c>
      <c r="J893">
        <v>1.918906038</v>
      </c>
      <c r="P893"/>
      <c r="V893">
        <v>0.19004604571118999</v>
      </c>
      <c r="W893">
        <v>1</v>
      </c>
      <c r="X893">
        <v>309041.66705266503</v>
      </c>
      <c r="Y893">
        <v>1</v>
      </c>
      <c r="Z893">
        <v>0.140926045182412</v>
      </c>
      <c r="AA893">
        <v>50</v>
      </c>
    </row>
    <row r="894" spans="1:27" x14ac:dyDescent="0.2">
      <c r="A894">
        <v>50</v>
      </c>
      <c r="B894">
        <v>1</v>
      </c>
      <c r="C894">
        <v>0.1</v>
      </c>
      <c r="D894">
        <v>100</v>
      </c>
      <c r="E894">
        <v>0.27049639440858803</v>
      </c>
      <c r="F894">
        <v>1</v>
      </c>
      <c r="G894">
        <v>31.690750470000001</v>
      </c>
      <c r="H894">
        <v>0.16282068682213399</v>
      </c>
      <c r="I894">
        <v>1</v>
      </c>
      <c r="J894">
        <v>1.1129733310000001</v>
      </c>
      <c r="P894"/>
      <c r="V894">
        <v>0.159234735525216</v>
      </c>
      <c r="W894">
        <v>1</v>
      </c>
      <c r="X894">
        <v>306678.24494310399</v>
      </c>
      <c r="Y894">
        <v>1</v>
      </c>
      <c r="Z894">
        <v>0.29985292461056201</v>
      </c>
      <c r="AA894">
        <v>50</v>
      </c>
    </row>
    <row r="895" spans="1:27" x14ac:dyDescent="0.2">
      <c r="A895">
        <v>50</v>
      </c>
      <c r="B895">
        <v>1</v>
      </c>
      <c r="C895">
        <v>0.1</v>
      </c>
      <c r="D895">
        <v>100</v>
      </c>
      <c r="E895">
        <v>0.319869651152145</v>
      </c>
      <c r="F895">
        <v>1</v>
      </c>
      <c r="G895">
        <v>31.846702271000002</v>
      </c>
      <c r="H895">
        <v>0.30599126027463702</v>
      </c>
      <c r="I895">
        <v>1</v>
      </c>
      <c r="J895">
        <v>1.8645631469999999</v>
      </c>
      <c r="P895"/>
      <c r="V895">
        <v>0.29704586063354899</v>
      </c>
      <c r="W895">
        <v>1</v>
      </c>
      <c r="X895">
        <v>309115.89571793401</v>
      </c>
      <c r="Y895">
        <v>50</v>
      </c>
      <c r="Z895">
        <v>0.20799745870650699</v>
      </c>
      <c r="AA895">
        <v>50</v>
      </c>
    </row>
    <row r="896" spans="1:27" x14ac:dyDescent="0.2">
      <c r="A896">
        <v>50</v>
      </c>
      <c r="B896">
        <v>1</v>
      </c>
      <c r="C896">
        <v>0.1</v>
      </c>
      <c r="D896">
        <v>100</v>
      </c>
      <c r="E896">
        <v>0.19841025170885601</v>
      </c>
      <c r="F896">
        <v>1</v>
      </c>
      <c r="G896">
        <v>31.758768041</v>
      </c>
      <c r="H896">
        <v>0.104934885113854</v>
      </c>
      <c r="I896">
        <v>1</v>
      </c>
      <c r="J896">
        <v>1.5293246220000001</v>
      </c>
      <c r="P896"/>
      <c r="V896">
        <v>9.9008301744112404E-2</v>
      </c>
      <c r="W896">
        <v>1</v>
      </c>
      <c r="X896">
        <v>309139.573263539</v>
      </c>
      <c r="Y896">
        <v>14</v>
      </c>
      <c r="Z896">
        <v>0.14028098748949699</v>
      </c>
      <c r="AA896">
        <v>50</v>
      </c>
    </row>
    <row r="897" spans="1:27" x14ac:dyDescent="0.2">
      <c r="A897">
        <v>50</v>
      </c>
      <c r="B897">
        <v>1</v>
      </c>
      <c r="C897">
        <v>0.1</v>
      </c>
      <c r="D897">
        <v>100</v>
      </c>
      <c r="E897">
        <v>0.312874736631443</v>
      </c>
      <c r="F897">
        <v>1</v>
      </c>
      <c r="G897">
        <v>33.071034132000001</v>
      </c>
      <c r="H897">
        <v>0.13928309243300499</v>
      </c>
      <c r="I897">
        <v>1</v>
      </c>
      <c r="J897">
        <v>1.2045982829999999</v>
      </c>
      <c r="P897"/>
      <c r="V897">
        <v>0.13271119265995701</v>
      </c>
      <c r="W897">
        <v>1</v>
      </c>
      <c r="X897">
        <v>309116.057320953</v>
      </c>
      <c r="Y897">
        <v>76</v>
      </c>
      <c r="Z897">
        <v>0.16818121556691501</v>
      </c>
      <c r="AA897">
        <v>50</v>
      </c>
    </row>
    <row r="898" spans="1:27" x14ac:dyDescent="0.2">
      <c r="A898">
        <v>50</v>
      </c>
      <c r="B898">
        <v>1</v>
      </c>
      <c r="C898">
        <v>0.1</v>
      </c>
      <c r="D898">
        <v>100</v>
      </c>
      <c r="E898">
        <v>0.38654630593066502</v>
      </c>
      <c r="F898">
        <v>1</v>
      </c>
      <c r="G898">
        <v>31.653026630999999</v>
      </c>
      <c r="H898">
        <v>0.18127308968702399</v>
      </c>
      <c r="I898">
        <v>1</v>
      </c>
      <c r="J898">
        <v>1.6962049379999999</v>
      </c>
      <c r="P898"/>
      <c r="V898">
        <v>0.17718936343361699</v>
      </c>
      <c r="W898">
        <v>1</v>
      </c>
      <c r="X898">
        <v>307283.82196531002</v>
      </c>
      <c r="Y898">
        <v>63</v>
      </c>
      <c r="Z898">
        <v>0.244444115939491</v>
      </c>
      <c r="AA898">
        <v>50</v>
      </c>
    </row>
    <row r="899" spans="1:27" x14ac:dyDescent="0.2">
      <c r="A899">
        <v>50</v>
      </c>
      <c r="B899">
        <v>1</v>
      </c>
      <c r="C899">
        <v>0.1</v>
      </c>
      <c r="D899">
        <v>100</v>
      </c>
      <c r="E899">
        <v>0.39833358838732902</v>
      </c>
      <c r="F899">
        <v>1</v>
      </c>
      <c r="G899">
        <v>26.429250638999999</v>
      </c>
      <c r="H899">
        <v>0.219669918649399</v>
      </c>
      <c r="I899">
        <v>1</v>
      </c>
      <c r="J899">
        <v>1.4807060949999999</v>
      </c>
      <c r="P899"/>
      <c r="V899">
        <v>0.210871466995699</v>
      </c>
      <c r="W899">
        <v>1</v>
      </c>
      <c r="X899">
        <v>308805.39157538698</v>
      </c>
      <c r="Y899">
        <v>83</v>
      </c>
      <c r="Z899">
        <v>8.3867367417574099E-2</v>
      </c>
      <c r="AA899">
        <v>50</v>
      </c>
    </row>
    <row r="900" spans="1:27" x14ac:dyDescent="0.2">
      <c r="A900">
        <v>50</v>
      </c>
      <c r="B900">
        <v>1</v>
      </c>
      <c r="C900">
        <v>0.1</v>
      </c>
      <c r="D900">
        <v>100</v>
      </c>
      <c r="E900">
        <v>0.18720659345309101</v>
      </c>
      <c r="F900">
        <v>1</v>
      </c>
      <c r="G900">
        <v>26.492596321000001</v>
      </c>
      <c r="H900">
        <v>5.1928406423443797E-2</v>
      </c>
      <c r="I900">
        <v>1</v>
      </c>
      <c r="J900">
        <v>1.0087939210000001</v>
      </c>
      <c r="P900"/>
      <c r="V900">
        <v>4.4071550518153098E-2</v>
      </c>
      <c r="W900">
        <v>1</v>
      </c>
      <c r="X900">
        <v>308817.87632207997</v>
      </c>
      <c r="Y900">
        <v>60</v>
      </c>
      <c r="Z900">
        <v>6.8490293105762601E-2</v>
      </c>
      <c r="AA900">
        <v>50</v>
      </c>
    </row>
    <row r="901" spans="1:27" x14ac:dyDescent="0.2">
      <c r="A901">
        <v>50</v>
      </c>
      <c r="B901">
        <v>1</v>
      </c>
      <c r="C901">
        <v>0.1</v>
      </c>
      <c r="D901">
        <v>100</v>
      </c>
      <c r="E901">
        <v>0.32175623664047198</v>
      </c>
      <c r="F901">
        <v>1</v>
      </c>
      <c r="G901">
        <v>31.660707426999998</v>
      </c>
      <c r="H901">
        <v>0.12450689866982299</v>
      </c>
      <c r="I901">
        <v>1</v>
      </c>
      <c r="J901">
        <v>1.060406105</v>
      </c>
      <c r="P901"/>
      <c r="V901">
        <v>0.110585353441566</v>
      </c>
      <c r="W901">
        <v>1</v>
      </c>
      <c r="X901">
        <v>308795.32627119799</v>
      </c>
      <c r="Y901">
        <v>70</v>
      </c>
      <c r="Z901">
        <v>0.15754820182827201</v>
      </c>
      <c r="AA901">
        <v>50</v>
      </c>
    </row>
    <row r="902" spans="1:27" x14ac:dyDescent="0.2">
      <c r="A902">
        <v>50</v>
      </c>
      <c r="B902">
        <v>1</v>
      </c>
      <c r="C902">
        <v>0.1</v>
      </c>
      <c r="D902">
        <v>100</v>
      </c>
      <c r="E902">
        <v>0.197205603756133</v>
      </c>
      <c r="F902">
        <v>1</v>
      </c>
      <c r="G902">
        <v>26.323306431999999</v>
      </c>
      <c r="H902">
        <v>0.13883535979053099</v>
      </c>
      <c r="I902">
        <v>1</v>
      </c>
      <c r="J902">
        <v>0.68837289800000001</v>
      </c>
      <c r="P902"/>
      <c r="V902">
        <v>0.13282289629713101</v>
      </c>
      <c r="W902">
        <v>1</v>
      </c>
      <c r="X902">
        <v>306398.36625805002</v>
      </c>
      <c r="Y902">
        <v>86</v>
      </c>
      <c r="Z902">
        <v>0.101369735096161</v>
      </c>
      <c r="AA902">
        <v>50</v>
      </c>
    </row>
    <row r="903" spans="1:27" x14ac:dyDescent="0.2">
      <c r="A903">
        <v>50</v>
      </c>
      <c r="B903">
        <v>1</v>
      </c>
      <c r="C903">
        <v>0.1</v>
      </c>
      <c r="D903">
        <v>100</v>
      </c>
      <c r="E903">
        <v>0.418015344133841</v>
      </c>
      <c r="F903">
        <v>1</v>
      </c>
      <c r="G903">
        <v>26.484050102000001</v>
      </c>
      <c r="H903">
        <v>0.212246043298808</v>
      </c>
      <c r="I903">
        <v>1</v>
      </c>
      <c r="J903">
        <v>1.2498634580000001</v>
      </c>
      <c r="P903"/>
      <c r="V903">
        <v>0.20867882738663401</v>
      </c>
      <c r="W903">
        <v>1</v>
      </c>
      <c r="X903">
        <v>308776.67757900199</v>
      </c>
      <c r="Y903">
        <v>62</v>
      </c>
      <c r="Z903">
        <v>0.13197323741727501</v>
      </c>
      <c r="AA903">
        <v>50</v>
      </c>
    </row>
    <row r="904" spans="1:27" x14ac:dyDescent="0.2">
      <c r="A904">
        <v>50</v>
      </c>
      <c r="B904">
        <v>1</v>
      </c>
      <c r="C904">
        <v>0.1</v>
      </c>
      <c r="D904">
        <v>100</v>
      </c>
      <c r="E904">
        <v>0.32697972425418698</v>
      </c>
      <c r="F904">
        <v>1</v>
      </c>
      <c r="G904">
        <v>26.334578952000001</v>
      </c>
      <c r="H904">
        <v>0.24597603348581201</v>
      </c>
      <c r="I904">
        <v>1</v>
      </c>
      <c r="J904">
        <v>1.1391717020000001</v>
      </c>
      <c r="P904"/>
      <c r="V904">
        <v>0.244066681036882</v>
      </c>
      <c r="W904">
        <v>1</v>
      </c>
      <c r="X904">
        <v>308758.88371817401</v>
      </c>
      <c r="Y904">
        <v>100</v>
      </c>
      <c r="Z904">
        <v>0.126927198968112</v>
      </c>
      <c r="AA904">
        <v>50</v>
      </c>
    </row>
    <row r="905" spans="1:27" x14ac:dyDescent="0.2">
      <c r="A905">
        <v>50</v>
      </c>
      <c r="B905">
        <v>1</v>
      </c>
      <c r="C905">
        <v>0.1</v>
      </c>
      <c r="D905">
        <v>100</v>
      </c>
      <c r="E905">
        <v>0.31747466071981301</v>
      </c>
      <c r="F905">
        <v>1</v>
      </c>
      <c r="G905">
        <v>31.406587363</v>
      </c>
      <c r="H905">
        <v>0.26744405553531497</v>
      </c>
      <c r="I905">
        <v>1</v>
      </c>
      <c r="J905">
        <v>1.491996876</v>
      </c>
      <c r="P905"/>
      <c r="V905">
        <v>0.25991393011609998</v>
      </c>
      <c r="W905">
        <v>1</v>
      </c>
      <c r="X905">
        <v>309056.896451657</v>
      </c>
      <c r="Y905">
        <v>42</v>
      </c>
      <c r="Z905">
        <v>0.12635437298046001</v>
      </c>
      <c r="AA905">
        <v>50</v>
      </c>
    </row>
    <row r="906" spans="1:27" x14ac:dyDescent="0.2">
      <c r="A906">
        <v>20</v>
      </c>
      <c r="B906">
        <v>3</v>
      </c>
      <c r="C906">
        <v>0.1</v>
      </c>
      <c r="D906">
        <v>100</v>
      </c>
      <c r="E906">
        <v>1.4531517868744801</v>
      </c>
      <c r="F906">
        <v>3</v>
      </c>
      <c r="G906">
        <v>29.699889154000001</v>
      </c>
      <c r="H906">
        <v>1.0168487023604</v>
      </c>
      <c r="I906">
        <v>3</v>
      </c>
      <c r="J906">
        <v>0.95973540700000004</v>
      </c>
      <c r="P906"/>
      <c r="V906">
        <v>1.0169900764039701</v>
      </c>
      <c r="W906">
        <v>3</v>
      </c>
      <c r="X906">
        <v>773.09580440699995</v>
      </c>
      <c r="Y906">
        <v>85</v>
      </c>
      <c r="Z906">
        <v>7.8610861392748796E-3</v>
      </c>
      <c r="AA906">
        <v>2</v>
      </c>
    </row>
    <row r="907" spans="1:27" x14ac:dyDescent="0.2">
      <c r="A907">
        <v>20</v>
      </c>
      <c r="B907">
        <v>3</v>
      </c>
      <c r="C907">
        <v>0.1</v>
      </c>
      <c r="D907">
        <v>100</v>
      </c>
      <c r="E907">
        <v>1.2620685193904699</v>
      </c>
      <c r="F907">
        <v>3</v>
      </c>
      <c r="G907">
        <v>25.267610747999999</v>
      </c>
      <c r="H907">
        <v>1.0659150577121601</v>
      </c>
      <c r="I907">
        <v>3</v>
      </c>
      <c r="J907">
        <v>0.70656482600000003</v>
      </c>
      <c r="P907"/>
      <c r="V907">
        <v>1.0663745137415199</v>
      </c>
      <c r="W907">
        <v>3</v>
      </c>
      <c r="X907">
        <v>766.95284816799995</v>
      </c>
      <c r="Y907">
        <v>132</v>
      </c>
      <c r="Z907">
        <v>7.2070064618505597E-3</v>
      </c>
      <c r="AA907">
        <v>2</v>
      </c>
    </row>
    <row r="908" spans="1:27" x14ac:dyDescent="0.2">
      <c r="A908">
        <v>30</v>
      </c>
      <c r="B908">
        <v>1</v>
      </c>
      <c r="C908">
        <v>0.3</v>
      </c>
      <c r="D908">
        <v>20</v>
      </c>
      <c r="E908">
        <v>5.8188613965756697E-2</v>
      </c>
      <c r="F908">
        <v>1</v>
      </c>
      <c r="G908">
        <v>31.148818137999999</v>
      </c>
      <c r="H908">
        <v>7.4740833946286694E-2</v>
      </c>
      <c r="I908">
        <v>1</v>
      </c>
      <c r="J908">
        <v>0.15563007000000001</v>
      </c>
      <c r="P908"/>
      <c r="V908">
        <v>5.3458249164472303E-2</v>
      </c>
      <c r="W908">
        <v>1</v>
      </c>
      <c r="X908">
        <v>631.07203611499995</v>
      </c>
      <c r="Y908">
        <v>74</v>
      </c>
      <c r="Z908">
        <v>1.5487648598497799E-3</v>
      </c>
      <c r="AA908">
        <v>3</v>
      </c>
    </row>
    <row r="909" spans="1:27" x14ac:dyDescent="0.2">
      <c r="A909">
        <v>30</v>
      </c>
      <c r="B909">
        <v>1</v>
      </c>
      <c r="C909">
        <v>0.3</v>
      </c>
      <c r="D909">
        <v>20</v>
      </c>
      <c r="E909">
        <v>6.5046808713238105E-2</v>
      </c>
      <c r="F909">
        <v>1</v>
      </c>
      <c r="G909">
        <v>35.332233062999997</v>
      </c>
      <c r="H909">
        <v>8.5462280297198601E-2</v>
      </c>
      <c r="I909">
        <v>1</v>
      </c>
      <c r="J909">
        <v>0.228774959</v>
      </c>
      <c r="P909"/>
      <c r="V909">
        <v>6.2389823696899299E-2</v>
      </c>
      <c r="W909">
        <v>1</v>
      </c>
      <c r="X909">
        <v>7345.5373908869997</v>
      </c>
      <c r="Y909">
        <v>627</v>
      </c>
      <c r="Z909">
        <v>3.10593055984398E-3</v>
      </c>
      <c r="AA909">
        <v>20</v>
      </c>
    </row>
    <row r="910" spans="1:27" x14ac:dyDescent="0.2">
      <c r="A910">
        <v>20</v>
      </c>
      <c r="B910">
        <v>2</v>
      </c>
      <c r="C910">
        <v>0.3</v>
      </c>
      <c r="D910">
        <v>20</v>
      </c>
      <c r="E910">
        <v>0.26241066170251098</v>
      </c>
      <c r="F910">
        <v>2</v>
      </c>
      <c r="G910">
        <v>30.787311846000001</v>
      </c>
      <c r="H910">
        <v>0.26903217864852103</v>
      </c>
      <c r="I910">
        <v>2</v>
      </c>
      <c r="J910">
        <v>0.31969512700000002</v>
      </c>
      <c r="P910"/>
      <c r="V910">
        <v>0.25809613675587001</v>
      </c>
      <c r="W910">
        <v>2</v>
      </c>
      <c r="X910">
        <v>291410.95332449902</v>
      </c>
      <c r="Y910">
        <v>4619</v>
      </c>
      <c r="Z910">
        <v>0.95923504834494999</v>
      </c>
      <c r="AA910">
        <v>50</v>
      </c>
    </row>
    <row r="911" spans="1:27" x14ac:dyDescent="0.2">
      <c r="A911">
        <v>20</v>
      </c>
      <c r="B911">
        <v>2</v>
      </c>
      <c r="C911">
        <v>0.3</v>
      </c>
      <c r="D911">
        <v>20</v>
      </c>
      <c r="E911">
        <v>0.38122529402449401</v>
      </c>
      <c r="F911">
        <v>2</v>
      </c>
      <c r="G911">
        <v>33.592611998000002</v>
      </c>
      <c r="H911">
        <v>0.282463080889164</v>
      </c>
      <c r="I911">
        <v>2</v>
      </c>
      <c r="J911">
        <v>0.33617560800000001</v>
      </c>
      <c r="P911"/>
      <c r="V911">
        <v>0.25228624847511699</v>
      </c>
      <c r="W911">
        <v>2</v>
      </c>
      <c r="X911">
        <v>290893.68405386701</v>
      </c>
      <c r="Y911">
        <v>2528</v>
      </c>
      <c r="Z911">
        <v>0.95236122681795499</v>
      </c>
      <c r="AA911">
        <v>50</v>
      </c>
    </row>
    <row r="912" spans="1:27" x14ac:dyDescent="0.2">
      <c r="A912">
        <v>20</v>
      </c>
      <c r="B912">
        <v>2</v>
      </c>
      <c r="C912">
        <v>0.2</v>
      </c>
      <c r="D912">
        <v>20</v>
      </c>
      <c r="E912">
        <v>0.46784572482866399</v>
      </c>
      <c r="F912">
        <v>2</v>
      </c>
      <c r="G912">
        <v>29.640043903999999</v>
      </c>
      <c r="H912">
        <v>0.46930514257230899</v>
      </c>
      <c r="I912">
        <v>2</v>
      </c>
      <c r="J912">
        <v>0.47962795800000002</v>
      </c>
      <c r="P912"/>
      <c r="V912">
        <v>0.46453480543862302</v>
      </c>
      <c r="W912">
        <v>2</v>
      </c>
      <c r="X912">
        <v>299215.87352823798</v>
      </c>
      <c r="Y912">
        <v>4253</v>
      </c>
      <c r="Z912">
        <v>0.83732295731169804</v>
      </c>
      <c r="AA912">
        <v>50</v>
      </c>
    </row>
    <row r="913" spans="1:27" x14ac:dyDescent="0.2">
      <c r="A913">
        <v>20</v>
      </c>
      <c r="B913">
        <v>2</v>
      </c>
      <c r="C913">
        <v>0.2</v>
      </c>
      <c r="D913">
        <v>20</v>
      </c>
      <c r="E913">
        <v>0.59891357351848995</v>
      </c>
      <c r="F913">
        <v>2</v>
      </c>
      <c r="G913">
        <v>32.018503496000001</v>
      </c>
      <c r="H913">
        <v>0.43733292900950999</v>
      </c>
      <c r="I913">
        <v>2</v>
      </c>
      <c r="J913">
        <v>0.57254632699999997</v>
      </c>
      <c r="P913"/>
      <c r="V913">
        <v>0.42339292052258698</v>
      </c>
      <c r="W913">
        <v>2</v>
      </c>
      <c r="X913">
        <v>296204.426449386</v>
      </c>
      <c r="Y913">
        <v>3297</v>
      </c>
      <c r="Z913">
        <v>0.55185363597817605</v>
      </c>
      <c r="AA913">
        <v>50</v>
      </c>
    </row>
    <row r="914" spans="1:27" x14ac:dyDescent="0.2">
      <c r="A914">
        <v>20</v>
      </c>
      <c r="B914">
        <v>2</v>
      </c>
      <c r="C914">
        <v>0.3</v>
      </c>
      <c r="D914">
        <v>20</v>
      </c>
      <c r="E914">
        <v>0.274908583589764</v>
      </c>
      <c r="F914">
        <v>2</v>
      </c>
      <c r="G914">
        <v>30.031387345999999</v>
      </c>
      <c r="H914">
        <v>0.21469081859147199</v>
      </c>
      <c r="I914">
        <v>2</v>
      </c>
      <c r="J914">
        <v>0.306316121</v>
      </c>
      <c r="P914"/>
      <c r="V914">
        <v>0.205980161070662</v>
      </c>
      <c r="W914">
        <v>2</v>
      </c>
      <c r="X914">
        <v>297094.38564904802</v>
      </c>
      <c r="Y914">
        <v>4086</v>
      </c>
      <c r="Z914">
        <v>0.41111706361480599</v>
      </c>
      <c r="AA914">
        <v>50</v>
      </c>
    </row>
    <row r="915" spans="1:27" x14ac:dyDescent="0.2">
      <c r="A915">
        <v>20</v>
      </c>
      <c r="B915">
        <v>2</v>
      </c>
      <c r="C915">
        <v>0.1</v>
      </c>
      <c r="D915">
        <v>20</v>
      </c>
      <c r="E915">
        <v>0.97645139829966299</v>
      </c>
      <c r="F915">
        <v>2</v>
      </c>
      <c r="G915">
        <v>30.526988198000002</v>
      </c>
      <c r="H915">
        <v>0.97280870770013095</v>
      </c>
      <c r="I915">
        <v>2</v>
      </c>
      <c r="J915">
        <v>0.64818455900000005</v>
      </c>
      <c r="P915"/>
      <c r="V915">
        <v>1.05443392206431</v>
      </c>
      <c r="W915">
        <v>2</v>
      </c>
      <c r="X915">
        <v>300168.69189442397</v>
      </c>
      <c r="Y915">
        <v>7906</v>
      </c>
      <c r="Z915">
        <v>1.36785715087272E-2</v>
      </c>
      <c r="AA915">
        <v>50</v>
      </c>
    </row>
    <row r="916" spans="1:27" x14ac:dyDescent="0.2">
      <c r="A916">
        <v>20</v>
      </c>
      <c r="B916">
        <v>2</v>
      </c>
      <c r="C916">
        <v>0.1</v>
      </c>
      <c r="D916">
        <v>20</v>
      </c>
      <c r="E916">
        <v>0.82683533864096004</v>
      </c>
      <c r="F916">
        <v>2</v>
      </c>
      <c r="G916">
        <v>29.705500055000002</v>
      </c>
      <c r="H916">
        <v>0.87548063317263303</v>
      </c>
      <c r="I916">
        <v>2</v>
      </c>
      <c r="J916">
        <v>0.57574267099999998</v>
      </c>
      <c r="P916"/>
      <c r="V916">
        <v>1.0106336999922001</v>
      </c>
      <c r="W916">
        <v>2</v>
      </c>
      <c r="X916">
        <v>304025.50240925502</v>
      </c>
      <c r="Y916">
        <v>9030</v>
      </c>
      <c r="Z916">
        <v>5.1202878023930698E-2</v>
      </c>
      <c r="AA916">
        <v>50</v>
      </c>
    </row>
    <row r="917" spans="1:27" x14ac:dyDescent="0.2">
      <c r="A917">
        <v>20</v>
      </c>
      <c r="B917">
        <v>2</v>
      </c>
      <c r="C917">
        <v>0.2</v>
      </c>
      <c r="D917">
        <v>20</v>
      </c>
      <c r="E917">
        <v>0.94900287569554098</v>
      </c>
      <c r="F917">
        <v>2</v>
      </c>
      <c r="G917">
        <v>30.562346372</v>
      </c>
      <c r="H917">
        <v>1.11928332882346</v>
      </c>
      <c r="I917">
        <v>2</v>
      </c>
      <c r="J917">
        <v>0.91519630699999999</v>
      </c>
      <c r="P917"/>
      <c r="V917">
        <v>1.13231203839425</v>
      </c>
      <c r="W917">
        <v>2</v>
      </c>
      <c r="X917">
        <v>302017.599142469</v>
      </c>
      <c r="Y917">
        <v>2463</v>
      </c>
      <c r="Z917">
        <v>0.29908014833178198</v>
      </c>
      <c r="AA917">
        <v>50</v>
      </c>
    </row>
    <row r="918" spans="1:27" x14ac:dyDescent="0.2">
      <c r="A918">
        <v>20</v>
      </c>
      <c r="B918">
        <v>2</v>
      </c>
      <c r="C918">
        <v>0.2</v>
      </c>
      <c r="D918">
        <v>20</v>
      </c>
      <c r="E918">
        <v>0.59332302184540497</v>
      </c>
      <c r="F918">
        <v>2</v>
      </c>
      <c r="G918">
        <v>32.818907596000003</v>
      </c>
      <c r="H918">
        <v>0.48832809846043401</v>
      </c>
      <c r="I918">
        <v>2</v>
      </c>
      <c r="J918">
        <v>0.52876034699999996</v>
      </c>
      <c r="P918"/>
      <c r="V918">
        <v>0.48501531114306401</v>
      </c>
      <c r="W918">
        <v>2</v>
      </c>
      <c r="X918">
        <v>303721.32832694799</v>
      </c>
      <c r="Y918">
        <v>3493</v>
      </c>
      <c r="Z918">
        <v>0.49453709064684798</v>
      </c>
      <c r="AA918">
        <v>50</v>
      </c>
    </row>
    <row r="919" spans="1:27" x14ac:dyDescent="0.2">
      <c r="A919">
        <v>20</v>
      </c>
      <c r="B919">
        <v>2</v>
      </c>
      <c r="C919">
        <v>0.1</v>
      </c>
      <c r="D919">
        <v>20</v>
      </c>
      <c r="E919">
        <v>1.08462754995857</v>
      </c>
      <c r="F919">
        <v>2</v>
      </c>
      <c r="G919">
        <v>30.099920514000001</v>
      </c>
      <c r="H919">
        <v>1.0823880686823699</v>
      </c>
      <c r="I919">
        <v>2</v>
      </c>
      <c r="J919">
        <v>0.57285137200000003</v>
      </c>
      <c r="P919"/>
      <c r="V919">
        <v>1.0870259542307501</v>
      </c>
      <c r="W919">
        <v>2</v>
      </c>
      <c r="X919">
        <v>303617.12964605901</v>
      </c>
      <c r="Y919">
        <v>8091</v>
      </c>
      <c r="Z919">
        <v>2.51048128778813E-2</v>
      </c>
      <c r="AA919">
        <v>50</v>
      </c>
    </row>
    <row r="920" spans="1:27" x14ac:dyDescent="0.2">
      <c r="A920">
        <v>20</v>
      </c>
      <c r="B920">
        <v>2</v>
      </c>
      <c r="C920">
        <v>0.2</v>
      </c>
      <c r="D920">
        <v>20</v>
      </c>
      <c r="E920">
        <v>0.54942988637935297</v>
      </c>
      <c r="F920">
        <v>2</v>
      </c>
      <c r="G920">
        <v>31.478550104</v>
      </c>
      <c r="H920">
        <v>0.44982258660938701</v>
      </c>
      <c r="I920">
        <v>2</v>
      </c>
      <c r="J920">
        <v>0.47360289</v>
      </c>
      <c r="P920"/>
      <c r="V920">
        <v>0.439692423304958</v>
      </c>
      <c r="W920">
        <v>2</v>
      </c>
      <c r="X920">
        <v>295052.53274692397</v>
      </c>
      <c r="Y920">
        <v>2578</v>
      </c>
      <c r="Z920">
        <v>0.87573847491072199</v>
      </c>
      <c r="AA920">
        <v>50</v>
      </c>
    </row>
    <row r="921" spans="1:27" x14ac:dyDescent="0.2">
      <c r="A921">
        <v>20</v>
      </c>
      <c r="B921">
        <v>2</v>
      </c>
      <c r="C921">
        <v>0.1</v>
      </c>
      <c r="D921">
        <v>20</v>
      </c>
      <c r="E921">
        <v>0.93418692039231199</v>
      </c>
      <c r="F921">
        <v>2</v>
      </c>
      <c r="G921">
        <v>31.421471902</v>
      </c>
      <c r="H921">
        <v>0.94534326060620599</v>
      </c>
      <c r="I921">
        <v>2</v>
      </c>
      <c r="J921">
        <v>0.29338312900000002</v>
      </c>
      <c r="P921"/>
      <c r="V921">
        <v>1.1536568791160899</v>
      </c>
      <c r="W921">
        <v>2</v>
      </c>
      <c r="X921">
        <v>285316.81533824903</v>
      </c>
      <c r="Y921">
        <v>12908</v>
      </c>
      <c r="Z921">
        <v>1.01751642977511E-2</v>
      </c>
      <c r="AA921">
        <v>50</v>
      </c>
    </row>
    <row r="922" spans="1:27" x14ac:dyDescent="0.2">
      <c r="A922">
        <v>20</v>
      </c>
      <c r="B922">
        <v>2</v>
      </c>
      <c r="C922">
        <v>0.2</v>
      </c>
      <c r="D922">
        <v>20</v>
      </c>
      <c r="E922">
        <v>0.79083458828807696</v>
      </c>
      <c r="F922">
        <v>2</v>
      </c>
      <c r="G922">
        <v>23.763518943000001</v>
      </c>
      <c r="H922">
        <v>0.82341339071764996</v>
      </c>
      <c r="I922">
        <v>2</v>
      </c>
      <c r="J922">
        <v>0.63622824600000005</v>
      </c>
      <c r="P922"/>
      <c r="V922">
        <v>0.82807107447916595</v>
      </c>
      <c r="W922">
        <v>2</v>
      </c>
      <c r="X922">
        <v>292354.80087778397</v>
      </c>
      <c r="Y922">
        <v>4182</v>
      </c>
      <c r="Z922">
        <v>0.530245079976158</v>
      </c>
      <c r="AA922">
        <v>50</v>
      </c>
    </row>
    <row r="923" spans="1:27" x14ac:dyDescent="0.2">
      <c r="A923">
        <v>20</v>
      </c>
      <c r="B923">
        <v>2</v>
      </c>
      <c r="C923">
        <v>0.2</v>
      </c>
      <c r="D923">
        <v>20</v>
      </c>
      <c r="E923">
        <v>0.90845282931973503</v>
      </c>
      <c r="F923">
        <v>2</v>
      </c>
      <c r="G923">
        <v>32.408489848000002</v>
      </c>
      <c r="H923">
        <v>0.85756600955539097</v>
      </c>
      <c r="I923">
        <v>2</v>
      </c>
      <c r="J923">
        <v>0.38502581600000002</v>
      </c>
      <c r="P923"/>
      <c r="V923">
        <v>0.870465998470908</v>
      </c>
      <c r="W923">
        <v>2</v>
      </c>
      <c r="X923">
        <v>299498.00530228199</v>
      </c>
      <c r="Y923">
        <v>3921</v>
      </c>
      <c r="Z923">
        <v>0.96101607157496605</v>
      </c>
      <c r="AA923">
        <v>50</v>
      </c>
    </row>
    <row r="924" spans="1:27" x14ac:dyDescent="0.2">
      <c r="A924">
        <v>20</v>
      </c>
      <c r="B924">
        <v>2</v>
      </c>
      <c r="C924">
        <v>0.2</v>
      </c>
      <c r="D924">
        <v>20</v>
      </c>
      <c r="E924">
        <v>0.56521911378420497</v>
      </c>
      <c r="F924">
        <v>2</v>
      </c>
      <c r="G924">
        <v>31.235889500999999</v>
      </c>
      <c r="H924">
        <v>0.47224045370824802</v>
      </c>
      <c r="I924">
        <v>2</v>
      </c>
      <c r="J924">
        <v>0.69194047000000003</v>
      </c>
      <c r="P924"/>
      <c r="V924">
        <v>0.45014578263628302</v>
      </c>
      <c r="W924">
        <v>2</v>
      </c>
      <c r="X924">
        <v>298943.663755644</v>
      </c>
      <c r="Y924">
        <v>3502</v>
      </c>
      <c r="Z924">
        <v>0.72327433052636103</v>
      </c>
      <c r="AA924">
        <v>50</v>
      </c>
    </row>
    <row r="925" spans="1:27" x14ac:dyDescent="0.2">
      <c r="A925">
        <v>20</v>
      </c>
      <c r="B925">
        <v>2</v>
      </c>
      <c r="C925">
        <v>0.3</v>
      </c>
      <c r="D925">
        <v>20</v>
      </c>
      <c r="E925">
        <v>0.45455239659740199</v>
      </c>
      <c r="F925">
        <v>2</v>
      </c>
      <c r="G925">
        <v>23.964434017999999</v>
      </c>
      <c r="H925">
        <v>0.37312315732669499</v>
      </c>
      <c r="I925">
        <v>2</v>
      </c>
      <c r="J925">
        <v>0.240551813</v>
      </c>
      <c r="P925"/>
      <c r="V925">
        <v>0.35434061711672898</v>
      </c>
      <c r="W925">
        <v>2</v>
      </c>
      <c r="X925">
        <v>297751.93487914698</v>
      </c>
      <c r="Y925">
        <v>3397</v>
      </c>
      <c r="Z925">
        <v>0.56546583997532096</v>
      </c>
      <c r="AA925">
        <v>50</v>
      </c>
    </row>
    <row r="926" spans="1:27" x14ac:dyDescent="0.2">
      <c r="A926">
        <v>20</v>
      </c>
      <c r="B926">
        <v>2</v>
      </c>
      <c r="C926">
        <v>0.2</v>
      </c>
      <c r="D926">
        <v>20</v>
      </c>
      <c r="E926">
        <v>0.84313804180450602</v>
      </c>
      <c r="F926">
        <v>2</v>
      </c>
      <c r="G926">
        <v>32.639494249000002</v>
      </c>
      <c r="H926">
        <v>0.72274247552953097</v>
      </c>
      <c r="I926">
        <v>2</v>
      </c>
      <c r="J926">
        <v>0.71064914999999995</v>
      </c>
      <c r="P926"/>
      <c r="V926">
        <v>0.72394002032993499</v>
      </c>
      <c r="W926">
        <v>2</v>
      </c>
      <c r="X926">
        <v>296225.51871965302</v>
      </c>
      <c r="Y926">
        <v>3095</v>
      </c>
      <c r="Z926">
        <v>0.84353751006313704</v>
      </c>
      <c r="AA926">
        <v>50</v>
      </c>
    </row>
    <row r="927" spans="1:27" x14ac:dyDescent="0.2">
      <c r="A927">
        <v>20</v>
      </c>
      <c r="B927">
        <v>2</v>
      </c>
      <c r="C927">
        <v>0.1</v>
      </c>
      <c r="D927">
        <v>20</v>
      </c>
      <c r="E927">
        <v>0.95423900022693697</v>
      </c>
      <c r="F927">
        <v>2</v>
      </c>
      <c r="G927">
        <v>31.353879121999999</v>
      </c>
      <c r="H927">
        <v>0.97754914468201004</v>
      </c>
      <c r="I927">
        <v>2</v>
      </c>
      <c r="J927">
        <v>0.51467752300000003</v>
      </c>
      <c r="P927"/>
      <c r="V927">
        <v>1.07223246830777</v>
      </c>
      <c r="W927">
        <v>2</v>
      </c>
      <c r="X927">
        <v>302281.07308321598</v>
      </c>
      <c r="Y927">
        <v>9110</v>
      </c>
      <c r="Z927">
        <v>7.9714178016249596E-2</v>
      </c>
      <c r="AA927">
        <v>50</v>
      </c>
    </row>
    <row r="928" spans="1:27" x14ac:dyDescent="0.2">
      <c r="A928">
        <v>20</v>
      </c>
      <c r="B928">
        <v>2</v>
      </c>
      <c r="C928">
        <v>0.2</v>
      </c>
      <c r="D928">
        <v>20</v>
      </c>
      <c r="E928">
        <v>0.773725019611049</v>
      </c>
      <c r="F928">
        <v>2</v>
      </c>
      <c r="G928">
        <v>32.319321031000001</v>
      </c>
      <c r="H928">
        <v>0.72977636997543904</v>
      </c>
      <c r="I928">
        <v>2</v>
      </c>
      <c r="J928">
        <v>0.440171284</v>
      </c>
      <c r="P928"/>
      <c r="V928">
        <v>0.727713284869003</v>
      </c>
      <c r="W928">
        <v>2</v>
      </c>
      <c r="X928">
        <v>298644.996670008</v>
      </c>
      <c r="Y928">
        <v>4192</v>
      </c>
      <c r="Z928">
        <v>0.54168739972606506</v>
      </c>
      <c r="AA928">
        <v>50</v>
      </c>
    </row>
    <row r="929" spans="1:27" x14ac:dyDescent="0.2">
      <c r="A929">
        <v>20</v>
      </c>
      <c r="B929">
        <v>2</v>
      </c>
      <c r="C929">
        <v>0.1</v>
      </c>
      <c r="D929">
        <v>20</v>
      </c>
      <c r="E929">
        <v>1.0100074200990801</v>
      </c>
      <c r="F929">
        <v>2</v>
      </c>
      <c r="G929">
        <v>30.289867346000001</v>
      </c>
      <c r="H929">
        <v>1.0315859704216199</v>
      </c>
      <c r="I929">
        <v>2</v>
      </c>
      <c r="J929">
        <v>0.49214359699999999</v>
      </c>
      <c r="P929"/>
      <c r="V929">
        <v>1.0637374513687401</v>
      </c>
      <c r="W929">
        <v>2</v>
      </c>
      <c r="X929">
        <v>300127.82627803698</v>
      </c>
      <c r="Y929">
        <v>11444</v>
      </c>
      <c r="Z929">
        <v>6.2376129480104202E-3</v>
      </c>
      <c r="AA929">
        <v>50</v>
      </c>
    </row>
    <row r="930" spans="1:27" x14ac:dyDescent="0.2">
      <c r="A930">
        <v>20</v>
      </c>
      <c r="B930">
        <v>2</v>
      </c>
      <c r="C930">
        <v>0.1</v>
      </c>
      <c r="D930">
        <v>20</v>
      </c>
      <c r="E930">
        <v>1.08458661391308</v>
      </c>
      <c r="F930">
        <v>2</v>
      </c>
      <c r="G930">
        <v>31.659955577000002</v>
      </c>
      <c r="H930">
        <v>0.996278752526922</v>
      </c>
      <c r="I930">
        <v>2</v>
      </c>
      <c r="J930">
        <v>0.84449259499999996</v>
      </c>
      <c r="P930"/>
      <c r="V930">
        <v>1.0830836639124</v>
      </c>
      <c r="W930">
        <v>2</v>
      </c>
      <c r="X930">
        <v>305276.805218458</v>
      </c>
      <c r="Y930">
        <v>13390</v>
      </c>
      <c r="Z930">
        <v>5.7572583866669101E-2</v>
      </c>
      <c r="AA930">
        <v>50</v>
      </c>
    </row>
    <row r="931" spans="1:27" x14ac:dyDescent="0.2">
      <c r="A931">
        <v>20</v>
      </c>
      <c r="B931">
        <v>2</v>
      </c>
      <c r="C931">
        <v>0.1</v>
      </c>
      <c r="D931">
        <v>20</v>
      </c>
      <c r="E931">
        <v>0.85551421661169702</v>
      </c>
      <c r="F931">
        <v>2</v>
      </c>
      <c r="G931">
        <v>31.479273388999999</v>
      </c>
      <c r="H931">
        <v>0.86573560624318002</v>
      </c>
      <c r="I931">
        <v>2</v>
      </c>
      <c r="J931">
        <v>0.36900094900000002</v>
      </c>
      <c r="P931"/>
      <c r="V931">
        <v>0.86584038970353405</v>
      </c>
      <c r="W931">
        <v>2</v>
      </c>
      <c r="X931">
        <v>303696.27532891702</v>
      </c>
      <c r="Y931">
        <v>5328</v>
      </c>
      <c r="Z931">
        <v>2.7928896817715199E-2</v>
      </c>
      <c r="AA931">
        <v>50</v>
      </c>
    </row>
    <row r="932" spans="1:27" x14ac:dyDescent="0.2">
      <c r="A932">
        <v>20</v>
      </c>
      <c r="B932">
        <v>2</v>
      </c>
      <c r="C932">
        <v>0.2</v>
      </c>
      <c r="D932">
        <v>20</v>
      </c>
      <c r="E932">
        <v>0.570630958479034</v>
      </c>
      <c r="F932">
        <v>2</v>
      </c>
      <c r="G932">
        <v>33.356363350000002</v>
      </c>
      <c r="H932">
        <v>0.43938476501840001</v>
      </c>
      <c r="I932">
        <v>2</v>
      </c>
      <c r="J932">
        <v>0.581388978</v>
      </c>
      <c r="P932"/>
      <c r="V932">
        <v>0.42189988789600902</v>
      </c>
      <c r="W932">
        <v>2</v>
      </c>
      <c r="X932">
        <v>302228.06051021803</v>
      </c>
      <c r="Y932">
        <v>3492</v>
      </c>
      <c r="Z932">
        <v>0.36082563557353903</v>
      </c>
      <c r="AA932">
        <v>50</v>
      </c>
    </row>
    <row r="933" spans="1:27" x14ac:dyDescent="0.2">
      <c r="A933">
        <v>20</v>
      </c>
      <c r="B933">
        <v>2</v>
      </c>
      <c r="C933">
        <v>0.1</v>
      </c>
      <c r="D933">
        <v>100</v>
      </c>
      <c r="E933">
        <v>1.32484867724319</v>
      </c>
      <c r="F933">
        <v>2</v>
      </c>
      <c r="G933">
        <v>30.820427311</v>
      </c>
      <c r="H933">
        <v>1.0806217299521701</v>
      </c>
      <c r="I933">
        <v>2</v>
      </c>
      <c r="J933">
        <v>0.937311283</v>
      </c>
      <c r="P933"/>
      <c r="V933">
        <v>1.13563940573379</v>
      </c>
      <c r="W933">
        <v>2</v>
      </c>
      <c r="X933">
        <v>303587.47101525002</v>
      </c>
      <c r="Y933">
        <v>6856</v>
      </c>
      <c r="Z933">
        <v>1.4889559201312901E-2</v>
      </c>
      <c r="AA933">
        <v>50</v>
      </c>
    </row>
    <row r="934" spans="1:27" x14ac:dyDescent="0.2">
      <c r="A934">
        <v>20</v>
      </c>
      <c r="B934">
        <v>2</v>
      </c>
      <c r="C934">
        <v>0.3</v>
      </c>
      <c r="D934">
        <v>100</v>
      </c>
      <c r="E934">
        <v>0.33577223000030998</v>
      </c>
      <c r="F934">
        <v>2</v>
      </c>
      <c r="G934">
        <v>33.528834906999997</v>
      </c>
      <c r="H934">
        <v>0.192129946430803</v>
      </c>
      <c r="I934">
        <v>2</v>
      </c>
      <c r="J934">
        <v>0.39479854800000003</v>
      </c>
      <c r="P934"/>
      <c r="V934">
        <v>0.186938427907792</v>
      </c>
      <c r="W934">
        <v>2</v>
      </c>
      <c r="X934">
        <v>299674.21329033503</v>
      </c>
      <c r="Y934">
        <v>2377</v>
      </c>
      <c r="Z934">
        <v>0.19616858372013601</v>
      </c>
      <c r="AA934">
        <v>50</v>
      </c>
    </row>
    <row r="935" spans="1:27" x14ac:dyDescent="0.2">
      <c r="A935">
        <v>20</v>
      </c>
      <c r="B935">
        <v>2</v>
      </c>
      <c r="C935">
        <v>0.2</v>
      </c>
      <c r="D935">
        <v>100</v>
      </c>
      <c r="E935">
        <v>0.79932214156634096</v>
      </c>
      <c r="F935">
        <v>2</v>
      </c>
      <c r="G935">
        <v>30.659296287</v>
      </c>
      <c r="H935">
        <v>0.79985366230710997</v>
      </c>
      <c r="I935">
        <v>2</v>
      </c>
      <c r="J935">
        <v>0.92700497000000004</v>
      </c>
      <c r="P935"/>
      <c r="V935">
        <v>0.80161621434936803</v>
      </c>
      <c r="W935">
        <v>2</v>
      </c>
      <c r="X935">
        <v>302887.76574205898</v>
      </c>
      <c r="Y935">
        <v>2227</v>
      </c>
      <c r="Z935">
        <v>0.131436823901903</v>
      </c>
      <c r="AA935">
        <v>50</v>
      </c>
    </row>
    <row r="936" spans="1:27" x14ac:dyDescent="0.2">
      <c r="A936">
        <v>20</v>
      </c>
      <c r="B936">
        <v>2</v>
      </c>
      <c r="C936">
        <v>0.1</v>
      </c>
      <c r="D936">
        <v>100</v>
      </c>
      <c r="E936">
        <v>0.97679642530975996</v>
      </c>
      <c r="F936">
        <v>2</v>
      </c>
      <c r="G936">
        <v>31.389941584999999</v>
      </c>
      <c r="H936">
        <v>0.94735642341982496</v>
      </c>
      <c r="I936">
        <v>2</v>
      </c>
      <c r="J936">
        <v>0.64050959299999999</v>
      </c>
      <c r="P936"/>
      <c r="V936">
        <v>0.94763925846909802</v>
      </c>
      <c r="W936">
        <v>2</v>
      </c>
      <c r="X936">
        <v>306183.21738023002</v>
      </c>
      <c r="Y936">
        <v>1985</v>
      </c>
      <c r="Z936">
        <v>1.2605782591715801E-2</v>
      </c>
      <c r="AA936">
        <v>50</v>
      </c>
    </row>
    <row r="937" spans="1:27" x14ac:dyDescent="0.2">
      <c r="A937">
        <v>20</v>
      </c>
      <c r="B937">
        <v>3</v>
      </c>
      <c r="C937">
        <v>0.1</v>
      </c>
      <c r="D937">
        <v>20</v>
      </c>
      <c r="E937">
        <v>1.0823553825436301</v>
      </c>
      <c r="F937">
        <v>3</v>
      </c>
      <c r="G937">
        <v>31.698081588000001</v>
      </c>
      <c r="H937">
        <v>1.0307232161632101</v>
      </c>
      <c r="I937">
        <v>3</v>
      </c>
      <c r="J937">
        <v>0.60681887499999998</v>
      </c>
      <c r="P937"/>
      <c r="V937">
        <v>1.0319371370180599</v>
      </c>
      <c r="W937">
        <v>3</v>
      </c>
      <c r="X937">
        <v>1551.0344275739999</v>
      </c>
      <c r="Y937">
        <v>1</v>
      </c>
      <c r="Z937">
        <v>8.6677714147072593E-3</v>
      </c>
      <c r="AA937">
        <v>3</v>
      </c>
    </row>
    <row r="938" spans="1:27" x14ac:dyDescent="0.2">
      <c r="A938" s="4">
        <v>20</v>
      </c>
      <c r="B938" s="4">
        <v>3</v>
      </c>
      <c r="C938" s="4">
        <v>0.3</v>
      </c>
      <c r="D938" s="4">
        <v>100</v>
      </c>
      <c r="E938" s="4">
        <v>0.71817713999999999</v>
      </c>
      <c r="F938" s="4">
        <v>3</v>
      </c>
      <c r="G938" s="4">
        <v>27.3856514</v>
      </c>
      <c r="H938" s="4">
        <v>0.48185683000000001</v>
      </c>
      <c r="I938" s="4">
        <v>3</v>
      </c>
      <c r="J938" s="4">
        <v>0.88320962999999997</v>
      </c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>
        <v>0.48167370999999998</v>
      </c>
      <c r="W938" s="4">
        <v>3</v>
      </c>
      <c r="X938" s="4">
        <v>299062.88400000002</v>
      </c>
      <c r="Y938" s="4">
        <v>27</v>
      </c>
      <c r="Z938" s="4">
        <v>0.50805316</v>
      </c>
      <c r="AA938" s="4">
        <v>50</v>
      </c>
    </row>
    <row r="939" spans="1:27" x14ac:dyDescent="0.2">
      <c r="A939" s="4">
        <v>20</v>
      </c>
      <c r="B939" s="4">
        <v>3</v>
      </c>
      <c r="C939" s="4">
        <v>0.2</v>
      </c>
      <c r="D939" s="4">
        <v>100</v>
      </c>
      <c r="E939" s="4">
        <v>0.97662340000000003</v>
      </c>
      <c r="F939" s="4">
        <v>3</v>
      </c>
      <c r="G939" s="4">
        <v>26.528299000000001</v>
      </c>
      <c r="H939" s="4">
        <v>1.0192627000000001</v>
      </c>
      <c r="I939" s="4">
        <v>3</v>
      </c>
      <c r="J939" s="4">
        <v>1.02866174</v>
      </c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>
        <v>1.0225433799999999</v>
      </c>
      <c r="W939" s="4">
        <v>3</v>
      </c>
      <c r="X939" s="4">
        <v>297514.31099999999</v>
      </c>
      <c r="Y939" s="4">
        <v>453</v>
      </c>
      <c r="Z939" s="4">
        <v>0.14346906000000001</v>
      </c>
      <c r="AA939" s="4">
        <v>50</v>
      </c>
    </row>
    <row r="940" spans="1:27" x14ac:dyDescent="0.2">
      <c r="A940" s="4">
        <v>20</v>
      </c>
      <c r="B940" s="4">
        <v>3</v>
      </c>
      <c r="C940" s="4">
        <v>0.1</v>
      </c>
      <c r="D940" s="4">
        <v>100</v>
      </c>
      <c r="E940" s="4">
        <v>1.0059222000000001</v>
      </c>
      <c r="F940" s="4">
        <v>3</v>
      </c>
      <c r="G940" s="4">
        <v>31.294260999999999</v>
      </c>
      <c r="H940" s="4">
        <v>0.97144582000000002</v>
      </c>
      <c r="I940" s="4">
        <v>3</v>
      </c>
      <c r="J940" s="4">
        <v>1.0225143000000001</v>
      </c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>
        <v>1.00279637</v>
      </c>
      <c r="W940" s="4">
        <v>3</v>
      </c>
      <c r="X940" s="4">
        <v>304932.56900000002</v>
      </c>
      <c r="Y940" s="4">
        <v>1193</v>
      </c>
      <c r="Z940" s="4">
        <v>2.079203E-2</v>
      </c>
      <c r="AA940" s="4">
        <v>50</v>
      </c>
    </row>
    <row r="941" spans="1:27" x14ac:dyDescent="0.2">
      <c r="A941" s="4">
        <v>20</v>
      </c>
      <c r="B941" s="4">
        <v>3</v>
      </c>
      <c r="C941" s="4">
        <v>0.3</v>
      </c>
      <c r="D941" s="4">
        <v>100</v>
      </c>
      <c r="E941" s="4">
        <v>0.81725924000000005</v>
      </c>
      <c r="F941" s="4">
        <v>3</v>
      </c>
      <c r="G941" s="4">
        <v>29.875050300000002</v>
      </c>
      <c r="H941" s="4">
        <v>0.78342564999999997</v>
      </c>
      <c r="I941" s="4">
        <v>3</v>
      </c>
      <c r="J941" s="4">
        <v>1.0490560200000001</v>
      </c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>
        <v>0.79352473000000001</v>
      </c>
      <c r="W941" s="4">
        <v>3</v>
      </c>
      <c r="X941" s="4">
        <v>299067.31199999998</v>
      </c>
      <c r="Y941" s="4">
        <v>27</v>
      </c>
      <c r="Z941" s="4">
        <v>0.89871866</v>
      </c>
      <c r="AA941" s="4">
        <v>50</v>
      </c>
    </row>
    <row r="942" spans="1:27" x14ac:dyDescent="0.2">
      <c r="A942">
        <v>20</v>
      </c>
      <c r="B942">
        <v>3</v>
      </c>
      <c r="C942">
        <v>0.3</v>
      </c>
      <c r="D942" s="4">
        <v>100</v>
      </c>
      <c r="E942">
        <v>0.64118397754220502</v>
      </c>
      <c r="F942">
        <v>3</v>
      </c>
      <c r="G942">
        <v>31.228604751999999</v>
      </c>
      <c r="H942">
        <v>0.42757806908199297</v>
      </c>
      <c r="I942">
        <v>3</v>
      </c>
      <c r="J942">
        <v>0.75669527599999997</v>
      </c>
      <c r="P942"/>
      <c r="V942">
        <v>0.42712569178572601</v>
      </c>
      <c r="W942">
        <v>3</v>
      </c>
      <c r="X942">
        <v>288873.15372469102</v>
      </c>
      <c r="Y942">
        <v>30</v>
      </c>
      <c r="Z942">
        <v>0.25036542405177897</v>
      </c>
      <c r="AA942">
        <v>50</v>
      </c>
    </row>
    <row r="943" spans="1:27" x14ac:dyDescent="0.2">
      <c r="A943">
        <v>20</v>
      </c>
      <c r="B943">
        <v>3</v>
      </c>
      <c r="C943">
        <v>0.3</v>
      </c>
      <c r="D943" s="4">
        <v>100</v>
      </c>
      <c r="E943">
        <v>0.67689335549028995</v>
      </c>
      <c r="F943">
        <v>3</v>
      </c>
      <c r="G943">
        <v>30.164540819999999</v>
      </c>
      <c r="H943">
        <v>0.48744391742242699</v>
      </c>
      <c r="I943">
        <v>3</v>
      </c>
      <c r="J943">
        <v>1.0091382179999999</v>
      </c>
      <c r="P943"/>
      <c r="V943">
        <v>0.486084925635071</v>
      </c>
      <c r="W943">
        <v>3</v>
      </c>
      <c r="X943">
        <v>290372.79329889198</v>
      </c>
      <c r="Y943">
        <v>63</v>
      </c>
      <c r="Z943">
        <v>0.60621644200991698</v>
      </c>
      <c r="AA943">
        <v>50</v>
      </c>
    </row>
    <row r="944" spans="1:27" x14ac:dyDescent="0.2">
      <c r="A944">
        <v>20</v>
      </c>
      <c r="B944">
        <v>3</v>
      </c>
      <c r="C944">
        <v>0.2</v>
      </c>
      <c r="D944" s="4">
        <v>100</v>
      </c>
      <c r="E944">
        <v>0.92564647722832705</v>
      </c>
      <c r="F944">
        <v>3</v>
      </c>
      <c r="G944">
        <v>31.056408222000002</v>
      </c>
      <c r="H944">
        <v>0.95735786217855001</v>
      </c>
      <c r="I944">
        <v>3</v>
      </c>
      <c r="J944">
        <v>0.97505436099999998</v>
      </c>
      <c r="P944"/>
      <c r="V944">
        <v>0.95891201681412497</v>
      </c>
      <c r="W944">
        <v>3</v>
      </c>
      <c r="X944">
        <v>301428.33462923602</v>
      </c>
      <c r="Y944">
        <v>430</v>
      </c>
      <c r="Z944">
        <v>0.12576116560207501</v>
      </c>
      <c r="AA944">
        <v>50</v>
      </c>
    </row>
    <row r="945" spans="1:27" x14ac:dyDescent="0.2">
      <c r="A945">
        <v>20</v>
      </c>
      <c r="B945">
        <v>3</v>
      </c>
      <c r="C945">
        <v>0.2</v>
      </c>
      <c r="D945" s="4">
        <v>100</v>
      </c>
      <c r="E945">
        <v>1.0227488587054101</v>
      </c>
      <c r="F945">
        <v>3</v>
      </c>
      <c r="G945">
        <v>27.808150961999999</v>
      </c>
      <c r="H945">
        <v>0.98797031944203995</v>
      </c>
      <c r="I945">
        <v>3</v>
      </c>
      <c r="J945">
        <v>0.92799604300000005</v>
      </c>
      <c r="P945"/>
      <c r="V945">
        <v>0.98984556471350105</v>
      </c>
      <c r="W945">
        <v>3</v>
      </c>
      <c r="X945">
        <v>297525.53091967897</v>
      </c>
      <c r="Y945">
        <v>157</v>
      </c>
      <c r="Z945">
        <v>0.15960299422733801</v>
      </c>
      <c r="AA945">
        <v>50</v>
      </c>
    </row>
    <row r="946" spans="1:27" x14ac:dyDescent="0.2">
      <c r="A946">
        <v>20</v>
      </c>
      <c r="B946">
        <v>3</v>
      </c>
      <c r="C946">
        <v>0.1</v>
      </c>
      <c r="D946" s="4">
        <v>100</v>
      </c>
      <c r="E946">
        <v>1.13637259858408</v>
      </c>
      <c r="F946">
        <v>3</v>
      </c>
      <c r="G946">
        <v>30.265889508000001</v>
      </c>
      <c r="H946">
        <v>0.97616039559120604</v>
      </c>
      <c r="I946">
        <v>3</v>
      </c>
      <c r="J946">
        <v>0.70839885000000002</v>
      </c>
      <c r="P946"/>
      <c r="V946">
        <v>1.0159216421555799</v>
      </c>
      <c r="W946">
        <v>3</v>
      </c>
      <c r="X946">
        <v>302580.80699801701</v>
      </c>
      <c r="Y946">
        <v>2650</v>
      </c>
      <c r="Z946">
        <v>3.8582390983031398E-3</v>
      </c>
      <c r="AA946">
        <v>50</v>
      </c>
    </row>
    <row r="947" spans="1:27" x14ac:dyDescent="0.2">
      <c r="A947">
        <v>20</v>
      </c>
      <c r="B947">
        <v>3</v>
      </c>
      <c r="C947">
        <v>0.1</v>
      </c>
      <c r="D947" s="4">
        <v>100</v>
      </c>
      <c r="E947">
        <v>1.0164907923898301</v>
      </c>
      <c r="F947">
        <v>3</v>
      </c>
      <c r="G947">
        <v>30.251645180000001</v>
      </c>
      <c r="H947">
        <v>0.97655689254959399</v>
      </c>
      <c r="I947">
        <v>3</v>
      </c>
      <c r="J947">
        <v>0.92807810700000004</v>
      </c>
      <c r="P947"/>
      <c r="V947">
        <v>1.00977677612562</v>
      </c>
      <c r="W947">
        <v>3</v>
      </c>
      <c r="X947">
        <v>302819.540021286</v>
      </c>
      <c r="Y947">
        <v>2118</v>
      </c>
      <c r="Z947">
        <v>0.136060166323659</v>
      </c>
      <c r="AA947">
        <v>50</v>
      </c>
    </row>
    <row r="948" spans="1:27" x14ac:dyDescent="0.2">
      <c r="A948">
        <v>20</v>
      </c>
      <c r="B948">
        <v>3</v>
      </c>
      <c r="C948">
        <v>0.2</v>
      </c>
      <c r="D948" s="4">
        <v>100</v>
      </c>
      <c r="E948">
        <v>0.96219778327310801</v>
      </c>
      <c r="F948">
        <v>3</v>
      </c>
      <c r="G948">
        <v>30.457732061000002</v>
      </c>
      <c r="H948">
        <v>0.94722989990296802</v>
      </c>
      <c r="I948">
        <v>3</v>
      </c>
      <c r="J948">
        <v>0.98923167400000001</v>
      </c>
      <c r="P948"/>
      <c r="V948">
        <v>0.95082007984728301</v>
      </c>
      <c r="W948">
        <v>3</v>
      </c>
      <c r="X948">
        <v>303823.79938109702</v>
      </c>
      <c r="Y948">
        <v>108</v>
      </c>
      <c r="Z948">
        <v>5.6650592672218003E-2</v>
      </c>
      <c r="AA948">
        <v>50</v>
      </c>
    </row>
    <row r="949" spans="1:27" x14ac:dyDescent="0.2">
      <c r="A949">
        <v>20</v>
      </c>
      <c r="B949">
        <v>3</v>
      </c>
      <c r="C949">
        <v>0.1</v>
      </c>
      <c r="D949" s="4">
        <v>100</v>
      </c>
      <c r="E949">
        <v>1.2841977152042801</v>
      </c>
      <c r="F949">
        <v>3</v>
      </c>
      <c r="G949">
        <v>30.787254893</v>
      </c>
      <c r="H949">
        <v>1.0406127347752001</v>
      </c>
      <c r="I949">
        <v>3</v>
      </c>
      <c r="J949">
        <v>0.960030194</v>
      </c>
      <c r="P949"/>
      <c r="V949">
        <v>1.0142090956204199</v>
      </c>
      <c r="W949">
        <v>3</v>
      </c>
      <c r="X949">
        <v>299615.36181395</v>
      </c>
      <c r="Y949">
        <v>2075</v>
      </c>
      <c r="Z949">
        <v>3.6416544044186499E-3</v>
      </c>
      <c r="AA949">
        <v>50</v>
      </c>
    </row>
    <row r="950" spans="1:27" x14ac:dyDescent="0.2">
      <c r="A950">
        <v>20</v>
      </c>
      <c r="B950">
        <v>3</v>
      </c>
      <c r="C950">
        <v>0.2</v>
      </c>
      <c r="D950" s="4">
        <v>100</v>
      </c>
      <c r="E950">
        <v>0.76982846739831101</v>
      </c>
      <c r="F950">
        <v>3</v>
      </c>
      <c r="G950">
        <v>30.749236576000001</v>
      </c>
      <c r="H950">
        <v>0.77864306583555698</v>
      </c>
      <c r="I950">
        <v>3</v>
      </c>
      <c r="J950">
        <v>1.0092034379999999</v>
      </c>
      <c r="P950"/>
      <c r="V950">
        <v>0.78223265020486299</v>
      </c>
      <c r="W950">
        <v>3</v>
      </c>
      <c r="X950">
        <v>301130.903023416</v>
      </c>
      <c r="Y950">
        <v>99</v>
      </c>
      <c r="Z950">
        <v>8.6509677617555694E-2</v>
      </c>
      <c r="AA950">
        <v>50</v>
      </c>
    </row>
    <row r="951" spans="1:27" x14ac:dyDescent="0.2">
      <c r="A951">
        <v>20</v>
      </c>
      <c r="B951">
        <v>3</v>
      </c>
      <c r="C951">
        <v>0.1</v>
      </c>
      <c r="D951" s="4">
        <v>100</v>
      </c>
      <c r="E951">
        <v>1.3009258541259201</v>
      </c>
      <c r="F951">
        <v>3</v>
      </c>
      <c r="G951">
        <v>31.769235762000001</v>
      </c>
      <c r="H951">
        <v>0.91246440402143103</v>
      </c>
      <c r="I951">
        <v>3</v>
      </c>
      <c r="J951">
        <v>0.96962806899999998</v>
      </c>
      <c r="P951"/>
      <c r="V951">
        <v>0.91228429809154199</v>
      </c>
      <c r="W951">
        <v>3</v>
      </c>
      <c r="X951">
        <v>307100.73112994002</v>
      </c>
      <c r="Y951">
        <v>4359</v>
      </c>
      <c r="Z951">
        <v>1.6335731241256E-2</v>
      </c>
      <c r="AA951">
        <v>50</v>
      </c>
    </row>
    <row r="952" spans="1:27" x14ac:dyDescent="0.2">
      <c r="A952">
        <v>20</v>
      </c>
      <c r="B952">
        <v>3</v>
      </c>
      <c r="C952">
        <v>0.2</v>
      </c>
      <c r="D952" s="4">
        <v>100</v>
      </c>
      <c r="E952">
        <v>0.977050003850089</v>
      </c>
      <c r="F952">
        <v>3</v>
      </c>
      <c r="G952">
        <v>25.603523662000001</v>
      </c>
      <c r="H952">
        <v>1.00174803982928</v>
      </c>
      <c r="I952">
        <v>3</v>
      </c>
      <c r="J952">
        <v>0.79928452100000003</v>
      </c>
      <c r="P952"/>
      <c r="V952">
        <v>1.0041765013644299</v>
      </c>
      <c r="W952">
        <v>3</v>
      </c>
      <c r="X952">
        <v>305874.53564965801</v>
      </c>
      <c r="Y952">
        <v>618</v>
      </c>
      <c r="Z952">
        <v>8.5687449828718495E-2</v>
      </c>
      <c r="AA952">
        <v>50</v>
      </c>
    </row>
    <row r="953" spans="1:27" x14ac:dyDescent="0.2">
      <c r="A953">
        <v>10</v>
      </c>
      <c r="B953">
        <v>2</v>
      </c>
      <c r="C953">
        <v>0.3</v>
      </c>
      <c r="D953" s="4">
        <v>100</v>
      </c>
      <c r="E953">
        <v>0.52812302932141397</v>
      </c>
      <c r="F953">
        <v>2</v>
      </c>
      <c r="G953">
        <v>30.255289426000001</v>
      </c>
      <c r="H953">
        <v>0.456093601858305</v>
      </c>
      <c r="I953">
        <v>2</v>
      </c>
      <c r="J953">
        <v>0.43618574799999998</v>
      </c>
      <c r="P953"/>
      <c r="V953">
        <v>0.45135490241986698</v>
      </c>
      <c r="W953">
        <v>2</v>
      </c>
      <c r="X953">
        <v>300077.28314029198</v>
      </c>
      <c r="Y953">
        <v>44789</v>
      </c>
      <c r="Z953">
        <v>8.8333854282010599E-2</v>
      </c>
      <c r="AA953">
        <v>50</v>
      </c>
    </row>
    <row r="954" spans="1:27" x14ac:dyDescent="0.2">
      <c r="A954">
        <v>10</v>
      </c>
      <c r="B954">
        <v>2</v>
      </c>
      <c r="C954">
        <v>0.3</v>
      </c>
      <c r="D954" s="4">
        <v>100</v>
      </c>
      <c r="E954">
        <v>0.67352690043629604</v>
      </c>
      <c r="F954">
        <v>2</v>
      </c>
      <c r="G954">
        <v>31.265551184</v>
      </c>
      <c r="H954">
        <v>0.72048953620593403</v>
      </c>
      <c r="I954">
        <v>2</v>
      </c>
      <c r="J954">
        <v>0.19510032099999999</v>
      </c>
      <c r="P954"/>
      <c r="V954">
        <v>1.0223671698761401</v>
      </c>
      <c r="W954">
        <v>2</v>
      </c>
      <c r="X954">
        <v>300982.756139045</v>
      </c>
      <c r="Y954">
        <v>46124</v>
      </c>
      <c r="Z954">
        <v>2.32701935649221E-2</v>
      </c>
      <c r="AA954">
        <v>50</v>
      </c>
    </row>
    <row r="955" spans="1:27" x14ac:dyDescent="0.2">
      <c r="A955">
        <v>10</v>
      </c>
      <c r="B955">
        <v>2</v>
      </c>
      <c r="C955">
        <v>0.3</v>
      </c>
      <c r="D955" s="4">
        <v>100</v>
      </c>
      <c r="E955">
        <v>0.90978144601945199</v>
      </c>
      <c r="F955">
        <v>2</v>
      </c>
      <c r="G955">
        <v>30.210205864999999</v>
      </c>
      <c r="H955">
        <v>0.97347174185290297</v>
      </c>
      <c r="I955">
        <v>2</v>
      </c>
      <c r="J955">
        <v>0.48244004200000001</v>
      </c>
      <c r="P955"/>
      <c r="V955">
        <v>0.894434762743198</v>
      </c>
      <c r="W955">
        <v>2</v>
      </c>
      <c r="X955">
        <v>304580.85804683098</v>
      </c>
      <c r="Y955">
        <v>35456</v>
      </c>
      <c r="Z955">
        <v>7.6510703745064999E-3</v>
      </c>
      <c r="AA955">
        <v>50</v>
      </c>
    </row>
    <row r="956" spans="1:27" x14ac:dyDescent="0.2">
      <c r="A956">
        <v>10</v>
      </c>
      <c r="B956">
        <v>2</v>
      </c>
      <c r="C956">
        <v>0.3</v>
      </c>
      <c r="D956" s="4">
        <v>100</v>
      </c>
      <c r="E956">
        <v>0.79856843266906896</v>
      </c>
      <c r="F956">
        <v>2</v>
      </c>
      <c r="G956">
        <v>28.017145666000001</v>
      </c>
      <c r="H956">
        <v>0.829967863163796</v>
      </c>
      <c r="I956">
        <v>2</v>
      </c>
      <c r="J956">
        <v>0.14526249399999999</v>
      </c>
      <c r="P956"/>
      <c r="V956">
        <v>0.83340486666698099</v>
      </c>
      <c r="W956">
        <v>2</v>
      </c>
      <c r="X956">
        <v>306975.99830972299</v>
      </c>
      <c r="Y956">
        <v>68436</v>
      </c>
      <c r="Z956">
        <v>4.8177455367218402E-2</v>
      </c>
      <c r="AA956">
        <v>50</v>
      </c>
    </row>
    <row r="957" spans="1:27" x14ac:dyDescent="0.2">
      <c r="A957">
        <v>10</v>
      </c>
      <c r="B957">
        <v>2</v>
      </c>
      <c r="C957">
        <v>0.3</v>
      </c>
      <c r="D957" s="4">
        <v>100</v>
      </c>
      <c r="E957">
        <v>0.88323732378729702</v>
      </c>
      <c r="F957">
        <v>2</v>
      </c>
      <c r="G957">
        <v>29.052556931000002</v>
      </c>
      <c r="H957">
        <v>0.45065103822854602</v>
      </c>
      <c r="I957">
        <v>2</v>
      </c>
      <c r="J957">
        <v>0.66642003000000005</v>
      </c>
      <c r="P957"/>
      <c r="V957">
        <v>0.44942193999080399</v>
      </c>
      <c r="W957">
        <v>2</v>
      </c>
      <c r="X957">
        <v>306978.37848299003</v>
      </c>
      <c r="Y957">
        <v>28051</v>
      </c>
      <c r="Z957">
        <v>8.4589265873159496E-3</v>
      </c>
      <c r="AA957">
        <v>50</v>
      </c>
    </row>
    <row r="958" spans="1:27" x14ac:dyDescent="0.2">
      <c r="A958">
        <v>10</v>
      </c>
      <c r="B958">
        <v>2</v>
      </c>
      <c r="C958">
        <v>0.3</v>
      </c>
      <c r="D958" s="4">
        <v>100</v>
      </c>
      <c r="E958">
        <v>0.73763440488172805</v>
      </c>
      <c r="F958">
        <v>2</v>
      </c>
      <c r="G958">
        <v>30.395732349999999</v>
      </c>
      <c r="H958">
        <v>0.86746048594971403</v>
      </c>
      <c r="I958">
        <v>2</v>
      </c>
      <c r="J958">
        <v>0.30258901199999999</v>
      </c>
      <c r="P958"/>
      <c r="V958">
        <v>0.86912542129187298</v>
      </c>
      <c r="W958">
        <v>2</v>
      </c>
      <c r="X958">
        <v>306977.17687799799</v>
      </c>
      <c r="Y958">
        <v>42221</v>
      </c>
      <c r="Z958">
        <v>6.5113311727074599E-3</v>
      </c>
      <c r="AA958">
        <v>50</v>
      </c>
    </row>
    <row r="959" spans="1:27" x14ac:dyDescent="0.2">
      <c r="A959">
        <v>10</v>
      </c>
      <c r="B959">
        <v>2</v>
      </c>
      <c r="C959">
        <v>0.3</v>
      </c>
      <c r="D959" s="4">
        <v>100</v>
      </c>
      <c r="E959">
        <v>0.81508890324272099</v>
      </c>
      <c r="F959">
        <v>2</v>
      </c>
      <c r="G959">
        <v>30.610061043999998</v>
      </c>
      <c r="H959">
        <v>0.80178463208103701</v>
      </c>
      <c r="I959">
        <v>2</v>
      </c>
      <c r="J959">
        <v>0.55117350700000001</v>
      </c>
      <c r="P959"/>
      <c r="V959">
        <v>0.80334540591575698</v>
      </c>
      <c r="W959">
        <v>2</v>
      </c>
      <c r="X959">
        <v>306978.80567675002</v>
      </c>
      <c r="Y959">
        <v>26093</v>
      </c>
      <c r="Z959">
        <v>2.5198064210368701E-2</v>
      </c>
      <c r="AA959">
        <v>50</v>
      </c>
    </row>
    <row r="960" spans="1:27" x14ac:dyDescent="0.2">
      <c r="A960">
        <v>10</v>
      </c>
      <c r="B960">
        <v>2</v>
      </c>
      <c r="C960">
        <v>0.3</v>
      </c>
      <c r="D960" s="4">
        <v>100</v>
      </c>
      <c r="E960">
        <v>0.65839828853971905</v>
      </c>
      <c r="F960">
        <v>2</v>
      </c>
      <c r="G960">
        <v>30.662459650999999</v>
      </c>
      <c r="H960">
        <v>0.68524609292272098</v>
      </c>
      <c r="I960">
        <v>2</v>
      </c>
      <c r="J960">
        <v>0.40247611100000003</v>
      </c>
      <c r="P960"/>
      <c r="V960">
        <v>0.68440345711766604</v>
      </c>
      <c r="W960">
        <v>2</v>
      </c>
      <c r="X960">
        <v>306981.61830467102</v>
      </c>
      <c r="Y960">
        <v>34191</v>
      </c>
      <c r="Z960">
        <v>4.1126093229985998E-3</v>
      </c>
      <c r="AA960">
        <v>50</v>
      </c>
    </row>
    <row r="961" spans="1:27" x14ac:dyDescent="0.2">
      <c r="A961">
        <v>10</v>
      </c>
      <c r="B961">
        <v>2</v>
      </c>
      <c r="C961">
        <v>0.3</v>
      </c>
      <c r="D961" s="4">
        <v>100</v>
      </c>
      <c r="E961">
        <v>0.87866273519924598</v>
      </c>
      <c r="F961">
        <v>2</v>
      </c>
      <c r="G961">
        <v>30.222551825</v>
      </c>
      <c r="H961">
        <v>0.92732375310432402</v>
      </c>
      <c r="I961">
        <v>2</v>
      </c>
      <c r="J961">
        <v>0.186141274</v>
      </c>
      <c r="P961"/>
      <c r="V961">
        <v>0.92627857131019997</v>
      </c>
      <c r="W961">
        <v>2</v>
      </c>
      <c r="X961">
        <v>306982.65547202301</v>
      </c>
      <c r="Y961">
        <v>27712</v>
      </c>
      <c r="Z961">
        <v>9.3739608299159404E-3</v>
      </c>
      <c r="AA961">
        <v>50</v>
      </c>
    </row>
    <row r="962" spans="1:27" x14ac:dyDescent="0.2">
      <c r="A962">
        <v>10</v>
      </c>
      <c r="B962">
        <v>2</v>
      </c>
      <c r="C962">
        <v>0.3</v>
      </c>
      <c r="D962" s="4">
        <v>100</v>
      </c>
      <c r="E962">
        <v>0.86129347989154903</v>
      </c>
      <c r="F962">
        <v>2</v>
      </c>
      <c r="G962">
        <v>30.806671962999999</v>
      </c>
      <c r="H962">
        <v>0.73140984519166996</v>
      </c>
      <c r="I962">
        <v>2</v>
      </c>
      <c r="J962">
        <v>0.19958345199999999</v>
      </c>
      <c r="P962"/>
      <c r="V962">
        <v>0.73220929961950498</v>
      </c>
      <c r="W962">
        <v>2</v>
      </c>
      <c r="X962">
        <v>306983.67176104599</v>
      </c>
      <c r="Y962">
        <v>28155</v>
      </c>
      <c r="Z962">
        <v>1.31595137112976E-2</v>
      </c>
      <c r="AA962">
        <v>50</v>
      </c>
    </row>
    <row r="963" spans="1:27" x14ac:dyDescent="0.2">
      <c r="A963">
        <v>10</v>
      </c>
      <c r="B963">
        <v>2</v>
      </c>
      <c r="C963">
        <v>0.3</v>
      </c>
      <c r="D963" s="4">
        <v>100</v>
      </c>
      <c r="E963">
        <v>0.96157348117238095</v>
      </c>
      <c r="F963">
        <v>2</v>
      </c>
      <c r="G963">
        <v>33.237560080000002</v>
      </c>
      <c r="H963">
        <v>0.93820282328471105</v>
      </c>
      <c r="I963">
        <v>2</v>
      </c>
      <c r="J963">
        <v>0.34236169300000002</v>
      </c>
      <c r="P963"/>
      <c r="V963">
        <v>0.94112945992239805</v>
      </c>
      <c r="W963">
        <v>2</v>
      </c>
      <c r="X963">
        <v>306981.32274046598</v>
      </c>
      <c r="Y963">
        <v>45036</v>
      </c>
      <c r="Z963">
        <v>2.1746267471872802E-3</v>
      </c>
      <c r="AA963">
        <v>50</v>
      </c>
    </row>
    <row r="964" spans="1:27" x14ac:dyDescent="0.2">
      <c r="A964">
        <v>10</v>
      </c>
      <c r="B964">
        <v>2</v>
      </c>
      <c r="C964">
        <v>0.3</v>
      </c>
      <c r="D964" s="4">
        <v>100</v>
      </c>
      <c r="E964">
        <v>0.62607403519899596</v>
      </c>
      <c r="F964">
        <v>2</v>
      </c>
      <c r="G964">
        <v>32.228326977999998</v>
      </c>
      <c r="H964">
        <v>0.59855594706023596</v>
      </c>
      <c r="I964">
        <v>2</v>
      </c>
      <c r="J964">
        <v>0.127835322</v>
      </c>
      <c r="P964"/>
      <c r="V964">
        <v>0.79641752872279203</v>
      </c>
      <c r="W964">
        <v>2</v>
      </c>
      <c r="X964">
        <v>306984.56845957402</v>
      </c>
      <c r="Y964">
        <v>34999</v>
      </c>
      <c r="Z964">
        <v>1.8495543013490101E-2</v>
      </c>
      <c r="AA964">
        <v>50</v>
      </c>
    </row>
    <row r="965" spans="1:27" x14ac:dyDescent="0.2">
      <c r="A965">
        <v>10</v>
      </c>
      <c r="B965">
        <v>2</v>
      </c>
      <c r="C965">
        <v>0.3</v>
      </c>
      <c r="D965" s="4">
        <v>100</v>
      </c>
      <c r="E965">
        <v>0.78339258209166296</v>
      </c>
      <c r="F965">
        <v>2</v>
      </c>
      <c r="G965">
        <v>33.275807286000003</v>
      </c>
      <c r="H965">
        <v>0.74188994811923303</v>
      </c>
      <c r="I965">
        <v>2</v>
      </c>
      <c r="J965">
        <v>0.28942192500000002</v>
      </c>
      <c r="P965"/>
      <c r="V965">
        <v>0.74408974159030805</v>
      </c>
      <c r="W965">
        <v>2</v>
      </c>
      <c r="X965">
        <v>306986.85390725802</v>
      </c>
      <c r="Y965">
        <v>36155</v>
      </c>
      <c r="Z965">
        <v>2.2643169550443501E-2</v>
      </c>
      <c r="AA965">
        <v>50</v>
      </c>
    </row>
    <row r="966" spans="1:27" x14ac:dyDescent="0.2">
      <c r="A966">
        <v>10</v>
      </c>
      <c r="B966">
        <v>2</v>
      </c>
      <c r="C966">
        <v>0.3</v>
      </c>
      <c r="D966" s="4">
        <v>100</v>
      </c>
      <c r="E966">
        <v>0.70628222896576898</v>
      </c>
      <c r="F966">
        <v>2</v>
      </c>
      <c r="G966">
        <v>33.194835787999999</v>
      </c>
      <c r="H966">
        <v>0.61409848307160397</v>
      </c>
      <c r="I966">
        <v>2</v>
      </c>
      <c r="J966">
        <v>0.56171409800000005</v>
      </c>
      <c r="P966"/>
      <c r="V966">
        <v>0.61595096062062404</v>
      </c>
      <c r="W966">
        <v>2</v>
      </c>
      <c r="X966">
        <v>306988.11959278397</v>
      </c>
      <c r="Y966">
        <v>32121</v>
      </c>
      <c r="Z966">
        <v>1.8846783767438501E-2</v>
      </c>
      <c r="AA966">
        <v>50</v>
      </c>
    </row>
    <row r="967" spans="1:27" x14ac:dyDescent="0.2">
      <c r="A967">
        <v>10</v>
      </c>
      <c r="B967">
        <v>2</v>
      </c>
      <c r="C967">
        <v>0.3</v>
      </c>
      <c r="D967" s="4">
        <v>100</v>
      </c>
      <c r="E967">
        <v>0.44413242001709702</v>
      </c>
      <c r="F967">
        <v>2</v>
      </c>
      <c r="G967">
        <v>38.093453556</v>
      </c>
      <c r="H967">
        <v>0.398013978355505</v>
      </c>
      <c r="I967">
        <v>2</v>
      </c>
      <c r="J967">
        <v>0.61819360700000003</v>
      </c>
      <c r="P967"/>
      <c r="V967">
        <v>0.40465005078150501</v>
      </c>
      <c r="W967">
        <v>2</v>
      </c>
      <c r="X967">
        <v>307001.28352110699</v>
      </c>
      <c r="Y967">
        <v>34105</v>
      </c>
      <c r="Z967">
        <v>3.49478415930152E-2</v>
      </c>
      <c r="AA967">
        <v>50</v>
      </c>
    </row>
    <row r="968" spans="1:27" x14ac:dyDescent="0.2">
      <c r="A968">
        <v>10</v>
      </c>
      <c r="B968">
        <v>2</v>
      </c>
      <c r="C968">
        <v>0.3</v>
      </c>
      <c r="D968" s="4">
        <v>100</v>
      </c>
      <c r="E968">
        <v>0.86015434333392704</v>
      </c>
      <c r="F968">
        <v>2</v>
      </c>
      <c r="G968">
        <v>31.134328936999999</v>
      </c>
      <c r="H968">
        <v>0.81856807934973996</v>
      </c>
      <c r="I968">
        <v>2</v>
      </c>
      <c r="J968">
        <v>0.22823262</v>
      </c>
      <c r="P968"/>
      <c r="V968">
        <v>0.82045993938495898</v>
      </c>
      <c r="W968">
        <v>2</v>
      </c>
      <c r="X968">
        <v>309981.22306811</v>
      </c>
      <c r="Y968">
        <v>27109</v>
      </c>
      <c r="Z968">
        <v>2.2041832356896698E-3</v>
      </c>
      <c r="AA968">
        <v>50</v>
      </c>
    </row>
    <row r="969" spans="1:27" x14ac:dyDescent="0.2">
      <c r="A969">
        <v>10</v>
      </c>
      <c r="B969">
        <v>3</v>
      </c>
      <c r="C969">
        <v>0.3</v>
      </c>
      <c r="D969" s="4">
        <v>100</v>
      </c>
      <c r="E969">
        <v>0.77643251858411</v>
      </c>
      <c r="F969">
        <v>3</v>
      </c>
      <c r="G969">
        <v>37.936680668999998</v>
      </c>
      <c r="H969">
        <v>0.73733793435128903</v>
      </c>
      <c r="I969">
        <v>3</v>
      </c>
      <c r="J969">
        <v>0.41817295199999999</v>
      </c>
      <c r="P969"/>
      <c r="V969">
        <v>0.738234309396121</v>
      </c>
      <c r="W969">
        <v>3</v>
      </c>
      <c r="X969">
        <v>298291.068694218</v>
      </c>
      <c r="Y969">
        <v>21163</v>
      </c>
      <c r="Z969">
        <v>3.4950805010013103E-2</v>
      </c>
      <c r="AA969">
        <v>50</v>
      </c>
    </row>
    <row r="970" spans="1:27" x14ac:dyDescent="0.2">
      <c r="A970">
        <v>10</v>
      </c>
      <c r="B970">
        <v>3</v>
      </c>
      <c r="C970">
        <v>0.3</v>
      </c>
      <c r="D970" s="4">
        <v>100</v>
      </c>
      <c r="E970">
        <v>0.95296842732159703</v>
      </c>
      <c r="F970">
        <v>3</v>
      </c>
      <c r="G970">
        <v>26.193770763</v>
      </c>
      <c r="H970">
        <v>0.87501219930360097</v>
      </c>
      <c r="I970">
        <v>3</v>
      </c>
      <c r="J970">
        <v>0.235579071</v>
      </c>
      <c r="P970"/>
      <c r="V970">
        <v>0.87520562997960905</v>
      </c>
      <c r="W970">
        <v>3</v>
      </c>
      <c r="X970">
        <v>306971.18041945499</v>
      </c>
      <c r="Y970">
        <v>25967</v>
      </c>
      <c r="Z970">
        <v>1.1736034570682501E-2</v>
      </c>
      <c r="AA970">
        <v>50</v>
      </c>
    </row>
    <row r="971" spans="1:27" x14ac:dyDescent="0.2">
      <c r="A971">
        <v>10</v>
      </c>
      <c r="B971">
        <v>3</v>
      </c>
      <c r="C971">
        <v>0.3</v>
      </c>
      <c r="D971" s="4">
        <v>100</v>
      </c>
      <c r="E971">
        <v>0.91265021280986203</v>
      </c>
      <c r="F971">
        <v>3</v>
      </c>
      <c r="G971">
        <v>24.802973894000001</v>
      </c>
      <c r="H971">
        <v>0.916098159270336</v>
      </c>
      <c r="I971">
        <v>3</v>
      </c>
      <c r="J971">
        <v>0.20293931300000001</v>
      </c>
      <c r="P971"/>
      <c r="V971">
        <v>0.91643448809906503</v>
      </c>
      <c r="W971">
        <v>3</v>
      </c>
      <c r="X971">
        <v>306970.50823987101</v>
      </c>
      <c r="Y971">
        <v>25951</v>
      </c>
      <c r="Z971">
        <v>0.108101148197805</v>
      </c>
      <c r="AA971">
        <v>50</v>
      </c>
    </row>
    <row r="972" spans="1:27" x14ac:dyDescent="0.2">
      <c r="A972">
        <v>20</v>
      </c>
      <c r="B972">
        <v>2</v>
      </c>
      <c r="C972">
        <v>0.1</v>
      </c>
      <c r="D972" s="4">
        <v>100</v>
      </c>
      <c r="E972">
        <v>1.0905514938802501</v>
      </c>
      <c r="F972">
        <v>2</v>
      </c>
      <c r="G972">
        <v>31.136856631000001</v>
      </c>
      <c r="H972">
        <v>0.98838350616014103</v>
      </c>
      <c r="I972">
        <v>2</v>
      </c>
      <c r="J972">
        <v>1.776822256</v>
      </c>
      <c r="P972"/>
      <c r="V972">
        <v>0.99054592940094999</v>
      </c>
      <c r="W972">
        <v>2</v>
      </c>
      <c r="X972">
        <v>279.99277724900003</v>
      </c>
      <c r="Y972">
        <v>1</v>
      </c>
      <c r="Z972">
        <v>6.5469437693825199E-3</v>
      </c>
      <c r="AA972">
        <v>2</v>
      </c>
    </row>
    <row r="973" spans="1:27" x14ac:dyDescent="0.2">
      <c r="A973">
        <v>20</v>
      </c>
      <c r="B973">
        <v>3</v>
      </c>
      <c r="C973">
        <v>0.2</v>
      </c>
      <c r="D973">
        <v>20</v>
      </c>
      <c r="E973">
        <v>0.88357132292310603</v>
      </c>
      <c r="F973">
        <v>3</v>
      </c>
      <c r="G973">
        <v>30.356696055</v>
      </c>
      <c r="H973">
        <v>0.92685776089392502</v>
      </c>
      <c r="I973">
        <v>3</v>
      </c>
      <c r="J973">
        <v>1.010773191</v>
      </c>
      <c r="P973"/>
      <c r="V973">
        <v>0.93121791045497504</v>
      </c>
      <c r="W973">
        <v>3</v>
      </c>
      <c r="X973">
        <v>292725.28967310698</v>
      </c>
      <c r="Y973">
        <v>1553</v>
      </c>
      <c r="Z973">
        <v>0.475807998078698</v>
      </c>
      <c r="AA973">
        <v>50</v>
      </c>
    </row>
    <row r="974" spans="1:27" x14ac:dyDescent="0.2">
      <c r="A974">
        <v>20</v>
      </c>
      <c r="B974">
        <v>3</v>
      </c>
      <c r="C974">
        <v>0.1</v>
      </c>
      <c r="D974">
        <v>20</v>
      </c>
      <c r="E974">
        <v>0.93924161471654799</v>
      </c>
      <c r="F974">
        <v>3</v>
      </c>
      <c r="G974">
        <v>31.238841794999999</v>
      </c>
      <c r="H974">
        <v>0.95295287563463305</v>
      </c>
      <c r="I974">
        <v>3</v>
      </c>
      <c r="J974">
        <v>0.58336932100000005</v>
      </c>
      <c r="P974"/>
      <c r="V974">
        <v>0.95471877945682104</v>
      </c>
      <c r="W974">
        <v>3</v>
      </c>
      <c r="X974">
        <v>292793.72810729302</v>
      </c>
      <c r="Y974">
        <v>3671</v>
      </c>
      <c r="Z974">
        <v>1.42806570361879E-2</v>
      </c>
      <c r="AA974">
        <v>50</v>
      </c>
    </row>
    <row r="975" spans="1:27" x14ac:dyDescent="0.2">
      <c r="A975">
        <v>20</v>
      </c>
      <c r="B975">
        <v>3</v>
      </c>
      <c r="C975">
        <v>0.1</v>
      </c>
      <c r="D975">
        <v>20</v>
      </c>
      <c r="E975">
        <v>0.97781727236775695</v>
      </c>
      <c r="F975">
        <v>3</v>
      </c>
      <c r="G975">
        <v>30.715542015</v>
      </c>
      <c r="H975">
        <v>0.99030778811923603</v>
      </c>
      <c r="I975">
        <v>3</v>
      </c>
      <c r="J975">
        <v>0.46664586699999999</v>
      </c>
      <c r="P975"/>
      <c r="V975">
        <v>0.99100198706124598</v>
      </c>
      <c r="W975">
        <v>3</v>
      </c>
      <c r="X975">
        <v>295577.40598776302</v>
      </c>
      <c r="Y975">
        <v>1515</v>
      </c>
      <c r="Z975">
        <v>2.3443332356691798E-2</v>
      </c>
      <c r="AA975">
        <v>50</v>
      </c>
    </row>
    <row r="976" spans="1:27" x14ac:dyDescent="0.2">
      <c r="A976">
        <v>20</v>
      </c>
      <c r="B976">
        <v>3</v>
      </c>
      <c r="C976">
        <v>0.2</v>
      </c>
      <c r="D976">
        <v>20</v>
      </c>
      <c r="E976">
        <v>0.85825922730872595</v>
      </c>
      <c r="F976">
        <v>3</v>
      </c>
      <c r="G976">
        <v>31.988436223000001</v>
      </c>
      <c r="H976">
        <v>0.829664541623376</v>
      </c>
      <c r="I976">
        <v>3</v>
      </c>
      <c r="J976">
        <v>1.0116361250000001</v>
      </c>
      <c r="P976"/>
      <c r="V976">
        <v>0.83106413570368398</v>
      </c>
      <c r="W976">
        <v>3</v>
      </c>
      <c r="X976">
        <v>297123.63454589801</v>
      </c>
      <c r="Y976">
        <v>67</v>
      </c>
      <c r="Z976">
        <v>0.71817074141627202</v>
      </c>
      <c r="AA976">
        <v>50</v>
      </c>
    </row>
    <row r="977" spans="1:27" x14ac:dyDescent="0.2">
      <c r="A977">
        <v>20</v>
      </c>
      <c r="B977">
        <v>3</v>
      </c>
      <c r="C977">
        <v>0.1</v>
      </c>
      <c r="D977">
        <v>20</v>
      </c>
      <c r="E977">
        <v>1.08125147076615</v>
      </c>
      <c r="F977">
        <v>3</v>
      </c>
      <c r="G977">
        <v>37.869266877000001</v>
      </c>
      <c r="H977">
        <v>1.03049816967053</v>
      </c>
      <c r="I977">
        <v>3</v>
      </c>
      <c r="J977">
        <v>0.75237427199999996</v>
      </c>
      <c r="P977"/>
      <c r="V977">
        <v>1.0857517795256699</v>
      </c>
      <c r="W977">
        <v>3</v>
      </c>
      <c r="X977">
        <v>298437.662762044</v>
      </c>
      <c r="Y977">
        <v>4280</v>
      </c>
      <c r="Z977">
        <v>1.64143958175729E-2</v>
      </c>
      <c r="AA977">
        <v>50</v>
      </c>
    </row>
    <row r="978" spans="1:27" x14ac:dyDescent="0.2">
      <c r="A978">
        <v>20</v>
      </c>
      <c r="B978">
        <v>3</v>
      </c>
      <c r="C978">
        <v>0.1</v>
      </c>
      <c r="D978">
        <v>20</v>
      </c>
      <c r="E978">
        <v>0.94535602239079797</v>
      </c>
      <c r="F978">
        <v>3</v>
      </c>
      <c r="G978">
        <v>37.472907808000002</v>
      </c>
      <c r="H978">
        <v>0.95784830973383905</v>
      </c>
      <c r="I978">
        <v>3</v>
      </c>
      <c r="J978">
        <v>0.320792576</v>
      </c>
      <c r="P978"/>
      <c r="V978">
        <v>1.0051246772928799</v>
      </c>
      <c r="W978">
        <v>3</v>
      </c>
      <c r="X978">
        <v>301904.674765106</v>
      </c>
      <c r="Y978">
        <v>4365</v>
      </c>
      <c r="Z978">
        <v>5.1971440506816298E-2</v>
      </c>
      <c r="AA978">
        <v>50</v>
      </c>
    </row>
    <row r="979" spans="1:27" x14ac:dyDescent="0.2">
      <c r="A979">
        <v>10</v>
      </c>
      <c r="B979">
        <v>2</v>
      </c>
      <c r="C979">
        <v>0.3</v>
      </c>
      <c r="D979">
        <v>20</v>
      </c>
      <c r="E979">
        <v>0.60298217041340796</v>
      </c>
      <c r="F979">
        <v>2</v>
      </c>
      <c r="G979">
        <v>32.208944977000002</v>
      </c>
      <c r="H979">
        <v>0.60949416835941606</v>
      </c>
      <c r="I979">
        <v>2</v>
      </c>
      <c r="J979">
        <v>0.21657547399999999</v>
      </c>
      <c r="P979"/>
      <c r="V979">
        <v>0.61021967336596294</v>
      </c>
      <c r="W979">
        <v>2</v>
      </c>
      <c r="X979">
        <v>295290.90473175899</v>
      </c>
      <c r="Y979">
        <v>40022</v>
      </c>
      <c r="Z979">
        <v>0.189778974171467</v>
      </c>
      <c r="AA979">
        <v>50</v>
      </c>
    </row>
    <row r="980" spans="1:27" x14ac:dyDescent="0.2">
      <c r="A980">
        <v>10</v>
      </c>
      <c r="B980">
        <v>2</v>
      </c>
      <c r="C980">
        <v>0.3</v>
      </c>
      <c r="D980">
        <v>20</v>
      </c>
      <c r="E980">
        <v>0.61892175470433397</v>
      </c>
      <c r="F980">
        <v>2</v>
      </c>
      <c r="G980">
        <v>32.213108941000002</v>
      </c>
      <c r="H980">
        <v>0.49269941151864799</v>
      </c>
      <c r="I980">
        <v>2</v>
      </c>
      <c r="J980">
        <v>0.14137981499999999</v>
      </c>
      <c r="P980"/>
      <c r="V980">
        <v>0.48843262902023798</v>
      </c>
      <c r="W980">
        <v>2</v>
      </c>
      <c r="X980">
        <v>296784.08091994002</v>
      </c>
      <c r="Y980">
        <v>47229</v>
      </c>
      <c r="Z980">
        <v>4.9961273064282101E-2</v>
      </c>
      <c r="AA980">
        <v>50</v>
      </c>
    </row>
    <row r="981" spans="1:27" x14ac:dyDescent="0.2">
      <c r="A981">
        <v>10</v>
      </c>
      <c r="B981">
        <v>2</v>
      </c>
      <c r="C981">
        <v>0.3</v>
      </c>
      <c r="D981">
        <v>20</v>
      </c>
      <c r="E981">
        <v>0.80166452593951298</v>
      </c>
      <c r="F981">
        <v>2</v>
      </c>
      <c r="G981">
        <v>32.194882127</v>
      </c>
      <c r="H981">
        <v>0.77824977687869601</v>
      </c>
      <c r="I981">
        <v>2</v>
      </c>
      <c r="J981">
        <v>0.29011053599999997</v>
      </c>
      <c r="P981"/>
      <c r="V981">
        <v>0.786973688361428</v>
      </c>
      <c r="W981">
        <v>2</v>
      </c>
      <c r="X981">
        <v>297387.76372140303</v>
      </c>
      <c r="Y981">
        <v>33482</v>
      </c>
      <c r="Z981">
        <v>9.1467860350321104E-2</v>
      </c>
      <c r="AA981">
        <v>50</v>
      </c>
    </row>
    <row r="982" spans="1:27" x14ac:dyDescent="0.2">
      <c r="A982">
        <v>10</v>
      </c>
      <c r="B982">
        <v>2</v>
      </c>
      <c r="C982">
        <v>0.3</v>
      </c>
      <c r="D982">
        <v>20</v>
      </c>
      <c r="E982">
        <v>0.58877461295535904</v>
      </c>
      <c r="F982">
        <v>2</v>
      </c>
      <c r="G982">
        <v>32.367060289999998</v>
      </c>
      <c r="H982">
        <v>0.54315360266569601</v>
      </c>
      <c r="I982">
        <v>2</v>
      </c>
      <c r="J982">
        <v>0.10474987199999999</v>
      </c>
      <c r="P982"/>
      <c r="V982">
        <v>0.53996985138154996</v>
      </c>
      <c r="W982">
        <v>2</v>
      </c>
      <c r="X982">
        <v>298589.041075063</v>
      </c>
      <c r="Y982">
        <v>35993</v>
      </c>
      <c r="Z982">
        <v>9.3556298704441307E-2</v>
      </c>
      <c r="AA982">
        <v>50</v>
      </c>
    </row>
    <row r="983" spans="1:27" x14ac:dyDescent="0.2">
      <c r="A983">
        <v>10</v>
      </c>
      <c r="B983">
        <v>2</v>
      </c>
      <c r="C983">
        <v>0.3</v>
      </c>
      <c r="D983">
        <v>20</v>
      </c>
      <c r="E983">
        <v>0.92810150080960296</v>
      </c>
      <c r="F983">
        <v>2</v>
      </c>
      <c r="G983">
        <v>28.381987930000001</v>
      </c>
      <c r="H983">
        <v>0.95156314611568504</v>
      </c>
      <c r="I983">
        <v>2</v>
      </c>
      <c r="J983">
        <v>0.18184061100000001</v>
      </c>
      <c r="P983"/>
      <c r="V983">
        <v>0.95600222247399202</v>
      </c>
      <c r="W983">
        <v>2</v>
      </c>
      <c r="X983">
        <v>298874.91547532799</v>
      </c>
      <c r="Y983">
        <v>43608</v>
      </c>
      <c r="Z983">
        <v>2.6007068739223801E-2</v>
      </c>
      <c r="AA983">
        <v>50</v>
      </c>
    </row>
    <row r="984" spans="1:27" x14ac:dyDescent="0.2">
      <c r="A984">
        <v>10</v>
      </c>
      <c r="B984">
        <v>2</v>
      </c>
      <c r="C984">
        <v>0.3</v>
      </c>
      <c r="D984">
        <v>20</v>
      </c>
      <c r="E984">
        <v>0.50043069665541196</v>
      </c>
      <c r="F984">
        <v>2</v>
      </c>
      <c r="G984">
        <v>29.710632481000001</v>
      </c>
      <c r="H984">
        <v>0.45289083973771799</v>
      </c>
      <c r="I984">
        <v>2</v>
      </c>
      <c r="J984">
        <v>0.52858034899999995</v>
      </c>
      <c r="P984"/>
      <c r="V984">
        <v>0.45393993515874698</v>
      </c>
      <c r="W984">
        <v>2</v>
      </c>
      <c r="X984">
        <v>299183.08730916801</v>
      </c>
      <c r="Y984">
        <v>29144</v>
      </c>
      <c r="Z984">
        <v>0.16075457595743001</v>
      </c>
      <c r="AA984">
        <v>50</v>
      </c>
    </row>
    <row r="985" spans="1:27" x14ac:dyDescent="0.2">
      <c r="A985">
        <v>10</v>
      </c>
      <c r="B985">
        <v>2</v>
      </c>
      <c r="C985">
        <v>0.3</v>
      </c>
      <c r="D985">
        <v>20</v>
      </c>
      <c r="E985">
        <v>0.80733482750551999</v>
      </c>
      <c r="F985">
        <v>2</v>
      </c>
      <c r="G985">
        <v>30.113991322</v>
      </c>
      <c r="H985">
        <v>0.94212007410815901</v>
      </c>
      <c r="I985">
        <v>2</v>
      </c>
      <c r="J985">
        <v>0.223069395</v>
      </c>
      <c r="P985"/>
      <c r="V985">
        <v>0.95190563399797401</v>
      </c>
      <c r="W985">
        <v>2</v>
      </c>
      <c r="X985">
        <v>299483.56519782898</v>
      </c>
      <c r="Y985">
        <v>36220</v>
      </c>
      <c r="Z985">
        <v>0.15832101406370899</v>
      </c>
      <c r="AA985">
        <v>50</v>
      </c>
    </row>
    <row r="986" spans="1:27" x14ac:dyDescent="0.2">
      <c r="A986">
        <v>10</v>
      </c>
      <c r="B986">
        <v>2</v>
      </c>
      <c r="C986">
        <v>0.3</v>
      </c>
      <c r="D986">
        <v>20</v>
      </c>
      <c r="E986">
        <v>0.86807098420701601</v>
      </c>
      <c r="F986">
        <v>2</v>
      </c>
      <c r="G986">
        <v>30.039604424</v>
      </c>
      <c r="H986">
        <v>0.695257061408462</v>
      </c>
      <c r="I986">
        <v>2</v>
      </c>
      <c r="J986">
        <v>0.35491687900000002</v>
      </c>
      <c r="P986"/>
      <c r="V986">
        <v>0.68771471222064795</v>
      </c>
      <c r="W986">
        <v>2</v>
      </c>
      <c r="X986">
        <v>300080.99742659897</v>
      </c>
      <c r="Y986">
        <v>55435</v>
      </c>
      <c r="Z986">
        <v>2.169407728538E-2</v>
      </c>
      <c r="AA986">
        <v>50</v>
      </c>
    </row>
    <row r="987" spans="1:27" x14ac:dyDescent="0.2">
      <c r="A987">
        <v>10</v>
      </c>
      <c r="B987">
        <v>2</v>
      </c>
      <c r="C987">
        <v>0.3</v>
      </c>
      <c r="D987">
        <v>20</v>
      </c>
      <c r="E987">
        <v>0.868383075941495</v>
      </c>
      <c r="F987">
        <v>2</v>
      </c>
      <c r="G987">
        <v>32.275621020000003</v>
      </c>
      <c r="H987">
        <v>1.00571435509644</v>
      </c>
      <c r="I987">
        <v>2</v>
      </c>
      <c r="J987">
        <v>0.33676405599999998</v>
      </c>
      <c r="P987"/>
      <c r="V987">
        <v>1.0214694424125399</v>
      </c>
      <c r="W987">
        <v>2</v>
      </c>
      <c r="X987">
        <v>300687.10102782003</v>
      </c>
      <c r="Y987">
        <v>33593</v>
      </c>
      <c r="Z987">
        <v>9.1374888763996395E-2</v>
      </c>
      <c r="AA987">
        <v>50</v>
      </c>
    </row>
    <row r="988" spans="1:27" x14ac:dyDescent="0.2">
      <c r="A988">
        <v>10</v>
      </c>
      <c r="B988">
        <v>2</v>
      </c>
      <c r="C988">
        <v>0.3</v>
      </c>
      <c r="D988">
        <v>20</v>
      </c>
      <c r="E988">
        <v>0.85626229097292395</v>
      </c>
      <c r="F988">
        <v>2</v>
      </c>
      <c r="G988">
        <v>27.939831520999999</v>
      </c>
      <c r="H988">
        <v>0.82367770250030103</v>
      </c>
      <c r="I988">
        <v>2</v>
      </c>
      <c r="J988">
        <v>0.128403345</v>
      </c>
      <c r="P988"/>
      <c r="V988">
        <v>0.82678549418772196</v>
      </c>
      <c r="W988">
        <v>2</v>
      </c>
      <c r="X988">
        <v>301876.623793356</v>
      </c>
      <c r="Y988">
        <v>35565</v>
      </c>
      <c r="Z988">
        <v>6.5559317309612702E-2</v>
      </c>
      <c r="AA988">
        <v>50</v>
      </c>
    </row>
    <row r="989" spans="1:27" x14ac:dyDescent="0.2">
      <c r="A989">
        <v>10</v>
      </c>
      <c r="B989">
        <v>2</v>
      </c>
      <c r="C989">
        <v>0.3</v>
      </c>
      <c r="D989">
        <v>20</v>
      </c>
      <c r="E989">
        <v>0.804927101285007</v>
      </c>
      <c r="F989">
        <v>2</v>
      </c>
      <c r="G989">
        <v>30.398781110000002</v>
      </c>
      <c r="H989">
        <v>0.86996444494997704</v>
      </c>
      <c r="I989">
        <v>2</v>
      </c>
      <c r="J989">
        <v>0.31871576099999999</v>
      </c>
      <c r="P989"/>
      <c r="V989">
        <v>0.87903462705383295</v>
      </c>
      <c r="W989">
        <v>2</v>
      </c>
      <c r="X989">
        <v>303084.37833821098</v>
      </c>
      <c r="Y989">
        <v>32635</v>
      </c>
      <c r="Z989">
        <v>9.3700453360642796E-2</v>
      </c>
      <c r="AA989">
        <v>50</v>
      </c>
    </row>
    <row r="990" spans="1:27" x14ac:dyDescent="0.2">
      <c r="A990">
        <v>30</v>
      </c>
      <c r="B990">
        <v>2</v>
      </c>
      <c r="C990">
        <v>0.1</v>
      </c>
      <c r="D990">
        <v>20</v>
      </c>
      <c r="E990">
        <v>1.0297323776568701</v>
      </c>
      <c r="F990">
        <v>2</v>
      </c>
      <c r="G990">
        <v>30.204404285999999</v>
      </c>
      <c r="H990">
        <v>1.04033607242906</v>
      </c>
      <c r="I990">
        <v>2</v>
      </c>
      <c r="J990">
        <v>1.187968455</v>
      </c>
      <c r="P990"/>
      <c r="V990">
        <v>1.047332974246</v>
      </c>
      <c r="W990">
        <v>2</v>
      </c>
      <c r="X990">
        <v>303727.19347368297</v>
      </c>
      <c r="Y990">
        <v>70</v>
      </c>
      <c r="Z990">
        <v>0.44250219227290799</v>
      </c>
      <c r="AA990">
        <v>50</v>
      </c>
    </row>
    <row r="991" spans="1:27" x14ac:dyDescent="0.2">
      <c r="A991">
        <v>10</v>
      </c>
      <c r="B991">
        <v>2</v>
      </c>
      <c r="C991">
        <v>0.3</v>
      </c>
      <c r="D991">
        <v>20</v>
      </c>
      <c r="E991">
        <v>0.60091750517353304</v>
      </c>
      <c r="F991">
        <v>2</v>
      </c>
      <c r="G991">
        <v>29.880915588000001</v>
      </c>
      <c r="H991">
        <v>0.54608673251974604</v>
      </c>
      <c r="I991">
        <v>2</v>
      </c>
      <c r="J991">
        <v>0.11522967200000001</v>
      </c>
      <c r="P991"/>
      <c r="V991">
        <v>0.53772058723746796</v>
      </c>
      <c r="W991">
        <v>2</v>
      </c>
      <c r="X991">
        <v>303834.265256677</v>
      </c>
      <c r="Y991">
        <v>48297</v>
      </c>
      <c r="Z991">
        <v>8.40139790346381E-2</v>
      </c>
      <c r="AA991">
        <v>50</v>
      </c>
    </row>
    <row r="992" spans="1:27" x14ac:dyDescent="0.2">
      <c r="A992">
        <v>10</v>
      </c>
      <c r="B992">
        <v>2</v>
      </c>
      <c r="C992">
        <v>0.3</v>
      </c>
      <c r="D992">
        <v>20</v>
      </c>
      <c r="E992">
        <v>0.86926930416716797</v>
      </c>
      <c r="F992">
        <v>2</v>
      </c>
      <c r="G992">
        <v>31.974929979999999</v>
      </c>
      <c r="H992">
        <v>0.88759089690286197</v>
      </c>
      <c r="I992">
        <v>2</v>
      </c>
      <c r="J992">
        <v>0.2459095</v>
      </c>
      <c r="P992"/>
      <c r="V992">
        <v>0.88990441712026902</v>
      </c>
      <c r="W992">
        <v>2</v>
      </c>
      <c r="X992">
        <v>304290.71212265798</v>
      </c>
      <c r="Y992">
        <v>50434</v>
      </c>
      <c r="Z992">
        <v>3.2388600990805899E-2</v>
      </c>
      <c r="AA992">
        <v>50</v>
      </c>
    </row>
    <row r="993" spans="1:27" x14ac:dyDescent="0.2">
      <c r="A993">
        <v>10</v>
      </c>
      <c r="B993">
        <v>2</v>
      </c>
      <c r="C993">
        <v>0.3</v>
      </c>
      <c r="D993">
        <v>20</v>
      </c>
      <c r="E993">
        <v>1.0447320405839999</v>
      </c>
      <c r="F993">
        <v>2</v>
      </c>
      <c r="G993">
        <v>29.790225445000001</v>
      </c>
      <c r="H993">
        <v>1.0019195001746199</v>
      </c>
      <c r="I993">
        <v>2</v>
      </c>
      <c r="J993">
        <v>0.61352486799999995</v>
      </c>
      <c r="P993"/>
      <c r="V993">
        <v>1.01784740026026</v>
      </c>
      <c r="W993">
        <v>2</v>
      </c>
      <c r="X993">
        <v>304585.18962164299</v>
      </c>
      <c r="Y993">
        <v>56893</v>
      </c>
      <c r="Z993">
        <v>9.3085903465095196E-2</v>
      </c>
      <c r="AA993">
        <v>50</v>
      </c>
    </row>
    <row r="994" spans="1:27" x14ac:dyDescent="0.2">
      <c r="A994">
        <v>10</v>
      </c>
      <c r="B994">
        <v>2</v>
      </c>
      <c r="C994">
        <v>0.3</v>
      </c>
      <c r="D994">
        <v>20</v>
      </c>
      <c r="E994">
        <v>0.59177111654898995</v>
      </c>
      <c r="F994">
        <v>2</v>
      </c>
      <c r="G994">
        <v>31.344419215999999</v>
      </c>
      <c r="H994">
        <v>0.56127341912531703</v>
      </c>
      <c r="I994">
        <v>2</v>
      </c>
      <c r="J994">
        <v>0.13797581</v>
      </c>
      <c r="P994"/>
      <c r="V994">
        <v>0.55045612412971101</v>
      </c>
      <c r="W994">
        <v>2</v>
      </c>
      <c r="X994">
        <v>304586.62836066599</v>
      </c>
      <c r="Y994">
        <v>28931</v>
      </c>
      <c r="Z994">
        <v>0.30644659159251397</v>
      </c>
      <c r="AA994">
        <v>50</v>
      </c>
    </row>
    <row r="995" spans="1:27" x14ac:dyDescent="0.2">
      <c r="A995">
        <v>30</v>
      </c>
      <c r="B995">
        <v>2</v>
      </c>
      <c r="C995">
        <v>0.1</v>
      </c>
      <c r="D995">
        <v>20</v>
      </c>
      <c r="E995">
        <v>0.82396819546364597</v>
      </c>
      <c r="F995">
        <v>2</v>
      </c>
      <c r="G995">
        <v>27.530192787000001</v>
      </c>
      <c r="H995">
        <v>0.78092974560999096</v>
      </c>
      <c r="I995">
        <v>2</v>
      </c>
      <c r="J995">
        <v>1.237930765</v>
      </c>
      <c r="P995"/>
      <c r="V995">
        <v>0.78449626966991604</v>
      </c>
      <c r="W995">
        <v>2</v>
      </c>
      <c r="X995">
        <v>301854.944319856</v>
      </c>
      <c r="Y995">
        <v>186</v>
      </c>
      <c r="Z995">
        <v>0.22518256255295599</v>
      </c>
      <c r="AA995">
        <v>50</v>
      </c>
    </row>
    <row r="996" spans="1:27" x14ac:dyDescent="0.2">
      <c r="A996">
        <v>10</v>
      </c>
      <c r="B996">
        <v>2</v>
      </c>
      <c r="C996">
        <v>0.3</v>
      </c>
      <c r="D996">
        <v>20</v>
      </c>
      <c r="E996">
        <v>0.72951126053535498</v>
      </c>
      <c r="F996">
        <v>2</v>
      </c>
      <c r="G996">
        <v>34.299458844</v>
      </c>
      <c r="H996">
        <v>0.82289445889338997</v>
      </c>
      <c r="I996">
        <v>2</v>
      </c>
      <c r="J996">
        <v>0.43494074700000002</v>
      </c>
      <c r="P996"/>
      <c r="V996">
        <v>0.82406054019377195</v>
      </c>
      <c r="W996">
        <v>2</v>
      </c>
      <c r="X996">
        <v>305791.43879774201</v>
      </c>
      <c r="Y996">
        <v>37016</v>
      </c>
      <c r="Z996">
        <v>0.122267049046984</v>
      </c>
      <c r="AA996">
        <v>50</v>
      </c>
    </row>
    <row r="997" spans="1:27" x14ac:dyDescent="0.2">
      <c r="A997">
        <v>10</v>
      </c>
      <c r="B997">
        <v>2</v>
      </c>
      <c r="C997">
        <v>0.3</v>
      </c>
      <c r="D997">
        <v>20</v>
      </c>
      <c r="E997">
        <v>0.31817016639976597</v>
      </c>
      <c r="F997">
        <v>2</v>
      </c>
      <c r="G997">
        <v>29.936395791999999</v>
      </c>
      <c r="H997">
        <v>0.31787765317593702</v>
      </c>
      <c r="I997">
        <v>2</v>
      </c>
      <c r="J997">
        <v>0.116997107</v>
      </c>
      <c r="P997"/>
      <c r="V997">
        <v>0.31846510514520099</v>
      </c>
      <c r="W997">
        <v>2</v>
      </c>
      <c r="X997">
        <v>306981.03622554097</v>
      </c>
      <c r="Y997">
        <v>36429</v>
      </c>
      <c r="Z997">
        <v>0.13692051967145599</v>
      </c>
      <c r="AA997">
        <v>50</v>
      </c>
    </row>
    <row r="998" spans="1:27" x14ac:dyDescent="0.2">
      <c r="A998">
        <v>10</v>
      </c>
      <c r="B998">
        <v>2</v>
      </c>
      <c r="C998">
        <v>0.3</v>
      </c>
      <c r="D998">
        <v>20</v>
      </c>
      <c r="E998">
        <v>0.669671994677562</v>
      </c>
      <c r="F998">
        <v>2</v>
      </c>
      <c r="G998">
        <v>32.076677607000001</v>
      </c>
      <c r="H998">
        <v>0.67258174481928501</v>
      </c>
      <c r="I998">
        <v>2</v>
      </c>
      <c r="J998">
        <v>0.101704</v>
      </c>
      <c r="P998"/>
      <c r="V998">
        <v>0.66774312508979705</v>
      </c>
      <c r="W998">
        <v>2</v>
      </c>
      <c r="X998">
        <v>306984.24418596801</v>
      </c>
      <c r="Y998">
        <v>34312</v>
      </c>
      <c r="Z998">
        <v>2.5634146249089499E-2</v>
      </c>
      <c r="AA998">
        <v>50</v>
      </c>
    </row>
    <row r="999" spans="1:27" x14ac:dyDescent="0.2">
      <c r="A999">
        <v>10</v>
      </c>
      <c r="B999">
        <v>2</v>
      </c>
      <c r="C999">
        <v>0.3</v>
      </c>
      <c r="D999">
        <v>20</v>
      </c>
      <c r="E999">
        <v>0.72677834911487804</v>
      </c>
      <c r="F999">
        <v>2</v>
      </c>
      <c r="G999">
        <v>31.977546504999999</v>
      </c>
      <c r="H999">
        <v>0.77129344852688897</v>
      </c>
      <c r="I999">
        <v>2</v>
      </c>
      <c r="J999">
        <v>0.26930731899999999</v>
      </c>
      <c r="P999"/>
      <c r="V999">
        <v>0.77063531578683597</v>
      </c>
      <c r="W999">
        <v>2</v>
      </c>
      <c r="X999">
        <v>306987.13773047901</v>
      </c>
      <c r="Y999">
        <v>27639</v>
      </c>
      <c r="Z999">
        <v>5.3706067577557103E-2</v>
      </c>
      <c r="AA999">
        <v>50</v>
      </c>
    </row>
    <row r="1000" spans="1:27" x14ac:dyDescent="0.2">
      <c r="A1000">
        <v>30</v>
      </c>
      <c r="B1000">
        <v>2</v>
      </c>
      <c r="C1000">
        <v>0.1</v>
      </c>
      <c r="D1000">
        <v>20</v>
      </c>
      <c r="E1000">
        <v>0.929183154681956</v>
      </c>
      <c r="F1000">
        <v>2</v>
      </c>
      <c r="G1000">
        <v>29.773863749</v>
      </c>
      <c r="H1000">
        <v>0.94023041708265598</v>
      </c>
      <c r="I1000">
        <v>2</v>
      </c>
      <c r="J1000">
        <v>1.2502974440000001</v>
      </c>
      <c r="P1000"/>
      <c r="V1000">
        <v>0.94551005336210503</v>
      </c>
      <c r="W1000">
        <v>2</v>
      </c>
      <c r="X1000">
        <v>304893.305539047</v>
      </c>
      <c r="Y1000">
        <v>41</v>
      </c>
      <c r="Z1000">
        <v>0.45257344172942598</v>
      </c>
      <c r="AA1000">
        <v>50</v>
      </c>
    </row>
    <row r="1001" spans="1:27" x14ac:dyDescent="0.2">
      <c r="A1001">
        <v>50</v>
      </c>
      <c r="B1001">
        <v>1</v>
      </c>
      <c r="C1001">
        <v>0.1</v>
      </c>
      <c r="D1001">
        <v>20</v>
      </c>
      <c r="E1001">
        <v>0.37762286071562701</v>
      </c>
      <c r="F1001">
        <v>1</v>
      </c>
      <c r="G1001">
        <v>33.871085059000002</v>
      </c>
      <c r="H1001">
        <v>0.31127650197240803</v>
      </c>
      <c r="I1001">
        <v>1</v>
      </c>
      <c r="J1001">
        <v>0.86964913700000002</v>
      </c>
      <c r="P1001"/>
      <c r="V1001">
        <v>0.28151314659891802</v>
      </c>
      <c r="W1001">
        <v>1</v>
      </c>
      <c r="X1001">
        <v>308453.14296065603</v>
      </c>
      <c r="Y1001">
        <v>23</v>
      </c>
      <c r="Z1001">
        <v>0.42066684395057602</v>
      </c>
      <c r="AA1001">
        <v>50</v>
      </c>
    </row>
    <row r="1002" spans="1:27" x14ac:dyDescent="0.2">
      <c r="A1002">
        <v>50</v>
      </c>
      <c r="B1002">
        <v>1</v>
      </c>
      <c r="C1002">
        <v>0.1</v>
      </c>
      <c r="D1002">
        <v>20</v>
      </c>
      <c r="E1002">
        <v>0.31510540202149601</v>
      </c>
      <c r="F1002">
        <v>1</v>
      </c>
      <c r="G1002">
        <v>33.633311542999998</v>
      </c>
      <c r="H1002">
        <v>0.26473593224599101</v>
      </c>
      <c r="I1002">
        <v>1</v>
      </c>
      <c r="J1002">
        <v>1.134066858</v>
      </c>
      <c r="P1002"/>
      <c r="V1002">
        <v>0.222492464466471</v>
      </c>
      <c r="W1002">
        <v>1</v>
      </c>
      <c r="X1002">
        <v>304374.40461640997</v>
      </c>
      <c r="Y1002">
        <v>86</v>
      </c>
      <c r="Z1002">
        <v>0.20814061483454099</v>
      </c>
      <c r="AA1002">
        <v>50</v>
      </c>
    </row>
    <row r="1003" spans="1:27" x14ac:dyDescent="0.2">
      <c r="A1003">
        <v>50</v>
      </c>
      <c r="B1003">
        <v>1</v>
      </c>
      <c r="C1003">
        <v>0.1</v>
      </c>
      <c r="D1003">
        <v>20</v>
      </c>
      <c r="E1003">
        <v>0.43217547832483</v>
      </c>
      <c r="F1003">
        <v>1</v>
      </c>
      <c r="G1003">
        <v>32.666148268000001</v>
      </c>
      <c r="H1003">
        <v>0.37130335393951702</v>
      </c>
      <c r="I1003">
        <v>1</v>
      </c>
      <c r="J1003">
        <v>1.607756961</v>
      </c>
      <c r="P1003"/>
      <c r="V1003">
        <v>0.33909620703117599</v>
      </c>
      <c r="W1003">
        <v>1</v>
      </c>
      <c r="X1003">
        <v>305552.37469039898</v>
      </c>
      <c r="Y1003">
        <v>27</v>
      </c>
      <c r="Z1003">
        <v>0.44526623756519002</v>
      </c>
      <c r="AA1003">
        <v>50</v>
      </c>
    </row>
    <row r="1004" spans="1:27" x14ac:dyDescent="0.2">
      <c r="A1004">
        <v>50</v>
      </c>
      <c r="B1004">
        <v>1</v>
      </c>
      <c r="C1004">
        <v>0.1</v>
      </c>
      <c r="D1004">
        <v>20</v>
      </c>
      <c r="E1004">
        <v>0.229429367603532</v>
      </c>
      <c r="F1004">
        <v>1</v>
      </c>
      <c r="G1004">
        <v>32.926898192000003</v>
      </c>
      <c r="H1004">
        <v>0.20716619041411399</v>
      </c>
      <c r="I1004">
        <v>1</v>
      </c>
      <c r="J1004">
        <v>0.42853575199999999</v>
      </c>
      <c r="P1004"/>
      <c r="V1004">
        <v>0.19256081353813001</v>
      </c>
      <c r="W1004">
        <v>1</v>
      </c>
      <c r="X1004">
        <v>305115.526253875</v>
      </c>
      <c r="Y1004">
        <v>58</v>
      </c>
      <c r="Z1004">
        <v>0.41116806632695002</v>
      </c>
      <c r="AA1004">
        <v>50</v>
      </c>
    </row>
    <row r="1005" spans="1:27" x14ac:dyDescent="0.2">
      <c r="A1005">
        <v>50</v>
      </c>
      <c r="B1005">
        <v>1</v>
      </c>
      <c r="C1005">
        <v>0.1</v>
      </c>
      <c r="D1005">
        <v>20</v>
      </c>
      <c r="E1005">
        <v>0.19489114551252901</v>
      </c>
      <c r="F1005">
        <v>1</v>
      </c>
      <c r="G1005">
        <v>32.903035975000002</v>
      </c>
      <c r="H1005">
        <v>0.214766585169787</v>
      </c>
      <c r="I1005">
        <v>1</v>
      </c>
      <c r="J1005">
        <v>0.92043313199999999</v>
      </c>
      <c r="P1005"/>
      <c r="V1005">
        <v>0.18270606677623799</v>
      </c>
      <c r="W1005">
        <v>1</v>
      </c>
      <c r="X1005">
        <v>306356.58855286898</v>
      </c>
      <c r="Y1005">
        <v>82</v>
      </c>
      <c r="Z1005">
        <v>0.50676671642994597</v>
      </c>
      <c r="AA1005">
        <v>50</v>
      </c>
    </row>
    <row r="1006" spans="1:27" x14ac:dyDescent="0.2">
      <c r="A1006">
        <v>50</v>
      </c>
      <c r="B1006">
        <v>1</v>
      </c>
      <c r="C1006">
        <v>0.1</v>
      </c>
      <c r="D1006">
        <v>20</v>
      </c>
      <c r="E1006">
        <v>0.29427062054658398</v>
      </c>
      <c r="F1006">
        <v>1</v>
      </c>
      <c r="G1006">
        <v>34.880859217000001</v>
      </c>
      <c r="H1006">
        <v>0.26192403244495999</v>
      </c>
      <c r="I1006">
        <v>1</v>
      </c>
      <c r="J1006">
        <v>0.92970391299999999</v>
      </c>
      <c r="P1006"/>
      <c r="V1006">
        <v>0.24150200579436401</v>
      </c>
      <c r="W1006">
        <v>1</v>
      </c>
      <c r="X1006">
        <v>307914.89827362401</v>
      </c>
      <c r="Y1006">
        <v>56</v>
      </c>
      <c r="Z1006">
        <v>0.36587957031719498</v>
      </c>
      <c r="AA1006">
        <v>50</v>
      </c>
    </row>
    <row r="1007" spans="1:27" x14ac:dyDescent="0.2">
      <c r="A1007">
        <v>50</v>
      </c>
      <c r="B1007">
        <v>1</v>
      </c>
      <c r="C1007">
        <v>0.1</v>
      </c>
      <c r="D1007">
        <v>20</v>
      </c>
      <c r="E1007">
        <v>0.25485815407657902</v>
      </c>
      <c r="F1007">
        <v>1</v>
      </c>
      <c r="G1007">
        <v>32.038489388999999</v>
      </c>
      <c r="H1007">
        <v>0.21442314739135199</v>
      </c>
      <c r="I1007">
        <v>1</v>
      </c>
      <c r="J1007">
        <v>0.85086015000000004</v>
      </c>
      <c r="P1007"/>
      <c r="V1007">
        <v>0.19523673506719599</v>
      </c>
      <c r="W1007">
        <v>1</v>
      </c>
      <c r="X1007">
        <v>303661.34677987598</v>
      </c>
      <c r="Y1007">
        <v>39</v>
      </c>
      <c r="Z1007">
        <v>0.384707477483066</v>
      </c>
      <c r="AA1007">
        <v>50</v>
      </c>
    </row>
    <row r="1008" spans="1:27" x14ac:dyDescent="0.2">
      <c r="A1008">
        <v>50</v>
      </c>
      <c r="B1008">
        <v>1</v>
      </c>
      <c r="C1008">
        <v>0.1</v>
      </c>
      <c r="D1008">
        <v>20</v>
      </c>
      <c r="E1008">
        <v>0.28414058208717802</v>
      </c>
      <c r="F1008">
        <v>1</v>
      </c>
      <c r="G1008">
        <v>30.936922998</v>
      </c>
      <c r="H1008">
        <v>0.258868535686611</v>
      </c>
      <c r="I1008">
        <v>1</v>
      </c>
      <c r="J1008">
        <v>0.88544183499999995</v>
      </c>
      <c r="P1008"/>
      <c r="V1008">
        <v>0.22734193663340699</v>
      </c>
      <c r="W1008">
        <v>1</v>
      </c>
      <c r="X1008">
        <v>304293.99324710399</v>
      </c>
      <c r="Y1008">
        <v>82</v>
      </c>
      <c r="Z1008">
        <v>0.168643159991201</v>
      </c>
      <c r="AA1008">
        <v>50</v>
      </c>
    </row>
    <row r="1009" spans="1:27" x14ac:dyDescent="0.2">
      <c r="A1009">
        <v>50</v>
      </c>
      <c r="B1009">
        <v>1</v>
      </c>
      <c r="C1009">
        <v>0.1</v>
      </c>
      <c r="D1009">
        <v>20</v>
      </c>
      <c r="E1009">
        <v>0.312087526757651</v>
      </c>
      <c r="F1009">
        <v>1</v>
      </c>
      <c r="G1009">
        <v>40.261898094999999</v>
      </c>
      <c r="H1009">
        <v>0.25941629058433202</v>
      </c>
      <c r="I1009">
        <v>1</v>
      </c>
      <c r="J1009">
        <v>1.6103562709999999</v>
      </c>
      <c r="P1009"/>
      <c r="V1009">
        <v>0.221796958573172</v>
      </c>
      <c r="W1009">
        <v>1</v>
      </c>
      <c r="X1009">
        <v>305337.06440162897</v>
      </c>
      <c r="Y1009">
        <v>26</v>
      </c>
      <c r="Z1009">
        <v>0.32782907746644602</v>
      </c>
      <c r="AA1009">
        <v>50</v>
      </c>
    </row>
    <row r="1010" spans="1:27" x14ac:dyDescent="0.2">
      <c r="A1010">
        <v>50</v>
      </c>
      <c r="B1010">
        <v>1</v>
      </c>
      <c r="C1010">
        <v>0.1</v>
      </c>
      <c r="D1010">
        <v>20</v>
      </c>
      <c r="E1010">
        <v>0.30619714085615601</v>
      </c>
      <c r="F1010">
        <v>1</v>
      </c>
      <c r="G1010">
        <v>33.125203565</v>
      </c>
      <c r="H1010">
        <v>0.232147701794646</v>
      </c>
      <c r="I1010">
        <v>1</v>
      </c>
      <c r="J1010">
        <v>1.1563873149999999</v>
      </c>
      <c r="P1010"/>
      <c r="V1010">
        <v>0.20665830526155299</v>
      </c>
      <c r="W1010">
        <v>1</v>
      </c>
      <c r="X1010">
        <v>306439.70950921503</v>
      </c>
      <c r="Y1010">
        <v>87</v>
      </c>
      <c r="Z1010">
        <v>0.47202940163559098</v>
      </c>
      <c r="AA1010">
        <v>50</v>
      </c>
    </row>
    <row r="1011" spans="1:27" x14ac:dyDescent="0.2">
      <c r="A1011">
        <v>50</v>
      </c>
      <c r="B1011">
        <v>1</v>
      </c>
      <c r="C1011">
        <v>0.1</v>
      </c>
      <c r="D1011">
        <v>20</v>
      </c>
      <c r="E1011">
        <v>0.24518947421689199</v>
      </c>
      <c r="F1011">
        <v>1</v>
      </c>
      <c r="G1011">
        <v>32.218649481</v>
      </c>
      <c r="H1011">
        <v>0.18793930753863999</v>
      </c>
      <c r="I1011">
        <v>1</v>
      </c>
      <c r="J1011">
        <v>1.159957482</v>
      </c>
      <c r="P1011"/>
      <c r="V1011">
        <v>0.15982704937294201</v>
      </c>
      <c r="W1011">
        <v>1</v>
      </c>
      <c r="X1011">
        <v>304824.79700606002</v>
      </c>
      <c r="Y1011">
        <v>113</v>
      </c>
      <c r="Z1011">
        <v>0.537394780867956</v>
      </c>
      <c r="AA1011">
        <v>50</v>
      </c>
    </row>
    <row r="1012" spans="1:27" x14ac:dyDescent="0.2">
      <c r="A1012">
        <v>50</v>
      </c>
      <c r="B1012">
        <v>1</v>
      </c>
      <c r="C1012">
        <v>0.1</v>
      </c>
      <c r="D1012">
        <v>20</v>
      </c>
      <c r="E1012">
        <v>0.348289395621381</v>
      </c>
      <c r="F1012">
        <v>1</v>
      </c>
      <c r="G1012">
        <v>32.758257995000001</v>
      </c>
      <c r="H1012">
        <v>0.25375378064339499</v>
      </c>
      <c r="I1012">
        <v>1</v>
      </c>
      <c r="J1012">
        <v>1.1384128520000001</v>
      </c>
      <c r="P1012"/>
      <c r="V1012">
        <v>0.239152890083762</v>
      </c>
      <c r="W1012">
        <v>1</v>
      </c>
      <c r="X1012">
        <v>306973.18579775101</v>
      </c>
      <c r="Y1012">
        <v>41</v>
      </c>
      <c r="Z1012">
        <v>0.53106256852124101</v>
      </c>
      <c r="AA1012">
        <v>50</v>
      </c>
    </row>
    <row r="1013" spans="1:27" x14ac:dyDescent="0.2">
      <c r="A1013">
        <v>50</v>
      </c>
      <c r="B1013">
        <v>1</v>
      </c>
      <c r="C1013">
        <v>0.1</v>
      </c>
      <c r="D1013">
        <v>20</v>
      </c>
      <c r="E1013">
        <v>0.273191590133739</v>
      </c>
      <c r="F1013">
        <v>1</v>
      </c>
      <c r="G1013">
        <v>35.090793531999999</v>
      </c>
      <c r="H1013">
        <v>0.26896100013476498</v>
      </c>
      <c r="I1013">
        <v>1</v>
      </c>
      <c r="J1013">
        <v>0.66723695599999999</v>
      </c>
      <c r="P1013"/>
      <c r="V1013">
        <v>0.24753522799524</v>
      </c>
      <c r="W1013">
        <v>1</v>
      </c>
      <c r="X1013">
        <v>306150.00769153802</v>
      </c>
      <c r="Y1013">
        <v>62</v>
      </c>
      <c r="Z1013">
        <v>0.200792714276018</v>
      </c>
      <c r="AA1013">
        <v>50</v>
      </c>
    </row>
    <row r="1014" spans="1:27" x14ac:dyDescent="0.2">
      <c r="A1014">
        <v>50</v>
      </c>
      <c r="B1014">
        <v>1</v>
      </c>
      <c r="C1014">
        <v>0.1</v>
      </c>
      <c r="D1014">
        <v>20</v>
      </c>
      <c r="E1014">
        <v>0.45635206586286098</v>
      </c>
      <c r="F1014">
        <v>1</v>
      </c>
      <c r="G1014">
        <v>35.731137924000002</v>
      </c>
      <c r="H1014">
        <v>0.36741685668402402</v>
      </c>
      <c r="I1014">
        <v>1</v>
      </c>
      <c r="J1014">
        <v>1.0276310989999999</v>
      </c>
      <c r="P1014"/>
      <c r="V1014">
        <v>0.35118859010724102</v>
      </c>
      <c r="W1014">
        <v>1</v>
      </c>
      <c r="X1014">
        <v>306689.77221828402</v>
      </c>
      <c r="Y1014">
        <v>37</v>
      </c>
      <c r="Z1014">
        <v>0.23757484523109099</v>
      </c>
      <c r="AA1014">
        <v>50</v>
      </c>
    </row>
    <row r="1015" spans="1:27" x14ac:dyDescent="0.2">
      <c r="A1015">
        <v>30</v>
      </c>
      <c r="B1015">
        <v>1</v>
      </c>
      <c r="C1015">
        <v>0.3</v>
      </c>
      <c r="D1015">
        <v>20</v>
      </c>
      <c r="E1015">
        <v>0.161610021190188</v>
      </c>
      <c r="F1015">
        <v>1</v>
      </c>
      <c r="G1015">
        <v>25.811650251</v>
      </c>
      <c r="H1015">
        <v>0.16916375784830701</v>
      </c>
      <c r="I1015">
        <v>1</v>
      </c>
      <c r="J1015">
        <v>0.19209794099999999</v>
      </c>
      <c r="P1015"/>
      <c r="V1015">
        <v>0.12014735408011</v>
      </c>
      <c r="W1015">
        <v>1</v>
      </c>
      <c r="X1015">
        <v>162445.280017332</v>
      </c>
      <c r="Y1015">
        <v>4068</v>
      </c>
      <c r="Z1015">
        <v>2.2050959153780501E-2</v>
      </c>
      <c r="AA1015">
        <v>50</v>
      </c>
    </row>
    <row r="1016" spans="1:27" x14ac:dyDescent="0.2">
      <c r="A1016">
        <v>50</v>
      </c>
      <c r="B1016">
        <v>1</v>
      </c>
      <c r="C1016">
        <v>0.1</v>
      </c>
      <c r="D1016">
        <v>20</v>
      </c>
      <c r="E1016">
        <v>0.20565330184619299</v>
      </c>
      <c r="F1016">
        <v>1</v>
      </c>
      <c r="G1016">
        <v>33.278523649999997</v>
      </c>
      <c r="H1016">
        <v>0.18062418520502899</v>
      </c>
      <c r="I1016">
        <v>1</v>
      </c>
      <c r="J1016">
        <v>0.95693714399999996</v>
      </c>
      <c r="P1016"/>
      <c r="V1016">
        <v>0.163639692556695</v>
      </c>
      <c r="W1016">
        <v>1</v>
      </c>
      <c r="X1016">
        <v>304750.001427732</v>
      </c>
      <c r="Y1016">
        <v>74</v>
      </c>
      <c r="Z1016">
        <v>0.35558611961641801</v>
      </c>
      <c r="AA1016">
        <v>50</v>
      </c>
    </row>
    <row r="1017" spans="1:27" x14ac:dyDescent="0.2">
      <c r="A1017">
        <v>50</v>
      </c>
      <c r="B1017">
        <v>1</v>
      </c>
      <c r="C1017">
        <v>0.1</v>
      </c>
      <c r="D1017">
        <v>20</v>
      </c>
      <c r="E1017">
        <v>0.32353574939276503</v>
      </c>
      <c r="F1017">
        <v>1</v>
      </c>
      <c r="G1017">
        <v>28.161738317000001</v>
      </c>
      <c r="H1017">
        <v>0.275753412308685</v>
      </c>
      <c r="I1017">
        <v>1</v>
      </c>
      <c r="J1017">
        <v>0.89543179900000003</v>
      </c>
      <c r="P1017"/>
      <c r="V1017">
        <v>0.2632094428265</v>
      </c>
      <c r="W1017">
        <v>1</v>
      </c>
      <c r="X1017">
        <v>305761.10519809998</v>
      </c>
      <c r="Y1017">
        <v>85</v>
      </c>
      <c r="Z1017">
        <v>0.30368081999994201</v>
      </c>
      <c r="AA1017">
        <v>50</v>
      </c>
    </row>
    <row r="1018" spans="1:27" x14ac:dyDescent="0.2">
      <c r="A1018">
        <v>50</v>
      </c>
      <c r="B1018">
        <v>1</v>
      </c>
      <c r="C1018">
        <v>0.1</v>
      </c>
      <c r="D1018">
        <v>20</v>
      </c>
      <c r="E1018">
        <v>0.25828924867929298</v>
      </c>
      <c r="F1018">
        <v>1</v>
      </c>
      <c r="G1018">
        <v>27.005116403999999</v>
      </c>
      <c r="H1018">
        <v>0.241858391321358</v>
      </c>
      <c r="I1018">
        <v>1</v>
      </c>
      <c r="J1018">
        <v>0.58236432000000005</v>
      </c>
      <c r="P1018"/>
      <c r="V1018">
        <v>0.22179066790688101</v>
      </c>
      <c r="W1018">
        <v>1</v>
      </c>
      <c r="X1018">
        <v>307809.29567912198</v>
      </c>
      <c r="Y1018">
        <v>126</v>
      </c>
      <c r="Z1018">
        <v>0.356747391975821</v>
      </c>
      <c r="AA1018">
        <v>50</v>
      </c>
    </row>
    <row r="1019" spans="1:27" x14ac:dyDescent="0.2">
      <c r="A1019">
        <v>50</v>
      </c>
      <c r="B1019">
        <v>1</v>
      </c>
      <c r="C1019">
        <v>0.1</v>
      </c>
      <c r="D1019">
        <v>20</v>
      </c>
      <c r="E1019">
        <v>0.22607582106412599</v>
      </c>
      <c r="F1019">
        <v>1</v>
      </c>
      <c r="G1019">
        <v>34.634407066999998</v>
      </c>
      <c r="H1019">
        <v>0.159043877924648</v>
      </c>
      <c r="I1019">
        <v>1</v>
      </c>
      <c r="J1019">
        <v>0.93763698200000001</v>
      </c>
      <c r="P1019"/>
      <c r="V1019">
        <v>0.13107425130233899</v>
      </c>
      <c r="W1019">
        <v>1</v>
      </c>
      <c r="X1019">
        <v>307908.299371876</v>
      </c>
      <c r="Y1019">
        <v>81</v>
      </c>
      <c r="Z1019">
        <v>0.30778863799605399</v>
      </c>
      <c r="AA1019">
        <v>50</v>
      </c>
    </row>
    <row r="1020" spans="1:27" x14ac:dyDescent="0.2">
      <c r="A1020">
        <v>50</v>
      </c>
      <c r="B1020">
        <v>1</v>
      </c>
      <c r="C1020">
        <v>0.1</v>
      </c>
      <c r="D1020">
        <v>20</v>
      </c>
      <c r="E1020">
        <v>0.31909435886017801</v>
      </c>
      <c r="F1020">
        <v>1</v>
      </c>
      <c r="G1020">
        <v>38.113768489000002</v>
      </c>
      <c r="H1020">
        <v>0.28884482360730501</v>
      </c>
      <c r="I1020">
        <v>1</v>
      </c>
      <c r="J1020">
        <v>0.68237650000000005</v>
      </c>
      <c r="P1020"/>
      <c r="V1020">
        <v>0.27847605989982799</v>
      </c>
      <c r="W1020">
        <v>1</v>
      </c>
      <c r="X1020">
        <v>307105.79867545702</v>
      </c>
      <c r="Y1020">
        <v>124</v>
      </c>
      <c r="Z1020">
        <v>0.12550419705475299</v>
      </c>
      <c r="AA1020">
        <v>50</v>
      </c>
    </row>
    <row r="1021" spans="1:27" x14ac:dyDescent="0.2">
      <c r="A1021">
        <v>50</v>
      </c>
      <c r="B1021">
        <v>1</v>
      </c>
      <c r="C1021">
        <v>0.1</v>
      </c>
      <c r="D1021">
        <v>20</v>
      </c>
      <c r="E1021">
        <v>0.31345115647770599</v>
      </c>
      <c r="F1021">
        <v>1</v>
      </c>
      <c r="G1021">
        <v>34.004175201000002</v>
      </c>
      <c r="H1021">
        <v>0.28245697004229497</v>
      </c>
      <c r="I1021">
        <v>1</v>
      </c>
      <c r="J1021">
        <v>0.98871374999999995</v>
      </c>
      <c r="P1021"/>
      <c r="V1021">
        <v>0.267331098390855</v>
      </c>
      <c r="W1021">
        <v>1</v>
      </c>
      <c r="X1021">
        <v>304231.030360192</v>
      </c>
      <c r="Y1021">
        <v>198</v>
      </c>
      <c r="Z1021">
        <v>0.49684882241859202</v>
      </c>
      <c r="AA1021">
        <v>50</v>
      </c>
    </row>
    <row r="1022" spans="1:27" x14ac:dyDescent="0.2">
      <c r="A1022">
        <v>30</v>
      </c>
      <c r="B1022">
        <v>2</v>
      </c>
      <c r="C1022">
        <v>0.1</v>
      </c>
      <c r="D1022">
        <v>20</v>
      </c>
      <c r="E1022">
        <v>1.0191259696478701</v>
      </c>
      <c r="F1022">
        <v>2</v>
      </c>
      <c r="G1022">
        <v>31.649311749999999</v>
      </c>
      <c r="H1022">
        <v>1.0307298141010699</v>
      </c>
      <c r="I1022">
        <v>2</v>
      </c>
      <c r="J1022">
        <v>1.0683951949999999</v>
      </c>
      <c r="P1022"/>
      <c r="V1022">
        <v>1.1666872313990999</v>
      </c>
      <c r="W1022">
        <v>2</v>
      </c>
      <c r="X1022">
        <v>302823.745198527</v>
      </c>
      <c r="Y1022">
        <v>83</v>
      </c>
      <c r="Z1022">
        <v>6.8401564623382001</v>
      </c>
      <c r="AA1022">
        <v>50</v>
      </c>
    </row>
    <row r="1023" spans="1:27" x14ac:dyDescent="0.2">
      <c r="A1023">
        <v>30</v>
      </c>
      <c r="B1023">
        <v>2</v>
      </c>
      <c r="C1023">
        <v>0.1</v>
      </c>
      <c r="D1023">
        <v>20</v>
      </c>
      <c r="E1023">
        <v>0.91497020176678501</v>
      </c>
      <c r="F1023">
        <v>2</v>
      </c>
      <c r="G1023">
        <v>33.235151389000002</v>
      </c>
      <c r="H1023">
        <v>0.85123194512110101</v>
      </c>
      <c r="I1023">
        <v>2</v>
      </c>
      <c r="J1023">
        <v>1.417929497</v>
      </c>
      <c r="P1023"/>
      <c r="V1023">
        <v>0.85413834627414598</v>
      </c>
      <c r="W1023">
        <v>2</v>
      </c>
      <c r="X1023">
        <v>301927.753643676</v>
      </c>
      <c r="Y1023">
        <v>151</v>
      </c>
      <c r="Z1023">
        <v>0.33739410841530598</v>
      </c>
      <c r="AA1023">
        <v>50</v>
      </c>
    </row>
    <row r="1024" spans="1:27" x14ac:dyDescent="0.2">
      <c r="A1024">
        <v>30</v>
      </c>
      <c r="B1024">
        <v>2</v>
      </c>
      <c r="C1024">
        <v>0.3</v>
      </c>
      <c r="D1024">
        <v>20</v>
      </c>
      <c r="E1024">
        <v>0.188312148072449</v>
      </c>
      <c r="F1024">
        <v>2</v>
      </c>
      <c r="G1024">
        <v>35.115085948999997</v>
      </c>
      <c r="H1024">
        <v>0.13003910176122399</v>
      </c>
      <c r="I1024">
        <v>2</v>
      </c>
      <c r="J1024">
        <v>0.33641246899999999</v>
      </c>
      <c r="P1024"/>
      <c r="V1024">
        <v>0.107775518340208</v>
      </c>
      <c r="W1024">
        <v>2</v>
      </c>
      <c r="X1024">
        <v>305108.26015908201</v>
      </c>
      <c r="Y1024">
        <v>1</v>
      </c>
      <c r="Z1024">
        <v>3.7020415073368098</v>
      </c>
      <c r="AA1024">
        <v>50</v>
      </c>
    </row>
    <row r="1025" spans="1:27" x14ac:dyDescent="0.2">
      <c r="A1025">
        <v>30</v>
      </c>
      <c r="B1025">
        <v>2</v>
      </c>
      <c r="C1025">
        <v>0.1</v>
      </c>
      <c r="D1025">
        <v>20</v>
      </c>
      <c r="E1025">
        <v>0.80622237672332697</v>
      </c>
      <c r="F1025">
        <v>2</v>
      </c>
      <c r="G1025">
        <v>31.233683067000001</v>
      </c>
      <c r="H1025">
        <v>0.79838133690221602</v>
      </c>
      <c r="I1025">
        <v>2</v>
      </c>
      <c r="J1025">
        <v>0.73806580600000005</v>
      </c>
      <c r="P1025"/>
      <c r="V1025">
        <v>0.80203175949297001</v>
      </c>
      <c r="W1025">
        <v>2</v>
      </c>
      <c r="X1025">
        <v>304639.36925098702</v>
      </c>
      <c r="Y1025">
        <v>69</v>
      </c>
      <c r="Z1025">
        <v>0.48652410369611099</v>
      </c>
      <c r="AA1025">
        <v>50</v>
      </c>
    </row>
    <row r="1026" spans="1:27" x14ac:dyDescent="0.2">
      <c r="A1026">
        <v>30</v>
      </c>
      <c r="B1026">
        <v>2</v>
      </c>
      <c r="C1026">
        <v>0.3</v>
      </c>
      <c r="D1026">
        <v>20</v>
      </c>
      <c r="E1026">
        <v>0.17419394636548099</v>
      </c>
      <c r="F1026">
        <v>2</v>
      </c>
      <c r="G1026">
        <v>31.396616443999999</v>
      </c>
      <c r="H1026">
        <v>0.13775027247539701</v>
      </c>
      <c r="I1026">
        <v>2</v>
      </c>
      <c r="J1026">
        <v>0.25569576999999999</v>
      </c>
      <c r="P1026"/>
      <c r="V1026">
        <v>0.115290289516949</v>
      </c>
      <c r="W1026">
        <v>2</v>
      </c>
      <c r="X1026">
        <v>305027.16377775301</v>
      </c>
      <c r="Y1026">
        <v>1</v>
      </c>
      <c r="Z1026">
        <v>3.6014109649481498</v>
      </c>
      <c r="AA1026">
        <v>50</v>
      </c>
    </row>
    <row r="1027" spans="1:27" x14ac:dyDescent="0.2">
      <c r="A1027">
        <v>30</v>
      </c>
      <c r="B1027">
        <v>2</v>
      </c>
      <c r="C1027">
        <v>0.2</v>
      </c>
      <c r="D1027">
        <v>20</v>
      </c>
      <c r="E1027">
        <v>0.43519012987121902</v>
      </c>
      <c r="F1027">
        <v>2</v>
      </c>
      <c r="G1027">
        <v>33.570178806999998</v>
      </c>
      <c r="H1027">
        <v>0.30099762413827902</v>
      </c>
      <c r="I1027">
        <v>2</v>
      </c>
      <c r="J1027">
        <v>0.72011307300000005</v>
      </c>
      <c r="P1027"/>
      <c r="V1027">
        <v>0.27150331303985598</v>
      </c>
      <c r="W1027">
        <v>2</v>
      </c>
      <c r="X1027">
        <v>305280.34961754398</v>
      </c>
      <c r="Y1027">
        <v>7</v>
      </c>
      <c r="Z1027">
        <v>4.1238219566146901</v>
      </c>
      <c r="AA1027">
        <v>50</v>
      </c>
    </row>
    <row r="1028" spans="1:27" x14ac:dyDescent="0.2">
      <c r="A1028">
        <v>30</v>
      </c>
      <c r="B1028">
        <v>2</v>
      </c>
      <c r="C1028">
        <v>0.2</v>
      </c>
      <c r="D1028">
        <v>20</v>
      </c>
      <c r="E1028">
        <v>0.27660621291851101</v>
      </c>
      <c r="F1028">
        <v>2</v>
      </c>
      <c r="G1028">
        <v>33.621545146000003</v>
      </c>
      <c r="H1028">
        <v>0.205971986176753</v>
      </c>
      <c r="I1028">
        <v>2</v>
      </c>
      <c r="J1028">
        <v>0.62893018700000003</v>
      </c>
      <c r="P1028"/>
      <c r="V1028">
        <v>0.18581151676927199</v>
      </c>
      <c r="W1028">
        <v>2</v>
      </c>
      <c r="X1028">
        <v>307366.25120194501</v>
      </c>
      <c r="Y1028">
        <v>1</v>
      </c>
      <c r="Z1028">
        <v>3.5434086661782298</v>
      </c>
      <c r="AA1028">
        <v>50</v>
      </c>
    </row>
    <row r="1029" spans="1:27" x14ac:dyDescent="0.2">
      <c r="A1029">
        <v>50</v>
      </c>
      <c r="B1029">
        <v>1</v>
      </c>
      <c r="C1029">
        <v>0.1</v>
      </c>
      <c r="D1029">
        <v>20</v>
      </c>
      <c r="E1029">
        <v>0.34140521086297099</v>
      </c>
      <c r="F1029">
        <v>1</v>
      </c>
      <c r="G1029">
        <v>25.193627935999999</v>
      </c>
      <c r="H1029">
        <v>0.25859070586629701</v>
      </c>
      <c r="I1029">
        <v>1</v>
      </c>
      <c r="J1029">
        <v>0.67492508299999998</v>
      </c>
      <c r="P1029"/>
      <c r="V1029">
        <v>0.23405451381501</v>
      </c>
      <c r="W1029">
        <v>1</v>
      </c>
      <c r="X1029">
        <v>308266.69600855501</v>
      </c>
      <c r="Y1029">
        <v>76</v>
      </c>
      <c r="Z1029">
        <v>0.31942283710983899</v>
      </c>
      <c r="AA1029">
        <v>50</v>
      </c>
    </row>
    <row r="1030" spans="1:27" x14ac:dyDescent="0.2">
      <c r="A1030">
        <v>50</v>
      </c>
      <c r="B1030">
        <v>1</v>
      </c>
      <c r="C1030">
        <v>0.1</v>
      </c>
      <c r="D1030">
        <v>20</v>
      </c>
      <c r="E1030">
        <v>0.27718594405338598</v>
      </c>
      <c r="F1030">
        <v>1</v>
      </c>
      <c r="G1030">
        <v>38.311950295000003</v>
      </c>
      <c r="H1030">
        <v>0.249382923669551</v>
      </c>
      <c r="I1030">
        <v>1</v>
      </c>
      <c r="J1030">
        <v>0.92228834199999998</v>
      </c>
      <c r="P1030"/>
      <c r="V1030">
        <v>0.22429274179978301</v>
      </c>
      <c r="W1030">
        <v>1</v>
      </c>
      <c r="X1030">
        <v>306542.92161322501</v>
      </c>
      <c r="Y1030">
        <v>74</v>
      </c>
      <c r="Z1030">
        <v>0.35113092968093901</v>
      </c>
      <c r="AA1030">
        <v>50</v>
      </c>
    </row>
    <row r="1031" spans="1:27" x14ac:dyDescent="0.2">
      <c r="A1031">
        <v>30</v>
      </c>
      <c r="B1031">
        <v>1</v>
      </c>
      <c r="C1031">
        <v>0.3</v>
      </c>
      <c r="D1031">
        <v>20</v>
      </c>
      <c r="E1031">
        <v>5.4379209175086998E-2</v>
      </c>
      <c r="F1031">
        <v>1</v>
      </c>
      <c r="G1031">
        <v>34.145873776000002</v>
      </c>
      <c r="H1031">
        <v>8.5311906710049706E-2</v>
      </c>
      <c r="I1031">
        <v>1</v>
      </c>
      <c r="J1031">
        <v>0.31703766100000003</v>
      </c>
      <c r="P1031"/>
      <c r="V1031">
        <v>6.8363683227041699E-2</v>
      </c>
      <c r="W1031">
        <v>1</v>
      </c>
      <c r="X1031">
        <v>278998.89727080299</v>
      </c>
      <c r="Y1031">
        <v>2454</v>
      </c>
      <c r="Z1031">
        <v>6.3410431288502794E-2</v>
      </c>
      <c r="AA1031">
        <v>50</v>
      </c>
    </row>
    <row r="1032" spans="1:27" x14ac:dyDescent="0.2">
      <c r="A1032">
        <v>70</v>
      </c>
      <c r="B1032">
        <v>1</v>
      </c>
      <c r="C1032">
        <v>0.1</v>
      </c>
      <c r="D1032">
        <v>20</v>
      </c>
      <c r="E1032">
        <v>0.15056530883268099</v>
      </c>
      <c r="F1032">
        <v>1</v>
      </c>
      <c r="G1032">
        <v>40.499369481999999</v>
      </c>
      <c r="H1032">
        <v>0.129519045551656</v>
      </c>
      <c r="I1032">
        <v>1</v>
      </c>
      <c r="J1032">
        <v>1.1862386090000001</v>
      </c>
      <c r="P1032"/>
      <c r="V1032">
        <v>0.102137888956377</v>
      </c>
      <c r="W1032">
        <v>1</v>
      </c>
      <c r="X1032">
        <v>311400.34539118898</v>
      </c>
      <c r="Y1032">
        <v>0</v>
      </c>
      <c r="Z1032">
        <v>9.1999559703613496</v>
      </c>
      <c r="AA1032">
        <v>50</v>
      </c>
    </row>
    <row r="1033" spans="1:27" x14ac:dyDescent="0.2">
      <c r="A1033">
        <v>70</v>
      </c>
      <c r="B1033">
        <v>1</v>
      </c>
      <c r="C1033">
        <v>0.1</v>
      </c>
      <c r="D1033">
        <v>20</v>
      </c>
      <c r="E1033">
        <v>0.133230004148916</v>
      </c>
      <c r="F1033">
        <v>1</v>
      </c>
      <c r="G1033">
        <v>40.976066971000002</v>
      </c>
      <c r="H1033">
        <v>0.15723107281316001</v>
      </c>
      <c r="I1033">
        <v>1</v>
      </c>
      <c r="J1033">
        <v>1.2994280819999999</v>
      </c>
      <c r="P1033"/>
      <c r="V1033">
        <v>0.12197331822695</v>
      </c>
      <c r="W1033">
        <v>1</v>
      </c>
      <c r="X1033">
        <v>311407.40630733903</v>
      </c>
      <c r="Y1033">
        <v>0</v>
      </c>
      <c r="Z1033">
        <v>8.2552464220744692</v>
      </c>
      <c r="AA1033">
        <v>50</v>
      </c>
    </row>
    <row r="1034" spans="1:27" x14ac:dyDescent="0.2">
      <c r="A1034">
        <v>70</v>
      </c>
      <c r="B1034">
        <v>1</v>
      </c>
      <c r="C1034">
        <v>0.1</v>
      </c>
      <c r="D1034">
        <v>20</v>
      </c>
      <c r="E1034">
        <v>0.13668664223657101</v>
      </c>
      <c r="F1034">
        <v>1</v>
      </c>
      <c r="G1034">
        <v>39.895726928999999</v>
      </c>
      <c r="H1034">
        <v>0.13349080993512599</v>
      </c>
      <c r="I1034">
        <v>1</v>
      </c>
      <c r="J1034">
        <v>0.62293649299999998</v>
      </c>
      <c r="P1034"/>
      <c r="V1034">
        <v>0.10801483793608301</v>
      </c>
      <c r="W1034">
        <v>1</v>
      </c>
      <c r="X1034">
        <v>311448.36523159698</v>
      </c>
      <c r="Y1034">
        <v>0</v>
      </c>
      <c r="Z1034">
        <v>14.1043602478229</v>
      </c>
      <c r="AA1034">
        <v>50</v>
      </c>
    </row>
    <row r="1035" spans="1:27" x14ac:dyDescent="0.2">
      <c r="A1035">
        <v>70</v>
      </c>
      <c r="B1035">
        <v>1</v>
      </c>
      <c r="C1035">
        <v>0.1</v>
      </c>
      <c r="D1035">
        <v>20</v>
      </c>
      <c r="E1035">
        <v>0.19916046655896399</v>
      </c>
      <c r="F1035">
        <v>1</v>
      </c>
      <c r="G1035">
        <v>41.379719846999997</v>
      </c>
      <c r="H1035">
        <v>0.17268388951202701</v>
      </c>
      <c r="I1035">
        <v>1</v>
      </c>
      <c r="J1035">
        <v>0.90290083899999996</v>
      </c>
      <c r="P1035"/>
      <c r="V1035">
        <v>0.15940804133324801</v>
      </c>
      <c r="W1035">
        <v>1</v>
      </c>
      <c r="X1035">
        <v>311556.25802160997</v>
      </c>
      <c r="Y1035">
        <v>0</v>
      </c>
      <c r="Z1035">
        <v>8.6430891768538594</v>
      </c>
      <c r="AA1035">
        <v>50</v>
      </c>
    </row>
    <row r="1036" spans="1:27" x14ac:dyDescent="0.2">
      <c r="A1036">
        <v>70</v>
      </c>
      <c r="B1036">
        <v>1</v>
      </c>
      <c r="C1036">
        <v>0.1</v>
      </c>
      <c r="D1036">
        <v>20</v>
      </c>
      <c r="E1036">
        <v>0.218345410233802</v>
      </c>
      <c r="F1036">
        <v>1</v>
      </c>
      <c r="G1036">
        <v>41.641098851000002</v>
      </c>
      <c r="H1036">
        <v>0.16409732709801</v>
      </c>
      <c r="I1036">
        <v>1</v>
      </c>
      <c r="J1036">
        <v>0.78184153099999998</v>
      </c>
      <c r="P1036"/>
      <c r="V1036">
        <v>0.14079352878561899</v>
      </c>
      <c r="W1036">
        <v>1</v>
      </c>
      <c r="X1036">
        <v>311978.13417860301</v>
      </c>
      <c r="Y1036">
        <v>0</v>
      </c>
      <c r="Z1036">
        <v>10.9021389530573</v>
      </c>
      <c r="AA1036">
        <v>50</v>
      </c>
    </row>
    <row r="1037" spans="1:27" x14ac:dyDescent="0.2">
      <c r="A1037">
        <v>30</v>
      </c>
      <c r="B1037">
        <v>1</v>
      </c>
      <c r="C1037">
        <v>0.3</v>
      </c>
      <c r="D1037">
        <v>20</v>
      </c>
      <c r="E1037">
        <v>8.8406046190516493E-2</v>
      </c>
      <c r="F1037">
        <v>1</v>
      </c>
      <c r="G1037">
        <v>34.047203557000003</v>
      </c>
      <c r="H1037">
        <v>0.112000304121644</v>
      </c>
      <c r="I1037">
        <v>1</v>
      </c>
      <c r="J1037">
        <v>0.27619182599999997</v>
      </c>
      <c r="P1037"/>
      <c r="V1037">
        <v>8.2442248342490698E-2</v>
      </c>
      <c r="W1037">
        <v>1</v>
      </c>
      <c r="X1037">
        <v>297553.92494786001</v>
      </c>
      <c r="Y1037">
        <v>2213</v>
      </c>
      <c r="Z1037">
        <v>6.4292582941158402E-2</v>
      </c>
      <c r="AA1037">
        <v>50</v>
      </c>
    </row>
    <row r="1038" spans="1:27" x14ac:dyDescent="0.2">
      <c r="A1038">
        <v>30</v>
      </c>
      <c r="B1038">
        <v>1</v>
      </c>
      <c r="C1038">
        <v>0.3</v>
      </c>
      <c r="D1038">
        <v>20</v>
      </c>
      <c r="E1038">
        <v>7.3316965688044994E-2</v>
      </c>
      <c r="F1038">
        <v>1</v>
      </c>
      <c r="G1038">
        <v>34.138156383999998</v>
      </c>
      <c r="H1038">
        <v>9.0454592977488202E-2</v>
      </c>
      <c r="I1038">
        <v>1</v>
      </c>
      <c r="J1038">
        <v>0.20254240600000001</v>
      </c>
      <c r="P1038"/>
      <c r="V1038">
        <v>6.2649630663551295E-2</v>
      </c>
      <c r="W1038">
        <v>1</v>
      </c>
      <c r="X1038">
        <v>287707.34051675902</v>
      </c>
      <c r="Y1038">
        <v>2670</v>
      </c>
      <c r="Z1038">
        <v>2.1143576627950099E-2</v>
      </c>
      <c r="AA1038">
        <v>50</v>
      </c>
    </row>
    <row r="1039" spans="1:27" x14ac:dyDescent="0.2">
      <c r="A1039">
        <v>70</v>
      </c>
      <c r="B1039">
        <v>1</v>
      </c>
      <c r="C1039">
        <v>0.1</v>
      </c>
      <c r="D1039">
        <v>20</v>
      </c>
      <c r="E1039">
        <v>0.193340823807334</v>
      </c>
      <c r="F1039">
        <v>1</v>
      </c>
      <c r="G1039">
        <v>38.311496128999998</v>
      </c>
      <c r="H1039">
        <v>0.147467261542544</v>
      </c>
      <c r="I1039">
        <v>1</v>
      </c>
      <c r="J1039">
        <v>0.820297465</v>
      </c>
      <c r="P1039"/>
      <c r="V1039">
        <v>0.123574844900257</v>
      </c>
      <c r="W1039">
        <v>1</v>
      </c>
      <c r="X1039">
        <v>311450.50383143697</v>
      </c>
      <c r="Y1039">
        <v>0</v>
      </c>
      <c r="Z1039">
        <v>12.5868942193212</v>
      </c>
      <c r="AA1039">
        <v>50</v>
      </c>
    </row>
    <row r="1040" spans="1:27" x14ac:dyDescent="0.2">
      <c r="A1040">
        <v>70</v>
      </c>
      <c r="B1040">
        <v>1</v>
      </c>
      <c r="C1040">
        <v>0.1</v>
      </c>
      <c r="D1040">
        <v>20</v>
      </c>
      <c r="E1040">
        <v>0.218578948163729</v>
      </c>
      <c r="F1040">
        <v>1</v>
      </c>
      <c r="G1040">
        <v>38.550836576999998</v>
      </c>
      <c r="H1040">
        <v>0.16624152488251201</v>
      </c>
      <c r="I1040">
        <v>1</v>
      </c>
      <c r="J1040">
        <v>1.0930521470000001</v>
      </c>
      <c r="P1040"/>
      <c r="V1040">
        <v>0.14210326591255601</v>
      </c>
      <c r="W1040">
        <v>1</v>
      </c>
      <c r="X1040">
        <v>311553.93691540102</v>
      </c>
      <c r="Y1040">
        <v>0</v>
      </c>
      <c r="Z1040">
        <v>8.0928491834572398</v>
      </c>
      <c r="AA1040">
        <v>50</v>
      </c>
    </row>
    <row r="1041" spans="1:27" x14ac:dyDescent="0.2">
      <c r="A1041">
        <v>30</v>
      </c>
      <c r="B1041">
        <v>1</v>
      </c>
      <c r="C1041">
        <v>0.1</v>
      </c>
      <c r="D1041">
        <v>20</v>
      </c>
      <c r="E1041">
        <v>0.56877407550901404</v>
      </c>
      <c r="F1041">
        <v>1</v>
      </c>
      <c r="G1041">
        <v>34.002032559</v>
      </c>
      <c r="H1041">
        <v>0.33291846534434399</v>
      </c>
      <c r="I1041">
        <v>1</v>
      </c>
      <c r="J1041">
        <v>0.58452246200000002</v>
      </c>
      <c r="P1041"/>
      <c r="V1041">
        <v>0.31710035536909598</v>
      </c>
      <c r="W1041">
        <v>1</v>
      </c>
      <c r="X1041">
        <v>303268.39899377897</v>
      </c>
      <c r="Y1041">
        <v>3819</v>
      </c>
      <c r="Z1041">
        <v>0.12491278745478999</v>
      </c>
      <c r="AA1041">
        <v>50</v>
      </c>
    </row>
    <row r="1042" spans="1:27" x14ac:dyDescent="0.2">
      <c r="A1042">
        <v>30</v>
      </c>
      <c r="B1042">
        <v>1</v>
      </c>
      <c r="C1042">
        <v>0.2</v>
      </c>
      <c r="D1042">
        <v>20</v>
      </c>
      <c r="E1042">
        <v>0.105769797135304</v>
      </c>
      <c r="F1042">
        <v>1</v>
      </c>
      <c r="G1042">
        <v>33.902295604999999</v>
      </c>
      <c r="H1042">
        <v>0.112785778380425</v>
      </c>
      <c r="I1042">
        <v>1</v>
      </c>
      <c r="J1042">
        <v>0.16480441800000001</v>
      </c>
      <c r="P1042"/>
      <c r="V1042">
        <v>9.6797991804639702E-2</v>
      </c>
      <c r="W1042">
        <v>1</v>
      </c>
      <c r="X1042">
        <v>304306.73318233399</v>
      </c>
      <c r="Y1042">
        <v>1323</v>
      </c>
      <c r="Z1042">
        <v>0.105784505132136</v>
      </c>
      <c r="AA1042">
        <v>50</v>
      </c>
    </row>
    <row r="1043" spans="1:27" x14ac:dyDescent="0.2">
      <c r="A1043">
        <v>30</v>
      </c>
      <c r="B1043">
        <v>1</v>
      </c>
      <c r="C1043">
        <v>0.1</v>
      </c>
      <c r="D1043">
        <v>20</v>
      </c>
      <c r="E1043">
        <v>0.46031284358251101</v>
      </c>
      <c r="F1043">
        <v>1</v>
      </c>
      <c r="G1043">
        <v>33.768774338999997</v>
      </c>
      <c r="H1043">
        <v>0.45516926662346802</v>
      </c>
      <c r="I1043">
        <v>1</v>
      </c>
      <c r="J1043">
        <v>0.29410328699999999</v>
      </c>
      <c r="P1043"/>
      <c r="V1043">
        <v>0.43799810938150602</v>
      </c>
      <c r="W1043">
        <v>1</v>
      </c>
      <c r="X1043">
        <v>304352.09432220901</v>
      </c>
      <c r="Y1043">
        <v>1557</v>
      </c>
      <c r="Z1043">
        <v>9.2783806712577604E-2</v>
      </c>
      <c r="AA1043">
        <v>50</v>
      </c>
    </row>
    <row r="1044" spans="1:27" x14ac:dyDescent="0.2">
      <c r="A1044">
        <v>30</v>
      </c>
      <c r="B1044">
        <v>1</v>
      </c>
      <c r="C1044">
        <v>0.2</v>
      </c>
      <c r="D1044">
        <v>20</v>
      </c>
      <c r="E1044">
        <v>0.209829332060087</v>
      </c>
      <c r="F1044">
        <v>1</v>
      </c>
      <c r="G1044">
        <v>36.368762318999998</v>
      </c>
      <c r="H1044">
        <v>0.16240025224574101</v>
      </c>
      <c r="I1044">
        <v>1</v>
      </c>
      <c r="J1044">
        <v>0.14690462000000001</v>
      </c>
      <c r="P1044"/>
      <c r="V1044">
        <v>0.141355246997629</v>
      </c>
      <c r="W1044">
        <v>1</v>
      </c>
      <c r="X1044">
        <v>292761.749275479</v>
      </c>
      <c r="Y1044">
        <v>799</v>
      </c>
      <c r="Z1044">
        <v>0.14733290992789999</v>
      </c>
      <c r="AA1044">
        <v>50</v>
      </c>
    </row>
    <row r="1045" spans="1:27" x14ac:dyDescent="0.2">
      <c r="A1045">
        <v>70</v>
      </c>
      <c r="B1045">
        <v>1</v>
      </c>
      <c r="C1045">
        <v>0.1</v>
      </c>
      <c r="D1045">
        <v>20</v>
      </c>
      <c r="E1045">
        <v>0.230622714317294</v>
      </c>
      <c r="F1045">
        <v>1</v>
      </c>
      <c r="G1045">
        <v>40.978404701000002</v>
      </c>
      <c r="H1045">
        <v>0.15649051415228299</v>
      </c>
      <c r="I1045">
        <v>1</v>
      </c>
      <c r="J1045">
        <v>2.3953835090000002</v>
      </c>
      <c r="P1045"/>
      <c r="V1045">
        <v>0.13573505368628599</v>
      </c>
      <c r="W1045">
        <v>1</v>
      </c>
      <c r="X1045">
        <v>311574.25506342098</v>
      </c>
      <c r="Y1045">
        <v>0</v>
      </c>
      <c r="Z1045">
        <v>10.5505029311153</v>
      </c>
      <c r="AA1045">
        <v>50</v>
      </c>
    </row>
    <row r="1046" spans="1:27" x14ac:dyDescent="0.2">
      <c r="A1046">
        <v>30</v>
      </c>
      <c r="B1046">
        <v>1</v>
      </c>
      <c r="C1046">
        <v>0.3</v>
      </c>
      <c r="D1046">
        <v>20</v>
      </c>
      <c r="E1046">
        <v>0.155349370669009</v>
      </c>
      <c r="F1046">
        <v>1</v>
      </c>
      <c r="G1046">
        <v>37.143810412000001</v>
      </c>
      <c r="H1046">
        <v>0.18277638857668299</v>
      </c>
      <c r="I1046">
        <v>1</v>
      </c>
      <c r="J1046">
        <v>0.231847421</v>
      </c>
      <c r="P1046"/>
      <c r="V1046">
        <v>0.145785319042882</v>
      </c>
      <c r="W1046">
        <v>1</v>
      </c>
      <c r="X1046">
        <v>298912.17288022197</v>
      </c>
      <c r="Y1046">
        <v>1348</v>
      </c>
      <c r="Z1046">
        <v>0.24140806854659799</v>
      </c>
      <c r="AA1046">
        <v>50</v>
      </c>
    </row>
    <row r="1047" spans="1:27" x14ac:dyDescent="0.2">
      <c r="A1047">
        <v>30</v>
      </c>
      <c r="B1047">
        <v>1</v>
      </c>
      <c r="C1047">
        <v>0.2</v>
      </c>
      <c r="D1047">
        <v>20</v>
      </c>
      <c r="E1047">
        <v>0.245647205950738</v>
      </c>
      <c r="F1047">
        <v>1</v>
      </c>
      <c r="G1047">
        <v>37.254316508000002</v>
      </c>
      <c r="H1047">
        <v>0.28061407531666399</v>
      </c>
      <c r="I1047">
        <v>1</v>
      </c>
      <c r="J1047">
        <v>0.29133046200000001</v>
      </c>
      <c r="P1047"/>
      <c r="V1047">
        <v>0.241442493684105</v>
      </c>
      <c r="W1047">
        <v>1</v>
      </c>
      <c r="X1047">
        <v>300126.70888633397</v>
      </c>
      <c r="Y1047">
        <v>2091</v>
      </c>
      <c r="Z1047">
        <v>0.111729964899612</v>
      </c>
      <c r="AA1047">
        <v>50</v>
      </c>
    </row>
    <row r="1048" spans="1:27" x14ac:dyDescent="0.2">
      <c r="A1048">
        <v>30</v>
      </c>
      <c r="B1048">
        <v>1</v>
      </c>
      <c r="C1048">
        <v>0.1</v>
      </c>
      <c r="D1048">
        <v>20</v>
      </c>
      <c r="E1048">
        <v>0.49409853579403201</v>
      </c>
      <c r="F1048">
        <v>1</v>
      </c>
      <c r="G1048">
        <v>36.326812910000001</v>
      </c>
      <c r="H1048">
        <v>0.481947315871738</v>
      </c>
      <c r="I1048">
        <v>1</v>
      </c>
      <c r="J1048">
        <v>0.33851989399999999</v>
      </c>
      <c r="P1048"/>
      <c r="V1048">
        <v>0.47287557508234102</v>
      </c>
      <c r="W1048">
        <v>1</v>
      </c>
      <c r="X1048">
        <v>301143.63710196601</v>
      </c>
      <c r="Y1048">
        <v>2090</v>
      </c>
      <c r="Z1048">
        <v>0.29211532633248999</v>
      </c>
      <c r="AA1048">
        <v>50</v>
      </c>
    </row>
    <row r="1049" spans="1:27" x14ac:dyDescent="0.2">
      <c r="A1049">
        <v>30</v>
      </c>
      <c r="B1049">
        <v>1</v>
      </c>
      <c r="C1049">
        <v>0.1</v>
      </c>
      <c r="D1049">
        <v>20</v>
      </c>
      <c r="E1049">
        <v>0.44107747796955699</v>
      </c>
      <c r="F1049">
        <v>1</v>
      </c>
      <c r="G1049">
        <v>32.792060057999997</v>
      </c>
      <c r="H1049">
        <v>0.41825796733405401</v>
      </c>
      <c r="I1049">
        <v>1</v>
      </c>
      <c r="J1049">
        <v>0.51465997900000005</v>
      </c>
      <c r="P1049"/>
      <c r="V1049">
        <v>0.40766662434901402</v>
      </c>
      <c r="W1049">
        <v>1</v>
      </c>
      <c r="X1049">
        <v>301388.10756813601</v>
      </c>
      <c r="Y1049">
        <v>3141</v>
      </c>
      <c r="Z1049">
        <v>0.173266982857472</v>
      </c>
      <c r="AA1049">
        <v>50</v>
      </c>
    </row>
    <row r="1050" spans="1:27" x14ac:dyDescent="0.2">
      <c r="A1050">
        <v>20</v>
      </c>
      <c r="B1050">
        <v>1</v>
      </c>
      <c r="C1050">
        <v>0.2</v>
      </c>
      <c r="D1050">
        <v>100</v>
      </c>
      <c r="E1050">
        <v>0.14841599768966099</v>
      </c>
      <c r="F1050">
        <v>1</v>
      </c>
      <c r="G1050">
        <v>27.365867260999998</v>
      </c>
      <c r="H1050">
        <v>0.10199636669003199</v>
      </c>
      <c r="I1050">
        <v>1</v>
      </c>
      <c r="J1050">
        <v>0.28315539000000001</v>
      </c>
      <c r="P1050"/>
      <c r="V1050">
        <v>9.2980344762224304E-2</v>
      </c>
      <c r="W1050">
        <v>1</v>
      </c>
      <c r="X1050">
        <v>131.56170860500001</v>
      </c>
      <c r="Y1050">
        <v>1</v>
      </c>
      <c r="Z1050">
        <v>4.2114763283546902E-3</v>
      </c>
      <c r="AA1050">
        <v>2</v>
      </c>
    </row>
    <row r="1051" spans="1:27" x14ac:dyDescent="0.2">
      <c r="A1051">
        <v>10</v>
      </c>
      <c r="B1051">
        <v>3</v>
      </c>
      <c r="C1051">
        <v>0.3</v>
      </c>
      <c r="D1051">
        <v>100</v>
      </c>
      <c r="E1051">
        <v>0.88437340056694502</v>
      </c>
      <c r="F1051">
        <v>3</v>
      </c>
      <c r="G1051">
        <v>28.425732064000002</v>
      </c>
      <c r="H1051">
        <v>0.90277646451044702</v>
      </c>
      <c r="I1051">
        <v>3</v>
      </c>
      <c r="J1051">
        <v>0.40708352199999998</v>
      </c>
      <c r="P1051"/>
      <c r="V1051">
        <v>0.90302507995109305</v>
      </c>
      <c r="W1051">
        <v>3</v>
      </c>
      <c r="X1051">
        <v>304272.13478678698</v>
      </c>
      <c r="Y1051">
        <v>27475</v>
      </c>
      <c r="Z1051">
        <v>6.0580124756597797E-2</v>
      </c>
      <c r="AA1051">
        <v>50</v>
      </c>
    </row>
    <row r="1052" spans="1:27" x14ac:dyDescent="0.2">
      <c r="A1052">
        <v>10</v>
      </c>
      <c r="B1052">
        <v>3</v>
      </c>
      <c r="C1052">
        <v>0.3</v>
      </c>
      <c r="D1052">
        <v>100</v>
      </c>
      <c r="E1052">
        <v>0.84831429365182698</v>
      </c>
      <c r="F1052">
        <v>3</v>
      </c>
      <c r="G1052">
        <v>25.582164991999999</v>
      </c>
      <c r="H1052">
        <v>0.79582095805158504</v>
      </c>
      <c r="I1052">
        <v>3</v>
      </c>
      <c r="J1052">
        <v>0.102327476</v>
      </c>
      <c r="P1052"/>
      <c r="V1052">
        <v>0.79633291373594906</v>
      </c>
      <c r="W1052">
        <v>3</v>
      </c>
      <c r="X1052">
        <v>306971.53250928002</v>
      </c>
      <c r="Y1052">
        <v>38421</v>
      </c>
      <c r="Z1052">
        <v>0.12075136961663401</v>
      </c>
      <c r="AA1052">
        <v>50</v>
      </c>
    </row>
    <row r="1053" spans="1:27" x14ac:dyDescent="0.2">
      <c r="A1053">
        <v>10</v>
      </c>
      <c r="B1053">
        <v>3</v>
      </c>
      <c r="C1053">
        <v>0.3</v>
      </c>
      <c r="D1053">
        <v>100</v>
      </c>
      <c r="E1053">
        <v>0.85626492185715497</v>
      </c>
      <c r="F1053">
        <v>3</v>
      </c>
      <c r="G1053">
        <v>27.349928314</v>
      </c>
      <c r="H1053">
        <v>0.86359160250866496</v>
      </c>
      <c r="I1053">
        <v>3</v>
      </c>
      <c r="J1053">
        <v>0.19021728500000001</v>
      </c>
      <c r="P1053"/>
      <c r="V1053">
        <v>0.86338352753273195</v>
      </c>
      <c r="W1053">
        <v>3</v>
      </c>
      <c r="X1053">
        <v>306970.51206009102</v>
      </c>
      <c r="Y1053">
        <v>30640</v>
      </c>
      <c r="Z1053">
        <v>4.2615925631253E-2</v>
      </c>
      <c r="AA1053">
        <v>50</v>
      </c>
    </row>
    <row r="1054" spans="1:27" x14ac:dyDescent="0.2">
      <c r="A1054">
        <v>10</v>
      </c>
      <c r="B1054">
        <v>3</v>
      </c>
      <c r="C1054">
        <v>0.3</v>
      </c>
      <c r="D1054">
        <v>100</v>
      </c>
      <c r="E1054">
        <v>1.0318170907858899</v>
      </c>
      <c r="F1054">
        <v>3</v>
      </c>
      <c r="G1054">
        <v>32.029357281000003</v>
      </c>
      <c r="H1054">
        <v>1.02507762836336</v>
      </c>
      <c r="I1054">
        <v>3</v>
      </c>
      <c r="J1054">
        <v>0.56873090000000004</v>
      </c>
      <c r="P1054"/>
      <c r="V1054">
        <v>1.02756879696361</v>
      </c>
      <c r="W1054">
        <v>3</v>
      </c>
      <c r="X1054">
        <v>306984.89505732799</v>
      </c>
      <c r="Y1054">
        <v>27128</v>
      </c>
      <c r="Z1054">
        <v>4.6779870061072801E-2</v>
      </c>
      <c r="AA1054">
        <v>50</v>
      </c>
    </row>
    <row r="1055" spans="1:27" x14ac:dyDescent="0.2">
      <c r="A1055">
        <v>10</v>
      </c>
      <c r="B1055">
        <v>3</v>
      </c>
      <c r="C1055">
        <v>0.3</v>
      </c>
      <c r="D1055">
        <v>100</v>
      </c>
      <c r="E1055">
        <v>0.75759229303751996</v>
      </c>
      <c r="F1055">
        <v>3</v>
      </c>
      <c r="G1055">
        <v>31.780950359999999</v>
      </c>
      <c r="H1055">
        <v>0.75657519029715004</v>
      </c>
      <c r="I1055">
        <v>3</v>
      </c>
      <c r="J1055">
        <v>0.157888693</v>
      </c>
      <c r="P1055"/>
      <c r="V1055">
        <v>0.756528910610066</v>
      </c>
      <c r="W1055">
        <v>3</v>
      </c>
      <c r="X1055">
        <v>301284.07934169099</v>
      </c>
      <c r="Y1055">
        <v>20589</v>
      </c>
      <c r="Z1055">
        <v>5.7784437187365201E-2</v>
      </c>
      <c r="AA1055">
        <v>50</v>
      </c>
    </row>
    <row r="1056" spans="1:27" x14ac:dyDescent="0.2">
      <c r="A1056">
        <v>10</v>
      </c>
      <c r="B1056">
        <v>3</v>
      </c>
      <c r="C1056">
        <v>0.3</v>
      </c>
      <c r="D1056">
        <v>100</v>
      </c>
      <c r="E1056">
        <v>0.65135194348424097</v>
      </c>
      <c r="F1056">
        <v>3</v>
      </c>
      <c r="G1056">
        <v>32.078662244</v>
      </c>
      <c r="H1056">
        <v>0.61329175190472796</v>
      </c>
      <c r="I1056">
        <v>3</v>
      </c>
      <c r="J1056">
        <v>0.48978585899999999</v>
      </c>
      <c r="P1056"/>
      <c r="V1056">
        <v>0.61345068744206799</v>
      </c>
      <c r="W1056">
        <v>3</v>
      </c>
      <c r="X1056">
        <v>297382.38713423698</v>
      </c>
      <c r="Y1056">
        <v>20746</v>
      </c>
      <c r="Z1056">
        <v>6.6470926129594196E-2</v>
      </c>
      <c r="AA1056">
        <v>50</v>
      </c>
    </row>
    <row r="1057" spans="1:27" x14ac:dyDescent="0.2">
      <c r="A1057">
        <v>10</v>
      </c>
      <c r="B1057">
        <v>3</v>
      </c>
      <c r="C1057">
        <v>0.3</v>
      </c>
      <c r="D1057">
        <v>100</v>
      </c>
      <c r="E1057">
        <v>1.0343411247246399</v>
      </c>
      <c r="F1057">
        <v>3</v>
      </c>
      <c r="G1057">
        <v>31.703855323999999</v>
      </c>
      <c r="H1057">
        <v>0.85515400488774795</v>
      </c>
      <c r="I1057">
        <v>3</v>
      </c>
      <c r="J1057">
        <v>0.298402801</v>
      </c>
      <c r="P1057"/>
      <c r="V1057">
        <v>0.85749785114379196</v>
      </c>
      <c r="W1057">
        <v>3</v>
      </c>
      <c r="X1057">
        <v>306986.90884621203</v>
      </c>
      <c r="Y1057">
        <v>22717</v>
      </c>
      <c r="Z1057">
        <v>6.6535997159007806E-2</v>
      </c>
      <c r="AA1057">
        <v>50</v>
      </c>
    </row>
    <row r="1058" spans="1:27" x14ac:dyDescent="0.2">
      <c r="A1058">
        <v>10</v>
      </c>
      <c r="B1058">
        <v>3</v>
      </c>
      <c r="C1058">
        <v>0.3</v>
      </c>
      <c r="D1058">
        <v>100</v>
      </c>
      <c r="E1058">
        <v>0.84572453561539496</v>
      </c>
      <c r="F1058">
        <v>3</v>
      </c>
      <c r="G1058">
        <v>29.365432919</v>
      </c>
      <c r="H1058">
        <v>0.84689212991935503</v>
      </c>
      <c r="I1058">
        <v>3</v>
      </c>
      <c r="J1058">
        <v>8.4620418000000003E-2</v>
      </c>
      <c r="P1058"/>
      <c r="V1058">
        <v>0.84736118195322996</v>
      </c>
      <c r="W1058">
        <v>3</v>
      </c>
      <c r="X1058">
        <v>301279.89127723902</v>
      </c>
      <c r="Y1058">
        <v>20113</v>
      </c>
      <c r="Z1058">
        <v>0.102571827867364</v>
      </c>
      <c r="AA1058">
        <v>50</v>
      </c>
    </row>
    <row r="1059" spans="1:27" x14ac:dyDescent="0.2">
      <c r="A1059">
        <v>10</v>
      </c>
      <c r="B1059">
        <v>3</v>
      </c>
      <c r="C1059">
        <v>0.3</v>
      </c>
      <c r="D1059">
        <v>100</v>
      </c>
      <c r="E1059">
        <v>0.876403703929584</v>
      </c>
      <c r="F1059">
        <v>3</v>
      </c>
      <c r="G1059">
        <v>31.767616243999999</v>
      </c>
      <c r="H1059">
        <v>0.87767274334693801</v>
      </c>
      <c r="I1059">
        <v>3</v>
      </c>
      <c r="J1059">
        <v>0.40374476199999998</v>
      </c>
      <c r="P1059"/>
      <c r="V1059">
        <v>0.87786193240444599</v>
      </c>
      <c r="W1059">
        <v>3</v>
      </c>
      <c r="X1059">
        <v>301879.12586305197</v>
      </c>
      <c r="Y1059">
        <v>25448</v>
      </c>
      <c r="Z1059">
        <v>3.7727467733701198E-2</v>
      </c>
      <c r="AA1059">
        <v>50</v>
      </c>
    </row>
    <row r="1060" spans="1:27" x14ac:dyDescent="0.2">
      <c r="A1060">
        <v>10</v>
      </c>
      <c r="B1060">
        <v>3</v>
      </c>
      <c r="C1060">
        <v>0.3</v>
      </c>
      <c r="D1060">
        <v>100</v>
      </c>
      <c r="E1060">
        <v>0.88988699923089698</v>
      </c>
      <c r="F1060">
        <v>3</v>
      </c>
      <c r="G1060">
        <v>30.442828408</v>
      </c>
      <c r="H1060">
        <v>0.835802600210094</v>
      </c>
      <c r="I1060">
        <v>3</v>
      </c>
      <c r="J1060">
        <v>0.39277287300000002</v>
      </c>
      <c r="P1060"/>
      <c r="V1060">
        <v>0.83590330953977299</v>
      </c>
      <c r="W1060">
        <v>3</v>
      </c>
      <c r="X1060">
        <v>302787.68798800698</v>
      </c>
      <c r="Y1060">
        <v>22492</v>
      </c>
      <c r="Z1060">
        <v>9.4377916688400898E-2</v>
      </c>
      <c r="AA1060">
        <v>50</v>
      </c>
    </row>
    <row r="1061" spans="1:27" x14ac:dyDescent="0.2">
      <c r="A1061">
        <v>10</v>
      </c>
      <c r="B1061">
        <v>3</v>
      </c>
      <c r="C1061">
        <v>0.3</v>
      </c>
      <c r="D1061">
        <v>100</v>
      </c>
      <c r="E1061">
        <v>0.78230721692843996</v>
      </c>
      <c r="F1061">
        <v>3</v>
      </c>
      <c r="G1061">
        <v>29.222812683000001</v>
      </c>
      <c r="H1061">
        <v>0.75263518280554298</v>
      </c>
      <c r="I1061">
        <v>3</v>
      </c>
      <c r="J1061">
        <v>0.25044643999999999</v>
      </c>
      <c r="P1061"/>
      <c r="V1061">
        <v>0.75419879622856001</v>
      </c>
      <c r="W1061">
        <v>3</v>
      </c>
      <c r="X1061">
        <v>303974.835273345</v>
      </c>
      <c r="Y1061">
        <v>27403</v>
      </c>
      <c r="Z1061">
        <v>6.1044086878609898E-2</v>
      </c>
      <c r="AA1061">
        <v>50</v>
      </c>
    </row>
    <row r="1062" spans="1:27" x14ac:dyDescent="0.2">
      <c r="A1062">
        <v>10</v>
      </c>
      <c r="B1062">
        <v>3</v>
      </c>
      <c r="C1062">
        <v>0.3</v>
      </c>
      <c r="D1062">
        <v>100</v>
      </c>
      <c r="E1062">
        <v>0.876895726905075</v>
      </c>
      <c r="F1062">
        <v>3</v>
      </c>
      <c r="G1062">
        <v>29.049362796</v>
      </c>
      <c r="H1062">
        <v>0.75969100097029996</v>
      </c>
      <c r="I1062">
        <v>3</v>
      </c>
      <c r="J1062">
        <v>0.24494215899999999</v>
      </c>
      <c r="P1062"/>
      <c r="V1062">
        <v>0.76115932016209098</v>
      </c>
      <c r="W1062">
        <v>3</v>
      </c>
      <c r="X1062">
        <v>303981.39271701901</v>
      </c>
      <c r="Y1062">
        <v>24471</v>
      </c>
      <c r="Z1062">
        <v>9.2538027174541598E-2</v>
      </c>
      <c r="AA1062">
        <v>50</v>
      </c>
    </row>
    <row r="1063" spans="1:27" x14ac:dyDescent="0.2">
      <c r="A1063">
        <v>10</v>
      </c>
      <c r="B1063">
        <v>3</v>
      </c>
      <c r="C1063">
        <v>0.3</v>
      </c>
      <c r="D1063">
        <v>100</v>
      </c>
      <c r="E1063">
        <v>0.84492850644029605</v>
      </c>
      <c r="F1063">
        <v>3</v>
      </c>
      <c r="G1063">
        <v>32.057316495000002</v>
      </c>
      <c r="H1063">
        <v>0.808841712580189</v>
      </c>
      <c r="I1063">
        <v>3</v>
      </c>
      <c r="J1063">
        <v>0.33654915000000002</v>
      </c>
      <c r="P1063"/>
      <c r="V1063">
        <v>0.810610500558126</v>
      </c>
      <c r="W1063">
        <v>3</v>
      </c>
      <c r="X1063">
        <v>303982.10860304302</v>
      </c>
      <c r="Y1063">
        <v>25411</v>
      </c>
      <c r="Z1063">
        <v>5.093739244112E-2</v>
      </c>
      <c r="AA1063">
        <v>50</v>
      </c>
    </row>
    <row r="1064" spans="1:27" x14ac:dyDescent="0.2">
      <c r="A1064">
        <v>10</v>
      </c>
      <c r="B1064">
        <v>3</v>
      </c>
      <c r="C1064">
        <v>0.3</v>
      </c>
      <c r="D1064">
        <v>100</v>
      </c>
      <c r="E1064">
        <v>0.91290723503684101</v>
      </c>
      <c r="F1064">
        <v>3</v>
      </c>
      <c r="G1064">
        <v>29.033463798</v>
      </c>
      <c r="H1064">
        <v>0.79727578423951495</v>
      </c>
      <c r="I1064">
        <v>3</v>
      </c>
      <c r="J1064">
        <v>0.39586728500000001</v>
      </c>
      <c r="P1064"/>
      <c r="V1064">
        <v>0.79819629010008797</v>
      </c>
      <c r="W1064">
        <v>3</v>
      </c>
      <c r="X1064">
        <v>304274.58422842802</v>
      </c>
      <c r="Y1064">
        <v>27515</v>
      </c>
      <c r="Z1064">
        <v>2.8640261103347098E-2</v>
      </c>
      <c r="AA1064">
        <v>50</v>
      </c>
    </row>
    <row r="1065" spans="1:27" x14ac:dyDescent="0.2">
      <c r="A1065">
        <v>10</v>
      </c>
      <c r="B1065">
        <v>3</v>
      </c>
      <c r="C1065">
        <v>0.3</v>
      </c>
      <c r="D1065">
        <v>100</v>
      </c>
      <c r="E1065">
        <v>1.0860399278972599</v>
      </c>
      <c r="F1065">
        <v>3</v>
      </c>
      <c r="G1065">
        <v>30.363875651000001</v>
      </c>
      <c r="H1065">
        <v>1.0008402255355</v>
      </c>
      <c r="I1065">
        <v>3</v>
      </c>
      <c r="J1065">
        <v>0.28290716599999999</v>
      </c>
      <c r="P1065"/>
      <c r="V1065">
        <v>1.0016337979394101</v>
      </c>
      <c r="W1065">
        <v>3</v>
      </c>
      <c r="X1065">
        <v>303978.85905661102</v>
      </c>
      <c r="Y1065">
        <v>24679</v>
      </c>
      <c r="Z1065">
        <v>2.4406435349477701E-2</v>
      </c>
      <c r="AA1065">
        <v>50</v>
      </c>
    </row>
    <row r="1066" spans="1:27" x14ac:dyDescent="0.2">
      <c r="A1066">
        <v>10</v>
      </c>
      <c r="B1066">
        <v>3</v>
      </c>
      <c r="C1066">
        <v>0.3</v>
      </c>
      <c r="D1066">
        <v>100</v>
      </c>
      <c r="E1066">
        <v>0.78754850953998201</v>
      </c>
      <c r="F1066">
        <v>3</v>
      </c>
      <c r="G1066">
        <v>31.787833853999999</v>
      </c>
      <c r="H1066">
        <v>0.79028181645422402</v>
      </c>
      <c r="I1066">
        <v>3</v>
      </c>
      <c r="J1066">
        <v>0.14194646599999999</v>
      </c>
      <c r="P1066"/>
      <c r="V1066">
        <v>0.79142310766980495</v>
      </c>
      <c r="W1066">
        <v>3</v>
      </c>
      <c r="X1066">
        <v>304280.95048546803</v>
      </c>
      <c r="Y1066">
        <v>22873</v>
      </c>
      <c r="Z1066">
        <v>2.3698154461818201E-2</v>
      </c>
      <c r="AA1066">
        <v>50</v>
      </c>
    </row>
    <row r="1067" spans="1:27" x14ac:dyDescent="0.2">
      <c r="A1067">
        <v>10</v>
      </c>
      <c r="B1067">
        <v>3</v>
      </c>
      <c r="C1067">
        <v>0.3</v>
      </c>
      <c r="D1067">
        <v>100</v>
      </c>
      <c r="E1067">
        <v>0.78714821206449004</v>
      </c>
      <c r="F1067">
        <v>3</v>
      </c>
      <c r="G1067">
        <v>29.365443624000001</v>
      </c>
      <c r="H1067">
        <v>0.71856292081426199</v>
      </c>
      <c r="I1067">
        <v>3</v>
      </c>
      <c r="J1067">
        <v>0.60221569600000002</v>
      </c>
      <c r="P1067"/>
      <c r="V1067">
        <v>0.71837767161367905</v>
      </c>
      <c r="W1067">
        <v>3</v>
      </c>
      <c r="X1067">
        <v>306979.45750804897</v>
      </c>
      <c r="Y1067">
        <v>22328</v>
      </c>
      <c r="Z1067">
        <v>3.38875430301189E-2</v>
      </c>
      <c r="AA1067">
        <v>50</v>
      </c>
    </row>
    <row r="1068" spans="1:27" x14ac:dyDescent="0.2">
      <c r="A1068">
        <v>20</v>
      </c>
      <c r="B1068">
        <v>1</v>
      </c>
      <c r="C1068">
        <v>0.2</v>
      </c>
      <c r="D1068">
        <v>100</v>
      </c>
      <c r="E1068">
        <v>0.108709645646121</v>
      </c>
      <c r="F1068">
        <v>1</v>
      </c>
      <c r="G1068">
        <v>33.171944209000003</v>
      </c>
      <c r="H1068">
        <v>3.7438214251102303E-2</v>
      </c>
      <c r="I1068">
        <v>1</v>
      </c>
      <c r="J1068">
        <v>0.21699828800000001</v>
      </c>
      <c r="P1068"/>
      <c r="V1068">
        <v>3.4712593676357997E-2</v>
      </c>
      <c r="W1068">
        <v>1</v>
      </c>
      <c r="X1068">
        <v>153.32617129400001</v>
      </c>
      <c r="Y1068">
        <v>1</v>
      </c>
      <c r="Z1068">
        <v>8.4291928847095507E-3</v>
      </c>
      <c r="AA1068">
        <v>2</v>
      </c>
    </row>
    <row r="1069" spans="1:27" x14ac:dyDescent="0.2">
      <c r="A1069">
        <v>30</v>
      </c>
      <c r="B1069">
        <v>1</v>
      </c>
      <c r="C1069">
        <v>0.3</v>
      </c>
      <c r="D1069">
        <v>20</v>
      </c>
      <c r="E1069">
        <v>8.64741569923375E-2</v>
      </c>
      <c r="F1069">
        <v>1</v>
      </c>
      <c r="G1069">
        <v>33.643287110999999</v>
      </c>
      <c r="H1069">
        <v>9.5501717280252404E-2</v>
      </c>
      <c r="I1069">
        <v>1</v>
      </c>
      <c r="J1069">
        <v>0.26132655199999999</v>
      </c>
      <c r="P1069"/>
      <c r="V1069">
        <v>6.9727963099982596E-2</v>
      </c>
      <c r="W1069">
        <v>1</v>
      </c>
      <c r="X1069">
        <v>276762.82032303099</v>
      </c>
      <c r="Y1069">
        <v>2835</v>
      </c>
      <c r="Z1069">
        <v>4.38846463813602E-2</v>
      </c>
      <c r="AA1069">
        <v>50</v>
      </c>
    </row>
    <row r="1070" spans="1:27" x14ac:dyDescent="0.2">
      <c r="A1070">
        <v>30</v>
      </c>
      <c r="B1070">
        <v>1</v>
      </c>
      <c r="C1070">
        <v>0.2</v>
      </c>
      <c r="D1070">
        <v>20</v>
      </c>
      <c r="E1070">
        <v>0.48204961623567699</v>
      </c>
      <c r="F1070">
        <v>1</v>
      </c>
      <c r="G1070">
        <v>32.846748101000003</v>
      </c>
      <c r="H1070">
        <v>0.45746157484501598</v>
      </c>
      <c r="I1070">
        <v>1</v>
      </c>
      <c r="J1070">
        <v>0.18700649899999999</v>
      </c>
      <c r="P1070"/>
      <c r="V1070">
        <v>0.40434231510852497</v>
      </c>
      <c r="W1070">
        <v>1</v>
      </c>
      <c r="X1070">
        <v>303165.36918837402</v>
      </c>
      <c r="Y1070">
        <v>930</v>
      </c>
      <c r="Z1070">
        <v>7.0103885234857402E-2</v>
      </c>
      <c r="AA1070">
        <v>50</v>
      </c>
    </row>
    <row r="1071" spans="1:27" x14ac:dyDescent="0.2">
      <c r="A1071">
        <v>70</v>
      </c>
      <c r="B1071">
        <v>1</v>
      </c>
      <c r="C1071">
        <v>0.1</v>
      </c>
      <c r="D1071">
        <v>20</v>
      </c>
      <c r="E1071">
        <v>0.11530212064775</v>
      </c>
      <c r="F1071">
        <v>1</v>
      </c>
      <c r="G1071">
        <v>39.096474311999998</v>
      </c>
      <c r="H1071">
        <v>0.13624843763012401</v>
      </c>
      <c r="I1071">
        <v>1</v>
      </c>
      <c r="J1071">
        <v>1.3454216379999999</v>
      </c>
      <c r="P1071"/>
      <c r="V1071">
        <v>0.10680711396565799</v>
      </c>
      <c r="W1071">
        <v>1</v>
      </c>
      <c r="X1071">
        <v>311539.49894234602</v>
      </c>
      <c r="Y1071">
        <v>0</v>
      </c>
      <c r="Z1071">
        <v>7.01618936931796</v>
      </c>
      <c r="AA1071">
        <v>50</v>
      </c>
    </row>
    <row r="1072" spans="1:27" x14ac:dyDescent="0.2">
      <c r="A1072">
        <v>30</v>
      </c>
      <c r="B1072">
        <v>1</v>
      </c>
      <c r="C1072">
        <v>0.2</v>
      </c>
      <c r="D1072">
        <v>20</v>
      </c>
      <c r="E1072">
        <v>0.13581347764128801</v>
      </c>
      <c r="F1072">
        <v>1</v>
      </c>
      <c r="G1072">
        <v>30.094161317000001</v>
      </c>
      <c r="H1072">
        <v>0.162872062024883</v>
      </c>
      <c r="I1072">
        <v>1</v>
      </c>
      <c r="J1072">
        <v>0.30455717599999999</v>
      </c>
      <c r="P1072"/>
      <c r="V1072">
        <v>0.144498857748037</v>
      </c>
      <c r="W1072">
        <v>1</v>
      </c>
      <c r="X1072">
        <v>298182.647690307</v>
      </c>
      <c r="Y1072">
        <v>1094</v>
      </c>
      <c r="Z1072">
        <v>6.6349820924537006E-2</v>
      </c>
      <c r="AA1072">
        <v>50</v>
      </c>
    </row>
    <row r="1073" spans="1:27" x14ac:dyDescent="0.2">
      <c r="A1073">
        <v>30</v>
      </c>
      <c r="B1073">
        <v>1</v>
      </c>
      <c r="C1073">
        <v>0.1</v>
      </c>
      <c r="D1073">
        <v>20</v>
      </c>
      <c r="E1073">
        <v>0.58276353944835702</v>
      </c>
      <c r="F1073">
        <v>1</v>
      </c>
      <c r="G1073">
        <v>31.147416347</v>
      </c>
      <c r="H1073">
        <v>0.54889536022292296</v>
      </c>
      <c r="I1073">
        <v>1</v>
      </c>
      <c r="J1073">
        <v>0.32353492900000003</v>
      </c>
      <c r="P1073"/>
      <c r="V1073">
        <v>0.544804765404728</v>
      </c>
      <c r="W1073">
        <v>1</v>
      </c>
      <c r="X1073">
        <v>301256.40808860399</v>
      </c>
      <c r="Y1073">
        <v>1287</v>
      </c>
      <c r="Z1073">
        <v>4.53241879792066E-2</v>
      </c>
      <c r="AA1073">
        <v>50</v>
      </c>
    </row>
    <row r="1074" spans="1:27" x14ac:dyDescent="0.2">
      <c r="A1074">
        <v>70</v>
      </c>
      <c r="B1074">
        <v>1</v>
      </c>
      <c r="C1074">
        <v>0.1</v>
      </c>
      <c r="D1074">
        <v>20</v>
      </c>
      <c r="E1074">
        <v>0.22048610825537299</v>
      </c>
      <c r="F1074">
        <v>1</v>
      </c>
      <c r="G1074">
        <v>39.985414022999997</v>
      </c>
      <c r="H1074">
        <v>0.188694383360104</v>
      </c>
      <c r="I1074">
        <v>1</v>
      </c>
      <c r="J1074">
        <v>1.802250932</v>
      </c>
      <c r="P1074"/>
      <c r="V1074">
        <v>0.17346026390930699</v>
      </c>
      <c r="W1074">
        <v>1</v>
      </c>
      <c r="X1074">
        <v>311682.96933928097</v>
      </c>
      <c r="Y1074">
        <v>0</v>
      </c>
      <c r="Z1074">
        <v>4.7409592584166198</v>
      </c>
      <c r="AA1074">
        <v>50</v>
      </c>
    </row>
    <row r="1075" spans="1:27" x14ac:dyDescent="0.2">
      <c r="A1075">
        <v>30</v>
      </c>
      <c r="B1075">
        <v>1</v>
      </c>
      <c r="C1075">
        <v>0.1</v>
      </c>
      <c r="D1075">
        <v>20</v>
      </c>
      <c r="E1075">
        <v>0.61194632245149705</v>
      </c>
      <c r="F1075">
        <v>1</v>
      </c>
      <c r="G1075">
        <v>35.290786363999999</v>
      </c>
      <c r="H1075">
        <v>0.53722285188228303</v>
      </c>
      <c r="I1075">
        <v>1</v>
      </c>
      <c r="J1075">
        <v>0.58393252299999998</v>
      </c>
      <c r="P1075"/>
      <c r="V1075">
        <v>0.53089812704980799</v>
      </c>
      <c r="W1075">
        <v>1</v>
      </c>
      <c r="X1075">
        <v>300697.38902377902</v>
      </c>
      <c r="Y1075">
        <v>3121</v>
      </c>
      <c r="Z1075">
        <v>8.2110181325218301E-2</v>
      </c>
      <c r="AA1075">
        <v>50</v>
      </c>
    </row>
    <row r="1076" spans="1:27" x14ac:dyDescent="0.2">
      <c r="A1076">
        <v>30</v>
      </c>
      <c r="B1076">
        <v>1</v>
      </c>
      <c r="C1076">
        <v>0.2</v>
      </c>
      <c r="D1076">
        <v>20</v>
      </c>
      <c r="E1076">
        <v>0.16983693586132101</v>
      </c>
      <c r="F1076">
        <v>1</v>
      </c>
      <c r="G1076">
        <v>35.559753657999998</v>
      </c>
      <c r="H1076">
        <v>0.19759834160436099</v>
      </c>
      <c r="I1076">
        <v>1</v>
      </c>
      <c r="J1076">
        <v>0.21515510800000001</v>
      </c>
      <c r="P1076"/>
      <c r="V1076">
        <v>0.18424885298570201</v>
      </c>
      <c r="W1076">
        <v>1</v>
      </c>
      <c r="X1076">
        <v>294816.24768437399</v>
      </c>
      <c r="Y1076">
        <v>1632</v>
      </c>
      <c r="Z1076">
        <v>6.1825340104726401E-2</v>
      </c>
      <c r="AA1076">
        <v>50</v>
      </c>
    </row>
    <row r="1077" spans="1:27" x14ac:dyDescent="0.2">
      <c r="A1077">
        <v>30</v>
      </c>
      <c r="B1077">
        <v>1</v>
      </c>
      <c r="C1077">
        <v>0.3</v>
      </c>
      <c r="D1077">
        <v>20</v>
      </c>
      <c r="E1077">
        <v>0.14582731475532201</v>
      </c>
      <c r="F1077">
        <v>1</v>
      </c>
      <c r="G1077">
        <v>25.642589954000002</v>
      </c>
      <c r="H1077">
        <v>0.12003768434760199</v>
      </c>
      <c r="I1077">
        <v>1</v>
      </c>
      <c r="J1077">
        <v>8.7676793000000003E-2</v>
      </c>
      <c r="P1077"/>
      <c r="V1077">
        <v>0.104092708663111</v>
      </c>
      <c r="W1077">
        <v>1</v>
      </c>
      <c r="X1077">
        <v>279505.91908229701</v>
      </c>
      <c r="Y1077">
        <v>3112</v>
      </c>
      <c r="Z1077">
        <v>5.6810172700163898E-2</v>
      </c>
      <c r="AA1077">
        <v>50</v>
      </c>
    </row>
    <row r="1078" spans="1:27" x14ac:dyDescent="0.2">
      <c r="A1078">
        <v>20</v>
      </c>
      <c r="B1078">
        <v>3</v>
      </c>
      <c r="C1078">
        <v>0.3</v>
      </c>
      <c r="D1078">
        <v>20</v>
      </c>
      <c r="E1078">
        <v>0.62817576002380804</v>
      </c>
      <c r="F1078">
        <v>3</v>
      </c>
      <c r="G1078">
        <v>34.421814390999998</v>
      </c>
      <c r="H1078">
        <v>0.49592360792269902</v>
      </c>
      <c r="I1078">
        <v>3</v>
      </c>
      <c r="J1078">
        <v>0.70030896600000003</v>
      </c>
      <c r="P1078"/>
      <c r="V1078">
        <v>0.49754041681742001</v>
      </c>
      <c r="W1078">
        <v>3</v>
      </c>
      <c r="X1078">
        <v>286161.993368519</v>
      </c>
      <c r="Y1078">
        <v>15</v>
      </c>
      <c r="Z1078">
        <v>2.5344911192205699</v>
      </c>
      <c r="AA1078">
        <v>50</v>
      </c>
    </row>
    <row r="1079" spans="1:27" x14ac:dyDescent="0.2">
      <c r="A1079">
        <v>20</v>
      </c>
      <c r="B1079">
        <v>3</v>
      </c>
      <c r="C1079">
        <v>0.2</v>
      </c>
      <c r="D1079">
        <v>20</v>
      </c>
      <c r="E1079">
        <v>0.78830637242129697</v>
      </c>
      <c r="F1079">
        <v>3</v>
      </c>
      <c r="G1079">
        <v>30.208783725</v>
      </c>
      <c r="H1079">
        <v>0.78530805470510301</v>
      </c>
      <c r="I1079">
        <v>3</v>
      </c>
      <c r="J1079">
        <v>0.54574581</v>
      </c>
      <c r="P1079"/>
      <c r="V1079">
        <v>0.78980679081721705</v>
      </c>
      <c r="W1079">
        <v>3</v>
      </c>
      <c r="X1079">
        <v>289330.89009237301</v>
      </c>
      <c r="Y1079">
        <v>87</v>
      </c>
      <c r="Z1079">
        <v>0.74740009697183996</v>
      </c>
      <c r="AA1079">
        <v>50</v>
      </c>
    </row>
    <row r="1080" spans="1:27" x14ac:dyDescent="0.2">
      <c r="A1080">
        <v>20</v>
      </c>
      <c r="B1080">
        <v>3</v>
      </c>
      <c r="C1080">
        <v>0.3</v>
      </c>
      <c r="D1080">
        <v>20</v>
      </c>
      <c r="E1080">
        <v>0.55223429760810505</v>
      </c>
      <c r="F1080">
        <v>3</v>
      </c>
      <c r="G1080">
        <v>31.199449764000001</v>
      </c>
      <c r="H1080">
        <v>0.43367760059211002</v>
      </c>
      <c r="I1080">
        <v>3</v>
      </c>
      <c r="J1080">
        <v>0.87945445099999997</v>
      </c>
      <c r="P1080"/>
      <c r="V1080">
        <v>0.424512159969057</v>
      </c>
      <c r="W1080">
        <v>3</v>
      </c>
      <c r="X1080">
        <v>291252.28566894302</v>
      </c>
      <c r="Y1080">
        <v>71</v>
      </c>
      <c r="Z1080">
        <v>1.88956762915178</v>
      </c>
      <c r="AA1080">
        <v>50</v>
      </c>
    </row>
    <row r="1081" spans="1:27" x14ac:dyDescent="0.2">
      <c r="A1081">
        <v>20</v>
      </c>
      <c r="B1081">
        <v>3</v>
      </c>
      <c r="C1081">
        <v>0.3</v>
      </c>
      <c r="D1081">
        <v>20</v>
      </c>
      <c r="E1081">
        <v>0.55620029278451599</v>
      </c>
      <c r="F1081">
        <v>3</v>
      </c>
      <c r="G1081">
        <v>30.432352546000001</v>
      </c>
      <c r="H1081">
        <v>0.55736954730307997</v>
      </c>
      <c r="I1081">
        <v>3</v>
      </c>
      <c r="J1081">
        <v>0.56123050399999996</v>
      </c>
      <c r="P1081"/>
      <c r="V1081">
        <v>0.55046267662814496</v>
      </c>
      <c r="W1081">
        <v>3</v>
      </c>
      <c r="X1081">
        <v>292437.054214089</v>
      </c>
      <c r="Y1081">
        <v>35</v>
      </c>
      <c r="Z1081">
        <v>2.0450241485723302</v>
      </c>
      <c r="AA1081">
        <v>50</v>
      </c>
    </row>
    <row r="1082" spans="1:27" x14ac:dyDescent="0.2">
      <c r="A1082">
        <v>20</v>
      </c>
      <c r="B1082">
        <v>3</v>
      </c>
      <c r="C1082">
        <v>0.2</v>
      </c>
      <c r="D1082">
        <v>20</v>
      </c>
      <c r="E1082">
        <v>0.82503315147270095</v>
      </c>
      <c r="F1082">
        <v>3</v>
      </c>
      <c r="G1082">
        <v>30.521795546</v>
      </c>
      <c r="H1082">
        <v>0.87518868033321695</v>
      </c>
      <c r="I1082">
        <v>3</v>
      </c>
      <c r="J1082">
        <v>0.95396453400000003</v>
      </c>
      <c r="P1082"/>
      <c r="V1082">
        <v>0.88298562714223405</v>
      </c>
      <c r="W1082">
        <v>3</v>
      </c>
      <c r="X1082">
        <v>295966.93359021202</v>
      </c>
      <c r="Y1082">
        <v>95</v>
      </c>
      <c r="Z1082">
        <v>0.93331101257585602</v>
      </c>
      <c r="AA1082">
        <v>50</v>
      </c>
    </row>
    <row r="1083" spans="1:27" x14ac:dyDescent="0.2">
      <c r="A1083">
        <v>20</v>
      </c>
      <c r="B1083">
        <v>3</v>
      </c>
      <c r="C1083">
        <v>0.3</v>
      </c>
      <c r="D1083">
        <v>20</v>
      </c>
      <c r="E1083">
        <v>0.44450958114432199</v>
      </c>
      <c r="F1083">
        <v>3</v>
      </c>
      <c r="G1083">
        <v>30.195818238000001</v>
      </c>
      <c r="H1083">
        <v>0.38586156304667302</v>
      </c>
      <c r="I1083">
        <v>3</v>
      </c>
      <c r="J1083">
        <v>0.51513124799999999</v>
      </c>
      <c r="P1083"/>
      <c r="V1083">
        <v>0.37895784511042502</v>
      </c>
      <c r="W1083">
        <v>3</v>
      </c>
      <c r="X1083">
        <v>294494.57881612401</v>
      </c>
      <c r="Y1083">
        <v>39</v>
      </c>
      <c r="Z1083">
        <v>2.33019468759244</v>
      </c>
      <c r="AA1083">
        <v>50</v>
      </c>
    </row>
    <row r="1084" spans="1:27" x14ac:dyDescent="0.2">
      <c r="A1084">
        <v>20</v>
      </c>
      <c r="B1084">
        <v>3</v>
      </c>
      <c r="C1084">
        <v>0.1</v>
      </c>
      <c r="D1084">
        <v>20</v>
      </c>
      <c r="E1084">
        <v>0.97206168832054596</v>
      </c>
      <c r="F1084">
        <v>3</v>
      </c>
      <c r="G1084">
        <v>30.622059359000001</v>
      </c>
      <c r="H1084">
        <v>0.99660097547086302</v>
      </c>
      <c r="I1084">
        <v>3</v>
      </c>
      <c r="J1084">
        <v>0.74043477899999999</v>
      </c>
      <c r="P1084"/>
      <c r="V1084">
        <v>1.07199097507508</v>
      </c>
      <c r="W1084">
        <v>3</v>
      </c>
      <c r="X1084">
        <v>294781.77346611902</v>
      </c>
      <c r="Y1084">
        <v>3056</v>
      </c>
      <c r="Z1084">
        <v>2.4754420753598402E-2</v>
      </c>
      <c r="AA1084">
        <v>50</v>
      </c>
    </row>
    <row r="1085" spans="1:27" x14ac:dyDescent="0.2">
      <c r="A1085">
        <v>20</v>
      </c>
      <c r="B1085">
        <v>3</v>
      </c>
      <c r="C1085">
        <v>0.3</v>
      </c>
      <c r="D1085">
        <v>20</v>
      </c>
      <c r="E1085">
        <v>0.70126325422958502</v>
      </c>
      <c r="F1085">
        <v>3</v>
      </c>
      <c r="G1085">
        <v>31.829494424</v>
      </c>
      <c r="H1085">
        <v>0.66665464043622202</v>
      </c>
      <c r="I1085">
        <v>3</v>
      </c>
      <c r="J1085">
        <v>0.67254038100000002</v>
      </c>
      <c r="P1085"/>
      <c r="V1085">
        <v>0.67212493508676296</v>
      </c>
      <c r="W1085">
        <v>3</v>
      </c>
      <c r="X1085">
        <v>287665.52198635699</v>
      </c>
      <c r="Y1085">
        <v>59</v>
      </c>
      <c r="Z1085">
        <v>1.54412919242227</v>
      </c>
      <c r="AA1085">
        <v>50</v>
      </c>
    </row>
    <row r="1086" spans="1:27" x14ac:dyDescent="0.2">
      <c r="A1086">
        <v>20</v>
      </c>
      <c r="B1086">
        <v>3</v>
      </c>
      <c r="C1086">
        <v>0.2</v>
      </c>
      <c r="D1086">
        <v>20</v>
      </c>
      <c r="E1086">
        <v>0.71713445627277195</v>
      </c>
      <c r="F1086">
        <v>3</v>
      </c>
      <c r="G1086">
        <v>34.411166080000001</v>
      </c>
      <c r="H1086">
        <v>0.73896483872001695</v>
      </c>
      <c r="I1086">
        <v>3</v>
      </c>
      <c r="J1086">
        <v>0.39842579500000003</v>
      </c>
      <c r="P1086"/>
      <c r="V1086">
        <v>0.74156666256157699</v>
      </c>
      <c r="W1086">
        <v>3</v>
      </c>
      <c r="X1086">
        <v>296230.30940560601</v>
      </c>
      <c r="Y1086">
        <v>125</v>
      </c>
      <c r="Z1086">
        <v>0.843981685185061</v>
      </c>
      <c r="AA1086">
        <v>50</v>
      </c>
    </row>
    <row r="1087" spans="1:27" x14ac:dyDescent="0.2">
      <c r="A1087">
        <v>20</v>
      </c>
      <c r="B1087">
        <v>3</v>
      </c>
      <c r="C1087">
        <v>0.1</v>
      </c>
      <c r="D1087">
        <v>20</v>
      </c>
      <c r="E1087">
        <v>0.97273792859943697</v>
      </c>
      <c r="F1087">
        <v>3</v>
      </c>
      <c r="G1087">
        <v>30.230331561</v>
      </c>
      <c r="H1087">
        <v>0.94158131071643902</v>
      </c>
      <c r="I1087">
        <v>3</v>
      </c>
      <c r="J1087">
        <v>0.70130801399999998</v>
      </c>
      <c r="P1087"/>
      <c r="V1087">
        <v>0.94330182137774798</v>
      </c>
      <c r="W1087">
        <v>3</v>
      </c>
      <c r="X1087">
        <v>296582.685241386</v>
      </c>
      <c r="Y1087">
        <v>4739</v>
      </c>
      <c r="Z1087">
        <v>1.5711632117871702E-2</v>
      </c>
      <c r="AA1087">
        <v>50</v>
      </c>
    </row>
    <row r="1088" spans="1:27" x14ac:dyDescent="0.2">
      <c r="A1088">
        <v>20</v>
      </c>
      <c r="B1088">
        <v>3</v>
      </c>
      <c r="C1088">
        <v>0.2</v>
      </c>
      <c r="D1088">
        <v>20</v>
      </c>
      <c r="E1088">
        <v>0.88027358300623504</v>
      </c>
      <c r="F1088">
        <v>3</v>
      </c>
      <c r="G1088">
        <v>33.199245339999997</v>
      </c>
      <c r="H1088">
        <v>0.92812578879908902</v>
      </c>
      <c r="I1088">
        <v>3</v>
      </c>
      <c r="J1088">
        <v>0.56736547999999998</v>
      </c>
      <c r="P1088"/>
      <c r="V1088">
        <v>0.93220027137652695</v>
      </c>
      <c r="W1088">
        <v>3</v>
      </c>
      <c r="X1088">
        <v>296830.66330123902</v>
      </c>
      <c r="Y1088">
        <v>55</v>
      </c>
      <c r="Z1088">
        <v>0.60843214122536904</v>
      </c>
      <c r="AA1088">
        <v>50</v>
      </c>
    </row>
    <row r="1089" spans="1:27" x14ac:dyDescent="0.2">
      <c r="A1089">
        <v>20</v>
      </c>
      <c r="B1089">
        <v>3</v>
      </c>
      <c r="C1089">
        <v>0.2</v>
      </c>
      <c r="D1089">
        <v>20</v>
      </c>
      <c r="E1089">
        <v>0.76845733111324399</v>
      </c>
      <c r="F1089">
        <v>3</v>
      </c>
      <c r="G1089">
        <v>32.146890253999999</v>
      </c>
      <c r="H1089">
        <v>0.74342779481556198</v>
      </c>
      <c r="I1089">
        <v>3</v>
      </c>
      <c r="J1089">
        <v>1.021219147</v>
      </c>
      <c r="P1089"/>
      <c r="V1089">
        <v>0.74712692836330696</v>
      </c>
      <c r="W1089">
        <v>3</v>
      </c>
      <c r="X1089">
        <v>298086.54232614301</v>
      </c>
      <c r="Y1089">
        <v>440</v>
      </c>
      <c r="Z1089">
        <v>1.15065654359224</v>
      </c>
      <c r="AA1089">
        <v>50</v>
      </c>
    </row>
    <row r="1090" spans="1:27" x14ac:dyDescent="0.2">
      <c r="A1090">
        <v>20</v>
      </c>
      <c r="B1090">
        <v>3</v>
      </c>
      <c r="C1090">
        <v>0.2</v>
      </c>
      <c r="D1090">
        <v>20</v>
      </c>
      <c r="E1090">
        <v>0.85369228775460004</v>
      </c>
      <c r="F1090">
        <v>3</v>
      </c>
      <c r="G1090">
        <v>30.462978442000001</v>
      </c>
      <c r="H1090">
        <v>0.87366373295633204</v>
      </c>
      <c r="I1090">
        <v>3</v>
      </c>
      <c r="J1090">
        <v>1.0003591979999999</v>
      </c>
      <c r="P1090"/>
      <c r="V1090">
        <v>0.87891696646309203</v>
      </c>
      <c r="W1090">
        <v>3</v>
      </c>
      <c r="X1090">
        <v>298939.24856641202</v>
      </c>
      <c r="Y1090">
        <v>86</v>
      </c>
      <c r="Z1090">
        <v>1.03435328344196</v>
      </c>
      <c r="AA1090">
        <v>50</v>
      </c>
    </row>
    <row r="1091" spans="1:27" x14ac:dyDescent="0.2">
      <c r="A1091">
        <v>20</v>
      </c>
      <c r="B1091">
        <v>3</v>
      </c>
      <c r="C1091">
        <v>0.1</v>
      </c>
      <c r="D1091">
        <v>20</v>
      </c>
      <c r="E1091">
        <v>1.0040589323012701</v>
      </c>
      <c r="F1091">
        <v>3</v>
      </c>
      <c r="G1091">
        <v>34.599962279000003</v>
      </c>
      <c r="H1091">
        <v>0.97845083773198605</v>
      </c>
      <c r="I1091">
        <v>3</v>
      </c>
      <c r="J1091">
        <v>0.779452425</v>
      </c>
      <c r="P1091"/>
      <c r="V1091">
        <v>1.07691597964205</v>
      </c>
      <c r="W1091">
        <v>3</v>
      </c>
      <c r="X1091">
        <v>300738.94464883802</v>
      </c>
      <c r="Y1091">
        <v>2259</v>
      </c>
      <c r="Z1091">
        <v>5.01136298720175E-2</v>
      </c>
      <c r="AA1091">
        <v>50</v>
      </c>
    </row>
    <row r="1092" spans="1:27" x14ac:dyDescent="0.2">
      <c r="A1092">
        <v>20</v>
      </c>
      <c r="B1092">
        <v>3</v>
      </c>
      <c r="C1092">
        <v>0.2</v>
      </c>
      <c r="D1092">
        <v>20</v>
      </c>
      <c r="E1092">
        <v>0.954579669234492</v>
      </c>
      <c r="F1092">
        <v>3</v>
      </c>
      <c r="G1092">
        <v>31.665669633</v>
      </c>
      <c r="H1092">
        <v>0.98991849752210903</v>
      </c>
      <c r="I1092">
        <v>3</v>
      </c>
      <c r="J1092">
        <v>0.59149479800000004</v>
      </c>
      <c r="P1092"/>
      <c r="V1092">
        <v>0.99985608536189596</v>
      </c>
      <c r="W1092">
        <v>3</v>
      </c>
      <c r="X1092">
        <v>295970.42849831498</v>
      </c>
      <c r="Y1092">
        <v>125</v>
      </c>
      <c r="Z1092">
        <v>1.0878900667651801</v>
      </c>
      <c r="AA1092">
        <v>50</v>
      </c>
    </row>
    <row r="1093" spans="1:27" x14ac:dyDescent="0.2">
      <c r="A1093">
        <v>20</v>
      </c>
      <c r="B1093">
        <v>3</v>
      </c>
      <c r="C1093">
        <v>0.1</v>
      </c>
      <c r="D1093">
        <v>20</v>
      </c>
      <c r="E1093">
        <v>1.0854259280315399</v>
      </c>
      <c r="F1093">
        <v>3</v>
      </c>
      <c r="G1093">
        <v>31.188973300000001</v>
      </c>
      <c r="H1093">
        <v>0.98686231954235104</v>
      </c>
      <c r="I1093">
        <v>3</v>
      </c>
      <c r="J1093">
        <v>0.96958748400000005</v>
      </c>
      <c r="P1093"/>
      <c r="V1093">
        <v>1.06338794508459</v>
      </c>
      <c r="W1093">
        <v>3</v>
      </c>
      <c r="X1093">
        <v>303813.56058213703</v>
      </c>
      <c r="Y1093">
        <v>1534</v>
      </c>
      <c r="Z1093">
        <v>5.5411233392196502E-2</v>
      </c>
      <c r="AA1093">
        <v>50</v>
      </c>
    </row>
    <row r="1094" spans="1:27" x14ac:dyDescent="0.2">
      <c r="A1094">
        <v>20</v>
      </c>
      <c r="B1094">
        <v>3</v>
      </c>
      <c r="C1094">
        <v>0.1</v>
      </c>
      <c r="D1094">
        <v>20</v>
      </c>
      <c r="E1094">
        <v>0.98666643378181995</v>
      </c>
      <c r="F1094">
        <v>3</v>
      </c>
      <c r="G1094">
        <v>35.968989544000003</v>
      </c>
      <c r="H1094">
        <v>0.99554056517938805</v>
      </c>
      <c r="I1094">
        <v>3</v>
      </c>
      <c r="J1094">
        <v>0.33105717899999998</v>
      </c>
      <c r="P1094"/>
      <c r="V1094">
        <v>1.0028971604431001</v>
      </c>
      <c r="W1094">
        <v>3</v>
      </c>
      <c r="X1094">
        <v>303094.01079205598</v>
      </c>
      <c r="Y1094">
        <v>5366</v>
      </c>
      <c r="Z1094">
        <v>5.2292063832759299E-2</v>
      </c>
      <c r="AA1094">
        <v>50</v>
      </c>
    </row>
    <row r="1095" spans="1:27" x14ac:dyDescent="0.2">
      <c r="A1095">
        <v>20</v>
      </c>
      <c r="B1095">
        <v>3</v>
      </c>
      <c r="C1095">
        <v>0.1</v>
      </c>
      <c r="D1095">
        <v>20</v>
      </c>
      <c r="E1095">
        <v>0.95552961396439295</v>
      </c>
      <c r="F1095">
        <v>3</v>
      </c>
      <c r="G1095">
        <v>30.432362822999998</v>
      </c>
      <c r="H1095">
        <v>0.95793989513546596</v>
      </c>
      <c r="I1095">
        <v>3</v>
      </c>
      <c r="J1095">
        <v>0.362461953</v>
      </c>
      <c r="P1095"/>
      <c r="V1095">
        <v>0.95831757882147905</v>
      </c>
      <c r="W1095">
        <v>3</v>
      </c>
      <c r="X1095">
        <v>304894.33354165102</v>
      </c>
      <c r="Y1095">
        <v>2426</v>
      </c>
      <c r="Z1095">
        <v>7.7222643619585002E-2</v>
      </c>
      <c r="AA1095">
        <v>50</v>
      </c>
    </row>
    <row r="1096" spans="1:27" x14ac:dyDescent="0.2">
      <c r="A1096">
        <v>20</v>
      </c>
      <c r="B1096">
        <v>3</v>
      </c>
      <c r="C1096">
        <v>0.3</v>
      </c>
      <c r="D1096">
        <v>20</v>
      </c>
      <c r="E1096">
        <v>0.58887640750533699</v>
      </c>
      <c r="F1096">
        <v>3</v>
      </c>
      <c r="G1096">
        <v>27.423333340999999</v>
      </c>
      <c r="H1096">
        <v>0.67138922339317897</v>
      </c>
      <c r="I1096">
        <v>3</v>
      </c>
      <c r="J1096">
        <v>0.75023696600000001</v>
      </c>
      <c r="P1096"/>
      <c r="V1096">
        <v>0.67526923634432101</v>
      </c>
      <c r="W1096">
        <v>3</v>
      </c>
      <c r="X1096">
        <v>289759.803085085</v>
      </c>
      <c r="Y1096">
        <v>26</v>
      </c>
      <c r="Z1096">
        <v>2.1734310827627499</v>
      </c>
      <c r="AA1096">
        <v>50</v>
      </c>
    </row>
    <row r="1097" spans="1:27" x14ac:dyDescent="0.2">
      <c r="A1097">
        <v>20</v>
      </c>
      <c r="B1097">
        <v>3</v>
      </c>
      <c r="C1097">
        <v>0.1</v>
      </c>
      <c r="D1097">
        <v>20</v>
      </c>
      <c r="E1097">
        <v>1.0057881122382799</v>
      </c>
      <c r="F1097">
        <v>3</v>
      </c>
      <c r="G1097">
        <v>32.575539571</v>
      </c>
      <c r="H1097">
        <v>1.00966802280376</v>
      </c>
      <c r="I1097">
        <v>3</v>
      </c>
      <c r="J1097">
        <v>0.21192681799999999</v>
      </c>
      <c r="P1097"/>
      <c r="V1097">
        <v>1.03605823863241</v>
      </c>
      <c r="W1097">
        <v>3</v>
      </c>
      <c r="X1097">
        <v>304337.246214499</v>
      </c>
      <c r="Y1097">
        <v>2332</v>
      </c>
      <c r="Z1097">
        <v>1.6017260356134599E-2</v>
      </c>
      <c r="AA1097">
        <v>50</v>
      </c>
    </row>
    <row r="1098" spans="1:27" x14ac:dyDescent="0.2">
      <c r="A1098">
        <v>20</v>
      </c>
      <c r="B1098">
        <v>3</v>
      </c>
      <c r="C1098">
        <v>0.2</v>
      </c>
      <c r="D1098">
        <v>20</v>
      </c>
      <c r="E1098">
        <v>0.912876983964651</v>
      </c>
      <c r="F1098">
        <v>3</v>
      </c>
      <c r="G1098">
        <v>37.545666333</v>
      </c>
      <c r="H1098">
        <v>0.93312107756831797</v>
      </c>
      <c r="I1098">
        <v>3</v>
      </c>
      <c r="J1098">
        <v>1.1256196510000001</v>
      </c>
      <c r="P1098"/>
      <c r="V1098">
        <v>0.94151935736354198</v>
      </c>
      <c r="W1098">
        <v>3</v>
      </c>
      <c r="X1098">
        <v>300469.96072235401</v>
      </c>
      <c r="Y1098">
        <v>54</v>
      </c>
      <c r="Z1098">
        <v>0.87505250564950599</v>
      </c>
      <c r="AA1098">
        <v>50</v>
      </c>
    </row>
    <row r="1099" spans="1:27" x14ac:dyDescent="0.2">
      <c r="A1099">
        <v>20</v>
      </c>
      <c r="B1099">
        <v>3</v>
      </c>
      <c r="C1099">
        <v>0.1</v>
      </c>
      <c r="D1099">
        <v>20</v>
      </c>
      <c r="E1099">
        <v>1.0256526557691801</v>
      </c>
      <c r="F1099">
        <v>3</v>
      </c>
      <c r="G1099">
        <v>33.2055316</v>
      </c>
      <c r="H1099">
        <v>0.95189723981996399</v>
      </c>
      <c r="I1099">
        <v>3</v>
      </c>
      <c r="J1099">
        <v>0.67403210599999996</v>
      </c>
      <c r="P1099"/>
      <c r="V1099">
        <v>0.966969060463997</v>
      </c>
      <c r="W1099">
        <v>3</v>
      </c>
      <c r="X1099">
        <v>302868.20515219303</v>
      </c>
      <c r="Y1099">
        <v>2209</v>
      </c>
      <c r="Z1099">
        <v>6.7601822871912506E-2</v>
      </c>
      <c r="AA1099">
        <v>50</v>
      </c>
    </row>
    <row r="1100" spans="1:27" x14ac:dyDescent="0.2">
      <c r="A1100">
        <v>20</v>
      </c>
      <c r="B1100">
        <v>3</v>
      </c>
      <c r="C1100">
        <v>0.1</v>
      </c>
      <c r="D1100">
        <v>20</v>
      </c>
      <c r="E1100">
        <v>0.92289350159279204</v>
      </c>
      <c r="F1100">
        <v>3</v>
      </c>
      <c r="G1100">
        <v>31.718604614</v>
      </c>
      <c r="H1100">
        <v>0.91796408440889299</v>
      </c>
      <c r="I1100">
        <v>3</v>
      </c>
      <c r="J1100">
        <v>0.43426735500000002</v>
      </c>
      <c r="P1100"/>
      <c r="V1100">
        <v>0.91824143790408397</v>
      </c>
      <c r="W1100">
        <v>3</v>
      </c>
      <c r="X1100">
        <v>307001.17227086698</v>
      </c>
      <c r="Y1100">
        <v>4361</v>
      </c>
      <c r="Z1100">
        <v>5.16702769815384E-2</v>
      </c>
      <c r="AA1100">
        <v>50</v>
      </c>
    </row>
    <row r="1101" spans="1:27" x14ac:dyDescent="0.2">
      <c r="A1101">
        <v>20</v>
      </c>
      <c r="B1101">
        <v>3</v>
      </c>
      <c r="C1101">
        <v>0.1</v>
      </c>
      <c r="D1101">
        <v>20</v>
      </c>
      <c r="E1101">
        <v>1.0365288976739999</v>
      </c>
      <c r="F1101">
        <v>3</v>
      </c>
      <c r="G1101">
        <v>30.786469391000001</v>
      </c>
      <c r="H1101">
        <v>1.0288302902089199</v>
      </c>
      <c r="I1101">
        <v>3</v>
      </c>
      <c r="J1101">
        <v>0.90991675500000002</v>
      </c>
      <c r="P1101"/>
      <c r="V1101">
        <v>1.03134745472043</v>
      </c>
      <c r="W1101">
        <v>3</v>
      </c>
      <c r="X1101">
        <v>276852.13351692201</v>
      </c>
      <c r="Y1101">
        <v>2554</v>
      </c>
      <c r="Z1101">
        <v>1.04660888719081E-2</v>
      </c>
      <c r="AA1101">
        <v>50</v>
      </c>
    </row>
    <row r="1102" spans="1:27" x14ac:dyDescent="0.2">
      <c r="A1102">
        <v>20</v>
      </c>
      <c r="B1102">
        <v>3</v>
      </c>
      <c r="C1102">
        <v>0.2</v>
      </c>
      <c r="D1102">
        <v>20</v>
      </c>
      <c r="E1102">
        <v>0.85682370218718795</v>
      </c>
      <c r="F1102">
        <v>3</v>
      </c>
      <c r="G1102">
        <v>34.976428745</v>
      </c>
      <c r="H1102">
        <v>0.83851178359779699</v>
      </c>
      <c r="I1102">
        <v>3</v>
      </c>
      <c r="J1102">
        <v>0.77212851800000004</v>
      </c>
      <c r="P1102"/>
      <c r="V1102">
        <v>0.84252880719658096</v>
      </c>
      <c r="W1102">
        <v>3</v>
      </c>
      <c r="X1102">
        <v>292998.09370323003</v>
      </c>
      <c r="Y1102">
        <v>105</v>
      </c>
      <c r="Z1102">
        <v>0.57972570943456903</v>
      </c>
      <c r="AA1102">
        <v>50</v>
      </c>
    </row>
    <row r="1103" spans="1:27" x14ac:dyDescent="0.2">
      <c r="A1103">
        <v>20</v>
      </c>
      <c r="B1103">
        <v>3</v>
      </c>
      <c r="C1103">
        <v>0.1</v>
      </c>
      <c r="D1103">
        <v>20</v>
      </c>
      <c r="E1103">
        <v>0.98893926751295502</v>
      </c>
      <c r="F1103">
        <v>3</v>
      </c>
      <c r="G1103">
        <v>32.156202082</v>
      </c>
      <c r="H1103">
        <v>0.97478503708790898</v>
      </c>
      <c r="I1103">
        <v>3</v>
      </c>
      <c r="J1103">
        <v>0.62006796099999995</v>
      </c>
      <c r="P1103"/>
      <c r="V1103">
        <v>1.02396542448895</v>
      </c>
      <c r="W1103">
        <v>3</v>
      </c>
      <c r="X1103">
        <v>298007.87207949202</v>
      </c>
      <c r="Y1103">
        <v>2665</v>
      </c>
      <c r="Z1103">
        <v>9.8260212781650091E-3</v>
      </c>
      <c r="AA1103">
        <v>50</v>
      </c>
    </row>
    <row r="1104" spans="1:27" x14ac:dyDescent="0.2">
      <c r="A1104">
        <v>20</v>
      </c>
      <c r="B1104">
        <v>3</v>
      </c>
      <c r="C1104">
        <v>0.3</v>
      </c>
      <c r="D1104">
        <v>20</v>
      </c>
      <c r="E1104">
        <v>0.51840490384638105</v>
      </c>
      <c r="F1104">
        <v>3</v>
      </c>
      <c r="G1104">
        <v>33.249639577000003</v>
      </c>
      <c r="H1104">
        <v>0.45557034784912798</v>
      </c>
      <c r="I1104">
        <v>3</v>
      </c>
      <c r="J1104">
        <v>0.445907316</v>
      </c>
      <c r="P1104"/>
      <c r="V1104">
        <v>0.44866169031178099</v>
      </c>
      <c r="W1104">
        <v>3</v>
      </c>
      <c r="X1104">
        <v>284971.92931322398</v>
      </c>
      <c r="Y1104">
        <v>51</v>
      </c>
      <c r="Z1104">
        <v>1.5448483800508801</v>
      </c>
      <c r="AA1104">
        <v>50</v>
      </c>
    </row>
    <row r="1105" spans="1:27" x14ac:dyDescent="0.2">
      <c r="A1105">
        <v>30</v>
      </c>
      <c r="B1105">
        <v>1</v>
      </c>
      <c r="C1105">
        <v>0.3</v>
      </c>
      <c r="D1105">
        <v>20</v>
      </c>
      <c r="E1105">
        <v>0.19668623644592001</v>
      </c>
      <c r="F1105">
        <v>1</v>
      </c>
      <c r="G1105">
        <v>33.650545790000002</v>
      </c>
      <c r="H1105">
        <v>0.13297259655306501</v>
      </c>
      <c r="I1105">
        <v>1</v>
      </c>
      <c r="J1105">
        <v>0.26338925299999999</v>
      </c>
      <c r="P1105"/>
      <c r="V1105">
        <v>0.109577646037225</v>
      </c>
      <c r="W1105">
        <v>1</v>
      </c>
      <c r="X1105">
        <v>299506.25482143101</v>
      </c>
      <c r="Y1105">
        <v>2263</v>
      </c>
      <c r="Z1105">
        <v>0.165558737722975</v>
      </c>
      <c r="AA1105">
        <v>50</v>
      </c>
    </row>
    <row r="1106" spans="1:27" x14ac:dyDescent="0.2">
      <c r="A1106">
        <v>70</v>
      </c>
      <c r="B1106">
        <v>1</v>
      </c>
      <c r="C1106">
        <v>0.1</v>
      </c>
      <c r="D1106">
        <v>20</v>
      </c>
      <c r="E1106">
        <v>0.19832958301669601</v>
      </c>
      <c r="F1106">
        <v>1</v>
      </c>
      <c r="G1106">
        <v>41.901077776000001</v>
      </c>
      <c r="H1106">
        <v>0.149363182923032</v>
      </c>
      <c r="I1106">
        <v>1</v>
      </c>
      <c r="J1106">
        <v>1.31553421</v>
      </c>
      <c r="P1106"/>
      <c r="V1106">
        <v>0.12648323815083801</v>
      </c>
      <c r="W1106">
        <v>1</v>
      </c>
      <c r="X1106">
        <v>311478.97995204001</v>
      </c>
      <c r="Y1106">
        <v>0</v>
      </c>
      <c r="Z1106">
        <v>12.1619830483997</v>
      </c>
      <c r="AA1106">
        <v>50</v>
      </c>
    </row>
    <row r="1107" spans="1:27" x14ac:dyDescent="0.2">
      <c r="A1107">
        <v>70</v>
      </c>
      <c r="B1107">
        <v>1</v>
      </c>
      <c r="C1107">
        <v>0.1</v>
      </c>
      <c r="D1107">
        <v>20</v>
      </c>
      <c r="E1107">
        <v>0.18889363984018001</v>
      </c>
      <c r="F1107">
        <v>1</v>
      </c>
      <c r="G1107">
        <v>42.225878815999998</v>
      </c>
      <c r="H1107">
        <v>0.164265944866505</v>
      </c>
      <c r="I1107">
        <v>1</v>
      </c>
      <c r="J1107">
        <v>1.120454668</v>
      </c>
      <c r="P1107"/>
      <c r="V1107">
        <v>0.14090839667476601</v>
      </c>
      <c r="W1107">
        <v>1</v>
      </c>
      <c r="X1107">
        <v>311754.01080141601</v>
      </c>
      <c r="Y1107">
        <v>0</v>
      </c>
      <c r="Z1107">
        <v>9.51947839135725</v>
      </c>
      <c r="AA1107">
        <v>50</v>
      </c>
    </row>
    <row r="1108" spans="1:27" x14ac:dyDescent="0.2">
      <c r="A1108">
        <v>70</v>
      </c>
      <c r="B1108">
        <v>1</v>
      </c>
      <c r="C1108">
        <v>0.1</v>
      </c>
      <c r="D1108">
        <v>20</v>
      </c>
      <c r="E1108">
        <v>0.25412198630613198</v>
      </c>
      <c r="F1108">
        <v>1</v>
      </c>
      <c r="G1108">
        <v>43.0125642</v>
      </c>
      <c r="H1108">
        <v>0.197971492559222</v>
      </c>
      <c r="I1108">
        <v>1</v>
      </c>
      <c r="J1108">
        <v>1.690008543</v>
      </c>
      <c r="P1108"/>
      <c r="V1108">
        <v>0.17376471897371701</v>
      </c>
      <c r="W1108">
        <v>1</v>
      </c>
      <c r="X1108">
        <v>311696.75479977601</v>
      </c>
      <c r="Y1108">
        <v>0</v>
      </c>
      <c r="Z1108">
        <v>7.6402808007782399</v>
      </c>
      <c r="AA1108">
        <v>50</v>
      </c>
    </row>
    <row r="1109" spans="1:27" x14ac:dyDescent="0.2">
      <c r="A1109">
        <v>30</v>
      </c>
      <c r="B1109">
        <v>1</v>
      </c>
      <c r="C1109">
        <v>0.2</v>
      </c>
      <c r="D1109">
        <v>20</v>
      </c>
      <c r="E1109">
        <v>9.2321563389323694E-2</v>
      </c>
      <c r="F1109">
        <v>1</v>
      </c>
      <c r="G1109">
        <v>26.540059020000001</v>
      </c>
      <c r="H1109">
        <v>0.105495501777883</v>
      </c>
      <c r="I1109">
        <v>1</v>
      </c>
      <c r="J1109">
        <v>0.13493328499999999</v>
      </c>
      <c r="P1109"/>
      <c r="V1109">
        <v>9.1604225063467104E-2</v>
      </c>
      <c r="W1109">
        <v>1</v>
      </c>
      <c r="X1109">
        <v>292819.52995378699</v>
      </c>
      <c r="Y1109">
        <v>1924</v>
      </c>
      <c r="Z1109">
        <v>7.4008114848766099E-2</v>
      </c>
      <c r="AA1109">
        <v>50</v>
      </c>
    </row>
    <row r="1110" spans="1:27" x14ac:dyDescent="0.2">
      <c r="A1110">
        <v>30</v>
      </c>
      <c r="B1110">
        <v>1</v>
      </c>
      <c r="C1110">
        <v>0.3</v>
      </c>
      <c r="D1110">
        <v>20</v>
      </c>
      <c r="E1110">
        <v>0.13620525508237599</v>
      </c>
      <c r="F1110">
        <v>1</v>
      </c>
      <c r="G1110">
        <v>25.340722371999998</v>
      </c>
      <c r="H1110">
        <v>0.119874788774785</v>
      </c>
      <c r="I1110">
        <v>1</v>
      </c>
      <c r="J1110">
        <v>0.18351841199999999</v>
      </c>
      <c r="P1110"/>
      <c r="V1110">
        <v>9.2029988326361695E-2</v>
      </c>
      <c r="W1110">
        <v>1</v>
      </c>
      <c r="X1110">
        <v>295461.67325429799</v>
      </c>
      <c r="Y1110">
        <v>2244</v>
      </c>
      <c r="Z1110">
        <v>5.7956457872741299E-2</v>
      </c>
      <c r="AA1110">
        <v>50</v>
      </c>
    </row>
    <row r="1111" spans="1:27" x14ac:dyDescent="0.2">
      <c r="A1111">
        <v>30</v>
      </c>
      <c r="B1111">
        <v>1</v>
      </c>
      <c r="C1111">
        <v>0.2</v>
      </c>
      <c r="D1111">
        <v>20</v>
      </c>
      <c r="E1111">
        <v>0.102635020378515</v>
      </c>
      <c r="F1111">
        <v>1</v>
      </c>
      <c r="G1111">
        <v>34.535931665</v>
      </c>
      <c r="H1111">
        <v>0.108074267869276</v>
      </c>
      <c r="I1111">
        <v>1</v>
      </c>
      <c r="J1111">
        <v>0.17048801499999999</v>
      </c>
      <c r="P1111"/>
      <c r="V1111">
        <v>8.5045170189487596E-2</v>
      </c>
      <c r="W1111">
        <v>1</v>
      </c>
      <c r="X1111">
        <v>300266.45589691302</v>
      </c>
      <c r="Y1111">
        <v>1855</v>
      </c>
      <c r="Z1111">
        <v>8.59297304215349E-2</v>
      </c>
      <c r="AA1111">
        <v>50</v>
      </c>
    </row>
    <row r="1112" spans="1:27" x14ac:dyDescent="0.2">
      <c r="A1112">
        <v>30</v>
      </c>
      <c r="B1112">
        <v>1</v>
      </c>
      <c r="C1112">
        <v>0.1</v>
      </c>
      <c r="D1112">
        <v>20</v>
      </c>
      <c r="E1112">
        <v>0.53015266838372699</v>
      </c>
      <c r="F1112">
        <v>1</v>
      </c>
      <c r="G1112">
        <v>34.411236066000001</v>
      </c>
      <c r="H1112">
        <v>0.523139042360517</v>
      </c>
      <c r="I1112">
        <v>1</v>
      </c>
      <c r="J1112">
        <v>0.333521754</v>
      </c>
      <c r="P1112"/>
      <c r="V1112">
        <v>0.51099303293225995</v>
      </c>
      <c r="W1112">
        <v>1</v>
      </c>
      <c r="X1112">
        <v>300279.77100223099</v>
      </c>
      <c r="Y1112">
        <v>922</v>
      </c>
      <c r="Z1112">
        <v>2.6759348640313398E-2</v>
      </c>
      <c r="AA1112">
        <v>50</v>
      </c>
    </row>
    <row r="1113" spans="1:27" x14ac:dyDescent="0.2">
      <c r="A1113">
        <v>30</v>
      </c>
      <c r="B1113">
        <v>1</v>
      </c>
      <c r="C1113">
        <v>0.1</v>
      </c>
      <c r="D1113">
        <v>20</v>
      </c>
      <c r="E1113">
        <v>0.59121613078267599</v>
      </c>
      <c r="F1113">
        <v>1</v>
      </c>
      <c r="G1113">
        <v>25.330652226000002</v>
      </c>
      <c r="H1113">
        <v>0.50804046062300701</v>
      </c>
      <c r="I1113">
        <v>1</v>
      </c>
      <c r="J1113">
        <v>0.551843953</v>
      </c>
      <c r="P1113"/>
      <c r="V1113">
        <v>0.499811314288646</v>
      </c>
      <c r="W1113">
        <v>1</v>
      </c>
      <c r="X1113">
        <v>298370.45907545701</v>
      </c>
      <c r="Y1113">
        <v>4138</v>
      </c>
      <c r="Z1113">
        <v>8.3945453243754006E-2</v>
      </c>
      <c r="AA1113">
        <v>50</v>
      </c>
    </row>
    <row r="1114" spans="1:27" x14ac:dyDescent="0.2">
      <c r="A1114">
        <v>70</v>
      </c>
      <c r="B1114">
        <v>1</v>
      </c>
      <c r="C1114">
        <v>0.1</v>
      </c>
      <c r="D1114">
        <v>20</v>
      </c>
      <c r="E1114">
        <v>0.17496607923209601</v>
      </c>
      <c r="F1114">
        <v>1</v>
      </c>
      <c r="G1114">
        <v>42.442478592000001</v>
      </c>
      <c r="H1114">
        <v>0.16416777078407499</v>
      </c>
      <c r="I1114">
        <v>1</v>
      </c>
      <c r="J1114">
        <v>1.1149740400000001</v>
      </c>
      <c r="P1114"/>
      <c r="V1114">
        <v>0.134324953205781</v>
      </c>
      <c r="W1114">
        <v>1</v>
      </c>
      <c r="X1114">
        <v>311738.68978253502</v>
      </c>
      <c r="Y1114">
        <v>0</v>
      </c>
      <c r="Z1114">
        <v>14.2458655715481</v>
      </c>
      <c r="AA1114">
        <v>50</v>
      </c>
    </row>
    <row r="1115" spans="1:27" x14ac:dyDescent="0.2">
      <c r="A1115">
        <v>70</v>
      </c>
      <c r="B1115">
        <v>1</v>
      </c>
      <c r="C1115">
        <v>0.1</v>
      </c>
      <c r="D1115">
        <v>20</v>
      </c>
      <c r="E1115">
        <v>0.104067397979115</v>
      </c>
      <c r="F1115">
        <v>1</v>
      </c>
      <c r="G1115">
        <v>38.689413741999999</v>
      </c>
      <c r="H1115">
        <v>0.118240416868706</v>
      </c>
      <c r="I1115">
        <v>1</v>
      </c>
      <c r="J1115">
        <v>1.4676667409999999</v>
      </c>
      <c r="P1115"/>
      <c r="V1115">
        <v>9.8794887316656796E-2</v>
      </c>
      <c r="W1115">
        <v>1</v>
      </c>
      <c r="X1115">
        <v>311375.00752748997</v>
      </c>
      <c r="Y1115">
        <v>0</v>
      </c>
      <c r="Z1115">
        <v>10.277552865962701</v>
      </c>
      <c r="AA1115">
        <v>50</v>
      </c>
    </row>
    <row r="1116" spans="1:27" x14ac:dyDescent="0.2">
      <c r="A1116">
        <v>70</v>
      </c>
      <c r="B1116">
        <v>1</v>
      </c>
      <c r="C1116">
        <v>0.1</v>
      </c>
      <c r="D1116">
        <v>20</v>
      </c>
      <c r="E1116">
        <v>0.28371457884525603</v>
      </c>
      <c r="F1116">
        <v>1</v>
      </c>
      <c r="G1116">
        <v>41.663045009999998</v>
      </c>
      <c r="H1116">
        <v>0.24093552130458601</v>
      </c>
      <c r="I1116">
        <v>1</v>
      </c>
      <c r="J1116">
        <v>1.7466862359999999</v>
      </c>
      <c r="P1116"/>
      <c r="V1116">
        <v>0.228297983360601</v>
      </c>
      <c r="W1116">
        <v>1</v>
      </c>
      <c r="X1116">
        <v>313900.75332650798</v>
      </c>
      <c r="Y1116">
        <v>0</v>
      </c>
      <c r="Z1116">
        <v>12.909714053474101</v>
      </c>
      <c r="AA1116">
        <v>50</v>
      </c>
    </row>
    <row r="1117" spans="1:27" x14ac:dyDescent="0.2">
      <c r="A1117">
        <v>30</v>
      </c>
      <c r="B1117">
        <v>1</v>
      </c>
      <c r="C1117">
        <v>0.3</v>
      </c>
      <c r="D1117">
        <v>20</v>
      </c>
      <c r="E1117">
        <v>0.19124754322895701</v>
      </c>
      <c r="F1117">
        <v>1</v>
      </c>
      <c r="G1117">
        <v>26.676408803000001</v>
      </c>
      <c r="H1117">
        <v>0.12631548842248699</v>
      </c>
      <c r="I1117">
        <v>1</v>
      </c>
      <c r="J1117">
        <v>0.28101967100000003</v>
      </c>
      <c r="P1117"/>
      <c r="V1117">
        <v>0.104135785646835</v>
      </c>
      <c r="W1117">
        <v>1</v>
      </c>
      <c r="X1117">
        <v>300687.08504219499</v>
      </c>
      <c r="Y1117">
        <v>3360</v>
      </c>
      <c r="Z1117">
        <v>6.0342673601553501E-2</v>
      </c>
      <c r="AA1117">
        <v>50</v>
      </c>
    </row>
    <row r="1118" spans="1:27" x14ac:dyDescent="0.2">
      <c r="A1118">
        <v>30</v>
      </c>
      <c r="B1118">
        <v>1</v>
      </c>
      <c r="C1118">
        <v>0.2</v>
      </c>
      <c r="D1118">
        <v>20</v>
      </c>
      <c r="E1118">
        <v>0.17840639593299901</v>
      </c>
      <c r="F1118">
        <v>1</v>
      </c>
      <c r="G1118">
        <v>27.127768152000002</v>
      </c>
      <c r="H1118">
        <v>0.21328624360130699</v>
      </c>
      <c r="I1118">
        <v>1</v>
      </c>
      <c r="J1118">
        <v>0.32867043200000001</v>
      </c>
      <c r="P1118"/>
      <c r="V1118">
        <v>0.197305914302982</v>
      </c>
      <c r="W1118">
        <v>1</v>
      </c>
      <c r="X1118">
        <v>299886.47954200598</v>
      </c>
      <c r="Y1118">
        <v>1287</v>
      </c>
      <c r="Z1118">
        <v>0.26571143327080798</v>
      </c>
      <c r="AA1118">
        <v>50</v>
      </c>
    </row>
    <row r="1119" spans="1:27" x14ac:dyDescent="0.2">
      <c r="A1119">
        <v>30</v>
      </c>
      <c r="B1119">
        <v>1</v>
      </c>
      <c r="C1119">
        <v>0.1</v>
      </c>
      <c r="D1119">
        <v>20</v>
      </c>
      <c r="E1119">
        <v>0.34351427868159001</v>
      </c>
      <c r="F1119">
        <v>1</v>
      </c>
      <c r="G1119">
        <v>27.191906456000002</v>
      </c>
      <c r="H1119">
        <v>0.27758995598396902</v>
      </c>
      <c r="I1119">
        <v>1</v>
      </c>
      <c r="J1119">
        <v>0.56577509199999998</v>
      </c>
      <c r="P1119"/>
      <c r="V1119">
        <v>0.25068358180357497</v>
      </c>
      <c r="W1119">
        <v>1</v>
      </c>
      <c r="X1119">
        <v>302848.14951910399</v>
      </c>
      <c r="Y1119">
        <v>8045</v>
      </c>
      <c r="Z1119">
        <v>0.133099410936767</v>
      </c>
      <c r="AA1119">
        <v>50</v>
      </c>
    </row>
    <row r="1120" spans="1:27" x14ac:dyDescent="0.2">
      <c r="A1120">
        <v>70</v>
      </c>
      <c r="B1120">
        <v>1</v>
      </c>
      <c r="C1120">
        <v>0.1</v>
      </c>
      <c r="D1120">
        <v>20</v>
      </c>
      <c r="E1120">
        <v>0.244235187500423</v>
      </c>
      <c r="F1120">
        <v>1</v>
      </c>
      <c r="G1120">
        <v>41.239166523000002</v>
      </c>
      <c r="H1120">
        <v>0.22494412368053401</v>
      </c>
      <c r="I1120">
        <v>1</v>
      </c>
      <c r="J1120">
        <v>1.453174497</v>
      </c>
      <c r="P1120"/>
      <c r="V1120">
        <v>0.204394794990364</v>
      </c>
      <c r="W1120">
        <v>1</v>
      </c>
      <c r="X1120">
        <v>312343.62582480599</v>
      </c>
      <c r="Y1120">
        <v>0</v>
      </c>
      <c r="Z1120">
        <v>8.7257656542328608</v>
      </c>
      <c r="AA1120">
        <v>50</v>
      </c>
    </row>
    <row r="1121" spans="1:27" x14ac:dyDescent="0.2">
      <c r="A1121">
        <v>70</v>
      </c>
      <c r="B1121">
        <v>1</v>
      </c>
      <c r="C1121">
        <v>0.1</v>
      </c>
      <c r="D1121">
        <v>20</v>
      </c>
      <c r="E1121">
        <v>0.27444319327732197</v>
      </c>
      <c r="F1121">
        <v>1</v>
      </c>
      <c r="G1121">
        <v>40.080098360000001</v>
      </c>
      <c r="H1121">
        <v>0.22382686393460799</v>
      </c>
      <c r="I1121">
        <v>1</v>
      </c>
      <c r="J1121">
        <v>1.2772521349999999</v>
      </c>
      <c r="P1121"/>
      <c r="V1121">
        <v>0.205961927619663</v>
      </c>
      <c r="W1121">
        <v>1</v>
      </c>
      <c r="X1121">
        <v>312285.81678493402</v>
      </c>
      <c r="Y1121">
        <v>0</v>
      </c>
      <c r="Z1121">
        <v>10.2402544515186</v>
      </c>
      <c r="AA1121">
        <v>50</v>
      </c>
    </row>
    <row r="1122" spans="1:27" x14ac:dyDescent="0.2">
      <c r="A1122">
        <v>70</v>
      </c>
      <c r="B1122">
        <v>1</v>
      </c>
      <c r="C1122">
        <v>0.1</v>
      </c>
      <c r="D1122">
        <v>20</v>
      </c>
      <c r="E1122">
        <v>0.26362393678353302</v>
      </c>
      <c r="F1122">
        <v>1</v>
      </c>
      <c r="G1122">
        <v>41.722230000000003</v>
      </c>
      <c r="H1122">
        <v>0.236173194760393</v>
      </c>
      <c r="I1122">
        <v>1</v>
      </c>
      <c r="J1122">
        <v>1.2076036409999999</v>
      </c>
      <c r="P1122"/>
      <c r="V1122">
        <v>0.19866643351294799</v>
      </c>
      <c r="W1122">
        <v>1</v>
      </c>
      <c r="X1122">
        <v>312558.42225017602</v>
      </c>
      <c r="Y1122">
        <v>0</v>
      </c>
      <c r="Z1122">
        <v>9.4387398292424098</v>
      </c>
      <c r="AA1122">
        <v>50</v>
      </c>
    </row>
    <row r="1123" spans="1:27" x14ac:dyDescent="0.2">
      <c r="A1123">
        <v>70</v>
      </c>
      <c r="B1123">
        <v>1</v>
      </c>
      <c r="C1123">
        <v>0.1</v>
      </c>
      <c r="D1123">
        <v>20</v>
      </c>
      <c r="E1123">
        <v>0.30682726886844103</v>
      </c>
      <c r="F1123">
        <v>1</v>
      </c>
      <c r="G1123">
        <v>40.333063654</v>
      </c>
      <c r="H1123">
        <v>0.28451506253460002</v>
      </c>
      <c r="I1123">
        <v>1</v>
      </c>
      <c r="J1123">
        <v>1.2901935069999999</v>
      </c>
      <c r="P1123"/>
      <c r="V1123">
        <v>0.241635943465484</v>
      </c>
      <c r="W1123">
        <v>1</v>
      </c>
      <c r="X1123">
        <v>314666.82792712498</v>
      </c>
      <c r="Y1123">
        <v>0</v>
      </c>
      <c r="Z1123">
        <v>10.1450150502339</v>
      </c>
      <c r="AA1123">
        <v>50</v>
      </c>
    </row>
    <row r="1124" spans="1:27" x14ac:dyDescent="0.2">
      <c r="A1124">
        <v>30</v>
      </c>
      <c r="B1124">
        <v>1</v>
      </c>
      <c r="C1124">
        <v>0.3</v>
      </c>
      <c r="D1124">
        <v>20</v>
      </c>
      <c r="E1124">
        <v>6.5987015597812698E-2</v>
      </c>
      <c r="F1124">
        <v>1</v>
      </c>
      <c r="G1124">
        <v>31.770325378999999</v>
      </c>
      <c r="H1124">
        <v>8.0860002882802998E-2</v>
      </c>
      <c r="I1124">
        <v>1</v>
      </c>
      <c r="J1124">
        <v>0.16420231699999999</v>
      </c>
      <c r="P1124"/>
      <c r="V1124">
        <v>6.1010348595859798E-2</v>
      </c>
      <c r="W1124">
        <v>1</v>
      </c>
      <c r="X1124">
        <v>1662.1910732189999</v>
      </c>
      <c r="Y1124">
        <v>95</v>
      </c>
      <c r="Z1124">
        <v>6.2892264080867096E-3</v>
      </c>
      <c r="AA1124">
        <v>6</v>
      </c>
    </row>
    <row r="1125" spans="1:27" x14ac:dyDescent="0.2">
      <c r="A1125">
        <v>30</v>
      </c>
      <c r="B1125">
        <v>1</v>
      </c>
      <c r="C1125">
        <v>0.3</v>
      </c>
      <c r="D1125">
        <v>20</v>
      </c>
      <c r="E1125">
        <v>5.9774572613999703E-2</v>
      </c>
      <c r="F1125">
        <v>1</v>
      </c>
      <c r="G1125">
        <v>32.994693843</v>
      </c>
      <c r="H1125">
        <v>6.4811070555635397E-2</v>
      </c>
      <c r="I1125">
        <v>1</v>
      </c>
      <c r="J1125">
        <v>0.106772219</v>
      </c>
      <c r="P1125"/>
      <c r="V1125">
        <v>3.8477017851671097E-2</v>
      </c>
      <c r="W1125">
        <v>1</v>
      </c>
      <c r="X1125">
        <v>2298.4476398400002</v>
      </c>
      <c r="Y1125">
        <v>201</v>
      </c>
      <c r="Z1125" s="1">
        <v>8.4100836287959101E-5</v>
      </c>
      <c r="AA1125">
        <v>9</v>
      </c>
    </row>
    <row r="1126" spans="1:27" x14ac:dyDescent="0.2">
      <c r="A1126">
        <v>30</v>
      </c>
      <c r="B1126">
        <v>1</v>
      </c>
      <c r="C1126">
        <v>0.3</v>
      </c>
      <c r="D1126">
        <v>20</v>
      </c>
      <c r="E1126">
        <v>5.9986203552957897E-2</v>
      </c>
      <c r="F1126">
        <v>1</v>
      </c>
      <c r="G1126">
        <v>33.564502234999999</v>
      </c>
      <c r="H1126">
        <v>6.7679108351686099E-2</v>
      </c>
      <c r="I1126">
        <v>1</v>
      </c>
      <c r="J1126">
        <v>0.175969233</v>
      </c>
      <c r="P1126"/>
      <c r="V1126">
        <v>4.1980204157892699E-2</v>
      </c>
      <c r="W1126">
        <v>1</v>
      </c>
      <c r="X1126">
        <v>4204.4105038560001</v>
      </c>
      <c r="Y1126">
        <v>819</v>
      </c>
      <c r="Z1126">
        <v>2.8311929281876698E-4</v>
      </c>
      <c r="AA1126">
        <v>15</v>
      </c>
    </row>
    <row r="1127" spans="1:27" x14ac:dyDescent="0.2">
      <c r="A1127">
        <v>30</v>
      </c>
      <c r="B1127">
        <v>1</v>
      </c>
      <c r="C1127">
        <v>0.3</v>
      </c>
      <c r="D1127">
        <v>20</v>
      </c>
      <c r="E1127">
        <v>6.2410104506631703E-2</v>
      </c>
      <c r="F1127">
        <v>1</v>
      </c>
      <c r="G1127">
        <v>33.970401422000002</v>
      </c>
      <c r="H1127">
        <v>8.5117066948884004E-2</v>
      </c>
      <c r="I1127">
        <v>1</v>
      </c>
      <c r="J1127">
        <v>0.24510941</v>
      </c>
      <c r="P1127"/>
      <c r="V1127">
        <v>6.3050494826110803E-2</v>
      </c>
      <c r="W1127">
        <v>1</v>
      </c>
      <c r="X1127">
        <v>19605.842929498998</v>
      </c>
      <c r="Y1127">
        <v>582</v>
      </c>
      <c r="Z1127">
        <v>9.1385865616855303E-3</v>
      </c>
      <c r="AA1127">
        <v>14</v>
      </c>
    </row>
    <row r="1128" spans="1:27" x14ac:dyDescent="0.2">
      <c r="A1128">
        <v>30</v>
      </c>
      <c r="B1128">
        <v>1</v>
      </c>
      <c r="C1128">
        <v>0.3</v>
      </c>
      <c r="D1128">
        <v>20</v>
      </c>
      <c r="E1128">
        <v>0.1137115977096</v>
      </c>
      <c r="F1128">
        <v>1</v>
      </c>
      <c r="G1128">
        <v>29.606170262999999</v>
      </c>
      <c r="H1128">
        <v>0.123770693414049</v>
      </c>
      <c r="I1128">
        <v>1</v>
      </c>
      <c r="J1128">
        <v>0.14908273699999999</v>
      </c>
      <c r="P1128"/>
      <c r="V1128">
        <v>0.109259759554928</v>
      </c>
      <c r="W1128">
        <v>1</v>
      </c>
      <c r="X1128">
        <v>95678.831577896999</v>
      </c>
      <c r="Y1128">
        <v>1309</v>
      </c>
      <c r="Z1128">
        <v>1.2437951869553999E-2</v>
      </c>
      <c r="AA1128">
        <v>50</v>
      </c>
    </row>
    <row r="1129" spans="1:27" x14ac:dyDescent="0.2">
      <c r="A1129" s="4">
        <v>30</v>
      </c>
      <c r="B1129" s="4">
        <v>1</v>
      </c>
      <c r="C1129" s="4">
        <v>0.3</v>
      </c>
      <c r="D1129" s="4">
        <v>20</v>
      </c>
      <c r="E1129" s="4">
        <v>5.6723959999999997E-2</v>
      </c>
      <c r="F1129" s="4">
        <v>1</v>
      </c>
      <c r="G1129" s="4">
        <v>30.3288315</v>
      </c>
      <c r="H1129" s="4">
        <v>7.239785E-2</v>
      </c>
      <c r="I1129" s="4">
        <v>1</v>
      </c>
      <c r="J1129" s="4">
        <v>0.23491603</v>
      </c>
      <c r="K1129" s="4"/>
      <c r="L1129" s="4"/>
      <c r="M1129" s="4"/>
      <c r="N1129" s="4"/>
      <c r="O1129" s="4"/>
      <c r="P1129" s="4"/>
      <c r="Q1129" s="4"/>
      <c r="R1129" s="4"/>
      <c r="S1129" s="4"/>
      <c r="T1129" s="4"/>
      <c r="U1129" s="4"/>
      <c r="V1129" s="4">
        <v>4.9882709999999997E-2</v>
      </c>
      <c r="W1129" s="4">
        <v>1</v>
      </c>
      <c r="X1129" s="4">
        <v>1693.91497</v>
      </c>
      <c r="Y1129" s="4">
        <v>153</v>
      </c>
      <c r="Z1129" s="4">
        <v>9.3296999999999998E-4</v>
      </c>
      <c r="AA1129" s="4">
        <v>7</v>
      </c>
    </row>
    <row r="1130" spans="1:27" x14ac:dyDescent="0.2">
      <c r="A1130">
        <v>40</v>
      </c>
      <c r="B1130">
        <v>1</v>
      </c>
      <c r="C1130">
        <v>0.1</v>
      </c>
      <c r="D1130">
        <v>100</v>
      </c>
      <c r="E1130">
        <v>0.36095808419962899</v>
      </c>
      <c r="F1130">
        <v>1</v>
      </c>
      <c r="G1130">
        <v>35.564716238000003</v>
      </c>
      <c r="H1130">
        <v>0.15415180103738099</v>
      </c>
      <c r="I1130">
        <v>1</v>
      </c>
      <c r="J1130">
        <v>0.85421486400000002</v>
      </c>
      <c r="P1130"/>
      <c r="V1130">
        <v>0.14603465062475099</v>
      </c>
      <c r="W1130">
        <v>1</v>
      </c>
      <c r="X1130">
        <v>308222.274918248</v>
      </c>
      <c r="Y1130">
        <v>211</v>
      </c>
      <c r="Z1130">
        <v>4.40616166774506E-2</v>
      </c>
      <c r="AA1130">
        <v>50</v>
      </c>
    </row>
    <row r="1131" spans="1:27" x14ac:dyDescent="0.2">
      <c r="A1131">
        <v>40</v>
      </c>
      <c r="B1131">
        <v>1</v>
      </c>
      <c r="C1131">
        <v>0.1</v>
      </c>
      <c r="D1131">
        <v>100</v>
      </c>
      <c r="E1131">
        <v>0.25150882238561101</v>
      </c>
      <c r="F1131">
        <v>1</v>
      </c>
      <c r="G1131">
        <v>30.189853556999999</v>
      </c>
      <c r="H1131">
        <v>0.140945842864204</v>
      </c>
      <c r="I1131">
        <v>1</v>
      </c>
      <c r="J1131">
        <v>1.08071575</v>
      </c>
      <c r="P1131"/>
      <c r="V1131">
        <v>0.133661484919081</v>
      </c>
      <c r="W1131">
        <v>1</v>
      </c>
      <c r="X1131">
        <v>308136.37253670301</v>
      </c>
      <c r="Y1131">
        <v>191</v>
      </c>
      <c r="Z1131">
        <v>3.1566208504206897E-2</v>
      </c>
      <c r="AA1131">
        <v>50</v>
      </c>
    </row>
    <row r="1132" spans="1:27" x14ac:dyDescent="0.2">
      <c r="A1132">
        <v>40</v>
      </c>
      <c r="B1132">
        <v>1</v>
      </c>
      <c r="C1132">
        <v>0.1</v>
      </c>
      <c r="D1132">
        <v>100</v>
      </c>
      <c r="E1132">
        <v>0.41902804913146202</v>
      </c>
      <c r="F1132">
        <v>1</v>
      </c>
      <c r="G1132">
        <v>31.347293387000001</v>
      </c>
      <c r="H1132">
        <v>0.15831418842533099</v>
      </c>
      <c r="I1132">
        <v>1</v>
      </c>
      <c r="J1132">
        <v>1.342886273</v>
      </c>
      <c r="P1132"/>
      <c r="V1132">
        <v>0.152574166379777</v>
      </c>
      <c r="W1132">
        <v>1</v>
      </c>
      <c r="X1132">
        <v>308129.03809360799</v>
      </c>
      <c r="Y1132">
        <v>140</v>
      </c>
      <c r="Z1132">
        <v>0.101292660398922</v>
      </c>
      <c r="AA1132">
        <v>50</v>
      </c>
    </row>
    <row r="1133" spans="1:27" x14ac:dyDescent="0.2">
      <c r="A1133">
        <v>40</v>
      </c>
      <c r="B1133">
        <v>1</v>
      </c>
      <c r="C1133">
        <v>0.1</v>
      </c>
      <c r="D1133">
        <v>100</v>
      </c>
      <c r="E1133">
        <v>0.671375454887292</v>
      </c>
      <c r="F1133">
        <v>1</v>
      </c>
      <c r="G1133">
        <v>29.908551301999999</v>
      </c>
      <c r="H1133">
        <v>0.21396478254857901</v>
      </c>
      <c r="I1133">
        <v>1</v>
      </c>
      <c r="J1133">
        <v>1.751514223</v>
      </c>
      <c r="P1133"/>
      <c r="V1133">
        <v>0.202801041870078</v>
      </c>
      <c r="W1133">
        <v>1</v>
      </c>
      <c r="X1133">
        <v>301510.57318439998</v>
      </c>
      <c r="Y1133">
        <v>229</v>
      </c>
      <c r="Z1133">
        <v>1.20855207029143E-2</v>
      </c>
      <c r="AA1133">
        <v>50</v>
      </c>
    </row>
    <row r="1134" spans="1:27" x14ac:dyDescent="0.2">
      <c r="A1134">
        <v>40</v>
      </c>
      <c r="B1134">
        <v>1</v>
      </c>
      <c r="C1134">
        <v>0.1</v>
      </c>
      <c r="D1134">
        <v>100</v>
      </c>
      <c r="E1134">
        <v>0.316990137049528</v>
      </c>
      <c r="F1134">
        <v>1</v>
      </c>
      <c r="G1134">
        <v>30.687274642999999</v>
      </c>
      <c r="H1134">
        <v>0.29198031477415398</v>
      </c>
      <c r="I1134">
        <v>1</v>
      </c>
      <c r="J1134">
        <v>0.75595175599999997</v>
      </c>
      <c r="P1134"/>
      <c r="V1134">
        <v>0.285574108944881</v>
      </c>
      <c r="W1134">
        <v>1</v>
      </c>
      <c r="X1134">
        <v>305150.80794718402</v>
      </c>
      <c r="Y1134">
        <v>447</v>
      </c>
      <c r="Z1134">
        <v>4.7445310460895597E-2</v>
      </c>
      <c r="AA1134">
        <v>50</v>
      </c>
    </row>
    <row r="1135" spans="1:27" x14ac:dyDescent="0.2">
      <c r="A1135">
        <v>40</v>
      </c>
      <c r="B1135">
        <v>1</v>
      </c>
      <c r="C1135">
        <v>0.1</v>
      </c>
      <c r="D1135">
        <v>100</v>
      </c>
      <c r="E1135">
        <v>0.20251546163147199</v>
      </c>
      <c r="F1135">
        <v>1</v>
      </c>
      <c r="G1135">
        <v>29.888540500000001</v>
      </c>
      <c r="H1135">
        <v>0.11027072744897</v>
      </c>
      <c r="I1135">
        <v>1</v>
      </c>
      <c r="J1135">
        <v>0.81573215899999996</v>
      </c>
      <c r="P1135"/>
      <c r="V1135">
        <v>9.0050699234750606E-2</v>
      </c>
      <c r="W1135">
        <v>1</v>
      </c>
      <c r="X1135">
        <v>308140.03670717299</v>
      </c>
      <c r="Y1135">
        <v>165</v>
      </c>
      <c r="Z1135">
        <v>6.4839819386770706E-2</v>
      </c>
      <c r="AA1135">
        <v>50</v>
      </c>
    </row>
    <row r="1136" spans="1:27" x14ac:dyDescent="0.2">
      <c r="A1136">
        <v>40</v>
      </c>
      <c r="B1136">
        <v>1</v>
      </c>
      <c r="C1136">
        <v>0.1</v>
      </c>
      <c r="D1136">
        <v>100</v>
      </c>
      <c r="E1136">
        <v>0.37538009152680002</v>
      </c>
      <c r="F1136">
        <v>1</v>
      </c>
      <c r="G1136">
        <v>30.903388588999999</v>
      </c>
      <c r="H1136">
        <v>0.24151844819158</v>
      </c>
      <c r="I1136">
        <v>1</v>
      </c>
      <c r="J1136">
        <v>1.8181644969999999</v>
      </c>
      <c r="P1136"/>
      <c r="V1136">
        <v>0.23729997127956601</v>
      </c>
      <c r="W1136">
        <v>1</v>
      </c>
      <c r="X1136">
        <v>308141.22648480901</v>
      </c>
      <c r="Y1136">
        <v>160</v>
      </c>
      <c r="Z1136">
        <v>8.2056563068839294E-2</v>
      </c>
      <c r="AA1136">
        <v>50</v>
      </c>
    </row>
    <row r="1137" spans="1:27" x14ac:dyDescent="0.2">
      <c r="A1137">
        <v>40</v>
      </c>
      <c r="B1137">
        <v>1</v>
      </c>
      <c r="C1137">
        <v>0.1</v>
      </c>
      <c r="D1137">
        <v>100</v>
      </c>
      <c r="E1137">
        <v>0.28584970203362597</v>
      </c>
      <c r="F1137">
        <v>1</v>
      </c>
      <c r="G1137">
        <v>31.708031663</v>
      </c>
      <c r="H1137">
        <v>0.133560868139321</v>
      </c>
      <c r="I1137">
        <v>1</v>
      </c>
      <c r="J1137">
        <v>1.05991203</v>
      </c>
      <c r="P1137"/>
      <c r="V1137">
        <v>0.130308651370005</v>
      </c>
      <c r="W1137">
        <v>1</v>
      </c>
      <c r="X1137">
        <v>308148.73543210299</v>
      </c>
      <c r="Y1137">
        <v>164</v>
      </c>
      <c r="Z1137">
        <v>4.1814485275608597E-2</v>
      </c>
      <c r="AA1137">
        <v>50</v>
      </c>
    </row>
    <row r="1138" spans="1:27" x14ac:dyDescent="0.2">
      <c r="A1138">
        <v>40</v>
      </c>
      <c r="B1138">
        <v>1</v>
      </c>
      <c r="C1138">
        <v>0.1</v>
      </c>
      <c r="D1138">
        <v>100</v>
      </c>
      <c r="E1138">
        <v>0.44517242319216299</v>
      </c>
      <c r="F1138">
        <v>1</v>
      </c>
      <c r="G1138">
        <v>30.350136623000001</v>
      </c>
      <c r="H1138">
        <v>0.31412425465113603</v>
      </c>
      <c r="I1138">
        <v>1</v>
      </c>
      <c r="J1138">
        <v>1.129513575</v>
      </c>
      <c r="P1138"/>
      <c r="V1138">
        <v>0.30524661376358803</v>
      </c>
      <c r="W1138">
        <v>1</v>
      </c>
      <c r="X1138">
        <v>308148.44159707701</v>
      </c>
      <c r="Y1138">
        <v>288</v>
      </c>
      <c r="Z1138">
        <v>6.0311892594528099E-2</v>
      </c>
      <c r="AA1138">
        <v>50</v>
      </c>
    </row>
    <row r="1139" spans="1:27" x14ac:dyDescent="0.2">
      <c r="A1139">
        <v>40</v>
      </c>
      <c r="B1139">
        <v>1</v>
      </c>
      <c r="C1139">
        <v>0.1</v>
      </c>
      <c r="D1139">
        <v>100</v>
      </c>
      <c r="E1139">
        <v>0.33151867518259498</v>
      </c>
      <c r="F1139">
        <v>1</v>
      </c>
      <c r="G1139">
        <v>31.086701282</v>
      </c>
      <c r="H1139">
        <v>0.14751694908017601</v>
      </c>
      <c r="I1139">
        <v>1</v>
      </c>
      <c r="J1139">
        <v>0.83670914500000004</v>
      </c>
      <c r="P1139"/>
      <c r="V1139">
        <v>0.13781891082789799</v>
      </c>
      <c r="W1139">
        <v>1</v>
      </c>
      <c r="X1139">
        <v>305722.20642092702</v>
      </c>
      <c r="Y1139">
        <v>262</v>
      </c>
      <c r="Z1139">
        <v>5.0666262577193602E-2</v>
      </c>
      <c r="AA1139">
        <v>50</v>
      </c>
    </row>
    <row r="1140" spans="1:27" x14ac:dyDescent="0.2">
      <c r="A1140">
        <v>40</v>
      </c>
      <c r="B1140">
        <v>1</v>
      </c>
      <c r="C1140">
        <v>0.1</v>
      </c>
      <c r="D1140">
        <v>100</v>
      </c>
      <c r="E1140">
        <v>0.430056631622938</v>
      </c>
      <c r="F1140">
        <v>1</v>
      </c>
      <c r="G1140">
        <v>31.013766469</v>
      </c>
      <c r="H1140">
        <v>0.24265667801503699</v>
      </c>
      <c r="I1140">
        <v>1</v>
      </c>
      <c r="J1140">
        <v>1.1206853299999999</v>
      </c>
      <c r="P1140"/>
      <c r="V1140">
        <v>0.23987800686676899</v>
      </c>
      <c r="W1140">
        <v>1</v>
      </c>
      <c r="X1140">
        <v>308137.06968267699</v>
      </c>
      <c r="Y1140">
        <v>266</v>
      </c>
      <c r="Z1140">
        <v>0.102988158621347</v>
      </c>
      <c r="AA1140">
        <v>50</v>
      </c>
    </row>
    <row r="1141" spans="1:27" x14ac:dyDescent="0.2">
      <c r="A1141">
        <v>40</v>
      </c>
      <c r="B1141">
        <v>1</v>
      </c>
      <c r="C1141">
        <v>0.1</v>
      </c>
      <c r="D1141">
        <v>100</v>
      </c>
      <c r="E1141">
        <v>0.40457466440878398</v>
      </c>
      <c r="F1141">
        <v>1</v>
      </c>
      <c r="G1141">
        <v>30.604964210999999</v>
      </c>
      <c r="H1141">
        <v>0.34856132939957002</v>
      </c>
      <c r="I1141">
        <v>1</v>
      </c>
      <c r="J1141">
        <v>0.92123180800000004</v>
      </c>
      <c r="P1141"/>
      <c r="V1141">
        <v>0.34772658971789799</v>
      </c>
      <c r="W1141">
        <v>1</v>
      </c>
      <c r="X1141">
        <v>308156.20409323502</v>
      </c>
      <c r="Y1141">
        <v>134</v>
      </c>
      <c r="Z1141">
        <v>1.6992228907074001E-2</v>
      </c>
      <c r="AA1141">
        <v>50</v>
      </c>
    </row>
    <row r="1142" spans="1:27" x14ac:dyDescent="0.2">
      <c r="A1142">
        <v>40</v>
      </c>
      <c r="B1142">
        <v>1</v>
      </c>
      <c r="C1142">
        <v>0.1</v>
      </c>
      <c r="D1142">
        <v>100</v>
      </c>
      <c r="E1142">
        <v>0.52132914694976995</v>
      </c>
      <c r="F1142">
        <v>1</v>
      </c>
      <c r="G1142">
        <v>30.574899540000001</v>
      </c>
      <c r="H1142">
        <v>0.177625093718009</v>
      </c>
      <c r="I1142">
        <v>1</v>
      </c>
      <c r="J1142">
        <v>1.4431244139999999</v>
      </c>
      <c r="P1142"/>
      <c r="V1142">
        <v>0.17064463876632299</v>
      </c>
      <c r="W1142">
        <v>1</v>
      </c>
      <c r="X1142">
        <v>308177.938216593</v>
      </c>
      <c r="Y1142">
        <v>238</v>
      </c>
      <c r="Z1142">
        <v>3.0456949614619699E-2</v>
      </c>
      <c r="AA1142">
        <v>50</v>
      </c>
    </row>
    <row r="1143" spans="1:27" x14ac:dyDescent="0.2">
      <c r="A1143">
        <v>40</v>
      </c>
      <c r="B1143">
        <v>1</v>
      </c>
      <c r="C1143">
        <v>0.1</v>
      </c>
      <c r="D1143">
        <v>100</v>
      </c>
      <c r="E1143">
        <v>0.49495354821454202</v>
      </c>
      <c r="F1143">
        <v>1</v>
      </c>
      <c r="G1143">
        <v>30.872946590000002</v>
      </c>
      <c r="H1143">
        <v>0.46094977504508</v>
      </c>
      <c r="I1143">
        <v>1</v>
      </c>
      <c r="J1143">
        <v>0.90626103099999999</v>
      </c>
      <c r="P1143"/>
      <c r="V1143">
        <v>0.46061197089899197</v>
      </c>
      <c r="W1143">
        <v>1</v>
      </c>
      <c r="X1143">
        <v>308129.839148267</v>
      </c>
      <c r="Y1143">
        <v>147</v>
      </c>
      <c r="Z1143">
        <v>6.8807570463730705E-2</v>
      </c>
      <c r="AA1143">
        <v>50</v>
      </c>
    </row>
    <row r="1144" spans="1:27" x14ac:dyDescent="0.2">
      <c r="A1144">
        <v>40</v>
      </c>
      <c r="B1144">
        <v>1</v>
      </c>
      <c r="C1144">
        <v>0.1</v>
      </c>
      <c r="D1144">
        <v>100</v>
      </c>
      <c r="E1144">
        <v>0.30717617958705801</v>
      </c>
      <c r="F1144">
        <v>1</v>
      </c>
      <c r="G1144">
        <v>30.695472904999999</v>
      </c>
      <c r="H1144">
        <v>0.14564699753454699</v>
      </c>
      <c r="I1144">
        <v>1</v>
      </c>
      <c r="J1144">
        <v>1.3520944479999999</v>
      </c>
      <c r="P1144"/>
      <c r="V1144">
        <v>0.141385091659576</v>
      </c>
      <c r="W1144">
        <v>1</v>
      </c>
      <c r="X1144">
        <v>308138.422267724</v>
      </c>
      <c r="Y1144">
        <v>182</v>
      </c>
      <c r="Z1144">
        <v>3.0228728475178698E-2</v>
      </c>
      <c r="AA1144">
        <v>50</v>
      </c>
    </row>
    <row r="1145" spans="1:27" x14ac:dyDescent="0.2">
      <c r="A1145">
        <v>40</v>
      </c>
      <c r="B1145">
        <v>1</v>
      </c>
      <c r="C1145">
        <v>0.1</v>
      </c>
      <c r="D1145">
        <v>100</v>
      </c>
      <c r="E1145">
        <v>0.350339779556058</v>
      </c>
      <c r="F1145">
        <v>1</v>
      </c>
      <c r="G1145">
        <v>30.516394685000002</v>
      </c>
      <c r="H1145">
        <v>0.27803940954378997</v>
      </c>
      <c r="I1145">
        <v>1</v>
      </c>
      <c r="J1145">
        <v>1.081424857</v>
      </c>
      <c r="P1145"/>
      <c r="V1145">
        <v>0.26443028379419797</v>
      </c>
      <c r="W1145">
        <v>1</v>
      </c>
      <c r="X1145">
        <v>308150.93724240502</v>
      </c>
      <c r="Y1145">
        <v>266</v>
      </c>
      <c r="Z1145">
        <v>1.8212558234154099E-2</v>
      </c>
      <c r="AA1145">
        <v>50</v>
      </c>
    </row>
    <row r="1146" spans="1:27" x14ac:dyDescent="0.2">
      <c r="A1146">
        <v>40</v>
      </c>
      <c r="B1146">
        <v>1</v>
      </c>
      <c r="C1146">
        <v>0.1</v>
      </c>
      <c r="D1146">
        <v>100</v>
      </c>
      <c r="E1146">
        <v>0.41955421376192797</v>
      </c>
      <c r="F1146">
        <v>1</v>
      </c>
      <c r="G1146">
        <v>30.687386372999999</v>
      </c>
      <c r="H1146">
        <v>0.284664731908915</v>
      </c>
      <c r="I1146">
        <v>1</v>
      </c>
      <c r="J1146">
        <v>0.60840660599999996</v>
      </c>
      <c r="P1146"/>
      <c r="V1146">
        <v>0.28157453734664101</v>
      </c>
      <c r="W1146">
        <v>1</v>
      </c>
      <c r="X1146">
        <v>308157.60102909</v>
      </c>
      <c r="Y1146">
        <v>409</v>
      </c>
      <c r="Z1146">
        <v>5.28087509628676E-2</v>
      </c>
      <c r="AA1146">
        <v>50</v>
      </c>
    </row>
    <row r="1147" spans="1:27" x14ac:dyDescent="0.2">
      <c r="A1147">
        <v>40</v>
      </c>
      <c r="B1147">
        <v>1</v>
      </c>
      <c r="C1147">
        <v>0.1</v>
      </c>
      <c r="D1147">
        <v>100</v>
      </c>
      <c r="E1147">
        <v>0.41260375384777298</v>
      </c>
      <c r="F1147">
        <v>1</v>
      </c>
      <c r="G1147">
        <v>30.892385976</v>
      </c>
      <c r="H1147">
        <v>0.30126716213417298</v>
      </c>
      <c r="I1147">
        <v>1</v>
      </c>
      <c r="J1147">
        <v>1.591203063</v>
      </c>
      <c r="P1147"/>
      <c r="V1147">
        <v>0.29991489184508102</v>
      </c>
      <c r="W1147">
        <v>1</v>
      </c>
      <c r="X1147">
        <v>307987.67283021199</v>
      </c>
      <c r="Y1147">
        <v>436</v>
      </c>
      <c r="Z1147">
        <v>1.7420216622873599E-2</v>
      </c>
      <c r="AA1147">
        <v>50</v>
      </c>
    </row>
    <row r="1148" spans="1:27" x14ac:dyDescent="0.2">
      <c r="A1148">
        <v>40</v>
      </c>
      <c r="B1148">
        <v>1</v>
      </c>
      <c r="C1148">
        <v>0.1</v>
      </c>
      <c r="D1148">
        <v>100</v>
      </c>
      <c r="E1148">
        <v>0.26745371833952702</v>
      </c>
      <c r="F1148">
        <v>1</v>
      </c>
      <c r="G1148">
        <v>31.591187277</v>
      </c>
      <c r="H1148">
        <v>0.21321997029255399</v>
      </c>
      <c r="I1148">
        <v>1</v>
      </c>
      <c r="J1148">
        <v>0.72621663999999997</v>
      </c>
      <c r="P1148"/>
      <c r="V1148">
        <v>0.206971819986982</v>
      </c>
      <c r="W1148">
        <v>1</v>
      </c>
      <c r="X1148">
        <v>308166.416242312</v>
      </c>
      <c r="Y1148">
        <v>217</v>
      </c>
      <c r="Z1148">
        <v>3.0620915187719699E-2</v>
      </c>
      <c r="AA1148">
        <v>50</v>
      </c>
    </row>
    <row r="1149" spans="1:27" x14ac:dyDescent="0.2">
      <c r="A1149">
        <v>40</v>
      </c>
      <c r="B1149">
        <v>1</v>
      </c>
      <c r="C1149">
        <v>0.1</v>
      </c>
      <c r="D1149">
        <v>100</v>
      </c>
      <c r="E1149">
        <v>0.31628054920882198</v>
      </c>
      <c r="F1149">
        <v>1</v>
      </c>
      <c r="G1149">
        <v>29.835333957</v>
      </c>
      <c r="H1149">
        <v>0.19959719371564</v>
      </c>
      <c r="I1149">
        <v>1</v>
      </c>
      <c r="J1149">
        <v>1.0218285389999999</v>
      </c>
      <c r="P1149"/>
      <c r="V1149">
        <v>0.195453992161187</v>
      </c>
      <c r="W1149">
        <v>1</v>
      </c>
      <c r="X1149">
        <v>308132.97967620299</v>
      </c>
      <c r="Y1149">
        <v>236</v>
      </c>
      <c r="Z1149">
        <v>8.7013201360424702E-2</v>
      </c>
      <c r="AA1149">
        <v>50</v>
      </c>
    </row>
    <row r="1150" spans="1:27" x14ac:dyDescent="0.2">
      <c r="A1150">
        <v>40</v>
      </c>
      <c r="B1150">
        <v>1</v>
      </c>
      <c r="C1150">
        <v>0.1</v>
      </c>
      <c r="D1150">
        <v>100</v>
      </c>
      <c r="E1150">
        <v>0.31000935999377199</v>
      </c>
      <c r="F1150">
        <v>1</v>
      </c>
      <c r="G1150">
        <v>30.753102809000001</v>
      </c>
      <c r="H1150">
        <v>0.19771188773248</v>
      </c>
      <c r="I1150">
        <v>1</v>
      </c>
      <c r="J1150">
        <v>1.13086157</v>
      </c>
      <c r="P1150"/>
      <c r="V1150">
        <v>0.17758979509244999</v>
      </c>
      <c r="W1150">
        <v>1</v>
      </c>
      <c r="X1150">
        <v>308140.96339518001</v>
      </c>
      <c r="Y1150">
        <v>187</v>
      </c>
      <c r="Z1150">
        <v>8.5373775428503704E-2</v>
      </c>
      <c r="AA1150">
        <v>50</v>
      </c>
    </row>
    <row r="1151" spans="1:27" x14ac:dyDescent="0.2">
      <c r="A1151">
        <v>40</v>
      </c>
      <c r="B1151">
        <v>1</v>
      </c>
      <c r="C1151">
        <v>0.1</v>
      </c>
      <c r="D1151">
        <v>100</v>
      </c>
      <c r="E1151">
        <v>0.49063222408689899</v>
      </c>
      <c r="F1151">
        <v>1</v>
      </c>
      <c r="G1151">
        <v>32.614293805999999</v>
      </c>
      <c r="H1151">
        <v>0.43414927799106201</v>
      </c>
      <c r="I1151">
        <v>1</v>
      </c>
      <c r="J1151">
        <v>1.040857363</v>
      </c>
      <c r="P1151"/>
      <c r="V1151">
        <v>0.43238849075738101</v>
      </c>
      <c r="W1151">
        <v>1</v>
      </c>
      <c r="X1151">
        <v>308198.10924065497</v>
      </c>
      <c r="Y1151">
        <v>98</v>
      </c>
      <c r="Z1151">
        <v>4.5875562338399803E-2</v>
      </c>
      <c r="AA1151">
        <v>50</v>
      </c>
    </row>
    <row r="1152" spans="1:27" x14ac:dyDescent="0.2">
      <c r="A1152">
        <v>40</v>
      </c>
      <c r="B1152">
        <v>1</v>
      </c>
      <c r="C1152">
        <v>0.1</v>
      </c>
      <c r="D1152">
        <v>100</v>
      </c>
      <c r="E1152">
        <v>0.28771048532729598</v>
      </c>
      <c r="F1152">
        <v>1</v>
      </c>
      <c r="G1152">
        <v>31.000543899</v>
      </c>
      <c r="H1152">
        <v>0.25649326294957697</v>
      </c>
      <c r="I1152">
        <v>1</v>
      </c>
      <c r="J1152">
        <v>1.1399845749999999</v>
      </c>
      <c r="P1152"/>
      <c r="V1152">
        <v>0.25537166007616802</v>
      </c>
      <c r="W1152">
        <v>1</v>
      </c>
      <c r="X1152">
        <v>308151.42254791001</v>
      </c>
      <c r="Y1152">
        <v>246</v>
      </c>
      <c r="Z1152">
        <v>5.6393588868473697E-2</v>
      </c>
      <c r="AA1152">
        <v>50</v>
      </c>
    </row>
    <row r="1153" spans="1:27" x14ac:dyDescent="0.2">
      <c r="A1153">
        <v>40</v>
      </c>
      <c r="B1153">
        <v>1</v>
      </c>
      <c r="C1153">
        <v>0.1</v>
      </c>
      <c r="D1153">
        <v>100</v>
      </c>
      <c r="E1153">
        <v>0.38754930804431098</v>
      </c>
      <c r="F1153">
        <v>1</v>
      </c>
      <c r="G1153">
        <v>29.992265514</v>
      </c>
      <c r="H1153">
        <v>0.247251934043</v>
      </c>
      <c r="I1153">
        <v>1</v>
      </c>
      <c r="J1153">
        <v>0.74196183800000004</v>
      </c>
      <c r="P1153"/>
      <c r="V1153">
        <v>0.24233036688843401</v>
      </c>
      <c r="W1153">
        <v>1</v>
      </c>
      <c r="X1153">
        <v>308153.92758884502</v>
      </c>
      <c r="Y1153">
        <v>350</v>
      </c>
      <c r="Z1153">
        <v>6.3636001074049403E-2</v>
      </c>
      <c r="AA1153">
        <v>50</v>
      </c>
    </row>
    <row r="1154" spans="1:27" x14ac:dyDescent="0.2">
      <c r="A1154">
        <v>40</v>
      </c>
      <c r="B1154">
        <v>1</v>
      </c>
      <c r="C1154">
        <v>0.1</v>
      </c>
      <c r="D1154">
        <v>100</v>
      </c>
      <c r="E1154">
        <v>0.24758532187899099</v>
      </c>
      <c r="F1154">
        <v>1</v>
      </c>
      <c r="G1154">
        <v>29.835329111</v>
      </c>
      <c r="H1154">
        <v>0.13290619767914699</v>
      </c>
      <c r="I1154">
        <v>1</v>
      </c>
      <c r="J1154">
        <v>0.81068163999999998</v>
      </c>
      <c r="P1154"/>
      <c r="V1154">
        <v>0.12710489963572499</v>
      </c>
      <c r="W1154">
        <v>1</v>
      </c>
      <c r="X1154">
        <v>308162.83566099301</v>
      </c>
      <c r="Y1154">
        <v>235</v>
      </c>
      <c r="Z1154">
        <v>9.5167851515705504E-2</v>
      </c>
      <c r="AA1154">
        <v>50</v>
      </c>
    </row>
    <row r="1155" spans="1:27" x14ac:dyDescent="0.2">
      <c r="A1155">
        <v>40</v>
      </c>
      <c r="B1155">
        <v>1</v>
      </c>
      <c r="C1155">
        <v>0.1</v>
      </c>
      <c r="D1155">
        <v>100</v>
      </c>
      <c r="E1155">
        <v>0.39464387035120602</v>
      </c>
      <c r="F1155">
        <v>1</v>
      </c>
      <c r="G1155">
        <v>29.852303492000001</v>
      </c>
      <c r="H1155">
        <v>0.279014340529253</v>
      </c>
      <c r="I1155">
        <v>1</v>
      </c>
      <c r="J1155">
        <v>0.955658279</v>
      </c>
      <c r="P1155"/>
      <c r="V1155">
        <v>0.25412120374071501</v>
      </c>
      <c r="W1155">
        <v>1</v>
      </c>
      <c r="X1155">
        <v>308164.58935045102</v>
      </c>
      <c r="Y1155">
        <v>258</v>
      </c>
      <c r="Z1155">
        <v>2.9840866564782399E-2</v>
      </c>
      <c r="AA1155">
        <v>50</v>
      </c>
    </row>
    <row r="1156" spans="1:27" x14ac:dyDescent="0.2">
      <c r="A1156">
        <v>40</v>
      </c>
      <c r="B1156">
        <v>1</v>
      </c>
      <c r="C1156">
        <v>0.1</v>
      </c>
      <c r="D1156">
        <v>100</v>
      </c>
      <c r="E1156">
        <v>0.42114122914011498</v>
      </c>
      <c r="F1156">
        <v>1</v>
      </c>
      <c r="G1156">
        <v>30.854352184</v>
      </c>
      <c r="H1156">
        <v>0.246530063953255</v>
      </c>
      <c r="I1156">
        <v>1</v>
      </c>
      <c r="J1156">
        <v>1.105739494</v>
      </c>
      <c r="P1156"/>
      <c r="V1156">
        <v>0.22732585926288601</v>
      </c>
      <c r="W1156">
        <v>1</v>
      </c>
      <c r="X1156">
        <v>308165.302870746</v>
      </c>
      <c r="Y1156">
        <v>492</v>
      </c>
      <c r="Z1156">
        <v>4.7497274571330898E-2</v>
      </c>
      <c r="AA1156">
        <v>50</v>
      </c>
    </row>
    <row r="1157" spans="1:27" x14ac:dyDescent="0.2">
      <c r="A1157">
        <v>40</v>
      </c>
      <c r="B1157">
        <v>1</v>
      </c>
      <c r="C1157">
        <v>0.1</v>
      </c>
      <c r="D1157">
        <v>100</v>
      </c>
      <c r="E1157">
        <v>0.30806445932917098</v>
      </c>
      <c r="F1157">
        <v>1</v>
      </c>
      <c r="G1157">
        <v>31.864986977000001</v>
      </c>
      <c r="H1157">
        <v>0.144825111559892</v>
      </c>
      <c r="I1157">
        <v>1</v>
      </c>
      <c r="J1157">
        <v>1.172801295</v>
      </c>
      <c r="P1157"/>
      <c r="V1157">
        <v>0.14027452152623399</v>
      </c>
      <c r="W1157">
        <v>1</v>
      </c>
      <c r="X1157">
        <v>308156.40185479098</v>
      </c>
      <c r="Y1157">
        <v>235</v>
      </c>
      <c r="Z1157">
        <v>2.9986674218951199E-2</v>
      </c>
      <c r="AA1157">
        <v>50</v>
      </c>
    </row>
    <row r="1158" spans="1:27" x14ac:dyDescent="0.2">
      <c r="A1158">
        <v>40</v>
      </c>
      <c r="B1158">
        <v>1</v>
      </c>
      <c r="C1158">
        <v>0.1</v>
      </c>
      <c r="D1158">
        <v>100</v>
      </c>
      <c r="E1158">
        <v>0.53448179774805704</v>
      </c>
      <c r="F1158">
        <v>1</v>
      </c>
      <c r="G1158">
        <v>31.78897546</v>
      </c>
      <c r="H1158">
        <v>0.24539417510685499</v>
      </c>
      <c r="I1158">
        <v>1</v>
      </c>
      <c r="J1158">
        <v>0.89253561000000003</v>
      </c>
      <c r="P1158"/>
      <c r="V1158">
        <v>0.23554686004366701</v>
      </c>
      <c r="W1158">
        <v>1</v>
      </c>
      <c r="X1158">
        <v>308183.60806049802</v>
      </c>
      <c r="Y1158">
        <v>156</v>
      </c>
      <c r="Z1158">
        <v>3.7070339299056197E-2</v>
      </c>
      <c r="AA1158">
        <v>50</v>
      </c>
    </row>
    <row r="1159" spans="1:27" x14ac:dyDescent="0.2">
      <c r="A1159">
        <v>40</v>
      </c>
      <c r="B1159">
        <v>1</v>
      </c>
      <c r="C1159">
        <v>0.1</v>
      </c>
      <c r="D1159">
        <v>100</v>
      </c>
      <c r="E1159">
        <v>0.229697030252171</v>
      </c>
      <c r="F1159">
        <v>1</v>
      </c>
      <c r="G1159">
        <v>31.732628953999999</v>
      </c>
      <c r="H1159">
        <v>0.14841259099152301</v>
      </c>
      <c r="I1159">
        <v>1</v>
      </c>
      <c r="J1159">
        <v>0.58639044500000004</v>
      </c>
      <c r="P1159"/>
      <c r="V1159">
        <v>0.146744537138532</v>
      </c>
      <c r="W1159">
        <v>1</v>
      </c>
      <c r="X1159">
        <v>308199.661682092</v>
      </c>
      <c r="Y1159">
        <v>144</v>
      </c>
      <c r="Z1159">
        <v>9.9501471868279606E-3</v>
      </c>
      <c r="AA1159">
        <v>50</v>
      </c>
    </row>
    <row r="1160" spans="1:27" x14ac:dyDescent="0.2">
      <c r="A1160">
        <v>20</v>
      </c>
      <c r="B1160">
        <v>2</v>
      </c>
      <c r="C1160">
        <v>0.3</v>
      </c>
      <c r="D1160">
        <v>100</v>
      </c>
      <c r="E1160">
        <v>0.37808621099353801</v>
      </c>
      <c r="F1160">
        <v>2</v>
      </c>
      <c r="G1160">
        <v>31.077293949000001</v>
      </c>
      <c r="H1160">
        <v>0.104203675421329</v>
      </c>
      <c r="I1160">
        <v>2</v>
      </c>
      <c r="J1160">
        <v>0.83638252999999996</v>
      </c>
      <c r="P1160"/>
      <c r="V1160">
        <v>0.10010239562194501</v>
      </c>
      <c r="W1160">
        <v>2</v>
      </c>
      <c r="X1160">
        <v>300291.79997822002</v>
      </c>
      <c r="Y1160">
        <v>2287</v>
      </c>
      <c r="Z1160">
        <v>0.45183473030579302</v>
      </c>
      <c r="AA1160">
        <v>50</v>
      </c>
    </row>
    <row r="1161" spans="1:27" x14ac:dyDescent="0.2">
      <c r="A1161">
        <v>20</v>
      </c>
      <c r="B1161">
        <v>2</v>
      </c>
      <c r="C1161">
        <v>0.3</v>
      </c>
      <c r="D1161">
        <v>100</v>
      </c>
      <c r="E1161">
        <v>0.31304302634438502</v>
      </c>
      <c r="F1161">
        <v>2</v>
      </c>
      <c r="G1161">
        <v>26.095811023</v>
      </c>
      <c r="H1161">
        <v>0.12738916685302201</v>
      </c>
      <c r="I1161">
        <v>2</v>
      </c>
      <c r="J1161">
        <v>0.393717504</v>
      </c>
      <c r="P1161"/>
      <c r="V1161">
        <v>0.120212785109949</v>
      </c>
      <c r="W1161">
        <v>2</v>
      </c>
      <c r="X1161">
        <v>296375.94951861497</v>
      </c>
      <c r="Y1161">
        <v>2200</v>
      </c>
      <c r="Z1161">
        <v>0.229016277208554</v>
      </c>
      <c r="AA1161">
        <v>50</v>
      </c>
    </row>
    <row r="1162" spans="1:27" x14ac:dyDescent="0.2">
      <c r="A1162">
        <v>20</v>
      </c>
      <c r="B1162">
        <v>2</v>
      </c>
      <c r="C1162">
        <v>0.2</v>
      </c>
      <c r="D1162">
        <v>100</v>
      </c>
      <c r="E1162">
        <v>0.85365212640084698</v>
      </c>
      <c r="F1162">
        <v>2</v>
      </c>
      <c r="G1162">
        <v>31.167397438999998</v>
      </c>
      <c r="H1162">
        <v>0.80049155141216399</v>
      </c>
      <c r="I1162">
        <v>2</v>
      </c>
      <c r="J1162">
        <v>0.91384205799999996</v>
      </c>
      <c r="P1162"/>
      <c r="V1162">
        <v>0.80840430249171102</v>
      </c>
      <c r="W1162">
        <v>2</v>
      </c>
      <c r="X1162">
        <v>301768.33734923397</v>
      </c>
      <c r="Y1162">
        <v>2183</v>
      </c>
      <c r="Z1162">
        <v>5.13532741689487E-2</v>
      </c>
      <c r="AA1162">
        <v>50</v>
      </c>
    </row>
    <row r="1163" spans="1:27" x14ac:dyDescent="0.2">
      <c r="A1163">
        <v>20</v>
      </c>
      <c r="B1163">
        <v>2</v>
      </c>
      <c r="C1163">
        <v>0.3</v>
      </c>
      <c r="D1163">
        <v>100</v>
      </c>
      <c r="E1163">
        <v>0.18779583936178501</v>
      </c>
      <c r="F1163">
        <v>2</v>
      </c>
      <c r="G1163">
        <v>31.134647391000001</v>
      </c>
      <c r="H1163">
        <v>0.108425842162942</v>
      </c>
      <c r="I1163">
        <v>2</v>
      </c>
      <c r="J1163">
        <v>0.30431479500000003</v>
      </c>
      <c r="P1163"/>
      <c r="V1163">
        <v>9.3826732174934702E-2</v>
      </c>
      <c r="W1163">
        <v>2</v>
      </c>
      <c r="X1163">
        <v>293671.45321080502</v>
      </c>
      <c r="Y1163">
        <v>2911</v>
      </c>
      <c r="Z1163">
        <v>0.221607898235089</v>
      </c>
      <c r="AA1163">
        <v>50</v>
      </c>
    </row>
    <row r="1164" spans="1:27" x14ac:dyDescent="0.2">
      <c r="A1164">
        <v>20</v>
      </c>
      <c r="B1164">
        <v>2</v>
      </c>
      <c r="C1164">
        <v>0.2</v>
      </c>
      <c r="D1164">
        <v>100</v>
      </c>
      <c r="E1164">
        <v>0.55633205299822397</v>
      </c>
      <c r="F1164">
        <v>2</v>
      </c>
      <c r="G1164">
        <v>31.039641994</v>
      </c>
      <c r="H1164">
        <v>0.35949260041834502</v>
      </c>
      <c r="I1164">
        <v>2</v>
      </c>
      <c r="J1164">
        <v>0.748815016</v>
      </c>
      <c r="P1164"/>
      <c r="V1164">
        <v>0.35629241665921002</v>
      </c>
      <c r="W1164">
        <v>2</v>
      </c>
      <c r="X1164">
        <v>301743.50029610202</v>
      </c>
      <c r="Y1164">
        <v>2396</v>
      </c>
      <c r="Z1164">
        <v>0.104775502476962</v>
      </c>
      <c r="AA1164">
        <v>50</v>
      </c>
    </row>
    <row r="1165" spans="1:27" x14ac:dyDescent="0.2">
      <c r="A1165">
        <v>20</v>
      </c>
      <c r="B1165">
        <v>2</v>
      </c>
      <c r="C1165">
        <v>0.1</v>
      </c>
      <c r="D1165">
        <v>100</v>
      </c>
      <c r="E1165">
        <v>1.6869910036821101</v>
      </c>
      <c r="F1165">
        <v>2</v>
      </c>
      <c r="G1165">
        <v>31.206107427999999</v>
      </c>
      <c r="H1165">
        <v>1.1425974241686601</v>
      </c>
      <c r="I1165">
        <v>2</v>
      </c>
      <c r="J1165">
        <v>0.91490532300000005</v>
      </c>
      <c r="P1165"/>
      <c r="V1165">
        <v>1.1437246996292001</v>
      </c>
      <c r="W1165">
        <v>2</v>
      </c>
      <c r="X1165">
        <v>303052.065614936</v>
      </c>
      <c r="Y1165">
        <v>4808</v>
      </c>
      <c r="Z1165">
        <v>1.5025120473878199E-3</v>
      </c>
      <c r="AA1165">
        <v>50</v>
      </c>
    </row>
    <row r="1166" spans="1:27" x14ac:dyDescent="0.2">
      <c r="A1166">
        <v>20</v>
      </c>
      <c r="B1166">
        <v>2</v>
      </c>
      <c r="C1166">
        <v>0.1</v>
      </c>
      <c r="D1166">
        <v>100</v>
      </c>
      <c r="E1166">
        <v>0.99712963310541902</v>
      </c>
      <c r="F1166">
        <v>2</v>
      </c>
      <c r="G1166">
        <v>29.276028744000001</v>
      </c>
      <c r="H1166">
        <v>0.85638308466775903</v>
      </c>
      <c r="I1166">
        <v>2</v>
      </c>
      <c r="J1166">
        <v>0.89022632099999999</v>
      </c>
      <c r="P1166"/>
      <c r="V1166">
        <v>1.0080650468880099</v>
      </c>
      <c r="W1166">
        <v>2</v>
      </c>
      <c r="X1166">
        <v>295712.72694474598</v>
      </c>
      <c r="Y1166">
        <v>5648</v>
      </c>
      <c r="Z1166">
        <v>1.3229980577929399E-2</v>
      </c>
      <c r="AA1166">
        <v>50</v>
      </c>
    </row>
    <row r="1167" spans="1:27" x14ac:dyDescent="0.2">
      <c r="A1167">
        <v>20</v>
      </c>
      <c r="B1167">
        <v>2</v>
      </c>
      <c r="C1167">
        <v>0.3</v>
      </c>
      <c r="D1167">
        <v>100</v>
      </c>
      <c r="E1167">
        <v>0.47083175175469999</v>
      </c>
      <c r="F1167">
        <v>2</v>
      </c>
      <c r="G1167">
        <v>30.847819582</v>
      </c>
      <c r="H1167">
        <v>0.28998286179744698</v>
      </c>
      <c r="I1167">
        <v>2</v>
      </c>
      <c r="J1167">
        <v>0.77682378699999999</v>
      </c>
      <c r="P1167"/>
      <c r="V1167">
        <v>0.28827789984034402</v>
      </c>
      <c r="W1167">
        <v>2</v>
      </c>
      <c r="X1167">
        <v>296071.14101386099</v>
      </c>
      <c r="Y1167">
        <v>2406</v>
      </c>
      <c r="Z1167">
        <v>0.11159851507466501</v>
      </c>
      <c r="AA1167">
        <v>50</v>
      </c>
    </row>
    <row r="1168" spans="1:27" x14ac:dyDescent="0.2">
      <c r="A1168">
        <v>20</v>
      </c>
      <c r="B1168">
        <v>2</v>
      </c>
      <c r="C1168">
        <v>0.2</v>
      </c>
      <c r="D1168">
        <v>100</v>
      </c>
      <c r="E1168">
        <v>0.70147194029425297</v>
      </c>
      <c r="F1168">
        <v>2</v>
      </c>
      <c r="G1168">
        <v>29.326874074999999</v>
      </c>
      <c r="H1168">
        <v>0.58073514486644495</v>
      </c>
      <c r="I1168">
        <v>2</v>
      </c>
      <c r="J1168">
        <v>0.72341939399999999</v>
      </c>
      <c r="P1168"/>
      <c r="V1168">
        <v>0.58025480973921795</v>
      </c>
      <c r="W1168">
        <v>2</v>
      </c>
      <c r="X1168">
        <v>295982.43559169897</v>
      </c>
      <c r="Y1168">
        <v>2985</v>
      </c>
      <c r="Z1168">
        <v>0.17080288796944201</v>
      </c>
      <c r="AA1168">
        <v>50</v>
      </c>
    </row>
    <row r="1169" spans="1:27" x14ac:dyDescent="0.2">
      <c r="A1169">
        <v>20</v>
      </c>
      <c r="B1169">
        <v>2</v>
      </c>
      <c r="C1169">
        <v>0.2</v>
      </c>
      <c r="D1169">
        <v>100</v>
      </c>
      <c r="E1169">
        <v>0.58243851562579796</v>
      </c>
      <c r="F1169">
        <v>2</v>
      </c>
      <c r="G1169">
        <v>31.690888620999999</v>
      </c>
      <c r="H1169">
        <v>0.584788316724419</v>
      </c>
      <c r="I1169">
        <v>2</v>
      </c>
      <c r="J1169">
        <v>0.79949198899999996</v>
      </c>
      <c r="P1169"/>
      <c r="V1169">
        <v>0.58982333478371896</v>
      </c>
      <c r="W1169">
        <v>2</v>
      </c>
      <c r="X1169">
        <v>302364.54295040201</v>
      </c>
      <c r="Y1169">
        <v>2410</v>
      </c>
      <c r="Z1169">
        <v>0.14607689145727701</v>
      </c>
      <c r="AA1169">
        <v>50</v>
      </c>
    </row>
    <row r="1170" spans="1:27" x14ac:dyDescent="0.2">
      <c r="A1170">
        <v>20</v>
      </c>
      <c r="B1170">
        <v>2</v>
      </c>
      <c r="C1170">
        <v>0.1</v>
      </c>
      <c r="D1170">
        <v>100</v>
      </c>
      <c r="E1170">
        <v>1.2430810576117299</v>
      </c>
      <c r="F1170">
        <v>2</v>
      </c>
      <c r="G1170">
        <v>31.690891417</v>
      </c>
      <c r="H1170">
        <v>1.0127993471752701</v>
      </c>
      <c r="I1170">
        <v>2</v>
      </c>
      <c r="J1170">
        <v>0.88959490200000002</v>
      </c>
      <c r="P1170"/>
      <c r="V1170">
        <v>1.0132573630891799</v>
      </c>
      <c r="W1170">
        <v>2</v>
      </c>
      <c r="X1170">
        <v>303608.76609688299</v>
      </c>
      <c r="Y1170">
        <v>18715</v>
      </c>
      <c r="Z1170">
        <v>3.1123659687426601E-3</v>
      </c>
      <c r="AA1170">
        <v>50</v>
      </c>
    </row>
    <row r="1171" spans="1:27" x14ac:dyDescent="0.2">
      <c r="A1171">
        <v>20</v>
      </c>
      <c r="B1171">
        <v>2</v>
      </c>
      <c r="C1171">
        <v>0.3</v>
      </c>
      <c r="D1171">
        <v>100</v>
      </c>
      <c r="E1171">
        <v>0.42088743417962299</v>
      </c>
      <c r="F1171">
        <v>2</v>
      </c>
      <c r="G1171">
        <v>29.26065973</v>
      </c>
      <c r="H1171">
        <v>0.20136073323864301</v>
      </c>
      <c r="I1171">
        <v>2</v>
      </c>
      <c r="J1171">
        <v>0.38799737099999998</v>
      </c>
      <c r="P1171"/>
      <c r="V1171">
        <v>0.181787491113032</v>
      </c>
      <c r="W1171">
        <v>2</v>
      </c>
      <c r="X1171">
        <v>296720.01243310003</v>
      </c>
      <c r="Y1171">
        <v>1451</v>
      </c>
      <c r="Z1171">
        <v>0.25457862565828998</v>
      </c>
      <c r="AA1171">
        <v>50</v>
      </c>
    </row>
    <row r="1172" spans="1:27" x14ac:dyDescent="0.2">
      <c r="A1172">
        <v>20</v>
      </c>
      <c r="B1172">
        <v>2</v>
      </c>
      <c r="C1172">
        <v>0.3</v>
      </c>
      <c r="D1172">
        <v>100</v>
      </c>
      <c r="E1172">
        <v>0.28780601549984303</v>
      </c>
      <c r="F1172">
        <v>2</v>
      </c>
      <c r="G1172">
        <v>30.227395001000001</v>
      </c>
      <c r="H1172">
        <v>9.2899304825511203E-2</v>
      </c>
      <c r="I1172">
        <v>2</v>
      </c>
      <c r="J1172">
        <v>0.43611483099999998</v>
      </c>
      <c r="P1172"/>
      <c r="V1172">
        <v>8.6541490587092096E-2</v>
      </c>
      <c r="W1172">
        <v>2</v>
      </c>
      <c r="X1172">
        <v>298762.25395789702</v>
      </c>
      <c r="Y1172">
        <v>2400</v>
      </c>
      <c r="Z1172">
        <v>0.25636125017049799</v>
      </c>
      <c r="AA1172">
        <v>50</v>
      </c>
    </row>
    <row r="1173" spans="1:27" x14ac:dyDescent="0.2">
      <c r="A1173">
        <v>20</v>
      </c>
      <c r="B1173">
        <v>2</v>
      </c>
      <c r="C1173">
        <v>0.1</v>
      </c>
      <c r="D1173">
        <v>100</v>
      </c>
      <c r="E1173">
        <v>1.11618053491618</v>
      </c>
      <c r="F1173">
        <v>2</v>
      </c>
      <c r="G1173">
        <v>30.209001042000001</v>
      </c>
      <c r="H1173">
        <v>0.99104724459272298</v>
      </c>
      <c r="I1173">
        <v>2</v>
      </c>
      <c r="J1173">
        <v>0.91723074299999996</v>
      </c>
      <c r="P1173"/>
      <c r="V1173">
        <v>1.09352555822675</v>
      </c>
      <c r="W1173">
        <v>2</v>
      </c>
      <c r="X1173">
        <v>299295.35706084198</v>
      </c>
      <c r="Y1173">
        <v>3464</v>
      </c>
      <c r="Z1173">
        <v>2.2742640877323099E-3</v>
      </c>
      <c r="AA1173">
        <v>50</v>
      </c>
    </row>
    <row r="1174" spans="1:27" x14ac:dyDescent="0.2">
      <c r="A1174">
        <v>20</v>
      </c>
      <c r="B1174">
        <v>2</v>
      </c>
      <c r="C1174">
        <v>0.3</v>
      </c>
      <c r="D1174">
        <v>100</v>
      </c>
      <c r="E1174">
        <v>0.30682446620436599</v>
      </c>
      <c r="F1174">
        <v>2</v>
      </c>
      <c r="G1174">
        <v>29.040227643000001</v>
      </c>
      <c r="H1174">
        <v>0.107699739264425</v>
      </c>
      <c r="I1174">
        <v>2</v>
      </c>
      <c r="J1174">
        <v>0.33287453099999997</v>
      </c>
      <c r="P1174"/>
      <c r="V1174">
        <v>9.06365091615111E-2</v>
      </c>
      <c r="W1174">
        <v>2</v>
      </c>
      <c r="X1174">
        <v>292145.60314430698</v>
      </c>
      <c r="Y1174">
        <v>2444</v>
      </c>
      <c r="Z1174">
        <v>0.20971183180737399</v>
      </c>
      <c r="AA1174">
        <v>50</v>
      </c>
    </row>
    <row r="1175" spans="1:27" x14ac:dyDescent="0.2">
      <c r="A1175">
        <v>20</v>
      </c>
      <c r="B1175">
        <v>2</v>
      </c>
      <c r="C1175">
        <v>0.1</v>
      </c>
      <c r="D1175">
        <v>100</v>
      </c>
      <c r="E1175">
        <v>1.07766529355492</v>
      </c>
      <c r="F1175">
        <v>2</v>
      </c>
      <c r="G1175">
        <v>28.736590713999998</v>
      </c>
      <c r="H1175">
        <v>1.01966602518451</v>
      </c>
      <c r="I1175">
        <v>2</v>
      </c>
      <c r="J1175">
        <v>0.863311198</v>
      </c>
      <c r="P1175"/>
      <c r="V1175">
        <v>1.14999712827126</v>
      </c>
      <c r="W1175">
        <v>2</v>
      </c>
      <c r="X1175">
        <v>300043.07346256898</v>
      </c>
      <c r="Y1175">
        <v>13305</v>
      </c>
      <c r="Z1175">
        <v>3.6776608401454499E-3</v>
      </c>
      <c r="AA1175">
        <v>50</v>
      </c>
    </row>
    <row r="1176" spans="1:27" x14ac:dyDescent="0.2">
      <c r="A1176">
        <v>20</v>
      </c>
      <c r="B1176">
        <v>2</v>
      </c>
      <c r="C1176">
        <v>0.3</v>
      </c>
      <c r="D1176">
        <v>100</v>
      </c>
      <c r="E1176">
        <v>0.49452306790129402</v>
      </c>
      <c r="F1176">
        <v>2</v>
      </c>
      <c r="G1176">
        <v>30.303612781000002</v>
      </c>
      <c r="H1176">
        <v>0.27501211831950301</v>
      </c>
      <c r="I1176">
        <v>2</v>
      </c>
      <c r="J1176">
        <v>0.40509173399999998</v>
      </c>
      <c r="P1176"/>
      <c r="V1176">
        <v>0.27362522346969498</v>
      </c>
      <c r="W1176">
        <v>2</v>
      </c>
      <c r="X1176">
        <v>296352.27598684898</v>
      </c>
      <c r="Y1176">
        <v>3409</v>
      </c>
      <c r="Z1176">
        <v>0.31007499497707403</v>
      </c>
      <c r="AA1176">
        <v>50</v>
      </c>
    </row>
    <row r="1177" spans="1:27" x14ac:dyDescent="0.2">
      <c r="A1177">
        <v>20</v>
      </c>
      <c r="B1177">
        <v>2</v>
      </c>
      <c r="C1177">
        <v>0.2</v>
      </c>
      <c r="D1177">
        <v>100</v>
      </c>
      <c r="E1177">
        <v>0.69878318543512496</v>
      </c>
      <c r="F1177">
        <v>2</v>
      </c>
      <c r="G1177">
        <v>29.514295521000001</v>
      </c>
      <c r="H1177">
        <v>0.45072306401055501</v>
      </c>
      <c r="I1177">
        <v>2</v>
      </c>
      <c r="J1177">
        <v>0.88069062300000001</v>
      </c>
      <c r="P1177"/>
      <c r="V1177">
        <v>0.44783526923436101</v>
      </c>
      <c r="W1177">
        <v>2</v>
      </c>
      <c r="X1177">
        <v>304150.67699836701</v>
      </c>
      <c r="Y1177">
        <v>1643</v>
      </c>
      <c r="Z1177">
        <v>5.90344295102243E-2</v>
      </c>
      <c r="AA1177">
        <v>50</v>
      </c>
    </row>
    <row r="1178" spans="1:27" x14ac:dyDescent="0.2">
      <c r="A1178">
        <v>20</v>
      </c>
      <c r="B1178">
        <v>2</v>
      </c>
      <c r="C1178">
        <v>0.2</v>
      </c>
      <c r="D1178">
        <v>100</v>
      </c>
      <c r="E1178">
        <v>0.79776347495751099</v>
      </c>
      <c r="F1178">
        <v>2</v>
      </c>
      <c r="G1178">
        <v>25.234467390999999</v>
      </c>
      <c r="H1178">
        <v>0.738193550348894</v>
      </c>
      <c r="I1178">
        <v>2</v>
      </c>
      <c r="J1178">
        <v>0.76753067500000005</v>
      </c>
      <c r="P1178"/>
      <c r="V1178">
        <v>0.74155490337603502</v>
      </c>
      <c r="W1178">
        <v>2</v>
      </c>
      <c r="X1178">
        <v>298074.64462239598</v>
      </c>
      <c r="Y1178">
        <v>2097</v>
      </c>
      <c r="Z1178">
        <v>0.106920103384891</v>
      </c>
      <c r="AA1178">
        <v>50</v>
      </c>
    </row>
    <row r="1179" spans="1:27" x14ac:dyDescent="0.2">
      <c r="A1179">
        <v>20</v>
      </c>
      <c r="B1179">
        <v>2</v>
      </c>
      <c r="C1179">
        <v>0.3</v>
      </c>
      <c r="D1179">
        <v>100</v>
      </c>
      <c r="E1179">
        <v>0.19543020055819099</v>
      </c>
      <c r="F1179">
        <v>2</v>
      </c>
      <c r="G1179">
        <v>29.370496416999998</v>
      </c>
      <c r="H1179">
        <v>4.8317570515143897E-2</v>
      </c>
      <c r="I1179">
        <v>2</v>
      </c>
      <c r="J1179">
        <v>0.29293734799999999</v>
      </c>
      <c r="P1179"/>
      <c r="V1179">
        <v>4.0355677083255E-2</v>
      </c>
      <c r="W1179">
        <v>2</v>
      </c>
      <c r="X1179">
        <v>299063.80985232402</v>
      </c>
      <c r="Y1179">
        <v>3250</v>
      </c>
      <c r="Z1179">
        <v>0.24420274495021799</v>
      </c>
      <c r="AA1179">
        <v>50</v>
      </c>
    </row>
    <row r="1180" spans="1:27" x14ac:dyDescent="0.2">
      <c r="A1180">
        <v>20</v>
      </c>
      <c r="B1180">
        <v>2</v>
      </c>
      <c r="C1180">
        <v>0.1</v>
      </c>
      <c r="D1180">
        <v>100</v>
      </c>
      <c r="E1180">
        <v>1.40117332309454</v>
      </c>
      <c r="F1180">
        <v>2</v>
      </c>
      <c r="G1180">
        <v>31.315082455999999</v>
      </c>
      <c r="H1180">
        <v>1.0909673081729401</v>
      </c>
      <c r="I1180">
        <v>2</v>
      </c>
      <c r="J1180">
        <v>0.93422290799999996</v>
      </c>
      <c r="P1180"/>
      <c r="V1180">
        <v>1.1417672224303499</v>
      </c>
      <c r="W1180">
        <v>2</v>
      </c>
      <c r="X1180">
        <v>298459.66431321797</v>
      </c>
      <c r="Y1180">
        <v>5129</v>
      </c>
      <c r="Z1180">
        <v>3.7337573573941402E-3</v>
      </c>
      <c r="AA1180">
        <v>50</v>
      </c>
    </row>
    <row r="1181" spans="1:27" x14ac:dyDescent="0.2">
      <c r="A1181">
        <v>20</v>
      </c>
      <c r="B1181">
        <v>2</v>
      </c>
      <c r="C1181">
        <v>0.3</v>
      </c>
      <c r="D1181">
        <v>100</v>
      </c>
      <c r="E1181">
        <v>0.27925616649232299</v>
      </c>
      <c r="F1181">
        <v>2</v>
      </c>
      <c r="G1181">
        <v>29.780534089</v>
      </c>
      <c r="H1181">
        <v>0.20500655117330199</v>
      </c>
      <c r="I1181">
        <v>2</v>
      </c>
      <c r="J1181">
        <v>0.21432347500000001</v>
      </c>
      <c r="P1181"/>
      <c r="V1181">
        <v>0.18509322984823301</v>
      </c>
      <c r="W1181">
        <v>2</v>
      </c>
      <c r="X1181">
        <v>300562.59506835701</v>
      </c>
      <c r="Y1181">
        <v>2410</v>
      </c>
      <c r="Z1181">
        <v>0.25205745934560397</v>
      </c>
      <c r="AA1181">
        <v>50</v>
      </c>
    </row>
    <row r="1182" spans="1:27" x14ac:dyDescent="0.2">
      <c r="A1182">
        <v>20</v>
      </c>
      <c r="B1182">
        <v>2</v>
      </c>
      <c r="C1182">
        <v>0.3</v>
      </c>
      <c r="D1182">
        <v>100</v>
      </c>
      <c r="E1182">
        <v>0.246963701476274</v>
      </c>
      <c r="F1182">
        <v>2</v>
      </c>
      <c r="G1182">
        <v>29.793579687000001</v>
      </c>
      <c r="H1182">
        <v>0.130422834602063</v>
      </c>
      <c r="I1182">
        <v>2</v>
      </c>
      <c r="J1182">
        <v>0.28530390900000002</v>
      </c>
      <c r="P1182"/>
      <c r="V1182">
        <v>0.11544377854835899</v>
      </c>
      <c r="W1182">
        <v>2</v>
      </c>
      <c r="X1182">
        <v>300566.17264719802</v>
      </c>
      <c r="Y1182">
        <v>3024</v>
      </c>
      <c r="Z1182">
        <v>0.112229632089914</v>
      </c>
      <c r="AA1182">
        <v>50</v>
      </c>
    </row>
    <row r="1183" spans="1:27" x14ac:dyDescent="0.2">
      <c r="A1183">
        <v>20</v>
      </c>
      <c r="B1183">
        <v>2</v>
      </c>
      <c r="C1183">
        <v>0.2</v>
      </c>
      <c r="D1183">
        <v>100</v>
      </c>
      <c r="E1183">
        <v>0.65713467121305102</v>
      </c>
      <c r="F1183">
        <v>2</v>
      </c>
      <c r="G1183">
        <v>28.736589223999999</v>
      </c>
      <c r="H1183">
        <v>0.38125358991052299</v>
      </c>
      <c r="I1183">
        <v>2</v>
      </c>
      <c r="J1183">
        <v>0.71398611199999995</v>
      </c>
      <c r="P1183"/>
      <c r="V1183">
        <v>0.37800712281883297</v>
      </c>
      <c r="W1183">
        <v>2</v>
      </c>
      <c r="X1183">
        <v>304455.86477620399</v>
      </c>
      <c r="Y1183">
        <v>2478</v>
      </c>
      <c r="Z1183">
        <v>0.12067968735099199</v>
      </c>
      <c r="AA1183">
        <v>50</v>
      </c>
    </row>
    <row r="1184" spans="1:27" x14ac:dyDescent="0.2">
      <c r="A1184">
        <v>30</v>
      </c>
      <c r="B1184">
        <v>2</v>
      </c>
      <c r="C1184">
        <v>0.2</v>
      </c>
      <c r="D1184">
        <v>100</v>
      </c>
      <c r="E1184">
        <v>0.51682691281304105</v>
      </c>
      <c r="F1184">
        <v>2</v>
      </c>
      <c r="G1184">
        <v>29.340390284000001</v>
      </c>
      <c r="H1184">
        <v>0.21033186538315099</v>
      </c>
      <c r="I1184">
        <v>2</v>
      </c>
      <c r="J1184">
        <v>1.020875534</v>
      </c>
      <c r="P1184"/>
      <c r="V1184">
        <v>0.18725834416059001</v>
      </c>
      <c r="W1184">
        <v>2</v>
      </c>
      <c r="X1184">
        <v>300796.52069875499</v>
      </c>
      <c r="Y1184">
        <v>15</v>
      </c>
      <c r="Z1184">
        <v>0.87228922762527905</v>
      </c>
      <c r="AA1184">
        <v>50</v>
      </c>
    </row>
    <row r="1185" spans="1:27" x14ac:dyDescent="0.2">
      <c r="A1185">
        <v>20</v>
      </c>
      <c r="B1185">
        <v>2</v>
      </c>
      <c r="C1185">
        <v>0.1</v>
      </c>
      <c r="D1185">
        <v>100</v>
      </c>
      <c r="E1185">
        <v>1.1373255930991599</v>
      </c>
      <c r="F1185">
        <v>2</v>
      </c>
      <c r="G1185">
        <v>29.315114570999999</v>
      </c>
      <c r="H1185">
        <v>1.0411988103769301</v>
      </c>
      <c r="I1185">
        <v>2</v>
      </c>
      <c r="J1185">
        <v>0.89169382799999997</v>
      </c>
      <c r="P1185"/>
      <c r="V1185">
        <v>1.1558644934951301</v>
      </c>
      <c r="W1185">
        <v>2</v>
      </c>
      <c r="X1185">
        <v>300924.47680675797</v>
      </c>
      <c r="Y1185">
        <v>4451</v>
      </c>
      <c r="Z1185">
        <v>1.49345824599389E-3</v>
      </c>
      <c r="AA1185">
        <v>50</v>
      </c>
    </row>
    <row r="1186" spans="1:27" x14ac:dyDescent="0.2">
      <c r="A1186">
        <v>30</v>
      </c>
      <c r="B1186">
        <v>2</v>
      </c>
      <c r="C1186">
        <v>0.1</v>
      </c>
      <c r="D1186">
        <v>100</v>
      </c>
      <c r="E1186">
        <v>0.90014171702852697</v>
      </c>
      <c r="F1186">
        <v>2</v>
      </c>
      <c r="G1186">
        <v>30.846686638000001</v>
      </c>
      <c r="H1186">
        <v>0.78757084139139599</v>
      </c>
      <c r="I1186">
        <v>2</v>
      </c>
      <c r="J1186">
        <v>1.37195351</v>
      </c>
      <c r="P1186"/>
      <c r="V1186">
        <v>0.79512494460027505</v>
      </c>
      <c r="W1186">
        <v>2</v>
      </c>
      <c r="X1186">
        <v>297452.984994767</v>
      </c>
      <c r="Y1186">
        <v>14</v>
      </c>
      <c r="Z1186">
        <v>8.2114119963129395E-2</v>
      </c>
      <c r="AA1186">
        <v>50</v>
      </c>
    </row>
    <row r="1187" spans="1:27" x14ac:dyDescent="0.2">
      <c r="A1187">
        <v>20</v>
      </c>
      <c r="B1187">
        <v>2</v>
      </c>
      <c r="C1187">
        <v>0.2</v>
      </c>
      <c r="D1187">
        <v>100</v>
      </c>
      <c r="E1187">
        <v>1.02601188681432</v>
      </c>
      <c r="F1187">
        <v>2</v>
      </c>
      <c r="G1187">
        <v>30.347206925999998</v>
      </c>
      <c r="H1187">
        <v>0.80638264676635196</v>
      </c>
      <c r="I1187">
        <v>2</v>
      </c>
      <c r="J1187">
        <v>0.90028822399999997</v>
      </c>
      <c r="P1187"/>
      <c r="V1187">
        <v>0.81223176358758797</v>
      </c>
      <c r="W1187">
        <v>2</v>
      </c>
      <c r="X1187">
        <v>301425.95257718</v>
      </c>
      <c r="Y1187">
        <v>2573</v>
      </c>
      <c r="Z1187">
        <v>0.13578848556038201</v>
      </c>
      <c r="AA1187">
        <v>50</v>
      </c>
    </row>
    <row r="1188" spans="1:27" x14ac:dyDescent="0.2">
      <c r="A1188">
        <v>30</v>
      </c>
      <c r="B1188">
        <v>2</v>
      </c>
      <c r="C1188">
        <v>0.1</v>
      </c>
      <c r="D1188">
        <v>100</v>
      </c>
      <c r="E1188">
        <v>1.0583236509081899</v>
      </c>
      <c r="F1188">
        <v>2</v>
      </c>
      <c r="G1188">
        <v>30.310275094000001</v>
      </c>
      <c r="H1188">
        <v>0.801257082448256</v>
      </c>
      <c r="I1188">
        <v>2</v>
      </c>
      <c r="J1188">
        <v>1.3275846010000001</v>
      </c>
      <c r="P1188"/>
      <c r="V1188">
        <v>1.1036331464367399</v>
      </c>
      <c r="W1188">
        <v>2</v>
      </c>
      <c r="X1188">
        <v>297437.42658834998</v>
      </c>
      <c r="Y1188">
        <v>73</v>
      </c>
      <c r="Z1188">
        <v>5.2112713655421201E-2</v>
      </c>
      <c r="AA1188">
        <v>50</v>
      </c>
    </row>
    <row r="1189" spans="1:27" x14ac:dyDescent="0.2">
      <c r="A1189">
        <v>30</v>
      </c>
      <c r="B1189">
        <v>2</v>
      </c>
      <c r="C1189">
        <v>0.1</v>
      </c>
      <c r="D1189">
        <v>100</v>
      </c>
      <c r="E1189">
        <v>0.93354957443285702</v>
      </c>
      <c r="F1189">
        <v>2</v>
      </c>
      <c r="G1189">
        <v>25.557907154999999</v>
      </c>
      <c r="H1189">
        <v>0.93582650815606805</v>
      </c>
      <c r="I1189">
        <v>2</v>
      </c>
      <c r="J1189">
        <v>1.2003697310000001</v>
      </c>
      <c r="P1189"/>
      <c r="V1189">
        <v>0.93985979974301703</v>
      </c>
      <c r="W1189">
        <v>2</v>
      </c>
      <c r="X1189">
        <v>294419.98461076798</v>
      </c>
      <c r="Y1189">
        <v>36</v>
      </c>
      <c r="Z1189">
        <v>6.0637338719617302E-2</v>
      </c>
      <c r="AA1189">
        <v>50</v>
      </c>
    </row>
    <row r="1190" spans="1:27" x14ac:dyDescent="0.2">
      <c r="A1190">
        <v>30</v>
      </c>
      <c r="B1190">
        <v>2</v>
      </c>
      <c r="C1190">
        <v>0.2</v>
      </c>
      <c r="D1190">
        <v>100</v>
      </c>
      <c r="E1190">
        <v>0.225109852596827</v>
      </c>
      <c r="F1190">
        <v>2</v>
      </c>
      <c r="G1190">
        <v>25.680893351999998</v>
      </c>
      <c r="H1190">
        <v>6.8268835124702998E-2</v>
      </c>
      <c r="I1190">
        <v>2</v>
      </c>
      <c r="J1190">
        <v>0.57015662499999997</v>
      </c>
      <c r="P1190"/>
      <c r="V1190">
        <v>5.7003588371618903E-2</v>
      </c>
      <c r="W1190">
        <v>2</v>
      </c>
      <c r="X1190">
        <v>299607.70365664898</v>
      </c>
      <c r="Y1190">
        <v>39</v>
      </c>
      <c r="Z1190">
        <v>0.72863289810265996</v>
      </c>
      <c r="AA1190">
        <v>50</v>
      </c>
    </row>
    <row r="1191" spans="1:27" x14ac:dyDescent="0.2">
      <c r="A1191">
        <v>30</v>
      </c>
      <c r="B1191">
        <v>2</v>
      </c>
      <c r="C1191">
        <v>0.1</v>
      </c>
      <c r="D1191">
        <v>100</v>
      </c>
      <c r="E1191">
        <v>1.7263109817003699</v>
      </c>
      <c r="F1191">
        <v>2</v>
      </c>
      <c r="G1191">
        <v>28.235421445</v>
      </c>
      <c r="H1191">
        <v>1.05482349620953</v>
      </c>
      <c r="I1191">
        <v>2</v>
      </c>
      <c r="J1191">
        <v>1.19651252</v>
      </c>
      <c r="P1191"/>
      <c r="V1191">
        <v>1.05690346785612</v>
      </c>
      <c r="W1191">
        <v>2</v>
      </c>
      <c r="X1191">
        <v>296828.00494389201</v>
      </c>
      <c r="Y1191">
        <v>40</v>
      </c>
      <c r="Z1191">
        <v>0.19173512992529099</v>
      </c>
      <c r="AA1191">
        <v>50</v>
      </c>
    </row>
    <row r="1192" spans="1:27" x14ac:dyDescent="0.2">
      <c r="A1192">
        <v>20</v>
      </c>
      <c r="B1192">
        <v>2</v>
      </c>
      <c r="C1192">
        <v>0.1</v>
      </c>
      <c r="D1192">
        <v>100</v>
      </c>
      <c r="E1192">
        <v>0.87032882154214897</v>
      </c>
      <c r="F1192">
        <v>2</v>
      </c>
      <c r="G1192">
        <v>24.936859520999999</v>
      </c>
      <c r="H1192">
        <v>0.86878538102710501</v>
      </c>
      <c r="I1192">
        <v>2</v>
      </c>
      <c r="J1192">
        <v>0.53930414699999996</v>
      </c>
      <c r="P1192"/>
      <c r="V1192">
        <v>0.95018498374041804</v>
      </c>
      <c r="W1192">
        <v>2</v>
      </c>
      <c r="X1192">
        <v>304341.16341955302</v>
      </c>
      <c r="Y1192">
        <v>4316</v>
      </c>
      <c r="Z1192">
        <v>1.39783672675102E-2</v>
      </c>
      <c r="AA1192">
        <v>50</v>
      </c>
    </row>
    <row r="1193" spans="1:27" x14ac:dyDescent="0.2">
      <c r="A1193">
        <v>20</v>
      </c>
      <c r="B1193">
        <v>2</v>
      </c>
      <c r="C1193">
        <v>0.2</v>
      </c>
      <c r="D1193">
        <v>100</v>
      </c>
      <c r="E1193">
        <v>0.61971384770821203</v>
      </c>
      <c r="F1193">
        <v>2</v>
      </c>
      <c r="G1193">
        <v>31.357638991000002</v>
      </c>
      <c r="H1193">
        <v>0.47460300985446502</v>
      </c>
      <c r="I1193">
        <v>2</v>
      </c>
      <c r="J1193">
        <v>0.70471393500000001</v>
      </c>
      <c r="P1193"/>
      <c r="V1193">
        <v>0.46835446797883101</v>
      </c>
      <c r="W1193">
        <v>2</v>
      </c>
      <c r="X1193">
        <v>302922.25384213403</v>
      </c>
      <c r="Y1193">
        <v>2480</v>
      </c>
      <c r="Z1193">
        <v>0.13888362701778101</v>
      </c>
      <c r="AA1193">
        <v>50</v>
      </c>
    </row>
    <row r="1194" spans="1:27" x14ac:dyDescent="0.2">
      <c r="A1194">
        <v>30</v>
      </c>
      <c r="B1194">
        <v>2</v>
      </c>
      <c r="C1194">
        <v>0.1</v>
      </c>
      <c r="D1194">
        <v>100</v>
      </c>
      <c r="E1194">
        <v>1.0034377802662799</v>
      </c>
      <c r="F1194">
        <v>2</v>
      </c>
      <c r="G1194">
        <v>32.450063749000002</v>
      </c>
      <c r="H1194">
        <v>0.93806702763694905</v>
      </c>
      <c r="I1194">
        <v>2</v>
      </c>
      <c r="J1194">
        <v>1.461806642</v>
      </c>
      <c r="P1194"/>
      <c r="V1194">
        <v>0.93993749840278096</v>
      </c>
      <c r="W1194">
        <v>2</v>
      </c>
      <c r="X1194">
        <v>303433.51834912202</v>
      </c>
      <c r="Y1194">
        <v>5</v>
      </c>
      <c r="Z1194">
        <v>3.4683636042882902E-2</v>
      </c>
      <c r="AA1194">
        <v>50</v>
      </c>
    </row>
    <row r="1195" spans="1:27" x14ac:dyDescent="0.2">
      <c r="A1195">
        <v>30</v>
      </c>
      <c r="B1195">
        <v>2</v>
      </c>
      <c r="C1195">
        <v>0.2</v>
      </c>
      <c r="D1195">
        <v>100</v>
      </c>
      <c r="E1195">
        <v>0.47495626145214498</v>
      </c>
      <c r="F1195">
        <v>2</v>
      </c>
      <c r="G1195">
        <v>31.692052950000001</v>
      </c>
      <c r="H1195">
        <v>0.28480190037722602</v>
      </c>
      <c r="I1195">
        <v>2</v>
      </c>
      <c r="J1195">
        <v>0.91080694699999998</v>
      </c>
      <c r="P1195"/>
      <c r="V1195">
        <v>0.27559830435042298</v>
      </c>
      <c r="W1195">
        <v>2</v>
      </c>
      <c r="X1195">
        <v>304097.33748585102</v>
      </c>
      <c r="Y1195">
        <v>3</v>
      </c>
      <c r="Z1195">
        <v>0.76212414259768302</v>
      </c>
      <c r="AA1195">
        <v>50</v>
      </c>
    </row>
    <row r="1196" spans="1:27" x14ac:dyDescent="0.2">
      <c r="A1196">
        <v>30</v>
      </c>
      <c r="B1196">
        <v>2</v>
      </c>
      <c r="C1196">
        <v>0.1</v>
      </c>
      <c r="D1196">
        <v>100</v>
      </c>
      <c r="E1196">
        <v>1.0570389963276801</v>
      </c>
      <c r="F1196">
        <v>2</v>
      </c>
      <c r="G1196">
        <v>26.084993900000001</v>
      </c>
      <c r="H1196">
        <v>0.97629297119254999</v>
      </c>
      <c r="I1196">
        <v>2</v>
      </c>
      <c r="J1196">
        <v>1.2006057590000001</v>
      </c>
      <c r="P1196"/>
      <c r="V1196">
        <v>0.97917992357210804</v>
      </c>
      <c r="W1196">
        <v>2</v>
      </c>
      <c r="X1196">
        <v>300719.11512099497</v>
      </c>
      <c r="Y1196">
        <v>61</v>
      </c>
      <c r="Z1196">
        <v>8.1564973064814694E-2</v>
      </c>
      <c r="AA1196">
        <v>50</v>
      </c>
    </row>
    <row r="1197" spans="1:27" x14ac:dyDescent="0.2">
      <c r="A1197">
        <v>30</v>
      </c>
      <c r="B1197">
        <v>2</v>
      </c>
      <c r="C1197">
        <v>0.3</v>
      </c>
      <c r="D1197">
        <v>100</v>
      </c>
      <c r="E1197">
        <v>0.27770802960045299</v>
      </c>
      <c r="F1197">
        <v>2</v>
      </c>
      <c r="G1197">
        <v>31.533315808000001</v>
      </c>
      <c r="H1197">
        <v>0.18402990150426901</v>
      </c>
      <c r="I1197">
        <v>2</v>
      </c>
      <c r="J1197">
        <v>0.56860925799999995</v>
      </c>
      <c r="P1197"/>
      <c r="V1197">
        <v>0.18236218471377799</v>
      </c>
      <c r="W1197">
        <v>2</v>
      </c>
      <c r="X1197">
        <v>304724.83217095101</v>
      </c>
      <c r="Y1197">
        <v>1</v>
      </c>
      <c r="Z1197">
        <v>1.04225895836766</v>
      </c>
      <c r="AA1197">
        <v>50</v>
      </c>
    </row>
    <row r="1198" spans="1:27" x14ac:dyDescent="0.2">
      <c r="A1198">
        <v>30</v>
      </c>
      <c r="B1198">
        <v>2</v>
      </c>
      <c r="C1198">
        <v>0.3</v>
      </c>
      <c r="D1198">
        <v>100</v>
      </c>
      <c r="E1198">
        <v>0.10494575838320799</v>
      </c>
      <c r="F1198">
        <v>2</v>
      </c>
      <c r="G1198">
        <v>31.261118221</v>
      </c>
      <c r="H1198">
        <v>2.5440677371828601E-2</v>
      </c>
      <c r="I1198">
        <v>2</v>
      </c>
      <c r="J1198">
        <v>0.39616069900000001</v>
      </c>
      <c r="P1198"/>
      <c r="V1198">
        <v>2.0858065750882299E-2</v>
      </c>
      <c r="W1198">
        <v>2</v>
      </c>
      <c r="X1198">
        <v>305626.446267388</v>
      </c>
      <c r="Y1198">
        <v>1</v>
      </c>
      <c r="Z1198">
        <v>0.87662630499893801</v>
      </c>
      <c r="AA1198">
        <v>50</v>
      </c>
    </row>
    <row r="1199" spans="1:27" x14ac:dyDescent="0.2">
      <c r="A1199">
        <v>30</v>
      </c>
      <c r="B1199">
        <v>2</v>
      </c>
      <c r="C1199">
        <v>0.1</v>
      </c>
      <c r="D1199">
        <v>100</v>
      </c>
      <c r="E1199">
        <v>1.01311359043132</v>
      </c>
      <c r="F1199">
        <v>2</v>
      </c>
      <c r="G1199">
        <v>31.155451348</v>
      </c>
      <c r="H1199">
        <v>0.92063938900099795</v>
      </c>
      <c r="I1199">
        <v>2</v>
      </c>
      <c r="J1199">
        <v>1.375105649</v>
      </c>
      <c r="P1199"/>
      <c r="V1199">
        <v>0.92404168402173004</v>
      </c>
      <c r="W1199">
        <v>2</v>
      </c>
      <c r="X1199">
        <v>303447.58066768397</v>
      </c>
      <c r="Y1199">
        <v>627</v>
      </c>
      <c r="Z1199">
        <v>3.9396999894511502E-2</v>
      </c>
      <c r="AA1199">
        <v>50</v>
      </c>
    </row>
    <row r="1200" spans="1:27" x14ac:dyDescent="0.2">
      <c r="A1200">
        <v>30</v>
      </c>
      <c r="B1200">
        <v>2</v>
      </c>
      <c r="C1200">
        <v>0.1</v>
      </c>
      <c r="D1200">
        <v>100</v>
      </c>
      <c r="E1200">
        <v>0.93047851697999495</v>
      </c>
      <c r="F1200">
        <v>2</v>
      </c>
      <c r="G1200">
        <v>30.696637601999999</v>
      </c>
      <c r="H1200">
        <v>0.82441174445618204</v>
      </c>
      <c r="I1200">
        <v>2</v>
      </c>
      <c r="J1200">
        <v>1.368265989</v>
      </c>
      <c r="P1200"/>
      <c r="V1200">
        <v>0.82645483853436197</v>
      </c>
      <c r="W1200">
        <v>2</v>
      </c>
      <c r="X1200">
        <v>300715.52231069002</v>
      </c>
      <c r="Y1200">
        <v>249</v>
      </c>
      <c r="Z1200">
        <v>0.21445961744393499</v>
      </c>
      <c r="AA1200">
        <v>50</v>
      </c>
    </row>
    <row r="1201" spans="1:27" x14ac:dyDescent="0.2">
      <c r="A1201">
        <v>30</v>
      </c>
      <c r="B1201">
        <v>2</v>
      </c>
      <c r="C1201">
        <v>0.3</v>
      </c>
      <c r="D1201">
        <v>100</v>
      </c>
      <c r="E1201">
        <v>0.22801919617340599</v>
      </c>
      <c r="F1201">
        <v>2</v>
      </c>
      <c r="G1201">
        <v>37.139758497999999</v>
      </c>
      <c r="H1201">
        <v>5.6894256330918602E-2</v>
      </c>
      <c r="I1201">
        <v>2</v>
      </c>
      <c r="J1201">
        <v>0.59743542400000005</v>
      </c>
      <c r="P1201"/>
      <c r="V1201">
        <v>5.06283024856721E-2</v>
      </c>
      <c r="W1201">
        <v>2</v>
      </c>
      <c r="X1201">
        <v>301159.32450135</v>
      </c>
      <c r="Y1201">
        <v>1</v>
      </c>
      <c r="Z1201">
        <v>0.79555397490273205</v>
      </c>
      <c r="AA1201">
        <v>50</v>
      </c>
    </row>
    <row r="1202" spans="1:27" x14ac:dyDescent="0.2">
      <c r="A1202">
        <v>30</v>
      </c>
      <c r="B1202">
        <v>2</v>
      </c>
      <c r="C1202">
        <v>0.2</v>
      </c>
      <c r="D1202">
        <v>100</v>
      </c>
      <c r="E1202">
        <v>0.47548773557004098</v>
      </c>
      <c r="F1202">
        <v>2</v>
      </c>
      <c r="G1202">
        <v>31.301377379000002</v>
      </c>
      <c r="H1202">
        <v>0.20845354233326899</v>
      </c>
      <c r="I1202">
        <v>2</v>
      </c>
      <c r="J1202">
        <v>0.980277332</v>
      </c>
      <c r="P1202"/>
      <c r="V1202">
        <v>0.18561865258635299</v>
      </c>
      <c r="W1202">
        <v>2</v>
      </c>
      <c r="X1202">
        <v>300503.87258520501</v>
      </c>
      <c r="Y1202">
        <v>6</v>
      </c>
      <c r="Z1202">
        <v>0.75811061155833304</v>
      </c>
      <c r="AA1202">
        <v>50</v>
      </c>
    </row>
    <row r="1203" spans="1:27" x14ac:dyDescent="0.2">
      <c r="A1203">
        <v>30</v>
      </c>
      <c r="B1203">
        <v>2</v>
      </c>
      <c r="C1203">
        <v>0.1</v>
      </c>
      <c r="D1203">
        <v>100</v>
      </c>
      <c r="E1203">
        <v>1.2694914251170299</v>
      </c>
      <c r="F1203">
        <v>2</v>
      </c>
      <c r="G1203">
        <v>31.668433238999999</v>
      </c>
      <c r="H1203">
        <v>0.93762325960384496</v>
      </c>
      <c r="I1203">
        <v>2</v>
      </c>
      <c r="J1203">
        <v>1.37728472</v>
      </c>
      <c r="P1203"/>
      <c r="V1203">
        <v>0.93889579146179303</v>
      </c>
      <c r="W1203">
        <v>2</v>
      </c>
      <c r="X1203">
        <v>301930.49084346998</v>
      </c>
      <c r="Y1203">
        <v>96</v>
      </c>
      <c r="Z1203">
        <v>8.8760946186084697E-2</v>
      </c>
      <c r="AA1203">
        <v>50</v>
      </c>
    </row>
    <row r="1204" spans="1:27" x14ac:dyDescent="0.2">
      <c r="A1204">
        <v>30</v>
      </c>
      <c r="B1204">
        <v>2</v>
      </c>
      <c r="C1204">
        <v>0.3</v>
      </c>
      <c r="D1204">
        <v>100</v>
      </c>
      <c r="E1204">
        <v>5.18407607731858E-2</v>
      </c>
      <c r="F1204">
        <v>2</v>
      </c>
      <c r="G1204">
        <v>30.842974246000001</v>
      </c>
      <c r="H1204">
        <v>3.29292867654499E-2</v>
      </c>
      <c r="I1204">
        <v>2</v>
      </c>
      <c r="J1204">
        <v>0.34173631100000001</v>
      </c>
      <c r="P1204"/>
      <c r="V1204">
        <v>2.7493683509965498E-2</v>
      </c>
      <c r="W1204">
        <v>2</v>
      </c>
      <c r="X1204">
        <v>305310.86210098799</v>
      </c>
      <c r="Y1204">
        <v>1</v>
      </c>
      <c r="Z1204">
        <v>0.94530688536586305</v>
      </c>
      <c r="AA1204">
        <v>50</v>
      </c>
    </row>
    <row r="1205" spans="1:27" x14ac:dyDescent="0.2">
      <c r="A1205">
        <v>30</v>
      </c>
      <c r="B1205">
        <v>2</v>
      </c>
      <c r="C1205">
        <v>0.2</v>
      </c>
      <c r="D1205">
        <v>100</v>
      </c>
      <c r="E1205">
        <v>0.48260882897769602</v>
      </c>
      <c r="F1205">
        <v>2</v>
      </c>
      <c r="G1205">
        <v>32.239981016999998</v>
      </c>
      <c r="H1205">
        <v>0.13372704733763299</v>
      </c>
      <c r="I1205">
        <v>2</v>
      </c>
      <c r="J1205">
        <v>1.262683207</v>
      </c>
      <c r="P1205"/>
      <c r="V1205">
        <v>0.127357557911739</v>
      </c>
      <c r="W1205">
        <v>2</v>
      </c>
      <c r="X1205">
        <v>305317.84095648502</v>
      </c>
      <c r="Y1205">
        <v>15</v>
      </c>
      <c r="Z1205">
        <v>0.34155955428695201</v>
      </c>
      <c r="AA1205">
        <v>50</v>
      </c>
    </row>
    <row r="1206" spans="1:27" x14ac:dyDescent="0.2">
      <c r="A1206">
        <v>30</v>
      </c>
      <c r="B1206">
        <v>3</v>
      </c>
      <c r="C1206">
        <v>0.2</v>
      </c>
      <c r="D1206">
        <v>20</v>
      </c>
      <c r="E1206">
        <v>0.67783787892249003</v>
      </c>
      <c r="F1206">
        <v>3</v>
      </c>
      <c r="G1206">
        <v>31.866929133999999</v>
      </c>
      <c r="H1206">
        <v>0.55519186368214002</v>
      </c>
      <c r="I1206">
        <v>3</v>
      </c>
      <c r="J1206">
        <v>1.6886277940000001</v>
      </c>
      <c r="P1206"/>
      <c r="V1206">
        <v>0.54899339014737902</v>
      </c>
      <c r="W1206">
        <v>3</v>
      </c>
      <c r="X1206">
        <v>306448.299133708</v>
      </c>
      <c r="Y1206">
        <v>1</v>
      </c>
      <c r="Z1206">
        <v>5.4894936198958497</v>
      </c>
      <c r="AA1206">
        <v>50</v>
      </c>
    </row>
    <row r="1207" spans="1:27" x14ac:dyDescent="0.2">
      <c r="A1207">
        <v>30</v>
      </c>
      <c r="B1207">
        <v>3</v>
      </c>
      <c r="C1207">
        <v>0.3</v>
      </c>
      <c r="D1207">
        <v>20</v>
      </c>
      <c r="E1207">
        <v>0.40836143475304099</v>
      </c>
      <c r="F1207">
        <v>3</v>
      </c>
      <c r="G1207">
        <v>30.104646573</v>
      </c>
      <c r="H1207">
        <v>0.27277044615481499</v>
      </c>
      <c r="I1207">
        <v>3</v>
      </c>
      <c r="J1207">
        <v>0.97362027299999998</v>
      </c>
      <c r="P1207"/>
      <c r="V1207">
        <v>0.25458670945069001</v>
      </c>
      <c r="W1207">
        <v>3</v>
      </c>
      <c r="X1207">
        <v>304391.99476581003</v>
      </c>
      <c r="Y1207">
        <v>1</v>
      </c>
      <c r="Z1207">
        <v>11.3913819690144</v>
      </c>
      <c r="AA1207">
        <v>50</v>
      </c>
    </row>
    <row r="1208" spans="1:27" x14ac:dyDescent="0.2">
      <c r="A1208" s="4">
        <v>30</v>
      </c>
      <c r="B1208" s="4">
        <v>1</v>
      </c>
      <c r="C1208" s="4">
        <v>0.3</v>
      </c>
      <c r="D1208" s="4">
        <v>20</v>
      </c>
      <c r="E1208" s="4">
        <v>5.6723959999999997E-2</v>
      </c>
      <c r="F1208" s="4">
        <v>1</v>
      </c>
      <c r="G1208" s="4">
        <v>30.3288315</v>
      </c>
      <c r="H1208" s="4">
        <v>7.239785E-2</v>
      </c>
      <c r="I1208" s="4">
        <v>1</v>
      </c>
      <c r="J1208" s="4">
        <v>0.23491603</v>
      </c>
      <c r="K1208" s="4"/>
      <c r="L1208" s="4"/>
      <c r="M1208" s="4"/>
      <c r="N1208" s="4"/>
      <c r="O1208" s="4"/>
      <c r="P1208" s="4"/>
      <c r="Q1208" s="4"/>
      <c r="R1208" s="4"/>
      <c r="S1208" s="4"/>
      <c r="T1208" s="4"/>
      <c r="U1208" s="4"/>
      <c r="V1208" s="4">
        <v>4.9882709999999997E-2</v>
      </c>
      <c r="W1208" s="4">
        <v>1</v>
      </c>
      <c r="X1208" s="4">
        <v>1693.91497</v>
      </c>
      <c r="Y1208" s="4">
        <v>153</v>
      </c>
      <c r="Z1208" s="4">
        <v>9.3296999999999998E-4</v>
      </c>
      <c r="AA1208" s="4">
        <v>7</v>
      </c>
    </row>
    <row r="1209" spans="1:27" x14ac:dyDescent="0.2">
      <c r="A1209">
        <v>30</v>
      </c>
      <c r="B1209">
        <v>2</v>
      </c>
      <c r="C1209">
        <v>0.3</v>
      </c>
      <c r="D1209">
        <v>100</v>
      </c>
      <c r="E1209">
        <v>0.243173837132237</v>
      </c>
      <c r="F1209">
        <v>2</v>
      </c>
      <c r="G1209">
        <v>25.109872672000002</v>
      </c>
      <c r="H1209">
        <v>6.70327293333524E-2</v>
      </c>
      <c r="I1209">
        <v>2</v>
      </c>
      <c r="J1209">
        <v>0.587029778</v>
      </c>
      <c r="P1209"/>
      <c r="V1209">
        <v>5.7219724071917298E-2</v>
      </c>
      <c r="W1209">
        <v>2</v>
      </c>
      <c r="X1209">
        <v>305637.67559696297</v>
      </c>
      <c r="Y1209">
        <v>1</v>
      </c>
      <c r="Z1209">
        <v>1.14849164985131</v>
      </c>
      <c r="AA1209">
        <v>50</v>
      </c>
    </row>
    <row r="1210" spans="1:27" x14ac:dyDescent="0.2">
      <c r="A1210">
        <v>30</v>
      </c>
      <c r="B1210">
        <v>2</v>
      </c>
      <c r="C1210">
        <v>0.3</v>
      </c>
      <c r="D1210">
        <v>100</v>
      </c>
      <c r="E1210">
        <v>0.110764616955926</v>
      </c>
      <c r="F1210">
        <v>2</v>
      </c>
      <c r="G1210">
        <v>31.064841348000002</v>
      </c>
      <c r="H1210">
        <v>2.93044803256724E-2</v>
      </c>
      <c r="I1210">
        <v>2</v>
      </c>
      <c r="J1210">
        <v>0.42942727800000002</v>
      </c>
      <c r="P1210"/>
      <c r="V1210">
        <v>2.2903241627428999E-2</v>
      </c>
      <c r="W1210">
        <v>2</v>
      </c>
      <c r="X1210">
        <v>303231.880123362</v>
      </c>
      <c r="Y1210">
        <v>1</v>
      </c>
      <c r="Z1210">
        <v>1.3002151053073101</v>
      </c>
      <c r="AA1210">
        <v>50</v>
      </c>
    </row>
    <row r="1211" spans="1:27" x14ac:dyDescent="0.2">
      <c r="A1211">
        <v>30</v>
      </c>
      <c r="B1211">
        <v>2</v>
      </c>
      <c r="C1211">
        <v>0.2</v>
      </c>
      <c r="D1211">
        <v>100</v>
      </c>
      <c r="E1211">
        <v>0.362521143193759</v>
      </c>
      <c r="F1211">
        <v>2</v>
      </c>
      <c r="G1211">
        <v>29.194657185000001</v>
      </c>
      <c r="H1211">
        <v>0.17847000046797301</v>
      </c>
      <c r="I1211">
        <v>2</v>
      </c>
      <c r="J1211">
        <v>0.754327521</v>
      </c>
      <c r="P1211"/>
      <c r="V1211">
        <v>0.17345080508013599</v>
      </c>
      <c r="W1211">
        <v>2</v>
      </c>
      <c r="X1211">
        <v>304409.495476301</v>
      </c>
      <c r="Y1211">
        <v>14</v>
      </c>
      <c r="Z1211">
        <v>0.65536473193899702</v>
      </c>
      <c r="AA1211">
        <v>50</v>
      </c>
    </row>
    <row r="1212" spans="1:27" x14ac:dyDescent="0.2">
      <c r="A1212">
        <v>30</v>
      </c>
      <c r="B1212">
        <v>2</v>
      </c>
      <c r="C1212">
        <v>0.3</v>
      </c>
      <c r="D1212">
        <v>100</v>
      </c>
      <c r="E1212">
        <v>0.24147975996627499</v>
      </c>
      <c r="F1212">
        <v>2</v>
      </c>
      <c r="G1212">
        <v>31.627031712000001</v>
      </c>
      <c r="H1212">
        <v>7.03248575109581E-2</v>
      </c>
      <c r="I1212">
        <v>2</v>
      </c>
      <c r="J1212">
        <v>0.47418617899999999</v>
      </c>
      <c r="P1212"/>
      <c r="V1212">
        <v>6.0903429933607603E-2</v>
      </c>
      <c r="W1212">
        <v>2</v>
      </c>
      <c r="X1212">
        <v>303851.66067122901</v>
      </c>
      <c r="Y1212">
        <v>1</v>
      </c>
      <c r="Z1212">
        <v>0.86788718750129701</v>
      </c>
      <c r="AA1212">
        <v>50</v>
      </c>
    </row>
    <row r="1213" spans="1:27" x14ac:dyDescent="0.2">
      <c r="A1213">
        <v>30</v>
      </c>
      <c r="B1213">
        <v>2</v>
      </c>
      <c r="C1213">
        <v>0.2</v>
      </c>
      <c r="D1213">
        <v>100</v>
      </c>
      <c r="E1213">
        <v>0.54444898901209104</v>
      </c>
      <c r="F1213">
        <v>2</v>
      </c>
      <c r="G1213">
        <v>25.294619778000001</v>
      </c>
      <c r="H1213">
        <v>0.21211998606808899</v>
      </c>
      <c r="I1213">
        <v>2</v>
      </c>
      <c r="J1213">
        <v>0.892208899</v>
      </c>
      <c r="P1213"/>
      <c r="V1213">
        <v>0.20178613974675499</v>
      </c>
      <c r="W1213">
        <v>2</v>
      </c>
      <c r="X1213">
        <v>303202.59990815801</v>
      </c>
      <c r="Y1213">
        <v>1</v>
      </c>
      <c r="Z1213">
        <v>0.63389213933966204</v>
      </c>
      <c r="AA1213">
        <v>50</v>
      </c>
    </row>
    <row r="1214" spans="1:27" x14ac:dyDescent="0.2">
      <c r="A1214">
        <v>30</v>
      </c>
      <c r="B1214">
        <v>2</v>
      </c>
      <c r="C1214">
        <v>0.3</v>
      </c>
      <c r="D1214">
        <v>100</v>
      </c>
      <c r="E1214">
        <v>1.7775271492995501E-2</v>
      </c>
      <c r="F1214">
        <v>2</v>
      </c>
      <c r="G1214">
        <v>26.149233633000001</v>
      </c>
      <c r="H1214">
        <v>1.9635569940544901E-2</v>
      </c>
      <c r="I1214">
        <v>2</v>
      </c>
      <c r="J1214">
        <v>0.12226605</v>
      </c>
      <c r="P1214"/>
      <c r="V1214">
        <v>1.4491247932605001E-2</v>
      </c>
      <c r="W1214">
        <v>2</v>
      </c>
      <c r="X1214">
        <v>305035.94210334</v>
      </c>
      <c r="Y1214">
        <v>1</v>
      </c>
      <c r="Z1214">
        <v>0.66839760930283698</v>
      </c>
      <c r="AA1214">
        <v>50</v>
      </c>
    </row>
    <row r="1215" spans="1:27" x14ac:dyDescent="0.2">
      <c r="A1215">
        <v>30</v>
      </c>
      <c r="B1215">
        <v>2</v>
      </c>
      <c r="C1215">
        <v>0.1</v>
      </c>
      <c r="D1215">
        <v>100</v>
      </c>
      <c r="E1215">
        <v>1.0717626220501599</v>
      </c>
      <c r="F1215">
        <v>2</v>
      </c>
      <c r="G1215">
        <v>30.780145027</v>
      </c>
      <c r="H1215">
        <v>0.90490788005077005</v>
      </c>
      <c r="I1215">
        <v>2</v>
      </c>
      <c r="J1215">
        <v>1.3624853589999999</v>
      </c>
      <c r="P1215"/>
      <c r="V1215">
        <v>0.906503382228808</v>
      </c>
      <c r="W1215">
        <v>2</v>
      </c>
      <c r="X1215">
        <v>304645.25992198201</v>
      </c>
      <c r="Y1215">
        <v>72</v>
      </c>
      <c r="Z1215">
        <v>3.3078416996662301E-2</v>
      </c>
      <c r="AA1215">
        <v>50</v>
      </c>
    </row>
    <row r="1216" spans="1:27" x14ac:dyDescent="0.2">
      <c r="A1216">
        <v>30</v>
      </c>
      <c r="B1216">
        <v>2</v>
      </c>
      <c r="C1216">
        <v>0.2</v>
      </c>
      <c r="D1216">
        <v>100</v>
      </c>
      <c r="E1216">
        <v>0.43446038561420902</v>
      </c>
      <c r="F1216">
        <v>2</v>
      </c>
      <c r="G1216">
        <v>31.953535806000001</v>
      </c>
      <c r="H1216">
        <v>0.23243431505651899</v>
      </c>
      <c r="I1216">
        <v>2</v>
      </c>
      <c r="J1216">
        <v>0.94078618300000005</v>
      </c>
      <c r="P1216"/>
      <c r="V1216">
        <v>0.22942102935613001</v>
      </c>
      <c r="W1216">
        <v>2</v>
      </c>
      <c r="X1216">
        <v>304407.80938625598</v>
      </c>
      <c r="Y1216">
        <v>1</v>
      </c>
      <c r="Z1216">
        <v>0.83336740078844695</v>
      </c>
      <c r="AA1216">
        <v>50</v>
      </c>
    </row>
    <row r="1217" spans="1:27" x14ac:dyDescent="0.2">
      <c r="A1217">
        <v>30</v>
      </c>
      <c r="B1217">
        <v>2</v>
      </c>
      <c r="C1217">
        <v>0.2</v>
      </c>
      <c r="D1217">
        <v>100</v>
      </c>
      <c r="E1217">
        <v>0.38236103333899102</v>
      </c>
      <c r="F1217">
        <v>2</v>
      </c>
      <c r="G1217">
        <v>30.514895598999999</v>
      </c>
      <c r="H1217">
        <v>0.16609293994372501</v>
      </c>
      <c r="I1217">
        <v>2</v>
      </c>
      <c r="J1217">
        <v>1.1405607280000001</v>
      </c>
      <c r="P1217"/>
      <c r="V1217">
        <v>0.131281245434021</v>
      </c>
      <c r="W1217">
        <v>2</v>
      </c>
      <c r="X1217">
        <v>307689.390920476</v>
      </c>
      <c r="Y1217">
        <v>1</v>
      </c>
      <c r="Z1217">
        <v>0.81517029283452103</v>
      </c>
      <c r="AA1217">
        <v>50</v>
      </c>
    </row>
    <row r="1218" spans="1:27" x14ac:dyDescent="0.2">
      <c r="A1218">
        <v>30</v>
      </c>
      <c r="B1218">
        <v>2</v>
      </c>
      <c r="C1218">
        <v>0.2</v>
      </c>
      <c r="D1218">
        <v>100</v>
      </c>
      <c r="E1218">
        <v>0.31836110253026201</v>
      </c>
      <c r="F1218">
        <v>2</v>
      </c>
      <c r="G1218">
        <v>25.616559194000001</v>
      </c>
      <c r="H1218">
        <v>0.138471294287907</v>
      </c>
      <c r="I1218">
        <v>2</v>
      </c>
      <c r="J1218">
        <v>0.87464653400000003</v>
      </c>
      <c r="P1218"/>
      <c r="V1218">
        <v>0.13573132852231601</v>
      </c>
      <c r="W1218">
        <v>2</v>
      </c>
      <c r="X1218">
        <v>304408.22637962003</v>
      </c>
      <c r="Y1218">
        <v>18</v>
      </c>
      <c r="Z1218">
        <v>0.59262426521461098</v>
      </c>
      <c r="AA1218">
        <v>50</v>
      </c>
    </row>
    <row r="1219" spans="1:27" x14ac:dyDescent="0.2">
      <c r="A1219">
        <v>30</v>
      </c>
      <c r="B1219">
        <v>2</v>
      </c>
      <c r="C1219">
        <v>0.1</v>
      </c>
      <c r="D1219">
        <v>100</v>
      </c>
      <c r="E1219">
        <v>0.90628866744921399</v>
      </c>
      <c r="F1219">
        <v>2</v>
      </c>
      <c r="G1219">
        <v>30.780146309999999</v>
      </c>
      <c r="H1219">
        <v>0.82358181263034802</v>
      </c>
      <c r="I1219">
        <v>2</v>
      </c>
      <c r="J1219">
        <v>1.36362648</v>
      </c>
      <c r="P1219"/>
      <c r="V1219">
        <v>0.82437610873872402</v>
      </c>
      <c r="W1219">
        <v>2</v>
      </c>
      <c r="X1219">
        <v>305855.15775080898</v>
      </c>
      <c r="Y1219">
        <v>93</v>
      </c>
      <c r="Z1219">
        <v>2.2823515571872101E-2</v>
      </c>
      <c r="AA1219">
        <v>50</v>
      </c>
    </row>
    <row r="1220" spans="1:27" x14ac:dyDescent="0.2">
      <c r="A1220">
        <v>30</v>
      </c>
      <c r="B1220">
        <v>2</v>
      </c>
      <c r="C1220">
        <v>0.2</v>
      </c>
      <c r="D1220">
        <v>100</v>
      </c>
      <c r="E1220">
        <v>0.49958078932612898</v>
      </c>
      <c r="F1220">
        <v>2</v>
      </c>
      <c r="G1220">
        <v>34.093185024</v>
      </c>
      <c r="H1220">
        <v>0.171586421657836</v>
      </c>
      <c r="I1220">
        <v>2</v>
      </c>
      <c r="J1220">
        <v>1.148920164</v>
      </c>
      <c r="P1220"/>
      <c r="V1220">
        <v>0.14917056194627801</v>
      </c>
      <c r="W1220">
        <v>2</v>
      </c>
      <c r="X1220">
        <v>306530.23608827998</v>
      </c>
      <c r="Y1220">
        <v>1</v>
      </c>
      <c r="Z1220">
        <v>1.0002701436586201</v>
      </c>
      <c r="AA1220">
        <v>50</v>
      </c>
    </row>
    <row r="1221" spans="1:27" x14ac:dyDescent="0.2">
      <c r="A1221">
        <v>30</v>
      </c>
      <c r="B1221">
        <v>2</v>
      </c>
      <c r="C1221">
        <v>0.2</v>
      </c>
      <c r="D1221">
        <v>100</v>
      </c>
      <c r="E1221">
        <v>0.42929006266245601</v>
      </c>
      <c r="F1221">
        <v>2</v>
      </c>
      <c r="G1221">
        <v>31.574149726000002</v>
      </c>
      <c r="H1221">
        <v>0.13789294462000701</v>
      </c>
      <c r="I1221">
        <v>2</v>
      </c>
      <c r="J1221">
        <v>0.99315173099999998</v>
      </c>
      <c r="P1221"/>
      <c r="V1221">
        <v>0.12394497729341999</v>
      </c>
      <c r="W1221">
        <v>2</v>
      </c>
      <c r="X1221">
        <v>305901.35073454102</v>
      </c>
      <c r="Y1221">
        <v>1</v>
      </c>
      <c r="Z1221">
        <v>0.587563340224735</v>
      </c>
      <c r="AA1221">
        <v>50</v>
      </c>
    </row>
    <row r="1222" spans="1:27" x14ac:dyDescent="0.2">
      <c r="A1222">
        <v>30</v>
      </c>
      <c r="B1222">
        <v>2</v>
      </c>
      <c r="C1222">
        <v>0.3</v>
      </c>
      <c r="D1222">
        <v>100</v>
      </c>
      <c r="E1222">
        <v>0.186986772733541</v>
      </c>
      <c r="F1222">
        <v>2</v>
      </c>
      <c r="G1222">
        <v>32.195046304000002</v>
      </c>
      <c r="H1222">
        <v>2.8013872234733801E-2</v>
      </c>
      <c r="I1222">
        <v>2</v>
      </c>
      <c r="J1222">
        <v>0.57750734599999998</v>
      </c>
      <c r="P1222"/>
      <c r="V1222">
        <v>2.18657411814649E-2</v>
      </c>
      <c r="W1222">
        <v>2</v>
      </c>
      <c r="X1222">
        <v>305327.01082839101</v>
      </c>
      <c r="Y1222">
        <v>1</v>
      </c>
      <c r="Z1222">
        <v>0.85015643548901099</v>
      </c>
      <c r="AA1222">
        <v>50</v>
      </c>
    </row>
    <row r="1223" spans="1:27" x14ac:dyDescent="0.2">
      <c r="A1223">
        <v>20</v>
      </c>
      <c r="B1223">
        <v>1</v>
      </c>
      <c r="C1223">
        <v>0.1</v>
      </c>
      <c r="D1223">
        <v>20</v>
      </c>
      <c r="E1223">
        <v>0.507260426129166</v>
      </c>
      <c r="F1223">
        <v>1</v>
      </c>
      <c r="G1223">
        <v>36.195300418000002</v>
      </c>
      <c r="H1223">
        <v>0.45537264695081298</v>
      </c>
      <c r="I1223">
        <v>1</v>
      </c>
      <c r="J1223">
        <v>0.46334145199999999</v>
      </c>
      <c r="P1223"/>
      <c r="V1223">
        <v>0.49909565842607301</v>
      </c>
      <c r="W1223">
        <v>1</v>
      </c>
      <c r="X1223">
        <v>3041.8457370169999</v>
      </c>
      <c r="Y1223">
        <v>25888</v>
      </c>
      <c r="Z1223">
        <v>1.0454037042500501E-2</v>
      </c>
      <c r="AA1223">
        <v>20</v>
      </c>
    </row>
    <row r="1224" spans="1:27" x14ac:dyDescent="0.2">
      <c r="A1224">
        <v>20</v>
      </c>
      <c r="B1224">
        <v>1</v>
      </c>
      <c r="C1224">
        <v>0.1</v>
      </c>
      <c r="D1224">
        <v>20</v>
      </c>
      <c r="E1224">
        <v>0.52554158458042399</v>
      </c>
      <c r="F1224">
        <v>1</v>
      </c>
      <c r="G1224">
        <v>30.758364577999998</v>
      </c>
      <c r="H1224">
        <v>0.52092330608227599</v>
      </c>
      <c r="I1224">
        <v>1</v>
      </c>
      <c r="J1224">
        <v>0.274384248</v>
      </c>
      <c r="P1224"/>
      <c r="V1224">
        <v>0.78404699256460997</v>
      </c>
      <c r="W1224">
        <v>1</v>
      </c>
      <c r="X1224">
        <v>3330.5031705669999</v>
      </c>
      <c r="Y1224">
        <v>8734</v>
      </c>
      <c r="Z1224">
        <v>4.0791767899659603E-2</v>
      </c>
      <c r="AA1224">
        <v>20</v>
      </c>
    </row>
    <row r="1225" spans="1:27" x14ac:dyDescent="0.2">
      <c r="A1225">
        <v>20</v>
      </c>
      <c r="B1225">
        <v>1</v>
      </c>
      <c r="C1225">
        <v>0.1</v>
      </c>
      <c r="D1225">
        <v>20</v>
      </c>
      <c r="E1225">
        <v>0.564829176573025</v>
      </c>
      <c r="F1225">
        <v>1</v>
      </c>
      <c r="G1225">
        <v>35.903552750000003</v>
      </c>
      <c r="H1225">
        <v>0.50416729843890296</v>
      </c>
      <c r="I1225">
        <v>1</v>
      </c>
      <c r="J1225">
        <v>0.42866441500000002</v>
      </c>
      <c r="P1225"/>
      <c r="V1225">
        <v>0.86759256300600796</v>
      </c>
      <c r="W1225">
        <v>1</v>
      </c>
      <c r="X1225">
        <v>3360.8731022349998</v>
      </c>
      <c r="Y1225">
        <v>36231</v>
      </c>
      <c r="Z1225">
        <v>1.89526155513683E-3</v>
      </c>
      <c r="AA1225">
        <v>20</v>
      </c>
    </row>
    <row r="1226" spans="1:27" x14ac:dyDescent="0.2">
      <c r="A1226">
        <v>20</v>
      </c>
      <c r="B1226">
        <v>1</v>
      </c>
      <c r="C1226">
        <v>0.2</v>
      </c>
      <c r="D1226">
        <v>20</v>
      </c>
      <c r="E1226">
        <v>0.40878425158777199</v>
      </c>
      <c r="F1226">
        <v>1</v>
      </c>
      <c r="G1226">
        <v>33.491288447999999</v>
      </c>
      <c r="H1226">
        <v>0.36292573424385799</v>
      </c>
      <c r="I1226">
        <v>1</v>
      </c>
      <c r="J1226">
        <v>0.22356557899999999</v>
      </c>
      <c r="P1226"/>
      <c r="V1226">
        <v>0.34998246187978899</v>
      </c>
      <c r="W1226">
        <v>1</v>
      </c>
      <c r="X1226">
        <v>3437.2952053909999</v>
      </c>
      <c r="Y1226">
        <v>11643</v>
      </c>
      <c r="Z1226">
        <v>1.21382847645925E-2</v>
      </c>
      <c r="AA1226">
        <v>20</v>
      </c>
    </row>
    <row r="1227" spans="1:27" ht="17" customHeight="1" x14ac:dyDescent="0.2">
      <c r="A1227">
        <v>20</v>
      </c>
      <c r="B1227">
        <v>1</v>
      </c>
      <c r="C1227">
        <v>0.2</v>
      </c>
      <c r="D1227">
        <v>20</v>
      </c>
      <c r="E1227">
        <v>0.28846878727202102</v>
      </c>
      <c r="F1227">
        <v>1</v>
      </c>
      <c r="G1227">
        <v>36.726292663999999</v>
      </c>
      <c r="H1227">
        <v>0.22746985205620801</v>
      </c>
      <c r="I1227">
        <v>1</v>
      </c>
      <c r="J1227">
        <v>0.73520185699999996</v>
      </c>
      <c r="P1227"/>
      <c r="V1227">
        <v>0.18260823416925501</v>
      </c>
      <c r="W1227">
        <v>1</v>
      </c>
      <c r="X1227">
        <v>3286.3685599659998</v>
      </c>
      <c r="Y1227">
        <v>5256</v>
      </c>
      <c r="Z1227">
        <v>7.1329557871811999E-2</v>
      </c>
      <c r="AA1227">
        <v>20</v>
      </c>
    </row>
    <row r="1228" spans="1:27" x14ac:dyDescent="0.2">
      <c r="A1228">
        <v>20</v>
      </c>
      <c r="B1228">
        <v>1</v>
      </c>
      <c r="C1228">
        <v>0.2</v>
      </c>
      <c r="D1228">
        <v>20</v>
      </c>
      <c r="E1228">
        <v>0.30313327086092001</v>
      </c>
      <c r="F1228">
        <v>1</v>
      </c>
      <c r="G1228">
        <v>41.824171192999998</v>
      </c>
      <c r="H1228">
        <v>0.30257808807598902</v>
      </c>
      <c r="I1228">
        <v>1</v>
      </c>
      <c r="J1228">
        <v>0.25307154900000001</v>
      </c>
      <c r="P1228"/>
      <c r="V1228">
        <v>0.264415043157814</v>
      </c>
      <c r="W1228">
        <v>1</v>
      </c>
      <c r="X1228">
        <v>3348.1614115130001</v>
      </c>
      <c r="Y1228">
        <v>6373</v>
      </c>
      <c r="Z1228">
        <v>1.6329240819571201E-2</v>
      </c>
      <c r="AA1228">
        <v>20</v>
      </c>
    </row>
    <row r="1229" spans="1:27" ht="15" customHeight="1" x14ac:dyDescent="0.2">
      <c r="A1229">
        <v>20</v>
      </c>
      <c r="B1229">
        <v>1</v>
      </c>
      <c r="C1229">
        <v>0.2</v>
      </c>
      <c r="D1229">
        <v>20</v>
      </c>
      <c r="E1229">
        <v>0.46122402208323798</v>
      </c>
      <c r="F1229">
        <v>1</v>
      </c>
      <c r="G1229">
        <v>31.625151775999999</v>
      </c>
      <c r="H1229">
        <v>0.35149635543483498</v>
      </c>
      <c r="I1229">
        <v>1</v>
      </c>
      <c r="J1229">
        <v>0.18237071799999999</v>
      </c>
      <c r="P1229"/>
      <c r="V1229">
        <v>0.29710843897975497</v>
      </c>
      <c r="W1229">
        <v>1</v>
      </c>
      <c r="X1229">
        <v>3024.9400905809998</v>
      </c>
      <c r="Y1229">
        <v>12551</v>
      </c>
      <c r="Z1229">
        <v>3.92595980040297E-2</v>
      </c>
      <c r="AA1229">
        <v>20</v>
      </c>
    </row>
    <row r="1230" spans="1:27" x14ac:dyDescent="0.2">
      <c r="A1230">
        <v>20</v>
      </c>
      <c r="B1230">
        <v>1</v>
      </c>
      <c r="C1230">
        <v>0.2</v>
      </c>
      <c r="D1230">
        <v>20</v>
      </c>
      <c r="E1230">
        <v>0.108282787110039</v>
      </c>
      <c r="F1230">
        <v>1</v>
      </c>
      <c r="G1230">
        <v>30.856156224999999</v>
      </c>
      <c r="H1230">
        <v>0.110832825362164</v>
      </c>
      <c r="I1230">
        <v>1</v>
      </c>
      <c r="J1230">
        <v>0.24389348</v>
      </c>
      <c r="P1230"/>
      <c r="V1230">
        <v>8.7766459622862697E-2</v>
      </c>
      <c r="W1230">
        <v>1</v>
      </c>
      <c r="X1230">
        <v>3190.0903527989999</v>
      </c>
      <c r="Y1230">
        <v>18142</v>
      </c>
      <c r="Z1230">
        <v>1.5544229962876899E-2</v>
      </c>
      <c r="AA1230">
        <v>20</v>
      </c>
    </row>
    <row r="1231" spans="1:27" x14ac:dyDescent="0.2">
      <c r="A1231">
        <v>20</v>
      </c>
      <c r="B1231">
        <v>1</v>
      </c>
      <c r="C1231">
        <v>0.1</v>
      </c>
      <c r="D1231">
        <v>100</v>
      </c>
      <c r="E1231">
        <v>0.88144620392777295</v>
      </c>
      <c r="F1231">
        <v>1</v>
      </c>
      <c r="G1231">
        <v>34.128745477999999</v>
      </c>
      <c r="H1231">
        <v>1.0197086820421699</v>
      </c>
      <c r="I1231">
        <v>1</v>
      </c>
      <c r="J1231">
        <v>0.69467660099999995</v>
      </c>
      <c r="V1231" s="5">
        <v>1.06569411176589</v>
      </c>
      <c r="W1231">
        <v>1</v>
      </c>
      <c r="X1231">
        <v>3387.4168268120002</v>
      </c>
      <c r="Y1231">
        <v>30107</v>
      </c>
      <c r="Z1231">
        <v>8.8021436815216292E-3</v>
      </c>
      <c r="AA1231">
        <v>20</v>
      </c>
    </row>
    <row r="1232" spans="1:27" x14ac:dyDescent="0.2">
      <c r="A1232">
        <v>20</v>
      </c>
      <c r="B1232">
        <v>1</v>
      </c>
      <c r="C1232">
        <v>0.1</v>
      </c>
      <c r="D1232">
        <v>100</v>
      </c>
      <c r="E1232">
        <v>0.69548943838807797</v>
      </c>
      <c r="F1232">
        <v>1</v>
      </c>
      <c r="G1232">
        <v>33.970350334999999</v>
      </c>
      <c r="H1232">
        <v>0.39116089605879401</v>
      </c>
      <c r="I1232">
        <v>1</v>
      </c>
      <c r="J1232">
        <v>0.96462440900000002</v>
      </c>
      <c r="V1232" s="5">
        <v>0.65760272323909197</v>
      </c>
      <c r="W1232">
        <v>1</v>
      </c>
      <c r="X1232">
        <v>3456.5986558509999</v>
      </c>
      <c r="Y1232">
        <v>37568</v>
      </c>
      <c r="Z1232">
        <v>6.7894651507779902E-2</v>
      </c>
      <c r="AA1232">
        <v>20</v>
      </c>
    </row>
    <row r="1233" spans="1:27" x14ac:dyDescent="0.2">
      <c r="A1233">
        <v>20</v>
      </c>
      <c r="B1233">
        <v>1</v>
      </c>
      <c r="C1233">
        <v>0.1</v>
      </c>
      <c r="D1233">
        <v>100</v>
      </c>
      <c r="E1233">
        <v>0.65677089480599105</v>
      </c>
      <c r="F1233">
        <v>1</v>
      </c>
      <c r="G1233">
        <v>34.024511332000003</v>
      </c>
      <c r="H1233">
        <v>0.55336909708120796</v>
      </c>
      <c r="I1233">
        <v>1</v>
      </c>
      <c r="J1233">
        <v>0.47007142000000002</v>
      </c>
      <c r="V1233" s="5">
        <v>0.60798880232979502</v>
      </c>
      <c r="W1233">
        <v>1</v>
      </c>
      <c r="X1233">
        <v>3407.2484646349999</v>
      </c>
      <c r="Y1233">
        <v>32340</v>
      </c>
      <c r="Z1233">
        <v>9.4563919256488299E-3</v>
      </c>
      <c r="AA1233">
        <v>20</v>
      </c>
    </row>
    <row r="1234" spans="1:27" x14ac:dyDescent="0.2">
      <c r="A1234">
        <v>20</v>
      </c>
      <c r="B1234">
        <v>1</v>
      </c>
      <c r="C1234">
        <v>0.1</v>
      </c>
      <c r="D1234">
        <v>100</v>
      </c>
      <c r="E1234">
        <v>0.63957905166403795</v>
      </c>
      <c r="F1234">
        <v>1</v>
      </c>
      <c r="G1234">
        <v>33.902368221000003</v>
      </c>
      <c r="H1234">
        <v>0.61477075208913701</v>
      </c>
      <c r="I1234">
        <v>1</v>
      </c>
      <c r="J1234">
        <v>0.64715022499999997</v>
      </c>
      <c r="V1234" s="5">
        <v>0.61055270878407697</v>
      </c>
      <c r="W1234">
        <v>1</v>
      </c>
      <c r="X1234">
        <v>3378.3617074849999</v>
      </c>
      <c r="Y1234">
        <v>9066</v>
      </c>
      <c r="Z1234">
        <v>1.1202436466603899E-2</v>
      </c>
      <c r="AA1234">
        <v>20</v>
      </c>
    </row>
    <row r="1235" spans="1:27" x14ac:dyDescent="0.2">
      <c r="A1235">
        <v>20</v>
      </c>
      <c r="B1235">
        <v>1</v>
      </c>
      <c r="C1235">
        <v>0.1</v>
      </c>
      <c r="D1235">
        <v>100</v>
      </c>
      <c r="E1235">
        <v>0.830472950166535</v>
      </c>
      <c r="F1235">
        <v>1</v>
      </c>
      <c r="G1235">
        <v>33.564496441999999</v>
      </c>
      <c r="H1235">
        <v>0.599030366143251</v>
      </c>
      <c r="I1235">
        <v>1</v>
      </c>
      <c r="J1235">
        <v>0.89496682299999997</v>
      </c>
      <c r="V1235" s="5">
        <v>0.82334689330384603</v>
      </c>
      <c r="W1235">
        <v>1</v>
      </c>
      <c r="X1235">
        <v>3407.5824302360002</v>
      </c>
      <c r="Y1235">
        <v>34520</v>
      </c>
      <c r="Z1235">
        <v>7.9726959517937394E-3</v>
      </c>
      <c r="AA1235">
        <v>20</v>
      </c>
    </row>
    <row r="1236" spans="1:27" x14ac:dyDescent="0.2">
      <c r="A1236">
        <v>20</v>
      </c>
      <c r="B1236">
        <v>1</v>
      </c>
      <c r="C1236">
        <v>0.1</v>
      </c>
      <c r="D1236">
        <v>100</v>
      </c>
      <c r="E1236">
        <v>0.85172135595351095</v>
      </c>
      <c r="F1236">
        <v>1</v>
      </c>
      <c r="G1236">
        <v>35.057308528999997</v>
      </c>
      <c r="H1236">
        <v>0.733461390824106</v>
      </c>
      <c r="I1236">
        <v>1</v>
      </c>
      <c r="J1236">
        <v>0.93086862199999998</v>
      </c>
      <c r="V1236" s="5">
        <v>0.69298376159004205</v>
      </c>
      <c r="W1236">
        <v>1</v>
      </c>
      <c r="X1236">
        <v>2842.1256671709998</v>
      </c>
      <c r="Y1236">
        <v>14800</v>
      </c>
      <c r="Z1236">
        <v>4.2033846304874401E-4</v>
      </c>
      <c r="AA1236">
        <v>20</v>
      </c>
    </row>
    <row r="1237" spans="1:27" x14ac:dyDescent="0.2">
      <c r="A1237">
        <v>20</v>
      </c>
      <c r="B1237">
        <v>1</v>
      </c>
      <c r="C1237">
        <v>0.2</v>
      </c>
      <c r="D1237">
        <v>100</v>
      </c>
      <c r="E1237">
        <v>9.4155028517154807E-2</v>
      </c>
      <c r="F1237">
        <v>1</v>
      </c>
      <c r="G1237">
        <v>30.873218379000001</v>
      </c>
      <c r="H1237">
        <v>9.6290118195663799E-2</v>
      </c>
      <c r="I1237">
        <v>1</v>
      </c>
      <c r="J1237">
        <v>5.1678759999999997E-2</v>
      </c>
      <c r="V1237" s="5">
        <v>8.1263682803564399E-2</v>
      </c>
      <c r="W1237">
        <v>1</v>
      </c>
      <c r="X1237">
        <v>254.651337383</v>
      </c>
      <c r="Y1237">
        <v>1</v>
      </c>
      <c r="Z1237">
        <v>1.0284970058275399E-2</v>
      </c>
      <c r="AA1237">
        <v>5</v>
      </c>
    </row>
    <row r="1238" spans="1:27" x14ac:dyDescent="0.2">
      <c r="A1238">
        <v>20</v>
      </c>
      <c r="B1238">
        <v>1</v>
      </c>
      <c r="C1238">
        <v>0.2</v>
      </c>
      <c r="D1238">
        <v>100</v>
      </c>
      <c r="E1238">
        <v>8.9238847679470698E-2</v>
      </c>
      <c r="F1238">
        <v>1</v>
      </c>
      <c r="G1238">
        <v>31.676117946000002</v>
      </c>
      <c r="H1238">
        <v>8.2470071495821196E-2</v>
      </c>
      <c r="I1238">
        <v>1</v>
      </c>
      <c r="J1238">
        <v>0.16585112799999999</v>
      </c>
      <c r="V1238" s="5">
        <v>6.5356771861035903E-2</v>
      </c>
      <c r="W1238">
        <v>1</v>
      </c>
      <c r="X1238">
        <v>3385.0750269999999</v>
      </c>
      <c r="Y1238">
        <v>3034</v>
      </c>
      <c r="Z1238">
        <v>2.7269135755421701E-2</v>
      </c>
      <c r="AA1238">
        <v>20</v>
      </c>
    </row>
    <row r="1239" spans="1:27" x14ac:dyDescent="0.2">
      <c r="A1239">
        <v>20</v>
      </c>
      <c r="B1239">
        <v>1</v>
      </c>
      <c r="C1239">
        <v>0.2</v>
      </c>
      <c r="D1239">
        <v>100</v>
      </c>
      <c r="E1239">
        <v>0.37252369069629498</v>
      </c>
      <c r="F1239">
        <v>1</v>
      </c>
      <c r="G1239">
        <v>33.989559810000003</v>
      </c>
      <c r="H1239">
        <v>0.17170088121028801</v>
      </c>
      <c r="I1239">
        <v>1</v>
      </c>
      <c r="J1239">
        <v>0.42075690599999999</v>
      </c>
      <c r="V1239" s="5">
        <v>0.16830128809751599</v>
      </c>
      <c r="W1239">
        <v>1</v>
      </c>
      <c r="X1239">
        <v>3256.5089220270002</v>
      </c>
      <c r="Y1239">
        <v>5763</v>
      </c>
      <c r="Z1239">
        <v>1.3410668342346801E-2</v>
      </c>
      <c r="AA1239">
        <v>20</v>
      </c>
    </row>
    <row r="1240" spans="1:27" x14ac:dyDescent="0.2">
      <c r="A1240">
        <v>20</v>
      </c>
      <c r="B1240">
        <v>1</v>
      </c>
      <c r="C1240">
        <v>0.2</v>
      </c>
      <c r="D1240">
        <v>100</v>
      </c>
      <c r="E1240">
        <v>0.45273746691231098</v>
      </c>
      <c r="F1240">
        <v>1</v>
      </c>
      <c r="G1240">
        <v>33.576944028</v>
      </c>
      <c r="H1240">
        <v>0.19423436478953901</v>
      </c>
      <c r="I1240">
        <v>1</v>
      </c>
      <c r="J1240">
        <v>0.37123736499999999</v>
      </c>
      <c r="V1240" s="5">
        <v>0.31827045109985302</v>
      </c>
      <c r="W1240">
        <v>1</v>
      </c>
      <c r="X1240">
        <v>3221.838555282</v>
      </c>
      <c r="Y1240">
        <v>3026</v>
      </c>
      <c r="Z1240">
        <v>4.1057149486655502E-2</v>
      </c>
      <c r="AA1240">
        <v>20</v>
      </c>
    </row>
    <row r="1241" spans="1:27" x14ac:dyDescent="0.2">
      <c r="A1241">
        <v>20</v>
      </c>
      <c r="B1241">
        <v>1</v>
      </c>
      <c r="C1241">
        <v>0.2</v>
      </c>
      <c r="D1241">
        <v>100</v>
      </c>
      <c r="E1241">
        <v>0.49738178451463599</v>
      </c>
      <c r="F1241">
        <v>1</v>
      </c>
      <c r="G1241">
        <v>34.518161794999997</v>
      </c>
      <c r="H1241">
        <v>0.17179288181990399</v>
      </c>
      <c r="I1241">
        <v>1</v>
      </c>
      <c r="J1241">
        <v>0.57049520099999995</v>
      </c>
      <c r="V1241" s="5">
        <v>0.30321151138805602</v>
      </c>
      <c r="W1241">
        <v>1</v>
      </c>
      <c r="X1241">
        <v>3459.8544420909998</v>
      </c>
      <c r="Y1241">
        <v>13831</v>
      </c>
      <c r="Z1241">
        <v>3.6475468560886099E-3</v>
      </c>
      <c r="AA1241">
        <v>20</v>
      </c>
    </row>
    <row r="1242" spans="1:27" x14ac:dyDescent="0.2">
      <c r="A1242">
        <v>20</v>
      </c>
      <c r="B1242">
        <v>1</v>
      </c>
      <c r="C1242">
        <v>0.2</v>
      </c>
      <c r="D1242">
        <v>100</v>
      </c>
      <c r="E1242">
        <v>0.37482984281553</v>
      </c>
      <c r="F1242">
        <v>1</v>
      </c>
      <c r="G1242">
        <v>33.571062726000001</v>
      </c>
      <c r="H1242">
        <v>0.252369268071785</v>
      </c>
      <c r="I1242">
        <v>1</v>
      </c>
      <c r="J1242">
        <v>0.29485167200000001</v>
      </c>
      <c r="V1242" s="5">
        <v>0.24797618660697901</v>
      </c>
      <c r="W1242">
        <v>1</v>
      </c>
      <c r="X1242">
        <v>3390.3831152020002</v>
      </c>
      <c r="Y1242">
        <v>5974</v>
      </c>
      <c r="Z1242">
        <v>2.2255961086713499E-2</v>
      </c>
      <c r="AA1242">
        <v>20</v>
      </c>
    </row>
    <row r="1243" spans="1:27" x14ac:dyDescent="0.2">
      <c r="A1243">
        <v>20</v>
      </c>
      <c r="B1243">
        <v>1</v>
      </c>
      <c r="C1243">
        <v>0.2</v>
      </c>
      <c r="D1243">
        <v>100</v>
      </c>
      <c r="E1243">
        <v>0.187124997927753</v>
      </c>
      <c r="F1243">
        <v>1</v>
      </c>
      <c r="G1243">
        <v>35.591793602000003</v>
      </c>
      <c r="H1243">
        <v>0.15241811401614799</v>
      </c>
      <c r="I1243">
        <v>1</v>
      </c>
      <c r="J1243">
        <v>0.53144160900000004</v>
      </c>
      <c r="V1243" s="5">
        <v>0.12311329230297501</v>
      </c>
      <c r="W1243">
        <v>1</v>
      </c>
      <c r="X1243">
        <v>338.656003602</v>
      </c>
      <c r="Y1243">
        <v>6648</v>
      </c>
      <c r="Z1243">
        <v>6.8101079487003198E-3</v>
      </c>
      <c r="AA1243">
        <v>1</v>
      </c>
    </row>
    <row r="1244" spans="1:27" x14ac:dyDescent="0.2">
      <c r="A1244">
        <v>20</v>
      </c>
      <c r="B1244">
        <v>1</v>
      </c>
      <c r="C1244">
        <v>0.2</v>
      </c>
      <c r="D1244">
        <v>100</v>
      </c>
      <c r="E1244">
        <v>0.22337854156037801</v>
      </c>
      <c r="F1244">
        <v>1</v>
      </c>
      <c r="G1244">
        <v>33.789394725999998</v>
      </c>
      <c r="H1244">
        <v>7.3331372502386999E-2</v>
      </c>
      <c r="I1244">
        <v>1</v>
      </c>
      <c r="J1244">
        <v>0.20970464</v>
      </c>
      <c r="V1244" s="5">
        <v>6.9175655668530706E-2</v>
      </c>
      <c r="W1244">
        <v>1</v>
      </c>
      <c r="X1244">
        <v>3023.9229245249999</v>
      </c>
      <c r="Y1244">
        <v>10449</v>
      </c>
      <c r="Z1244">
        <v>5.26044501568073E-3</v>
      </c>
      <c r="AA1244">
        <v>20</v>
      </c>
    </row>
    <row r="1245" spans="1:27" x14ac:dyDescent="0.2">
      <c r="A1245">
        <v>30</v>
      </c>
      <c r="B1245">
        <v>3</v>
      </c>
      <c r="C1245">
        <v>0.2</v>
      </c>
      <c r="D1245">
        <v>100</v>
      </c>
      <c r="E1245">
        <v>0.75297610835093598</v>
      </c>
      <c r="F1245">
        <v>3</v>
      </c>
      <c r="G1245">
        <v>29.938396911000002</v>
      </c>
      <c r="H1245">
        <v>0.669277666894038</v>
      </c>
      <c r="I1245">
        <v>3</v>
      </c>
      <c r="J1245">
        <v>1.6060141800000001</v>
      </c>
      <c r="P1245"/>
      <c r="V1245">
        <v>0.671153338810071</v>
      </c>
      <c r="W1245">
        <v>3</v>
      </c>
      <c r="X1245">
        <v>301069.65084869601</v>
      </c>
      <c r="Y1245">
        <v>1</v>
      </c>
      <c r="Z1245">
        <v>1.3222938787051901</v>
      </c>
      <c r="AA1245">
        <v>50</v>
      </c>
    </row>
    <row r="1246" spans="1:27" x14ac:dyDescent="0.2">
      <c r="A1246">
        <v>30</v>
      </c>
      <c r="B1246">
        <v>3</v>
      </c>
      <c r="C1246">
        <v>0.3</v>
      </c>
      <c r="D1246">
        <v>100</v>
      </c>
      <c r="E1246">
        <v>0.23994320562810401</v>
      </c>
      <c r="F1246">
        <v>3</v>
      </c>
      <c r="G1246">
        <v>28.624901792999999</v>
      </c>
      <c r="H1246">
        <v>8.8467997936474696E-2</v>
      </c>
      <c r="I1246">
        <v>3</v>
      </c>
      <c r="J1246">
        <v>0.59027023300000003</v>
      </c>
      <c r="P1246"/>
      <c r="V1246">
        <v>7.3197814225316904E-2</v>
      </c>
      <c r="W1246">
        <v>3</v>
      </c>
      <c r="X1246">
        <v>303815.496151047</v>
      </c>
      <c r="Y1246">
        <v>1</v>
      </c>
      <c r="Z1246">
        <v>3.2005560204685399</v>
      </c>
      <c r="AA1246">
        <v>50</v>
      </c>
    </row>
    <row r="1247" spans="1:27" x14ac:dyDescent="0.2">
      <c r="A1247">
        <v>30</v>
      </c>
      <c r="B1247">
        <v>1</v>
      </c>
      <c r="C1247">
        <v>0.3</v>
      </c>
      <c r="D1247">
        <v>20</v>
      </c>
      <c r="E1247">
        <v>7.14158841841947E-2</v>
      </c>
      <c r="F1247">
        <v>1</v>
      </c>
      <c r="G1247">
        <v>34.330884296999997</v>
      </c>
      <c r="H1247">
        <v>8.7756465924392499E-2</v>
      </c>
      <c r="I1247">
        <v>1</v>
      </c>
      <c r="J1247">
        <v>0.23099634399999999</v>
      </c>
      <c r="P1247"/>
      <c r="V1247">
        <v>5.9216841482909399E-2</v>
      </c>
      <c r="W1247">
        <v>1</v>
      </c>
      <c r="X1247">
        <v>207005.30227696299</v>
      </c>
      <c r="Y1247">
        <v>2586</v>
      </c>
      <c r="Z1247">
        <v>2.15560339799978E-2</v>
      </c>
      <c r="AA1247">
        <v>50</v>
      </c>
    </row>
    <row r="1248" spans="1:27" x14ac:dyDescent="0.2">
      <c r="A1248">
        <v>30</v>
      </c>
      <c r="B1248">
        <v>1</v>
      </c>
      <c r="C1248">
        <v>0.3</v>
      </c>
      <c r="D1248">
        <v>20</v>
      </c>
      <c r="E1248">
        <v>6.6560971831290699E-2</v>
      </c>
      <c r="F1248">
        <v>1</v>
      </c>
      <c r="G1248">
        <v>35.035329052000002</v>
      </c>
      <c r="H1248">
        <v>8.0582151281739497E-2</v>
      </c>
      <c r="I1248">
        <v>1</v>
      </c>
      <c r="J1248">
        <v>0.26062467</v>
      </c>
      <c r="P1248"/>
      <c r="V1248">
        <v>5.3440018740592399E-2</v>
      </c>
      <c r="W1248">
        <v>1</v>
      </c>
      <c r="X1248">
        <v>270241.05828580301</v>
      </c>
      <c r="Y1248">
        <v>2325</v>
      </c>
      <c r="Z1248">
        <v>4.1203977828997602E-2</v>
      </c>
      <c r="AA1248">
        <v>50</v>
      </c>
    </row>
    <row r="1249" spans="1:27" x14ac:dyDescent="0.2">
      <c r="A1249">
        <v>30</v>
      </c>
      <c r="B1249">
        <v>1</v>
      </c>
      <c r="C1249">
        <v>0.3</v>
      </c>
      <c r="D1249">
        <v>20</v>
      </c>
      <c r="E1249">
        <v>0.17266824921478199</v>
      </c>
      <c r="F1249">
        <v>1</v>
      </c>
      <c r="G1249">
        <v>31.084126546</v>
      </c>
      <c r="H1249">
        <v>0.13094091330931601</v>
      </c>
      <c r="I1249">
        <v>1</v>
      </c>
      <c r="J1249">
        <v>0.210318168</v>
      </c>
      <c r="P1249"/>
      <c r="V1249">
        <v>0.119068444215263</v>
      </c>
      <c r="W1249">
        <v>1</v>
      </c>
      <c r="X1249">
        <v>286182.63438489998</v>
      </c>
      <c r="Y1249">
        <v>2670</v>
      </c>
      <c r="Z1249">
        <v>5.2448246647744001E-2</v>
      </c>
      <c r="AA1249">
        <v>50</v>
      </c>
    </row>
    <row r="1250" spans="1:27" x14ac:dyDescent="0.2">
      <c r="A1250">
        <v>30</v>
      </c>
      <c r="B1250">
        <v>1</v>
      </c>
      <c r="C1250">
        <v>0.2</v>
      </c>
      <c r="D1250">
        <v>20</v>
      </c>
      <c r="E1250">
        <v>0.14866318233497999</v>
      </c>
      <c r="F1250">
        <v>1</v>
      </c>
      <c r="G1250">
        <v>29.424409164</v>
      </c>
      <c r="H1250">
        <v>0.14939371144834901</v>
      </c>
      <c r="I1250">
        <v>1</v>
      </c>
      <c r="J1250">
        <v>0.154598714</v>
      </c>
      <c r="P1250"/>
      <c r="V1250">
        <v>0.13035636672151801</v>
      </c>
      <c r="W1250">
        <v>1</v>
      </c>
      <c r="X1250">
        <v>288957.66454083001</v>
      </c>
      <c r="Y1250">
        <v>2159</v>
      </c>
      <c r="Z1250">
        <v>4.16654537803893E-2</v>
      </c>
      <c r="AA1250">
        <v>50</v>
      </c>
    </row>
    <row r="1251" spans="1:27" x14ac:dyDescent="0.2">
      <c r="A1251">
        <v>30</v>
      </c>
      <c r="B1251">
        <v>1</v>
      </c>
      <c r="C1251">
        <v>0.3</v>
      </c>
      <c r="D1251">
        <v>20</v>
      </c>
      <c r="E1251">
        <v>7.0407432534461203E-2</v>
      </c>
      <c r="F1251">
        <v>1</v>
      </c>
      <c r="G1251">
        <v>31.597616278</v>
      </c>
      <c r="H1251">
        <v>0.112811097694514</v>
      </c>
      <c r="I1251">
        <v>1</v>
      </c>
      <c r="J1251">
        <v>0.253975544</v>
      </c>
      <c r="P1251"/>
      <c r="V1251">
        <v>9.6656734913164899E-2</v>
      </c>
      <c r="W1251">
        <v>1</v>
      </c>
      <c r="X1251">
        <v>292362.754315503</v>
      </c>
      <c r="Y1251">
        <v>2047</v>
      </c>
      <c r="Z1251">
        <v>4.1380672115597102E-2</v>
      </c>
      <c r="AA1251">
        <v>50</v>
      </c>
    </row>
    <row r="1252" spans="1:27" x14ac:dyDescent="0.2">
      <c r="A1252">
        <v>30</v>
      </c>
      <c r="B1252">
        <v>1</v>
      </c>
      <c r="C1252">
        <v>0.1</v>
      </c>
      <c r="D1252">
        <v>20</v>
      </c>
      <c r="E1252">
        <v>0.53274283647613896</v>
      </c>
      <c r="F1252">
        <v>1</v>
      </c>
      <c r="G1252">
        <v>29.302276285000001</v>
      </c>
      <c r="H1252">
        <v>0.472119174480646</v>
      </c>
      <c r="I1252">
        <v>1</v>
      </c>
      <c r="J1252">
        <v>0.44698635399999997</v>
      </c>
      <c r="P1252"/>
      <c r="V1252">
        <v>0.45608082269719802</v>
      </c>
      <c r="W1252">
        <v>1</v>
      </c>
      <c r="X1252">
        <v>294997.39865997998</v>
      </c>
      <c r="Y1252">
        <v>3408</v>
      </c>
      <c r="Z1252">
        <v>2.2076835329623901E-2</v>
      </c>
      <c r="AA1252">
        <v>50</v>
      </c>
    </row>
    <row r="1253" spans="1:27" x14ac:dyDescent="0.2">
      <c r="A1253">
        <v>30</v>
      </c>
      <c r="B1253">
        <v>1</v>
      </c>
      <c r="C1253">
        <v>0.2</v>
      </c>
      <c r="D1253">
        <v>20</v>
      </c>
      <c r="E1253">
        <v>0.141868943565854</v>
      </c>
      <c r="F1253">
        <v>1</v>
      </c>
      <c r="G1253">
        <v>29.895187028999999</v>
      </c>
      <c r="H1253">
        <v>0.142939877331309</v>
      </c>
      <c r="I1253">
        <v>1</v>
      </c>
      <c r="J1253">
        <v>0.32500364599999998</v>
      </c>
      <c r="P1253"/>
      <c r="V1253">
        <v>0.123075476883878</v>
      </c>
      <c r="W1253">
        <v>1</v>
      </c>
      <c r="X1253">
        <v>295039.80768539902</v>
      </c>
      <c r="Y1253">
        <v>1884</v>
      </c>
      <c r="Z1253">
        <v>0.19496840801691001</v>
      </c>
      <c r="AA1253">
        <v>50</v>
      </c>
    </row>
    <row r="1254" spans="1:27" x14ac:dyDescent="0.2">
      <c r="A1254">
        <v>30</v>
      </c>
      <c r="B1254">
        <v>1</v>
      </c>
      <c r="C1254">
        <v>0.3</v>
      </c>
      <c r="D1254">
        <v>20</v>
      </c>
      <c r="E1254">
        <v>8.5767792307316598E-2</v>
      </c>
      <c r="F1254">
        <v>1</v>
      </c>
      <c r="G1254">
        <v>29.939508416999999</v>
      </c>
      <c r="H1254">
        <v>8.8862354119367298E-2</v>
      </c>
      <c r="I1254">
        <v>1</v>
      </c>
      <c r="J1254">
        <v>0.18090637800000001</v>
      </c>
      <c r="P1254"/>
      <c r="V1254">
        <v>6.4859602139703904E-2</v>
      </c>
      <c r="W1254">
        <v>1</v>
      </c>
      <c r="X1254">
        <v>294881.19798842899</v>
      </c>
      <c r="Y1254">
        <v>2511</v>
      </c>
      <c r="Z1254">
        <v>5.2831006612905101E-2</v>
      </c>
      <c r="AA1254">
        <v>50</v>
      </c>
    </row>
    <row r="1255" spans="1:27" x14ac:dyDescent="0.2">
      <c r="A1255">
        <v>30</v>
      </c>
      <c r="B1255">
        <v>1</v>
      </c>
      <c r="C1255">
        <v>0.2</v>
      </c>
      <c r="D1255">
        <v>20</v>
      </c>
      <c r="E1255">
        <v>0.42171077704432902</v>
      </c>
      <c r="F1255">
        <v>1</v>
      </c>
      <c r="G1255">
        <v>31.436547158</v>
      </c>
      <c r="H1255">
        <v>0.42565312187675802</v>
      </c>
      <c r="I1255">
        <v>1</v>
      </c>
      <c r="J1255">
        <v>0.23238850699999999</v>
      </c>
      <c r="P1255"/>
      <c r="V1255">
        <v>0.42046159525791199</v>
      </c>
      <c r="W1255">
        <v>1</v>
      </c>
      <c r="X1255">
        <v>296810.94153187401</v>
      </c>
      <c r="Y1255">
        <v>1406</v>
      </c>
      <c r="Z1255">
        <v>6.8043279340969307E-2</v>
      </c>
      <c r="AA1255">
        <v>50</v>
      </c>
    </row>
    <row r="1256" spans="1:27" x14ac:dyDescent="0.2">
      <c r="A1256">
        <v>30</v>
      </c>
      <c r="B1256">
        <v>1</v>
      </c>
      <c r="C1256">
        <v>0.1</v>
      </c>
      <c r="D1256">
        <v>20</v>
      </c>
      <c r="E1256">
        <v>0.60388276149885001</v>
      </c>
      <c r="F1256">
        <v>1</v>
      </c>
      <c r="G1256">
        <v>33.066905996999999</v>
      </c>
      <c r="H1256">
        <v>0.58548939364469399</v>
      </c>
      <c r="I1256">
        <v>1</v>
      </c>
      <c r="J1256">
        <v>0.19561387899999999</v>
      </c>
      <c r="P1256"/>
      <c r="V1256">
        <v>0.56625510183225303</v>
      </c>
      <c r="W1256">
        <v>1</v>
      </c>
      <c r="X1256">
        <v>294393.79291792598</v>
      </c>
      <c r="Y1256">
        <v>692</v>
      </c>
      <c r="Z1256">
        <v>2.1157373362389702E-2</v>
      </c>
      <c r="AA1256">
        <v>50</v>
      </c>
    </row>
    <row r="1257" spans="1:27" x14ac:dyDescent="0.2">
      <c r="A1257">
        <v>30</v>
      </c>
      <c r="B1257">
        <v>1</v>
      </c>
      <c r="C1257">
        <v>0.3</v>
      </c>
      <c r="D1257">
        <v>20</v>
      </c>
      <c r="E1257">
        <v>0.13813778147189801</v>
      </c>
      <c r="F1257">
        <v>1</v>
      </c>
      <c r="G1257">
        <v>32.552268495</v>
      </c>
      <c r="H1257">
        <v>0.112250189532534</v>
      </c>
      <c r="I1257">
        <v>1</v>
      </c>
      <c r="J1257">
        <v>0.191580835</v>
      </c>
      <c r="P1257"/>
      <c r="V1257">
        <v>9.4632709651329597E-2</v>
      </c>
      <c r="W1257">
        <v>1</v>
      </c>
      <c r="X1257">
        <v>293023.93420202</v>
      </c>
      <c r="Y1257">
        <v>2334</v>
      </c>
      <c r="Z1257">
        <v>8.3082645574904704E-2</v>
      </c>
      <c r="AA1257">
        <v>50</v>
      </c>
    </row>
    <row r="1258" spans="1:27" x14ac:dyDescent="0.2">
      <c r="A1258">
        <v>30</v>
      </c>
      <c r="B1258">
        <v>1</v>
      </c>
      <c r="C1258">
        <v>0.2</v>
      </c>
      <c r="D1258">
        <v>20</v>
      </c>
      <c r="E1258">
        <v>0.19037463544481301</v>
      </c>
      <c r="F1258">
        <v>1</v>
      </c>
      <c r="G1258">
        <v>31.473021578000001</v>
      </c>
      <c r="H1258">
        <v>0.16918440754049999</v>
      </c>
      <c r="I1258">
        <v>1</v>
      </c>
      <c r="J1258">
        <v>0.310025202</v>
      </c>
      <c r="P1258"/>
      <c r="V1258">
        <v>0.14335425900182999</v>
      </c>
      <c r="W1258">
        <v>1</v>
      </c>
      <c r="X1258">
        <v>297140.930719917</v>
      </c>
      <c r="Y1258">
        <v>1831</v>
      </c>
      <c r="Z1258">
        <v>0.272977354367539</v>
      </c>
      <c r="AA1258">
        <v>50</v>
      </c>
    </row>
    <row r="1259" spans="1:27" x14ac:dyDescent="0.2">
      <c r="A1259">
        <v>30</v>
      </c>
      <c r="B1259">
        <v>1</v>
      </c>
      <c r="C1259">
        <v>0.1</v>
      </c>
      <c r="D1259">
        <v>20</v>
      </c>
      <c r="E1259">
        <v>0.323461613291675</v>
      </c>
      <c r="F1259">
        <v>1</v>
      </c>
      <c r="G1259">
        <v>30.362400482000002</v>
      </c>
      <c r="H1259">
        <v>0.30979429045630502</v>
      </c>
      <c r="I1259">
        <v>1</v>
      </c>
      <c r="J1259">
        <v>0.39462582499999999</v>
      </c>
      <c r="P1259"/>
      <c r="V1259">
        <v>0.29730795869814702</v>
      </c>
      <c r="W1259">
        <v>1</v>
      </c>
      <c r="X1259">
        <v>298503.780096567</v>
      </c>
      <c r="Y1259">
        <v>3407</v>
      </c>
      <c r="Z1259">
        <v>5.0595558986493698E-2</v>
      </c>
      <c r="AA1259">
        <v>50</v>
      </c>
    </row>
    <row r="1260" spans="1:27" x14ac:dyDescent="0.2">
      <c r="A1260">
        <v>30</v>
      </c>
      <c r="B1260">
        <v>1</v>
      </c>
      <c r="C1260">
        <v>0.1</v>
      </c>
      <c r="D1260">
        <v>20</v>
      </c>
      <c r="E1260">
        <v>0.52685880254960704</v>
      </c>
      <c r="F1260">
        <v>1</v>
      </c>
      <c r="G1260">
        <v>32.451082638000003</v>
      </c>
      <c r="H1260">
        <v>0.49945859408951099</v>
      </c>
      <c r="I1260">
        <v>1</v>
      </c>
      <c r="J1260">
        <v>0.27089493999999997</v>
      </c>
      <c r="P1260"/>
      <c r="V1260">
        <v>0.47862249968512299</v>
      </c>
      <c r="W1260">
        <v>1</v>
      </c>
      <c r="X1260">
        <v>298086.59822109499</v>
      </c>
      <c r="Y1260">
        <v>1572</v>
      </c>
      <c r="Z1260">
        <v>1.5466992569497901E-2</v>
      </c>
      <c r="AA1260">
        <v>50</v>
      </c>
    </row>
    <row r="1261" spans="1:27" x14ac:dyDescent="0.2">
      <c r="A1261">
        <v>30</v>
      </c>
      <c r="B1261">
        <v>1</v>
      </c>
      <c r="C1261">
        <v>0.1</v>
      </c>
      <c r="D1261">
        <v>20</v>
      </c>
      <c r="E1261">
        <v>0.61622307852458602</v>
      </c>
      <c r="F1261">
        <v>1</v>
      </c>
      <c r="G1261">
        <v>29.489923387000001</v>
      </c>
      <c r="H1261">
        <v>0.56556456881952499</v>
      </c>
      <c r="I1261">
        <v>1</v>
      </c>
      <c r="J1261">
        <v>0.175930055</v>
      </c>
      <c r="P1261"/>
      <c r="V1261">
        <v>0.557309378119764</v>
      </c>
      <c r="W1261">
        <v>1</v>
      </c>
      <c r="X1261">
        <v>298317.13902754697</v>
      </c>
      <c r="Y1261">
        <v>1423</v>
      </c>
      <c r="Z1261">
        <v>9.5765550096767793E-2</v>
      </c>
      <c r="AA1261">
        <v>50</v>
      </c>
    </row>
    <row r="1262" spans="1:27" x14ac:dyDescent="0.2">
      <c r="A1262">
        <v>30</v>
      </c>
      <c r="B1262">
        <v>1</v>
      </c>
      <c r="C1262">
        <v>0.2</v>
      </c>
      <c r="D1262">
        <v>20</v>
      </c>
      <c r="E1262">
        <v>0.140797584152275</v>
      </c>
      <c r="F1262">
        <v>1</v>
      </c>
      <c r="G1262">
        <v>30.129545060000002</v>
      </c>
      <c r="H1262">
        <v>0.14855318866168599</v>
      </c>
      <c r="I1262">
        <v>1</v>
      </c>
      <c r="J1262">
        <v>0.26907288200000001</v>
      </c>
      <c r="P1262"/>
      <c r="V1262">
        <v>0.113053189554945</v>
      </c>
      <c r="W1262">
        <v>1</v>
      </c>
      <c r="X1262">
        <v>300425.917852143</v>
      </c>
      <c r="Y1262">
        <v>1567</v>
      </c>
      <c r="Z1262">
        <v>0.111833917497198</v>
      </c>
      <c r="AA1262">
        <v>50</v>
      </c>
    </row>
    <row r="1263" spans="1:27" x14ac:dyDescent="0.2">
      <c r="A1263">
        <v>30</v>
      </c>
      <c r="B1263">
        <v>1</v>
      </c>
      <c r="C1263">
        <v>0.1</v>
      </c>
      <c r="D1263">
        <v>20</v>
      </c>
      <c r="E1263">
        <v>0.40064135040327098</v>
      </c>
      <c r="F1263">
        <v>1</v>
      </c>
      <c r="G1263">
        <v>31.026641184999999</v>
      </c>
      <c r="H1263">
        <v>0.31079779759878801</v>
      </c>
      <c r="I1263">
        <v>1</v>
      </c>
      <c r="J1263">
        <v>0.44581460299999998</v>
      </c>
      <c r="P1263"/>
      <c r="V1263">
        <v>0.27973504790431503</v>
      </c>
      <c r="W1263">
        <v>1</v>
      </c>
      <c r="X1263">
        <v>300759.04158827401</v>
      </c>
      <c r="Y1263">
        <v>1625</v>
      </c>
      <c r="Z1263">
        <v>5.7031768163142198E-2</v>
      </c>
      <c r="AA1263">
        <v>50</v>
      </c>
    </row>
    <row r="1264" spans="1:27" x14ac:dyDescent="0.2">
      <c r="A1264">
        <v>30</v>
      </c>
      <c r="B1264">
        <v>1</v>
      </c>
      <c r="C1264">
        <v>0.1</v>
      </c>
      <c r="D1264">
        <v>20</v>
      </c>
      <c r="E1264">
        <v>0.41165018409048099</v>
      </c>
      <c r="F1264">
        <v>1</v>
      </c>
      <c r="G1264">
        <v>30.707357247000001</v>
      </c>
      <c r="H1264">
        <v>0.383440943380215</v>
      </c>
      <c r="I1264">
        <v>1</v>
      </c>
      <c r="J1264">
        <v>0.48929804999999998</v>
      </c>
      <c r="P1264"/>
      <c r="V1264">
        <v>0.368809005673082</v>
      </c>
      <c r="W1264">
        <v>1</v>
      </c>
      <c r="X1264">
        <v>301603.87380686402</v>
      </c>
      <c r="Y1264">
        <v>2150</v>
      </c>
      <c r="Z1264">
        <v>7.6455344542704307E-2</v>
      </c>
      <c r="AA1264">
        <v>50</v>
      </c>
    </row>
    <row r="1265" spans="1:27" x14ac:dyDescent="0.2">
      <c r="A1265">
        <v>30</v>
      </c>
      <c r="B1265">
        <v>1</v>
      </c>
      <c r="C1265">
        <v>0.2</v>
      </c>
      <c r="D1265">
        <v>20</v>
      </c>
      <c r="E1265">
        <v>0.23894088421076501</v>
      </c>
      <c r="F1265">
        <v>1</v>
      </c>
      <c r="G1265">
        <v>25.89153602</v>
      </c>
      <c r="H1265">
        <v>0.15362171025812399</v>
      </c>
      <c r="I1265">
        <v>1</v>
      </c>
      <c r="J1265">
        <v>0.27447491499999999</v>
      </c>
      <c r="P1265"/>
      <c r="V1265">
        <v>0.12763065420615399</v>
      </c>
      <c r="W1265">
        <v>1</v>
      </c>
      <c r="X1265">
        <v>301705.96391768201</v>
      </c>
      <c r="Y1265">
        <v>2440</v>
      </c>
      <c r="Z1265">
        <v>0.21257818201047399</v>
      </c>
      <c r="AA1265">
        <v>50</v>
      </c>
    </row>
    <row r="1266" spans="1:27" x14ac:dyDescent="0.2">
      <c r="A1266">
        <v>30</v>
      </c>
      <c r="B1266">
        <v>1</v>
      </c>
      <c r="C1266">
        <v>0.1</v>
      </c>
      <c r="D1266">
        <v>20</v>
      </c>
      <c r="E1266">
        <v>0.42771873831026103</v>
      </c>
      <c r="F1266">
        <v>1</v>
      </c>
      <c r="G1266">
        <v>33.186561730999998</v>
      </c>
      <c r="H1266">
        <v>0.32139796015904198</v>
      </c>
      <c r="I1266">
        <v>1</v>
      </c>
      <c r="J1266">
        <v>0.29626055899999998</v>
      </c>
      <c r="P1266"/>
      <c r="V1266">
        <v>0.310531950879255</v>
      </c>
      <c r="W1266">
        <v>1</v>
      </c>
      <c r="X1266">
        <v>297864.26188466098</v>
      </c>
      <c r="Y1266">
        <v>2647</v>
      </c>
      <c r="Z1266">
        <v>0.18721786191617401</v>
      </c>
      <c r="AA1266">
        <v>50</v>
      </c>
    </row>
    <row r="1267" spans="1:27" x14ac:dyDescent="0.2">
      <c r="A1267">
        <v>30</v>
      </c>
      <c r="B1267">
        <v>1</v>
      </c>
      <c r="C1267">
        <v>0.1</v>
      </c>
      <c r="D1267">
        <v>20</v>
      </c>
      <c r="E1267">
        <v>0.38252145500099599</v>
      </c>
      <c r="F1267">
        <v>1</v>
      </c>
      <c r="G1267">
        <v>31.697725091999999</v>
      </c>
      <c r="H1267">
        <v>0.37395956856596901</v>
      </c>
      <c r="I1267">
        <v>1</v>
      </c>
      <c r="J1267">
        <v>0.47753847399999999</v>
      </c>
      <c r="P1267"/>
      <c r="V1267">
        <v>0.34433003870835599</v>
      </c>
      <c r="W1267">
        <v>1</v>
      </c>
      <c r="X1267">
        <v>302560.13818786701</v>
      </c>
      <c r="Y1267">
        <v>1307</v>
      </c>
      <c r="Z1267">
        <v>7.6811969773175198E-2</v>
      </c>
      <c r="AA1267">
        <v>50</v>
      </c>
    </row>
    <row r="1268" spans="1:27" x14ac:dyDescent="0.2">
      <c r="A1268">
        <v>30</v>
      </c>
      <c r="B1268">
        <v>1</v>
      </c>
      <c r="C1268">
        <v>0.2</v>
      </c>
      <c r="D1268">
        <v>20</v>
      </c>
      <c r="E1268">
        <v>0.27409512597619401</v>
      </c>
      <c r="F1268">
        <v>1</v>
      </c>
      <c r="G1268">
        <v>29.462804899999998</v>
      </c>
      <c r="H1268">
        <v>0.17592598372891899</v>
      </c>
      <c r="I1268">
        <v>1</v>
      </c>
      <c r="J1268">
        <v>0.23692613800000001</v>
      </c>
      <c r="P1268"/>
      <c r="V1268">
        <v>0.16085040714603199</v>
      </c>
      <c r="W1268">
        <v>1</v>
      </c>
      <c r="X1268">
        <v>303123.606498254</v>
      </c>
      <c r="Y1268">
        <v>890</v>
      </c>
      <c r="Z1268">
        <v>0.19315018526140099</v>
      </c>
      <c r="AA1268">
        <v>50</v>
      </c>
    </row>
    <row r="1269" spans="1:27" x14ac:dyDescent="0.2">
      <c r="A1269">
        <v>30</v>
      </c>
      <c r="B1269">
        <v>1</v>
      </c>
      <c r="C1269">
        <v>0.2</v>
      </c>
      <c r="D1269">
        <v>20</v>
      </c>
      <c r="E1269">
        <v>0.116689939417773</v>
      </c>
      <c r="F1269">
        <v>1</v>
      </c>
      <c r="G1269">
        <v>30.128513955999999</v>
      </c>
      <c r="H1269">
        <v>0.119659205254231</v>
      </c>
      <c r="I1269">
        <v>1</v>
      </c>
      <c r="J1269">
        <v>0.12755946200000001</v>
      </c>
      <c r="P1269"/>
      <c r="V1269">
        <v>0.103115739553227</v>
      </c>
      <c r="W1269">
        <v>1</v>
      </c>
      <c r="X1269">
        <v>298640.75666586601</v>
      </c>
      <c r="Y1269">
        <v>1961</v>
      </c>
      <c r="Z1269">
        <v>4.9395023772394797E-2</v>
      </c>
      <c r="AA1269">
        <v>50</v>
      </c>
    </row>
    <row r="1270" spans="1:27" x14ac:dyDescent="0.2">
      <c r="A1270">
        <v>30</v>
      </c>
      <c r="B1270">
        <v>3</v>
      </c>
      <c r="C1270">
        <v>0.2</v>
      </c>
      <c r="D1270">
        <v>20</v>
      </c>
      <c r="E1270">
        <v>0.46096604282690901</v>
      </c>
      <c r="F1270">
        <v>3</v>
      </c>
      <c r="G1270">
        <v>31.863333270999998</v>
      </c>
      <c r="H1270">
        <v>0.33898358650421501</v>
      </c>
      <c r="I1270">
        <v>3</v>
      </c>
      <c r="J1270">
        <v>0.90962591500000001</v>
      </c>
      <c r="P1270"/>
      <c r="V1270">
        <v>0.32944136998569601</v>
      </c>
      <c r="W1270">
        <v>3</v>
      </c>
      <c r="X1270">
        <v>296274.18032017798</v>
      </c>
      <c r="Y1270">
        <v>1</v>
      </c>
      <c r="Z1270">
        <v>6.2587858417582698</v>
      </c>
      <c r="AA1270">
        <v>50</v>
      </c>
    </row>
    <row r="1271" spans="1:27" x14ac:dyDescent="0.2">
      <c r="A1271">
        <v>30</v>
      </c>
      <c r="B1271">
        <v>3</v>
      </c>
      <c r="C1271">
        <v>0.2</v>
      </c>
      <c r="D1271">
        <v>20</v>
      </c>
      <c r="E1271">
        <v>0.68093942975227795</v>
      </c>
      <c r="F1271">
        <v>3</v>
      </c>
      <c r="G1271">
        <v>30.724373356000001</v>
      </c>
      <c r="H1271">
        <v>0.68350413312962999</v>
      </c>
      <c r="I1271">
        <v>3</v>
      </c>
      <c r="J1271">
        <v>1.154604038</v>
      </c>
      <c r="P1271"/>
      <c r="V1271">
        <v>0.68717259826516397</v>
      </c>
      <c r="W1271">
        <v>3</v>
      </c>
      <c r="X1271">
        <v>293559.79418001801</v>
      </c>
      <c r="Y1271">
        <v>1</v>
      </c>
      <c r="Z1271">
        <v>6.1052548686190002</v>
      </c>
      <c r="AA1271">
        <v>50</v>
      </c>
    </row>
    <row r="1272" spans="1:27" x14ac:dyDescent="0.2">
      <c r="A1272">
        <v>30</v>
      </c>
      <c r="B1272">
        <v>3</v>
      </c>
      <c r="C1272">
        <v>0.1</v>
      </c>
      <c r="D1272">
        <v>20</v>
      </c>
      <c r="E1272">
        <v>0.98377628261321504</v>
      </c>
      <c r="F1272">
        <v>3</v>
      </c>
      <c r="G1272">
        <v>30.756056628</v>
      </c>
      <c r="H1272">
        <v>0.97275437742645199</v>
      </c>
      <c r="I1272">
        <v>3</v>
      </c>
      <c r="J1272">
        <v>1.6576295299999999</v>
      </c>
      <c r="P1272"/>
      <c r="V1272">
        <v>0.97756239159582303</v>
      </c>
      <c r="W1272">
        <v>3</v>
      </c>
      <c r="X1272">
        <v>299180.81048955902</v>
      </c>
      <c r="Y1272">
        <v>1</v>
      </c>
      <c r="Z1272">
        <v>0.45148294815421203</v>
      </c>
      <c r="AA1272">
        <v>50</v>
      </c>
    </row>
    <row r="1273" spans="1:27" x14ac:dyDescent="0.2">
      <c r="A1273">
        <v>30</v>
      </c>
      <c r="B1273">
        <v>3</v>
      </c>
      <c r="C1273">
        <v>0.3</v>
      </c>
      <c r="D1273">
        <v>20</v>
      </c>
      <c r="E1273">
        <v>0.287273178728783</v>
      </c>
      <c r="F1273">
        <v>3</v>
      </c>
      <c r="G1273">
        <v>33.691384857999999</v>
      </c>
      <c r="H1273">
        <v>0.21451077195534499</v>
      </c>
      <c r="I1273">
        <v>3</v>
      </c>
      <c r="J1273">
        <v>0.76695459600000004</v>
      </c>
      <c r="P1273"/>
      <c r="V1273">
        <v>0.20076223758880499</v>
      </c>
      <c r="W1273">
        <v>3</v>
      </c>
      <c r="X1273">
        <v>303510.50505525997</v>
      </c>
      <c r="Y1273">
        <v>1</v>
      </c>
      <c r="Z1273">
        <v>11.2136331896033</v>
      </c>
      <c r="AA1273">
        <v>50</v>
      </c>
    </row>
    <row r="1274" spans="1:27" x14ac:dyDescent="0.2">
      <c r="A1274">
        <v>30</v>
      </c>
      <c r="B1274">
        <v>3</v>
      </c>
      <c r="C1274">
        <v>0.1</v>
      </c>
      <c r="D1274">
        <v>20</v>
      </c>
      <c r="E1274">
        <v>0.96603927394290801</v>
      </c>
      <c r="F1274">
        <v>3</v>
      </c>
      <c r="G1274">
        <v>31.644113398999998</v>
      </c>
      <c r="H1274">
        <v>0.94783519703231101</v>
      </c>
      <c r="I1274">
        <v>3</v>
      </c>
      <c r="J1274">
        <v>1.5603673689999999</v>
      </c>
      <c r="P1274"/>
      <c r="V1274">
        <v>0.95160524961583004</v>
      </c>
      <c r="W1274">
        <v>3</v>
      </c>
      <c r="X1274">
        <v>303678.03111497901</v>
      </c>
      <c r="Y1274">
        <v>1</v>
      </c>
      <c r="Z1274">
        <v>0.36679480937869202</v>
      </c>
      <c r="AA1274">
        <v>50</v>
      </c>
    </row>
    <row r="1275" spans="1:27" x14ac:dyDescent="0.2">
      <c r="A1275">
        <v>30</v>
      </c>
      <c r="B1275">
        <v>3</v>
      </c>
      <c r="C1275">
        <v>0.3</v>
      </c>
      <c r="D1275">
        <v>20</v>
      </c>
      <c r="E1275">
        <v>0.42462434971343599</v>
      </c>
      <c r="F1275">
        <v>3</v>
      </c>
      <c r="G1275">
        <v>33.894493095000001</v>
      </c>
      <c r="H1275">
        <v>0.28105278505040499</v>
      </c>
      <c r="I1275">
        <v>3</v>
      </c>
      <c r="J1275">
        <v>0.55992379000000003</v>
      </c>
      <c r="P1275"/>
      <c r="V1275">
        <v>0.265273805654762</v>
      </c>
      <c r="W1275">
        <v>3</v>
      </c>
      <c r="X1275">
        <v>298733.21215789602</v>
      </c>
      <c r="Y1275">
        <v>1</v>
      </c>
      <c r="Z1275">
        <v>16.629896612778499</v>
      </c>
      <c r="AA1275">
        <v>50</v>
      </c>
    </row>
    <row r="1276" spans="1:27" x14ac:dyDescent="0.2">
      <c r="A1276">
        <v>30</v>
      </c>
      <c r="B1276">
        <v>3</v>
      </c>
      <c r="C1276">
        <v>0.1</v>
      </c>
      <c r="D1276">
        <v>20</v>
      </c>
      <c r="E1276">
        <v>0.99267460167017196</v>
      </c>
      <c r="F1276">
        <v>3</v>
      </c>
      <c r="G1276">
        <v>29.208010021</v>
      </c>
      <c r="H1276">
        <v>1.01000365982028</v>
      </c>
      <c r="I1276">
        <v>3</v>
      </c>
      <c r="J1276">
        <v>1.545497074</v>
      </c>
      <c r="P1276"/>
      <c r="V1276">
        <v>1.01267239448059</v>
      </c>
      <c r="W1276">
        <v>3</v>
      </c>
      <c r="X1276">
        <v>305779.57625372999</v>
      </c>
      <c r="Y1276">
        <v>1</v>
      </c>
      <c r="Z1276">
        <v>0.176823772547652</v>
      </c>
      <c r="AA1276">
        <v>50</v>
      </c>
    </row>
    <row r="1277" spans="1:27" x14ac:dyDescent="0.2">
      <c r="A1277">
        <v>30</v>
      </c>
      <c r="B1277">
        <v>3</v>
      </c>
      <c r="C1277">
        <v>0.3</v>
      </c>
      <c r="D1277">
        <v>20</v>
      </c>
      <c r="E1277">
        <v>0.30847412652586498</v>
      </c>
      <c r="F1277">
        <v>3</v>
      </c>
      <c r="G1277">
        <v>24.965486031000001</v>
      </c>
      <c r="H1277">
        <v>0.20311481873860099</v>
      </c>
      <c r="I1277">
        <v>3</v>
      </c>
      <c r="J1277">
        <v>0.69845974</v>
      </c>
      <c r="P1277"/>
      <c r="V1277">
        <v>0.18498797379819801</v>
      </c>
      <c r="W1277">
        <v>3</v>
      </c>
      <c r="X1277">
        <v>304414.32121898199</v>
      </c>
      <c r="Y1277">
        <v>1</v>
      </c>
      <c r="Z1277">
        <v>12.572825132947701</v>
      </c>
      <c r="AA1277">
        <v>50</v>
      </c>
    </row>
    <row r="1278" spans="1:27" x14ac:dyDescent="0.2">
      <c r="A1278">
        <v>30</v>
      </c>
      <c r="B1278">
        <v>3</v>
      </c>
      <c r="C1278">
        <v>0.2</v>
      </c>
      <c r="D1278">
        <v>20</v>
      </c>
      <c r="E1278">
        <v>0.52853651447369998</v>
      </c>
      <c r="F1278">
        <v>3</v>
      </c>
      <c r="G1278">
        <v>32.374656874999999</v>
      </c>
      <c r="H1278">
        <v>0.440073604919894</v>
      </c>
      <c r="I1278">
        <v>3</v>
      </c>
      <c r="J1278">
        <v>0.736116035</v>
      </c>
      <c r="P1278"/>
      <c r="V1278">
        <v>0.436097338660903</v>
      </c>
      <c r="W1278">
        <v>3</v>
      </c>
      <c r="X1278">
        <v>301960.82140497101</v>
      </c>
      <c r="Y1278">
        <v>1</v>
      </c>
      <c r="Z1278">
        <v>5.5350119028402203</v>
      </c>
      <c r="AA1278">
        <v>50</v>
      </c>
    </row>
    <row r="1279" spans="1:27" x14ac:dyDescent="0.2">
      <c r="A1279">
        <v>30</v>
      </c>
      <c r="B1279">
        <v>3</v>
      </c>
      <c r="C1279">
        <v>0.1</v>
      </c>
      <c r="D1279">
        <v>20</v>
      </c>
      <c r="E1279">
        <v>1.00461573175916</v>
      </c>
      <c r="F1279">
        <v>3</v>
      </c>
      <c r="G1279">
        <v>31.879370926</v>
      </c>
      <c r="H1279">
        <v>0.93213812602163504</v>
      </c>
      <c r="I1279">
        <v>3</v>
      </c>
      <c r="J1279">
        <v>1.6297353729999999</v>
      </c>
      <c r="P1279"/>
      <c r="V1279">
        <v>0.93381229017548095</v>
      </c>
      <c r="W1279">
        <v>3</v>
      </c>
      <c r="X1279">
        <v>302793.13859897899</v>
      </c>
      <c r="Y1279">
        <v>1</v>
      </c>
      <c r="Z1279">
        <v>0.58710991370357202</v>
      </c>
      <c r="AA1279">
        <v>50</v>
      </c>
    </row>
    <row r="1280" spans="1:27" x14ac:dyDescent="0.2">
      <c r="A1280">
        <v>30</v>
      </c>
      <c r="B1280">
        <v>3</v>
      </c>
      <c r="C1280">
        <v>0.1</v>
      </c>
      <c r="D1280">
        <v>20</v>
      </c>
      <c r="E1280">
        <v>1.1079502458564301</v>
      </c>
      <c r="F1280">
        <v>3</v>
      </c>
      <c r="G1280">
        <v>25.982291994000001</v>
      </c>
      <c r="H1280">
        <v>1.0770968277181501</v>
      </c>
      <c r="I1280">
        <v>3</v>
      </c>
      <c r="J1280">
        <v>1.3584150070000001</v>
      </c>
      <c r="P1280"/>
      <c r="V1280">
        <v>1.0798941280907599</v>
      </c>
      <c r="W1280">
        <v>3</v>
      </c>
      <c r="X1280">
        <v>305429.37056612602</v>
      </c>
      <c r="Y1280">
        <v>1</v>
      </c>
      <c r="Z1280">
        <v>0.22118044585367799</v>
      </c>
      <c r="AA1280">
        <v>50</v>
      </c>
    </row>
    <row r="1281" spans="1:27" x14ac:dyDescent="0.2">
      <c r="A1281">
        <v>30</v>
      </c>
      <c r="B1281">
        <v>3</v>
      </c>
      <c r="C1281">
        <v>0.2</v>
      </c>
      <c r="D1281">
        <v>20</v>
      </c>
      <c r="E1281">
        <v>0.62109444053027496</v>
      </c>
      <c r="F1281">
        <v>3</v>
      </c>
      <c r="G1281">
        <v>25.193385135</v>
      </c>
      <c r="H1281">
        <v>0.49894717923800502</v>
      </c>
      <c r="I1281">
        <v>3</v>
      </c>
      <c r="J1281">
        <v>1.295049616</v>
      </c>
      <c r="P1281"/>
      <c r="V1281">
        <v>0.49553198714263202</v>
      </c>
      <c r="W1281">
        <v>3</v>
      </c>
      <c r="X1281">
        <v>307294.26215795998</v>
      </c>
      <c r="Y1281">
        <v>1</v>
      </c>
      <c r="Z1281">
        <v>5.7071419048686201</v>
      </c>
      <c r="AA1281">
        <v>50</v>
      </c>
    </row>
    <row r="1282" spans="1:27" x14ac:dyDescent="0.2">
      <c r="A1282">
        <v>30</v>
      </c>
      <c r="B1282">
        <v>3</v>
      </c>
      <c r="C1282">
        <v>0.3</v>
      </c>
      <c r="D1282">
        <v>20</v>
      </c>
      <c r="E1282">
        <v>0.39548052107059301</v>
      </c>
      <c r="F1282">
        <v>3</v>
      </c>
      <c r="G1282">
        <v>30.525521960999999</v>
      </c>
      <c r="H1282">
        <v>0.25826058518257</v>
      </c>
      <c r="I1282">
        <v>3</v>
      </c>
      <c r="J1282">
        <v>1.162263233</v>
      </c>
      <c r="P1282"/>
      <c r="V1282">
        <v>0.23678424640381199</v>
      </c>
      <c r="W1282">
        <v>3</v>
      </c>
      <c r="X1282">
        <v>303193.312898173</v>
      </c>
      <c r="Y1282">
        <v>0</v>
      </c>
      <c r="Z1282">
        <v>20.8853349792298</v>
      </c>
      <c r="AA1282">
        <v>50</v>
      </c>
    </row>
    <row r="1283" spans="1:27" x14ac:dyDescent="0.2">
      <c r="A1283">
        <v>30</v>
      </c>
      <c r="B1283">
        <v>3</v>
      </c>
      <c r="C1283">
        <v>0.2</v>
      </c>
      <c r="D1283">
        <v>20</v>
      </c>
      <c r="E1283">
        <v>0.63528791415804797</v>
      </c>
      <c r="F1283">
        <v>3</v>
      </c>
      <c r="G1283">
        <v>34.057172899000001</v>
      </c>
      <c r="H1283">
        <v>0.49154210545060101</v>
      </c>
      <c r="I1283">
        <v>3</v>
      </c>
      <c r="J1283">
        <v>1.408494712</v>
      </c>
      <c r="P1283"/>
      <c r="V1283">
        <v>0.48294339371616501</v>
      </c>
      <c r="W1283">
        <v>3</v>
      </c>
      <c r="X1283">
        <v>301084.56065033301</v>
      </c>
      <c r="Y1283">
        <v>1</v>
      </c>
      <c r="Z1283">
        <v>7.1077370645989797</v>
      </c>
      <c r="AA1283">
        <v>50</v>
      </c>
    </row>
    <row r="1284" spans="1:27" x14ac:dyDescent="0.2">
      <c r="A1284">
        <v>30</v>
      </c>
      <c r="B1284">
        <v>3</v>
      </c>
      <c r="C1284">
        <v>0.2</v>
      </c>
      <c r="D1284">
        <v>20</v>
      </c>
      <c r="E1284">
        <v>0.71077823922966299</v>
      </c>
      <c r="F1284">
        <v>3</v>
      </c>
      <c r="G1284">
        <v>30.899166039000001</v>
      </c>
      <c r="H1284">
        <v>0.64663042395562698</v>
      </c>
      <c r="I1284">
        <v>3</v>
      </c>
      <c r="J1284">
        <v>1.6927675950000001</v>
      </c>
      <c r="P1284"/>
      <c r="V1284">
        <v>0.64707274782300805</v>
      </c>
      <c r="W1284">
        <v>3</v>
      </c>
      <c r="X1284">
        <v>305860.37207307603</v>
      </c>
      <c r="Y1284">
        <v>1</v>
      </c>
      <c r="Z1284">
        <v>6.7538393501053999</v>
      </c>
      <c r="AA1284">
        <v>50</v>
      </c>
    </row>
    <row r="1285" spans="1:27" x14ac:dyDescent="0.2">
      <c r="A1285">
        <v>30</v>
      </c>
      <c r="B1285">
        <v>3</v>
      </c>
      <c r="C1285">
        <v>0.1</v>
      </c>
      <c r="D1285">
        <v>20</v>
      </c>
      <c r="E1285">
        <v>0.97215874605015695</v>
      </c>
      <c r="F1285">
        <v>3</v>
      </c>
      <c r="G1285">
        <v>33.102237449</v>
      </c>
      <c r="H1285">
        <v>0.95161025285694001</v>
      </c>
      <c r="I1285">
        <v>3</v>
      </c>
      <c r="J1285">
        <v>1.6551985819999999</v>
      </c>
      <c r="P1285"/>
      <c r="V1285">
        <v>0.95412852069430898</v>
      </c>
      <c r="W1285">
        <v>3</v>
      </c>
      <c r="X1285">
        <v>299484.13861648698</v>
      </c>
      <c r="Y1285">
        <v>1</v>
      </c>
      <c r="Z1285">
        <v>0.40472659006745199</v>
      </c>
      <c r="AA1285">
        <v>50</v>
      </c>
    </row>
    <row r="1286" spans="1:27" x14ac:dyDescent="0.2">
      <c r="A1286">
        <v>30</v>
      </c>
      <c r="B1286">
        <v>3</v>
      </c>
      <c r="C1286">
        <v>0.3</v>
      </c>
      <c r="D1286">
        <v>20</v>
      </c>
      <c r="E1286">
        <v>0.30925034955736003</v>
      </c>
      <c r="F1286">
        <v>3</v>
      </c>
      <c r="G1286">
        <v>30.206013981000002</v>
      </c>
      <c r="H1286">
        <v>0.202376981583791</v>
      </c>
      <c r="I1286">
        <v>3</v>
      </c>
      <c r="J1286">
        <v>0.63826052700000002</v>
      </c>
      <c r="P1286"/>
      <c r="V1286">
        <v>0.19019258936474201</v>
      </c>
      <c r="W1286">
        <v>3</v>
      </c>
      <c r="X1286">
        <v>304099.28283448901</v>
      </c>
      <c r="Y1286">
        <v>1</v>
      </c>
      <c r="Z1286">
        <v>20.2967092204611</v>
      </c>
      <c r="AA1286">
        <v>50</v>
      </c>
    </row>
    <row r="1287" spans="1:27" x14ac:dyDescent="0.2">
      <c r="A1287">
        <v>30</v>
      </c>
      <c r="B1287">
        <v>3</v>
      </c>
      <c r="C1287">
        <v>0.2</v>
      </c>
      <c r="D1287">
        <v>20</v>
      </c>
      <c r="E1287">
        <v>0.57613532400562695</v>
      </c>
      <c r="F1287">
        <v>3</v>
      </c>
      <c r="G1287">
        <v>31.170759361000002</v>
      </c>
      <c r="H1287">
        <v>0.50123421583569105</v>
      </c>
      <c r="I1287">
        <v>3</v>
      </c>
      <c r="J1287">
        <v>1.71108061</v>
      </c>
      <c r="P1287"/>
      <c r="V1287">
        <v>0.49036242109672701</v>
      </c>
      <c r="W1287">
        <v>3</v>
      </c>
      <c r="X1287">
        <v>305853.50103832898</v>
      </c>
      <c r="Y1287">
        <v>1</v>
      </c>
      <c r="Z1287">
        <v>5.3129896359074502</v>
      </c>
      <c r="AA1287">
        <v>50</v>
      </c>
    </row>
    <row r="1288" spans="1:27" x14ac:dyDescent="0.2">
      <c r="A1288">
        <v>30</v>
      </c>
      <c r="B1288">
        <v>3</v>
      </c>
      <c r="C1288">
        <v>0.1</v>
      </c>
      <c r="D1288">
        <v>20</v>
      </c>
      <c r="E1288">
        <v>0.90343498976077197</v>
      </c>
      <c r="F1288">
        <v>3</v>
      </c>
      <c r="G1288">
        <v>30.540836420000002</v>
      </c>
      <c r="H1288">
        <v>0.89646002812441095</v>
      </c>
      <c r="I1288">
        <v>3</v>
      </c>
      <c r="J1288">
        <v>1.1917634079999999</v>
      </c>
      <c r="P1288"/>
      <c r="V1288">
        <v>0.90031514239224597</v>
      </c>
      <c r="W1288">
        <v>3</v>
      </c>
      <c r="X1288">
        <v>305130.14068243001</v>
      </c>
      <c r="Y1288">
        <v>1</v>
      </c>
      <c r="Z1288">
        <v>0.76056966647317603</v>
      </c>
      <c r="AA1288">
        <v>50</v>
      </c>
    </row>
    <row r="1289" spans="1:27" x14ac:dyDescent="0.2">
      <c r="A1289">
        <v>30</v>
      </c>
      <c r="B1289">
        <v>3</v>
      </c>
      <c r="C1289">
        <v>0.2</v>
      </c>
      <c r="D1289">
        <v>20</v>
      </c>
      <c r="E1289">
        <v>0.52361360334052598</v>
      </c>
      <c r="F1289">
        <v>3</v>
      </c>
      <c r="G1289">
        <v>30.909089803000001</v>
      </c>
      <c r="H1289">
        <v>0.44711739942293099</v>
      </c>
      <c r="I1289">
        <v>3</v>
      </c>
      <c r="J1289">
        <v>0.91459222500000004</v>
      </c>
      <c r="P1289"/>
      <c r="V1289">
        <v>0.44325304665098902</v>
      </c>
      <c r="W1289">
        <v>3</v>
      </c>
      <c r="X1289">
        <v>305561.47095727501</v>
      </c>
      <c r="Y1289">
        <v>1</v>
      </c>
      <c r="Z1289">
        <v>6.06024983758702</v>
      </c>
      <c r="AA1289">
        <v>50</v>
      </c>
    </row>
    <row r="1290" spans="1:27" x14ac:dyDescent="0.2">
      <c r="A1290">
        <v>30</v>
      </c>
      <c r="B1290">
        <v>3</v>
      </c>
      <c r="C1290">
        <v>0.1</v>
      </c>
      <c r="D1290">
        <v>20</v>
      </c>
      <c r="E1290">
        <v>0.98097288629605095</v>
      </c>
      <c r="F1290">
        <v>3</v>
      </c>
      <c r="G1290">
        <v>30.486290570000001</v>
      </c>
      <c r="H1290">
        <v>0.99746994953537904</v>
      </c>
      <c r="I1290">
        <v>3</v>
      </c>
      <c r="J1290">
        <v>1.560149869</v>
      </c>
      <c r="P1290"/>
      <c r="V1290">
        <v>1.00253518743633</v>
      </c>
      <c r="W1290">
        <v>3</v>
      </c>
      <c r="X1290">
        <v>305484.587251538</v>
      </c>
      <c r="Y1290">
        <v>1</v>
      </c>
      <c r="Z1290">
        <v>0.48888252191489801</v>
      </c>
      <c r="AA1290">
        <v>50</v>
      </c>
    </row>
    <row r="1291" spans="1:27" x14ac:dyDescent="0.2">
      <c r="A1291">
        <v>30</v>
      </c>
      <c r="B1291">
        <v>3</v>
      </c>
      <c r="C1291">
        <v>0.1</v>
      </c>
      <c r="D1291">
        <v>20</v>
      </c>
      <c r="E1291">
        <v>0.95776584772126505</v>
      </c>
      <c r="F1291">
        <v>3</v>
      </c>
      <c r="G1291">
        <v>31.960046436999999</v>
      </c>
      <c r="H1291">
        <v>1.0198526433764199</v>
      </c>
      <c r="I1291">
        <v>3</v>
      </c>
      <c r="J1291">
        <v>1.6019420310000001</v>
      </c>
      <c r="P1291"/>
      <c r="V1291">
        <v>1.02326721157786</v>
      </c>
      <c r="W1291">
        <v>3</v>
      </c>
      <c r="X1291">
        <v>306378.01785809099</v>
      </c>
      <c r="Y1291">
        <v>1</v>
      </c>
      <c r="Z1291">
        <v>0.26006332218317502</v>
      </c>
      <c r="AA1291">
        <v>50</v>
      </c>
    </row>
    <row r="1292" spans="1:27" x14ac:dyDescent="0.2">
      <c r="A1292">
        <v>30</v>
      </c>
      <c r="B1292">
        <v>3</v>
      </c>
      <c r="C1292">
        <v>0.2</v>
      </c>
      <c r="D1292">
        <v>20</v>
      </c>
      <c r="E1292">
        <v>0.57919515543656297</v>
      </c>
      <c r="F1292">
        <v>3</v>
      </c>
      <c r="G1292">
        <v>31.088425267000002</v>
      </c>
      <c r="H1292">
        <v>0.46910159477284302</v>
      </c>
      <c r="I1292">
        <v>3</v>
      </c>
      <c r="J1292">
        <v>1.3708672099999999</v>
      </c>
      <c r="P1292"/>
      <c r="V1292">
        <v>0.46625748858819799</v>
      </c>
      <c r="W1292">
        <v>3</v>
      </c>
      <c r="X1292">
        <v>305268.34531199199</v>
      </c>
      <c r="Y1292">
        <v>1</v>
      </c>
      <c r="Z1292">
        <v>4.8550256864650096</v>
      </c>
      <c r="AA1292">
        <v>50</v>
      </c>
    </row>
    <row r="1293" spans="1:27" x14ac:dyDescent="0.2">
      <c r="A1293">
        <v>30</v>
      </c>
      <c r="B1293">
        <v>3</v>
      </c>
      <c r="C1293">
        <v>0.3</v>
      </c>
      <c r="D1293">
        <v>20</v>
      </c>
      <c r="E1293">
        <v>0.38875982632961198</v>
      </c>
      <c r="F1293">
        <v>3</v>
      </c>
      <c r="G1293">
        <v>34.449511450000003</v>
      </c>
      <c r="H1293">
        <v>0.34299379840169297</v>
      </c>
      <c r="I1293">
        <v>3</v>
      </c>
      <c r="J1293">
        <v>0.89562409899999995</v>
      </c>
      <c r="P1293"/>
      <c r="V1293">
        <v>0.30229385111537499</v>
      </c>
      <c r="W1293">
        <v>3</v>
      </c>
      <c r="X1293">
        <v>308011.58632696798</v>
      </c>
      <c r="Y1293">
        <v>0</v>
      </c>
      <c r="Z1293">
        <v>14.1049564142831</v>
      </c>
      <c r="AA1293">
        <v>50</v>
      </c>
    </row>
    <row r="1294" spans="1:27" x14ac:dyDescent="0.2">
      <c r="A1294">
        <v>30</v>
      </c>
      <c r="B1294">
        <v>3</v>
      </c>
      <c r="C1294">
        <v>0.3</v>
      </c>
      <c r="D1294">
        <v>20</v>
      </c>
      <c r="E1294">
        <v>0.33240713442216202</v>
      </c>
      <c r="F1294">
        <v>3</v>
      </c>
      <c r="G1294">
        <v>30.887011846</v>
      </c>
      <c r="H1294">
        <v>0.245460393640479</v>
      </c>
      <c r="I1294">
        <v>3</v>
      </c>
      <c r="J1294">
        <v>0.76963996499999998</v>
      </c>
      <c r="P1294"/>
      <c r="V1294">
        <v>0.22075786964313401</v>
      </c>
      <c r="W1294">
        <v>3</v>
      </c>
      <c r="X1294">
        <v>307698.96174859599</v>
      </c>
      <c r="Y1294">
        <v>0</v>
      </c>
      <c r="Z1294">
        <v>16.766136936032101</v>
      </c>
      <c r="AA1294">
        <v>50</v>
      </c>
    </row>
    <row r="1295" spans="1:27" x14ac:dyDescent="0.2">
      <c r="A1295">
        <v>30</v>
      </c>
      <c r="B1295">
        <v>3</v>
      </c>
      <c r="C1295">
        <v>0.1</v>
      </c>
      <c r="D1295">
        <v>20</v>
      </c>
      <c r="E1295">
        <v>1.0522291771585399</v>
      </c>
      <c r="F1295">
        <v>3</v>
      </c>
      <c r="G1295">
        <v>31.470338687999998</v>
      </c>
      <c r="H1295">
        <v>1.0182417236607599</v>
      </c>
      <c r="I1295">
        <v>3</v>
      </c>
      <c r="J1295">
        <v>1.6476414269999999</v>
      </c>
      <c r="P1295"/>
      <c r="V1295">
        <v>1.02165292385873</v>
      </c>
      <c r="W1295">
        <v>3</v>
      </c>
      <c r="X1295">
        <v>305180.92037579702</v>
      </c>
      <c r="Y1295">
        <v>1</v>
      </c>
      <c r="Z1295">
        <v>0.35188355186437498</v>
      </c>
      <c r="AA1295">
        <v>50</v>
      </c>
    </row>
    <row r="1296" spans="1:27" x14ac:dyDescent="0.2">
      <c r="A1296">
        <v>30</v>
      </c>
      <c r="B1296">
        <v>3</v>
      </c>
      <c r="C1296">
        <v>0.3</v>
      </c>
      <c r="D1296">
        <v>20</v>
      </c>
      <c r="E1296">
        <v>0.27824920861816199</v>
      </c>
      <c r="F1296">
        <v>3</v>
      </c>
      <c r="G1296">
        <v>31.533339213000001</v>
      </c>
      <c r="H1296">
        <v>0.16995391142237101</v>
      </c>
      <c r="I1296">
        <v>3</v>
      </c>
      <c r="J1296">
        <v>0.68703641100000001</v>
      </c>
      <c r="P1296"/>
      <c r="V1296">
        <v>0.15231840296038099</v>
      </c>
      <c r="W1296">
        <v>3</v>
      </c>
      <c r="X1296">
        <v>307100.78049159702</v>
      </c>
      <c r="Y1296">
        <v>0</v>
      </c>
      <c r="Z1296">
        <v>14.542471215898299</v>
      </c>
      <c r="AA1296">
        <v>50</v>
      </c>
    </row>
    <row r="1297" spans="1:27" x14ac:dyDescent="0.2">
      <c r="A1297">
        <v>30</v>
      </c>
      <c r="B1297">
        <v>3</v>
      </c>
      <c r="C1297">
        <v>0.3</v>
      </c>
      <c r="D1297">
        <v>20</v>
      </c>
      <c r="E1297">
        <v>0.30873389223082998</v>
      </c>
      <c r="F1297">
        <v>3</v>
      </c>
      <c r="G1297">
        <v>32.659619444</v>
      </c>
      <c r="H1297">
        <v>0.241432768370861</v>
      </c>
      <c r="I1297">
        <v>3</v>
      </c>
      <c r="J1297">
        <v>0.400098016</v>
      </c>
      <c r="P1297"/>
      <c r="V1297">
        <v>0.22069952283142</v>
      </c>
      <c r="W1297">
        <v>3</v>
      </c>
      <c r="X1297">
        <v>305904.84342918999</v>
      </c>
      <c r="Y1297">
        <v>1</v>
      </c>
      <c r="Z1297">
        <v>11.0705362783634</v>
      </c>
      <c r="AA1297">
        <v>50</v>
      </c>
    </row>
    <row r="1298" spans="1:27" x14ac:dyDescent="0.2">
      <c r="A1298">
        <v>30</v>
      </c>
      <c r="B1298">
        <v>3</v>
      </c>
      <c r="C1298">
        <v>0.2</v>
      </c>
      <c r="D1298">
        <v>20</v>
      </c>
      <c r="E1298">
        <v>0.66079821604983802</v>
      </c>
      <c r="F1298">
        <v>3</v>
      </c>
      <c r="G1298">
        <v>30.95990939</v>
      </c>
      <c r="H1298">
        <v>0.67316291074648804</v>
      </c>
      <c r="I1298">
        <v>3</v>
      </c>
      <c r="J1298">
        <v>1.4027401070000001</v>
      </c>
      <c r="P1298"/>
      <c r="V1298">
        <v>0.67740428438296396</v>
      </c>
      <c r="W1298">
        <v>3</v>
      </c>
      <c r="X1298">
        <v>307694.76887846901</v>
      </c>
      <c r="Y1298">
        <v>1</v>
      </c>
      <c r="Z1298">
        <v>4.8259593529333298</v>
      </c>
      <c r="AA1298">
        <v>50</v>
      </c>
    </row>
    <row r="1299" spans="1:27" x14ac:dyDescent="0.2">
      <c r="A1299">
        <v>30</v>
      </c>
      <c r="B1299">
        <v>3</v>
      </c>
      <c r="C1299">
        <v>0.3</v>
      </c>
      <c r="D1299">
        <v>20</v>
      </c>
      <c r="E1299">
        <v>0.411056888909832</v>
      </c>
      <c r="F1299">
        <v>3</v>
      </c>
      <c r="G1299">
        <v>29.514510287</v>
      </c>
      <c r="H1299">
        <v>0.24790734048275401</v>
      </c>
      <c r="I1299">
        <v>3</v>
      </c>
      <c r="J1299">
        <v>0.43190382999999999</v>
      </c>
      <c r="P1299"/>
      <c r="V1299">
        <v>0.22592444314114299</v>
      </c>
      <c r="W1299">
        <v>3</v>
      </c>
      <c r="X1299">
        <v>304687.38024631701</v>
      </c>
      <c r="Y1299">
        <v>1</v>
      </c>
      <c r="Z1299">
        <v>17.626895169356001</v>
      </c>
      <c r="AA1299">
        <v>50</v>
      </c>
    </row>
    <row r="1300" spans="1:27" x14ac:dyDescent="0.2">
      <c r="A1300">
        <v>30</v>
      </c>
      <c r="B1300">
        <v>3</v>
      </c>
      <c r="C1300">
        <v>0.1</v>
      </c>
      <c r="D1300">
        <v>20</v>
      </c>
      <c r="E1300">
        <v>1.0024555138842399</v>
      </c>
      <c r="F1300">
        <v>3</v>
      </c>
      <c r="G1300">
        <v>30.836146227</v>
      </c>
      <c r="H1300">
        <v>0.97139766274725503</v>
      </c>
      <c r="I1300">
        <v>3</v>
      </c>
      <c r="J1300">
        <v>1.5717834770000001</v>
      </c>
      <c r="P1300"/>
      <c r="V1300">
        <v>0.97461003887063902</v>
      </c>
      <c r="W1300">
        <v>3</v>
      </c>
      <c r="X1300">
        <v>307589.11674438498</v>
      </c>
      <c r="Y1300">
        <v>1</v>
      </c>
      <c r="Z1300">
        <v>0.25816104824153702</v>
      </c>
      <c r="AA1300">
        <v>50</v>
      </c>
    </row>
    <row r="1301" spans="1:27" x14ac:dyDescent="0.2">
      <c r="A1301">
        <v>30</v>
      </c>
      <c r="B1301">
        <v>3</v>
      </c>
      <c r="C1301">
        <v>0.3</v>
      </c>
      <c r="D1301">
        <v>20</v>
      </c>
      <c r="E1301">
        <v>0.23340450552542399</v>
      </c>
      <c r="F1301">
        <v>3</v>
      </c>
      <c r="G1301">
        <v>31.638842772</v>
      </c>
      <c r="H1301">
        <v>0.18810117498597501</v>
      </c>
      <c r="I1301">
        <v>3</v>
      </c>
      <c r="J1301">
        <v>0.61609415099999998</v>
      </c>
      <c r="P1301"/>
      <c r="V1301">
        <v>0.168766612411682</v>
      </c>
      <c r="W1301">
        <v>3</v>
      </c>
      <c r="X1301">
        <v>310399.764105045</v>
      </c>
      <c r="Y1301">
        <v>0</v>
      </c>
      <c r="Z1301">
        <v>19.552447366984701</v>
      </c>
      <c r="AA1301">
        <v>50</v>
      </c>
    </row>
    <row r="1302" spans="1:27" x14ac:dyDescent="0.2">
      <c r="A1302">
        <v>30</v>
      </c>
      <c r="B1302">
        <v>3</v>
      </c>
      <c r="C1302">
        <v>0.2</v>
      </c>
      <c r="D1302">
        <v>20</v>
      </c>
      <c r="E1302">
        <v>0.67163777289547699</v>
      </c>
      <c r="F1302">
        <v>3</v>
      </c>
      <c r="G1302">
        <v>29.626003312000002</v>
      </c>
      <c r="H1302">
        <v>0.56062432956720198</v>
      </c>
      <c r="I1302">
        <v>3</v>
      </c>
      <c r="J1302">
        <v>1.6548369949999999</v>
      </c>
      <c r="P1302"/>
      <c r="V1302">
        <v>0.55593887438900802</v>
      </c>
      <c r="W1302">
        <v>3</v>
      </c>
      <c r="X1302">
        <v>307352.44339559501</v>
      </c>
      <c r="Y1302">
        <v>1</v>
      </c>
      <c r="Z1302">
        <v>5.0508511009365797</v>
      </c>
      <c r="AA1302">
        <v>50</v>
      </c>
    </row>
    <row r="1303" spans="1:27" x14ac:dyDescent="0.2">
      <c r="A1303">
        <v>30</v>
      </c>
      <c r="B1303">
        <v>3</v>
      </c>
      <c r="C1303">
        <v>0.3</v>
      </c>
      <c r="D1303">
        <v>20</v>
      </c>
      <c r="E1303">
        <v>0.47467838292447401</v>
      </c>
      <c r="F1303">
        <v>3</v>
      </c>
      <c r="G1303">
        <v>32.069469067999997</v>
      </c>
      <c r="H1303">
        <v>0.27589664788119</v>
      </c>
      <c r="I1303">
        <v>3</v>
      </c>
      <c r="J1303">
        <v>0.96204302600000002</v>
      </c>
      <c r="P1303"/>
      <c r="V1303">
        <v>0.25217736704133198</v>
      </c>
      <c r="W1303">
        <v>3</v>
      </c>
      <c r="X1303">
        <v>305301.193052847</v>
      </c>
      <c r="Y1303">
        <v>1</v>
      </c>
      <c r="Z1303">
        <v>11.855574236581701</v>
      </c>
      <c r="AA1303">
        <v>50</v>
      </c>
    </row>
    <row r="1304" spans="1:27" x14ac:dyDescent="0.2">
      <c r="A1304">
        <v>30</v>
      </c>
      <c r="B1304">
        <v>1</v>
      </c>
      <c r="C1304">
        <v>0.2</v>
      </c>
      <c r="D1304">
        <v>20</v>
      </c>
      <c r="E1304">
        <v>0.291342630409403</v>
      </c>
      <c r="F1304">
        <v>1</v>
      </c>
      <c r="G1304">
        <v>36.783864434999998</v>
      </c>
      <c r="H1304">
        <v>0.205535574000965</v>
      </c>
      <c r="I1304">
        <v>1</v>
      </c>
      <c r="J1304">
        <v>0.17706254499999999</v>
      </c>
      <c r="P1304"/>
      <c r="V1304">
        <v>0.17021132739311201</v>
      </c>
      <c r="W1304">
        <v>1</v>
      </c>
      <c r="X1304">
        <v>305294.09911636601</v>
      </c>
      <c r="Y1304">
        <v>672</v>
      </c>
      <c r="Z1304">
        <v>0.204643711647196</v>
      </c>
      <c r="AA1304">
        <v>50</v>
      </c>
    </row>
    <row r="1305" spans="1:27" x14ac:dyDescent="0.2">
      <c r="A1305">
        <v>30</v>
      </c>
      <c r="B1305">
        <v>1</v>
      </c>
      <c r="C1305">
        <v>0.3</v>
      </c>
      <c r="D1305">
        <v>20</v>
      </c>
      <c r="E1305">
        <v>0.106556503511785</v>
      </c>
      <c r="F1305">
        <v>1</v>
      </c>
      <c r="G1305">
        <v>36.406705436000003</v>
      </c>
      <c r="H1305">
        <v>0.122995683585067</v>
      </c>
      <c r="I1305">
        <v>1</v>
      </c>
      <c r="J1305">
        <v>0.246429496</v>
      </c>
      <c r="P1305"/>
      <c r="V1305">
        <v>9.7368401630043899E-2</v>
      </c>
      <c r="W1305">
        <v>1</v>
      </c>
      <c r="X1305">
        <v>301492.79670050699</v>
      </c>
      <c r="Y1305">
        <v>1331</v>
      </c>
      <c r="Z1305">
        <v>0.13523673628878799</v>
      </c>
      <c r="AA1305">
        <v>50</v>
      </c>
    </row>
    <row r="1306" spans="1:27" x14ac:dyDescent="0.2">
      <c r="A1306">
        <v>30</v>
      </c>
      <c r="B1306">
        <v>1</v>
      </c>
      <c r="C1306">
        <v>0.1</v>
      </c>
      <c r="D1306">
        <v>20</v>
      </c>
      <c r="E1306">
        <v>0.63245194305447605</v>
      </c>
      <c r="F1306">
        <v>1</v>
      </c>
      <c r="G1306">
        <v>24.106188106000001</v>
      </c>
      <c r="H1306">
        <v>0.52415840080074205</v>
      </c>
      <c r="I1306">
        <v>1</v>
      </c>
      <c r="J1306">
        <v>0.55066439199999995</v>
      </c>
      <c r="P1306"/>
      <c r="V1306">
        <v>0.51434657615310198</v>
      </c>
      <c r="W1306">
        <v>1</v>
      </c>
      <c r="X1306">
        <v>299834.78199407901</v>
      </c>
      <c r="Y1306">
        <v>5750</v>
      </c>
      <c r="Z1306">
        <v>2.6607694460986799E-2</v>
      </c>
      <c r="AA1306">
        <v>50</v>
      </c>
    </row>
    <row r="1307" spans="1:27" x14ac:dyDescent="0.2">
      <c r="A1307">
        <v>30</v>
      </c>
      <c r="B1307">
        <v>1</v>
      </c>
      <c r="C1307">
        <v>0.3</v>
      </c>
      <c r="D1307">
        <v>20</v>
      </c>
      <c r="E1307">
        <v>0.180776365625896</v>
      </c>
      <c r="F1307">
        <v>1</v>
      </c>
      <c r="G1307">
        <v>30.407728500000001</v>
      </c>
      <c r="H1307">
        <v>0.12726264820075101</v>
      </c>
      <c r="I1307">
        <v>1</v>
      </c>
      <c r="J1307">
        <v>0.22842549300000001</v>
      </c>
      <c r="P1307"/>
      <c r="V1307">
        <v>0.10381723510631299</v>
      </c>
      <c r="W1307">
        <v>1</v>
      </c>
      <c r="X1307">
        <v>287785.65658413799</v>
      </c>
      <c r="Y1307">
        <v>2166</v>
      </c>
      <c r="Z1307">
        <v>6.6833366605351302E-2</v>
      </c>
      <c r="AA1307">
        <v>50</v>
      </c>
    </row>
    <row r="1308" spans="1:27" x14ac:dyDescent="0.2">
      <c r="A1308">
        <v>30</v>
      </c>
      <c r="B1308">
        <v>1</v>
      </c>
      <c r="C1308">
        <v>0.2</v>
      </c>
      <c r="D1308">
        <v>20</v>
      </c>
      <c r="E1308">
        <v>0.31886921255837403</v>
      </c>
      <c r="F1308">
        <v>1</v>
      </c>
      <c r="G1308">
        <v>24.628674485000001</v>
      </c>
      <c r="H1308">
        <v>0.22007294897452201</v>
      </c>
      <c r="I1308">
        <v>1</v>
      </c>
      <c r="J1308">
        <v>0.31643960900000001</v>
      </c>
      <c r="P1308"/>
      <c r="V1308">
        <v>0.202803845948893</v>
      </c>
      <c r="W1308">
        <v>1</v>
      </c>
      <c r="X1308">
        <v>301273.94338897901</v>
      </c>
      <c r="Y1308">
        <v>1050</v>
      </c>
      <c r="Z1308">
        <v>0.29342162801843902</v>
      </c>
      <c r="AA1308">
        <v>50</v>
      </c>
    </row>
    <row r="1309" spans="1:27" x14ac:dyDescent="0.2">
      <c r="A1309">
        <v>30</v>
      </c>
      <c r="B1309">
        <v>1</v>
      </c>
      <c r="C1309">
        <v>0.1</v>
      </c>
      <c r="D1309">
        <v>20</v>
      </c>
      <c r="E1309">
        <v>0.49417736715532301</v>
      </c>
      <c r="F1309">
        <v>1</v>
      </c>
      <c r="G1309">
        <v>33.044438237000001</v>
      </c>
      <c r="H1309">
        <v>0.39766537585881001</v>
      </c>
      <c r="I1309">
        <v>1</v>
      </c>
      <c r="J1309">
        <v>0.75248534600000005</v>
      </c>
      <c r="P1309"/>
      <c r="V1309">
        <v>0.360038286654981</v>
      </c>
      <c r="W1309">
        <v>1</v>
      </c>
      <c r="X1309">
        <v>304546.77519545099</v>
      </c>
      <c r="Y1309">
        <v>2605</v>
      </c>
      <c r="Z1309">
        <v>0.12624350137749901</v>
      </c>
      <c r="AA1309">
        <v>50</v>
      </c>
    </row>
    <row r="1310" spans="1:27" x14ac:dyDescent="0.2">
      <c r="A1310">
        <v>30</v>
      </c>
      <c r="B1310">
        <v>2</v>
      </c>
      <c r="C1310">
        <v>0.1</v>
      </c>
      <c r="D1310">
        <v>100</v>
      </c>
      <c r="E1310">
        <v>1.04137327934765</v>
      </c>
      <c r="F1310">
        <v>2</v>
      </c>
      <c r="G1310">
        <v>33.778441188000002</v>
      </c>
      <c r="H1310">
        <v>1.02691266362712</v>
      </c>
      <c r="I1310">
        <v>2</v>
      </c>
      <c r="J1310">
        <v>1.3039820529999999</v>
      </c>
      <c r="P1310"/>
      <c r="V1310">
        <v>1.0283458018042899</v>
      </c>
      <c r="W1310">
        <v>2</v>
      </c>
      <c r="X1310">
        <v>300176.39266180201</v>
      </c>
      <c r="Y1310">
        <v>13</v>
      </c>
      <c r="Z1310">
        <v>3.6841091054586599E-2</v>
      </c>
      <c r="AA1310">
        <v>50</v>
      </c>
    </row>
    <row r="1311" spans="1:27" x14ac:dyDescent="0.2">
      <c r="A1311">
        <v>30</v>
      </c>
      <c r="B1311">
        <v>2</v>
      </c>
      <c r="C1311">
        <v>0.3</v>
      </c>
      <c r="D1311">
        <v>100</v>
      </c>
      <c r="E1311">
        <v>0.167000366716929</v>
      </c>
      <c r="F1311">
        <v>2</v>
      </c>
      <c r="G1311">
        <v>32.497420060000003</v>
      </c>
      <c r="H1311">
        <v>5.3457640949863897E-2</v>
      </c>
      <c r="I1311">
        <v>2</v>
      </c>
      <c r="J1311">
        <v>0.47902103899999998</v>
      </c>
      <c r="P1311"/>
      <c r="V1311">
        <v>4.5675652836814101E-2</v>
      </c>
      <c r="W1311">
        <v>2</v>
      </c>
      <c r="X1311">
        <v>302043.73884998</v>
      </c>
      <c r="Y1311">
        <v>1</v>
      </c>
      <c r="Z1311">
        <v>0.80641221173398203</v>
      </c>
      <c r="AA1311">
        <v>50</v>
      </c>
    </row>
    <row r="1312" spans="1:27" x14ac:dyDescent="0.2">
      <c r="A1312">
        <v>30</v>
      </c>
      <c r="B1312">
        <v>2</v>
      </c>
      <c r="C1312">
        <v>0.1</v>
      </c>
      <c r="D1312">
        <v>100</v>
      </c>
      <c r="E1312">
        <v>1.0403994083746899</v>
      </c>
      <c r="F1312">
        <v>2</v>
      </c>
      <c r="G1312">
        <v>32.377254227999998</v>
      </c>
      <c r="H1312">
        <v>0.93145837595946201</v>
      </c>
      <c r="I1312">
        <v>2</v>
      </c>
      <c r="J1312">
        <v>1.405032654</v>
      </c>
      <c r="P1312"/>
      <c r="V1312">
        <v>0.93356048092001997</v>
      </c>
      <c r="W1312">
        <v>2</v>
      </c>
      <c r="X1312">
        <v>304079.65698335198</v>
      </c>
      <c r="Y1312">
        <v>38</v>
      </c>
      <c r="Z1312">
        <v>0.17340232404058001</v>
      </c>
      <c r="AA1312">
        <v>50</v>
      </c>
    </row>
    <row r="1313" spans="1:27" x14ac:dyDescent="0.2">
      <c r="A1313">
        <v>30</v>
      </c>
      <c r="B1313">
        <v>2</v>
      </c>
      <c r="C1313">
        <v>0.3</v>
      </c>
      <c r="D1313">
        <v>100</v>
      </c>
      <c r="E1313">
        <v>0.230960920825803</v>
      </c>
      <c r="F1313">
        <v>2</v>
      </c>
      <c r="G1313">
        <v>26.149389844000002</v>
      </c>
      <c r="H1313">
        <v>8.1631483318180903E-2</v>
      </c>
      <c r="I1313">
        <v>2</v>
      </c>
      <c r="J1313">
        <v>0.54190957799999995</v>
      </c>
      <c r="P1313"/>
      <c r="V1313">
        <v>7.6651640272558497E-2</v>
      </c>
      <c r="W1313">
        <v>2</v>
      </c>
      <c r="X1313">
        <v>305951.04804549</v>
      </c>
      <c r="Y1313">
        <v>1</v>
      </c>
      <c r="Z1313">
        <v>0.93356039046497996</v>
      </c>
      <c r="AA1313">
        <v>50</v>
      </c>
    </row>
    <row r="1314" spans="1:27" x14ac:dyDescent="0.2">
      <c r="A1314">
        <v>30</v>
      </c>
      <c r="B1314">
        <v>2</v>
      </c>
      <c r="C1314">
        <v>0.2</v>
      </c>
      <c r="D1314">
        <v>100</v>
      </c>
      <c r="E1314">
        <v>0.41027169020289</v>
      </c>
      <c r="F1314">
        <v>2</v>
      </c>
      <c r="G1314">
        <v>29.668829873</v>
      </c>
      <c r="H1314">
        <v>0.162556893895244</v>
      </c>
      <c r="I1314">
        <v>2</v>
      </c>
      <c r="J1314">
        <v>1.0746305979999999</v>
      </c>
      <c r="P1314"/>
      <c r="V1314">
        <v>0.15671724205066201</v>
      </c>
      <c r="W1314">
        <v>2</v>
      </c>
      <c r="X1314">
        <v>307683.91834337398</v>
      </c>
      <c r="Y1314">
        <v>6</v>
      </c>
      <c r="Z1314">
        <v>0.64432466358353102</v>
      </c>
      <c r="AA1314">
        <v>50</v>
      </c>
    </row>
    <row r="1315" spans="1:27" x14ac:dyDescent="0.2">
      <c r="A1315">
        <v>30</v>
      </c>
      <c r="B1315">
        <v>2</v>
      </c>
      <c r="C1315">
        <v>0.3</v>
      </c>
      <c r="D1315">
        <v>100</v>
      </c>
      <c r="E1315">
        <v>4.4679374612358602E-2</v>
      </c>
      <c r="F1315">
        <v>2</v>
      </c>
      <c r="G1315">
        <v>31.584953875</v>
      </c>
      <c r="H1315">
        <v>2.8620101986129701E-2</v>
      </c>
      <c r="I1315">
        <v>2</v>
      </c>
      <c r="J1315">
        <v>0.31205676100000002</v>
      </c>
      <c r="P1315"/>
      <c r="V1315">
        <v>2.1814542651481798E-2</v>
      </c>
      <c r="W1315">
        <v>2</v>
      </c>
      <c r="X1315">
        <v>305348.91798262601</v>
      </c>
      <c r="Y1315">
        <v>1</v>
      </c>
      <c r="Z1315">
        <v>0.961075218919344</v>
      </c>
      <c r="AA1315">
        <v>50</v>
      </c>
    </row>
    <row r="1316" spans="1:27" x14ac:dyDescent="0.2">
      <c r="A1316">
        <v>30</v>
      </c>
      <c r="B1316">
        <v>2</v>
      </c>
      <c r="C1316">
        <v>0.3</v>
      </c>
      <c r="D1316">
        <v>100</v>
      </c>
      <c r="E1316">
        <v>0.26315973687236999</v>
      </c>
      <c r="F1316">
        <v>2</v>
      </c>
      <c r="G1316">
        <v>30.413091912999999</v>
      </c>
      <c r="H1316">
        <v>5.3339902198324698E-2</v>
      </c>
      <c r="I1316">
        <v>2</v>
      </c>
      <c r="J1316">
        <v>0.44988882000000002</v>
      </c>
      <c r="P1316"/>
      <c r="V1316">
        <v>4.7535066905567899E-2</v>
      </c>
      <c r="W1316">
        <v>2</v>
      </c>
      <c r="X1316">
        <v>305030.34146581503</v>
      </c>
      <c r="Y1316">
        <v>1</v>
      </c>
      <c r="Z1316">
        <v>1.2740548899156301</v>
      </c>
      <c r="AA1316">
        <v>50</v>
      </c>
    </row>
    <row r="1317" spans="1:27" x14ac:dyDescent="0.2">
      <c r="A1317">
        <v>30</v>
      </c>
      <c r="B1317">
        <v>2</v>
      </c>
      <c r="C1317">
        <v>0.1</v>
      </c>
      <c r="D1317">
        <v>100</v>
      </c>
      <c r="E1317">
        <v>1.15898320910599</v>
      </c>
      <c r="F1317">
        <v>2</v>
      </c>
      <c r="G1317">
        <v>33.180499480999998</v>
      </c>
      <c r="H1317">
        <v>1.02001802629479</v>
      </c>
      <c r="I1317">
        <v>2</v>
      </c>
      <c r="J1317">
        <v>1.4710611440000001</v>
      </c>
      <c r="P1317"/>
      <c r="V1317">
        <v>1.0239746914943699</v>
      </c>
      <c r="W1317">
        <v>2</v>
      </c>
      <c r="X1317">
        <v>298664.46845055697</v>
      </c>
      <c r="Y1317">
        <v>84</v>
      </c>
      <c r="Z1317">
        <v>5.16592028422539E-2</v>
      </c>
      <c r="AA1317">
        <v>50</v>
      </c>
    </row>
    <row r="1318" spans="1:27" x14ac:dyDescent="0.2">
      <c r="A1318">
        <v>30</v>
      </c>
      <c r="B1318">
        <v>2</v>
      </c>
      <c r="C1318">
        <v>0.2</v>
      </c>
      <c r="D1318">
        <v>100</v>
      </c>
      <c r="E1318">
        <v>0.35793661609472499</v>
      </c>
      <c r="F1318">
        <v>2</v>
      </c>
      <c r="G1318">
        <v>30.360102485999999</v>
      </c>
      <c r="H1318">
        <v>8.1090555499964301E-2</v>
      </c>
      <c r="I1318">
        <v>2</v>
      </c>
      <c r="J1318">
        <v>0.51781010000000005</v>
      </c>
      <c r="P1318"/>
      <c r="V1318">
        <v>7.3879600724559E-2</v>
      </c>
      <c r="W1318">
        <v>2</v>
      </c>
      <c r="X1318">
        <v>305601.93432772002</v>
      </c>
      <c r="Y1318">
        <v>2</v>
      </c>
      <c r="Z1318">
        <v>0.489395544770101</v>
      </c>
      <c r="AA1318">
        <v>50</v>
      </c>
    </row>
    <row r="1319" spans="1:27" x14ac:dyDescent="0.2">
      <c r="A1319">
        <v>30</v>
      </c>
      <c r="B1319">
        <v>2</v>
      </c>
      <c r="C1319">
        <v>0.3</v>
      </c>
      <c r="D1319">
        <v>100</v>
      </c>
      <c r="E1319">
        <v>0.182028609427453</v>
      </c>
      <c r="F1319">
        <v>2</v>
      </c>
      <c r="G1319">
        <v>36.762645481</v>
      </c>
      <c r="H1319">
        <v>4.9374353237377301E-2</v>
      </c>
      <c r="I1319">
        <v>2</v>
      </c>
      <c r="J1319">
        <v>0.68835047999999999</v>
      </c>
      <c r="P1319"/>
      <c r="V1319">
        <v>4.4825040082692502E-2</v>
      </c>
      <c r="W1319">
        <v>2</v>
      </c>
      <c r="X1319">
        <v>301169.76599213202</v>
      </c>
      <c r="Y1319">
        <v>1</v>
      </c>
      <c r="Z1319">
        <v>0.98591906590183898</v>
      </c>
      <c r="AA1319">
        <v>50</v>
      </c>
    </row>
    <row r="1320" spans="1:27" x14ac:dyDescent="0.2">
      <c r="A1320">
        <v>30</v>
      </c>
      <c r="B1320">
        <v>2</v>
      </c>
      <c r="C1320">
        <v>0.3</v>
      </c>
      <c r="D1320">
        <v>100</v>
      </c>
      <c r="E1320">
        <v>0.26443961261782001</v>
      </c>
      <c r="F1320">
        <v>2</v>
      </c>
      <c r="G1320">
        <v>33.688039811000003</v>
      </c>
      <c r="H1320">
        <v>7.5469473214859001E-2</v>
      </c>
      <c r="I1320">
        <v>2</v>
      </c>
      <c r="J1320">
        <v>0.76368142100000003</v>
      </c>
      <c r="P1320"/>
      <c r="V1320">
        <v>7.0821568887837402E-2</v>
      </c>
      <c r="W1320">
        <v>2</v>
      </c>
      <c r="X1320">
        <v>302962.85868700099</v>
      </c>
      <c r="Y1320">
        <v>1</v>
      </c>
      <c r="Z1320">
        <v>0.90340450414636497</v>
      </c>
      <c r="AA1320">
        <v>50</v>
      </c>
    </row>
    <row r="1321" spans="1:27" x14ac:dyDescent="0.2">
      <c r="A1321">
        <v>30</v>
      </c>
      <c r="B1321">
        <v>2</v>
      </c>
      <c r="C1321">
        <v>0.2</v>
      </c>
      <c r="D1321">
        <v>100</v>
      </c>
      <c r="E1321">
        <v>0.47887710409123202</v>
      </c>
      <c r="F1321">
        <v>2</v>
      </c>
      <c r="G1321">
        <v>33.350701854999997</v>
      </c>
      <c r="H1321">
        <v>0.161727658499635</v>
      </c>
      <c r="I1321">
        <v>2</v>
      </c>
      <c r="J1321">
        <v>1.0603670569999999</v>
      </c>
      <c r="P1321"/>
      <c r="V1321">
        <v>0.144138407690207</v>
      </c>
      <c r="W1321">
        <v>2</v>
      </c>
      <c r="X1321">
        <v>304113.352463655</v>
      </c>
      <c r="Y1321">
        <v>7</v>
      </c>
      <c r="Z1321">
        <v>0.56795382569762998</v>
      </c>
      <c r="AA1321">
        <v>50</v>
      </c>
    </row>
    <row r="1322" spans="1:27" x14ac:dyDescent="0.2">
      <c r="A1322">
        <v>30</v>
      </c>
      <c r="B1322">
        <v>2</v>
      </c>
      <c r="C1322">
        <v>0.2</v>
      </c>
      <c r="D1322">
        <v>100</v>
      </c>
      <c r="E1322">
        <v>0.307675408448782</v>
      </c>
      <c r="F1322">
        <v>2</v>
      </c>
      <c r="G1322">
        <v>34.269557380999998</v>
      </c>
      <c r="H1322">
        <v>9.5700045125381994E-2</v>
      </c>
      <c r="I1322">
        <v>2</v>
      </c>
      <c r="J1322">
        <v>1.0841887379999999</v>
      </c>
      <c r="P1322"/>
      <c r="V1322">
        <v>8.8160893899814796E-2</v>
      </c>
      <c r="W1322">
        <v>2</v>
      </c>
      <c r="X1322">
        <v>305604.85871208599</v>
      </c>
      <c r="Y1322">
        <v>7</v>
      </c>
      <c r="Z1322">
        <v>0.83240196181436699</v>
      </c>
      <c r="AA1322">
        <v>50</v>
      </c>
    </row>
    <row r="1323" spans="1:27" x14ac:dyDescent="0.2">
      <c r="A1323">
        <v>30</v>
      </c>
      <c r="B1323">
        <v>2</v>
      </c>
      <c r="C1323">
        <v>0.2</v>
      </c>
      <c r="D1323">
        <v>100</v>
      </c>
      <c r="E1323">
        <v>0.24209691056695801</v>
      </c>
      <c r="F1323">
        <v>2</v>
      </c>
      <c r="G1323">
        <v>35.036920489000003</v>
      </c>
      <c r="H1323">
        <v>0.18210006247316601</v>
      </c>
      <c r="I1323">
        <v>2</v>
      </c>
      <c r="J1323">
        <v>0.50702642499999995</v>
      </c>
      <c r="P1323"/>
      <c r="V1323">
        <v>0.17575942511468101</v>
      </c>
      <c r="W1323">
        <v>2</v>
      </c>
      <c r="X1323">
        <v>304996.69941476098</v>
      </c>
      <c r="Y1323">
        <v>3</v>
      </c>
      <c r="Z1323">
        <v>0.66632924984820197</v>
      </c>
      <c r="AA1323">
        <v>50</v>
      </c>
    </row>
    <row r="1324" spans="1:27" x14ac:dyDescent="0.2">
      <c r="A1324">
        <v>30</v>
      </c>
      <c r="B1324">
        <v>2</v>
      </c>
      <c r="C1324">
        <v>0.1</v>
      </c>
      <c r="D1324">
        <v>100</v>
      </c>
      <c r="E1324">
        <v>1.0142463057659199</v>
      </c>
      <c r="F1324">
        <v>2</v>
      </c>
      <c r="G1324">
        <v>36.699278051</v>
      </c>
      <c r="H1324">
        <v>1.0160332945506301</v>
      </c>
      <c r="I1324">
        <v>2</v>
      </c>
      <c r="J1324">
        <v>1.478666053</v>
      </c>
      <c r="P1324"/>
      <c r="V1324">
        <v>1.02043183704456</v>
      </c>
      <c r="W1324">
        <v>2</v>
      </c>
      <c r="X1324">
        <v>307681.51329991798</v>
      </c>
      <c r="Y1324">
        <v>68</v>
      </c>
      <c r="Z1324">
        <v>6.38918348193762E-2</v>
      </c>
      <c r="AA1324">
        <v>50</v>
      </c>
    </row>
    <row r="1325" spans="1:27" x14ac:dyDescent="0.2">
      <c r="A1325">
        <v>30</v>
      </c>
      <c r="B1325">
        <v>3</v>
      </c>
      <c r="C1325">
        <v>0.1</v>
      </c>
      <c r="D1325">
        <v>100</v>
      </c>
      <c r="E1325">
        <v>1.3194597757867701</v>
      </c>
      <c r="F1325">
        <v>3</v>
      </c>
      <c r="G1325">
        <v>26.583199558</v>
      </c>
      <c r="H1325">
        <v>1.0965791646116501</v>
      </c>
      <c r="I1325">
        <v>3</v>
      </c>
      <c r="J1325">
        <v>1.448890875</v>
      </c>
      <c r="P1325"/>
      <c r="V1325">
        <v>1.0977209221339099</v>
      </c>
      <c r="W1325">
        <v>3</v>
      </c>
      <c r="X1325">
        <v>307625.029987772</v>
      </c>
      <c r="Y1325">
        <v>3</v>
      </c>
      <c r="Z1325">
        <v>0.12728815938931301</v>
      </c>
      <c r="AA1325">
        <v>50</v>
      </c>
    </row>
    <row r="1326" spans="1:27" x14ac:dyDescent="0.2">
      <c r="A1326">
        <v>30</v>
      </c>
      <c r="B1326">
        <v>2</v>
      </c>
      <c r="C1326">
        <v>0.3</v>
      </c>
      <c r="D1326">
        <v>100</v>
      </c>
      <c r="E1326">
        <v>0.123370627515746</v>
      </c>
      <c r="F1326">
        <v>2</v>
      </c>
      <c r="G1326">
        <v>28.703421780999999</v>
      </c>
      <c r="H1326">
        <v>5.1102963058767797E-2</v>
      </c>
      <c r="I1326">
        <v>2</v>
      </c>
      <c r="J1326">
        <v>0.613360974</v>
      </c>
      <c r="P1326"/>
      <c r="V1326">
        <v>4.4778946822411902E-2</v>
      </c>
      <c r="W1326">
        <v>2</v>
      </c>
      <c r="X1326">
        <v>302591.39443363802</v>
      </c>
      <c r="Y1326">
        <v>1</v>
      </c>
      <c r="Z1326">
        <v>1.0702156328561001</v>
      </c>
      <c r="AA1326">
        <v>50</v>
      </c>
    </row>
    <row r="1327" spans="1:27" x14ac:dyDescent="0.2">
      <c r="A1327">
        <v>30</v>
      </c>
      <c r="B1327">
        <v>3</v>
      </c>
      <c r="C1327">
        <v>0.3</v>
      </c>
      <c r="D1327">
        <v>100</v>
      </c>
      <c r="E1327">
        <v>0.22331595159635101</v>
      </c>
      <c r="F1327">
        <v>3</v>
      </c>
      <c r="G1327">
        <v>36.192956227000003</v>
      </c>
      <c r="H1327">
        <v>9.5096262351030095E-2</v>
      </c>
      <c r="I1327">
        <v>3</v>
      </c>
      <c r="J1327">
        <v>0.836769439</v>
      </c>
      <c r="P1327"/>
      <c r="V1327">
        <v>8.7955169730897995E-2</v>
      </c>
      <c r="W1327">
        <v>3</v>
      </c>
      <c r="X1327">
        <v>305657.48513398098</v>
      </c>
      <c r="Y1327">
        <v>1</v>
      </c>
      <c r="Z1327">
        <v>3.0497786262142599</v>
      </c>
      <c r="AA1327">
        <v>50</v>
      </c>
    </row>
    <row r="1328" spans="1:27" x14ac:dyDescent="0.2">
      <c r="A1328">
        <v>30</v>
      </c>
      <c r="B1328">
        <v>2</v>
      </c>
      <c r="C1328">
        <v>0.3</v>
      </c>
      <c r="D1328">
        <v>100</v>
      </c>
      <c r="E1328">
        <v>0.117463385343568</v>
      </c>
      <c r="F1328">
        <v>2</v>
      </c>
      <c r="G1328">
        <v>28.609471662000001</v>
      </c>
      <c r="H1328">
        <v>3.6256687486281997E-2</v>
      </c>
      <c r="I1328">
        <v>2</v>
      </c>
      <c r="J1328">
        <v>0.45651205</v>
      </c>
      <c r="P1328"/>
      <c r="V1328">
        <v>2.7495709744765399E-2</v>
      </c>
      <c r="W1328">
        <v>2</v>
      </c>
      <c r="X1328">
        <v>304394.20059809502</v>
      </c>
      <c r="Y1328">
        <v>1</v>
      </c>
      <c r="Z1328">
        <v>0.92191176520725604</v>
      </c>
      <c r="AA1328">
        <v>50</v>
      </c>
    </row>
    <row r="1329" spans="1:27" x14ac:dyDescent="0.2">
      <c r="A1329">
        <v>30</v>
      </c>
      <c r="B1329">
        <v>3</v>
      </c>
      <c r="C1329">
        <v>0.2</v>
      </c>
      <c r="D1329">
        <v>100</v>
      </c>
      <c r="E1329">
        <v>0.50573422657093503</v>
      </c>
      <c r="F1329">
        <v>3</v>
      </c>
      <c r="G1329">
        <v>31.351876987000001</v>
      </c>
      <c r="H1329">
        <v>0.26388018393253398</v>
      </c>
      <c r="I1329">
        <v>3</v>
      </c>
      <c r="J1329">
        <v>1.671307484</v>
      </c>
      <c r="P1329"/>
      <c r="V1329">
        <v>0.25867004116530701</v>
      </c>
      <c r="W1329">
        <v>3</v>
      </c>
      <c r="X1329">
        <v>307687.44387197698</v>
      </c>
      <c r="Y1329">
        <v>1</v>
      </c>
      <c r="Z1329">
        <v>1.5938076121326601</v>
      </c>
      <c r="AA1329">
        <v>50</v>
      </c>
    </row>
    <row r="1330" spans="1:27" x14ac:dyDescent="0.2">
      <c r="A1330">
        <v>30</v>
      </c>
      <c r="B1330">
        <v>2</v>
      </c>
      <c r="C1330">
        <v>0.3</v>
      </c>
      <c r="D1330">
        <v>100</v>
      </c>
      <c r="E1330">
        <v>0.101420733308638</v>
      </c>
      <c r="F1330">
        <v>2</v>
      </c>
      <c r="G1330">
        <v>27.803745261</v>
      </c>
      <c r="H1330">
        <v>4.0281315548573102E-2</v>
      </c>
      <c r="I1330">
        <v>2</v>
      </c>
      <c r="J1330">
        <v>0.37375997700000002</v>
      </c>
      <c r="P1330"/>
      <c r="V1330">
        <v>3.3580726264600902E-2</v>
      </c>
      <c r="W1330">
        <v>2</v>
      </c>
      <c r="X1330">
        <v>305345.44603511097</v>
      </c>
      <c r="Y1330">
        <v>1</v>
      </c>
      <c r="Z1330">
        <v>0.66626108079409796</v>
      </c>
      <c r="AA1330">
        <v>50</v>
      </c>
    </row>
    <row r="1331" spans="1:27" x14ac:dyDescent="0.2">
      <c r="A1331">
        <v>30</v>
      </c>
      <c r="B1331">
        <v>2</v>
      </c>
      <c r="C1331">
        <v>0.2</v>
      </c>
      <c r="D1331">
        <v>100</v>
      </c>
      <c r="E1331">
        <v>0.46203037089558002</v>
      </c>
      <c r="F1331">
        <v>2</v>
      </c>
      <c r="G1331">
        <v>31.137664406999999</v>
      </c>
      <c r="H1331">
        <v>0.246213743747449</v>
      </c>
      <c r="I1331">
        <v>2</v>
      </c>
      <c r="J1331">
        <v>1.4096180789999999</v>
      </c>
      <c r="P1331"/>
      <c r="V1331">
        <v>0.244001952849286</v>
      </c>
      <c r="W1331">
        <v>2</v>
      </c>
      <c r="X1331">
        <v>307384.11019523197</v>
      </c>
      <c r="Y1331">
        <v>1</v>
      </c>
      <c r="Z1331">
        <v>1.0208672427580701</v>
      </c>
      <c r="AA1331">
        <v>50</v>
      </c>
    </row>
    <row r="1332" spans="1:27" x14ac:dyDescent="0.2">
      <c r="A1332">
        <v>30</v>
      </c>
      <c r="B1332">
        <v>2</v>
      </c>
      <c r="C1332">
        <v>0.1</v>
      </c>
      <c r="D1332">
        <v>100</v>
      </c>
      <c r="E1332">
        <v>1.13444145867306</v>
      </c>
      <c r="F1332">
        <v>2</v>
      </c>
      <c r="G1332">
        <v>29.866925445</v>
      </c>
      <c r="H1332">
        <v>1.0281949596806299</v>
      </c>
      <c r="I1332">
        <v>2</v>
      </c>
      <c r="J1332">
        <v>1.350038275</v>
      </c>
      <c r="P1332"/>
      <c r="V1332">
        <v>1.0312504432709</v>
      </c>
      <c r="W1332">
        <v>2</v>
      </c>
      <c r="X1332">
        <v>307632.50860114797</v>
      </c>
      <c r="Y1332">
        <v>75</v>
      </c>
      <c r="Z1332">
        <v>0.109066889321392</v>
      </c>
      <c r="AA1332">
        <v>50</v>
      </c>
    </row>
    <row r="1333" spans="1:27" x14ac:dyDescent="0.2">
      <c r="A1333">
        <v>30</v>
      </c>
      <c r="B1333">
        <v>2</v>
      </c>
      <c r="C1333">
        <v>0.1</v>
      </c>
      <c r="D1333">
        <v>100</v>
      </c>
      <c r="E1333">
        <v>0.85639990626531004</v>
      </c>
      <c r="F1333">
        <v>2</v>
      </c>
      <c r="G1333">
        <v>29.317038474</v>
      </c>
      <c r="H1333">
        <v>0.76414766858518501</v>
      </c>
      <c r="I1333">
        <v>2</v>
      </c>
      <c r="J1333">
        <v>1.384656329</v>
      </c>
      <c r="P1333"/>
      <c r="V1333">
        <v>0.76462623969148402</v>
      </c>
      <c r="W1333">
        <v>2</v>
      </c>
      <c r="X1333">
        <v>307618.58978196501</v>
      </c>
      <c r="Y1333">
        <v>26</v>
      </c>
      <c r="Z1333">
        <v>6.6275822700013295E-2</v>
      </c>
      <c r="AA1333">
        <v>50</v>
      </c>
    </row>
    <row r="1334" spans="1:27" x14ac:dyDescent="0.2">
      <c r="A1334">
        <v>30</v>
      </c>
      <c r="B1334">
        <v>2</v>
      </c>
      <c r="C1334">
        <v>0.2</v>
      </c>
      <c r="D1334">
        <v>100</v>
      </c>
      <c r="E1334">
        <v>0.33102309621329301</v>
      </c>
      <c r="F1334">
        <v>2</v>
      </c>
      <c r="G1334">
        <v>31.524727364</v>
      </c>
      <c r="H1334">
        <v>6.04517009519909E-2</v>
      </c>
      <c r="I1334">
        <v>2</v>
      </c>
      <c r="J1334">
        <v>0.94520593100000005</v>
      </c>
      <c r="P1334"/>
      <c r="V1334">
        <v>5.7260118061599898E-2</v>
      </c>
      <c r="W1334">
        <v>2</v>
      </c>
      <c r="X1334">
        <v>307701.88824877399</v>
      </c>
      <c r="Y1334">
        <v>1</v>
      </c>
      <c r="Z1334">
        <v>0.72460514152927102</v>
      </c>
      <c r="AA1334">
        <v>50</v>
      </c>
    </row>
    <row r="1335" spans="1:27" x14ac:dyDescent="0.2">
      <c r="A1335">
        <v>30</v>
      </c>
      <c r="B1335">
        <v>3</v>
      </c>
      <c r="C1335">
        <v>0.1</v>
      </c>
      <c r="D1335">
        <v>100</v>
      </c>
      <c r="E1335">
        <v>1.0880258391636299</v>
      </c>
      <c r="F1335">
        <v>3</v>
      </c>
      <c r="G1335">
        <v>30.078952405999999</v>
      </c>
      <c r="H1335">
        <v>1.03047216688239</v>
      </c>
      <c r="I1335">
        <v>3</v>
      </c>
      <c r="J1335">
        <v>1.57171254</v>
      </c>
      <c r="P1335"/>
      <c r="V1335">
        <v>1.0312482214157499</v>
      </c>
      <c r="W1335">
        <v>3</v>
      </c>
      <c r="X1335">
        <v>301904.320732272</v>
      </c>
      <c r="Y1335">
        <v>1</v>
      </c>
      <c r="Z1335">
        <v>3.6468103563765397E-2</v>
      </c>
      <c r="AA1335">
        <v>50</v>
      </c>
    </row>
    <row r="1336" spans="1:27" x14ac:dyDescent="0.2">
      <c r="A1336">
        <v>30</v>
      </c>
      <c r="B1336">
        <v>3</v>
      </c>
      <c r="C1336">
        <v>0.3</v>
      </c>
      <c r="D1336">
        <v>100</v>
      </c>
      <c r="E1336">
        <v>0.28346094067953498</v>
      </c>
      <c r="F1336">
        <v>3</v>
      </c>
      <c r="G1336">
        <v>29.892113155000001</v>
      </c>
      <c r="H1336">
        <v>8.7509272841036698E-2</v>
      </c>
      <c r="I1336">
        <v>3</v>
      </c>
      <c r="J1336">
        <v>1.1476912829999999</v>
      </c>
      <c r="P1336"/>
      <c r="V1336">
        <v>8.42175396519943E-2</v>
      </c>
      <c r="W1336">
        <v>3</v>
      </c>
      <c r="X1336">
        <v>302027.972268969</v>
      </c>
      <c r="Y1336">
        <v>1</v>
      </c>
      <c r="Z1336">
        <v>3.7238201308224101</v>
      </c>
      <c r="AA1336">
        <v>50</v>
      </c>
    </row>
    <row r="1337" spans="1:27" x14ac:dyDescent="0.2">
      <c r="A1337">
        <v>30</v>
      </c>
      <c r="B1337">
        <v>3</v>
      </c>
      <c r="C1337">
        <v>0.1</v>
      </c>
      <c r="D1337">
        <v>100</v>
      </c>
      <c r="E1337">
        <v>1.13216476001999</v>
      </c>
      <c r="F1337">
        <v>3</v>
      </c>
      <c r="G1337">
        <v>30.123681343000001</v>
      </c>
      <c r="H1337">
        <v>0.95822413832770403</v>
      </c>
      <c r="I1337">
        <v>3</v>
      </c>
      <c r="J1337">
        <v>1.5672904599999999</v>
      </c>
      <c r="P1337"/>
      <c r="V1337">
        <v>0.95832496368948705</v>
      </c>
      <c r="W1337">
        <v>3</v>
      </c>
      <c r="X1337">
        <v>304910.17678055301</v>
      </c>
      <c r="Y1337">
        <v>1</v>
      </c>
      <c r="Z1337">
        <v>9.1623510455974597E-2</v>
      </c>
      <c r="AA1337">
        <v>50</v>
      </c>
    </row>
    <row r="1338" spans="1:27" x14ac:dyDescent="0.2">
      <c r="A1338">
        <v>30</v>
      </c>
      <c r="B1338">
        <v>3</v>
      </c>
      <c r="C1338">
        <v>0.2</v>
      </c>
      <c r="D1338">
        <v>100</v>
      </c>
      <c r="E1338">
        <v>0.62012566489151599</v>
      </c>
      <c r="F1338">
        <v>3</v>
      </c>
      <c r="G1338">
        <v>29.796294737</v>
      </c>
      <c r="H1338">
        <v>0.19015750059119299</v>
      </c>
      <c r="I1338">
        <v>3</v>
      </c>
      <c r="J1338">
        <v>1.637085559</v>
      </c>
      <c r="P1338"/>
      <c r="V1338">
        <v>0.187419212601625</v>
      </c>
      <c r="W1338">
        <v>3</v>
      </c>
      <c r="X1338">
        <v>303453.34586906497</v>
      </c>
      <c r="Y1338">
        <v>1</v>
      </c>
      <c r="Z1338">
        <v>1.39435960164857</v>
      </c>
      <c r="AA1338">
        <v>50</v>
      </c>
    </row>
    <row r="1339" spans="1:27" x14ac:dyDescent="0.2">
      <c r="A1339">
        <v>30</v>
      </c>
      <c r="B1339">
        <v>3</v>
      </c>
      <c r="C1339">
        <v>0.2</v>
      </c>
      <c r="D1339">
        <v>100</v>
      </c>
      <c r="E1339">
        <v>0.59800229168793795</v>
      </c>
      <c r="F1339">
        <v>3</v>
      </c>
      <c r="G1339">
        <v>31.475640404</v>
      </c>
      <c r="H1339">
        <v>0.49493507587095198</v>
      </c>
      <c r="I1339">
        <v>3</v>
      </c>
      <c r="J1339">
        <v>1.6508732310000001</v>
      </c>
      <c r="P1339"/>
      <c r="V1339">
        <v>0.499398841075615</v>
      </c>
      <c r="W1339">
        <v>3</v>
      </c>
      <c r="X1339">
        <v>304091.44570862298</v>
      </c>
      <c r="Y1339">
        <v>1</v>
      </c>
      <c r="Z1339">
        <v>1.7095067555149499</v>
      </c>
      <c r="AA1339">
        <v>50</v>
      </c>
    </row>
    <row r="1340" spans="1:27" x14ac:dyDescent="0.2">
      <c r="A1340">
        <v>30</v>
      </c>
      <c r="B1340">
        <v>3</v>
      </c>
      <c r="C1340">
        <v>0.2</v>
      </c>
      <c r="D1340">
        <v>100</v>
      </c>
      <c r="E1340">
        <v>0.65720912138750598</v>
      </c>
      <c r="F1340">
        <v>3</v>
      </c>
      <c r="G1340">
        <v>31.031868441</v>
      </c>
      <c r="H1340">
        <v>0.69592894793229099</v>
      </c>
      <c r="I1340">
        <v>3</v>
      </c>
      <c r="J1340">
        <v>1.656755143</v>
      </c>
      <c r="P1340"/>
      <c r="V1340">
        <v>0.70257715274913501</v>
      </c>
      <c r="W1340">
        <v>3</v>
      </c>
      <c r="X1340">
        <v>298097.59591479902</v>
      </c>
      <c r="Y1340">
        <v>1</v>
      </c>
      <c r="Z1340">
        <v>1.96801573347124</v>
      </c>
      <c r="AA1340">
        <v>50</v>
      </c>
    </row>
    <row r="1341" spans="1:27" x14ac:dyDescent="0.2">
      <c r="A1341">
        <v>30</v>
      </c>
      <c r="B1341">
        <v>3</v>
      </c>
      <c r="C1341">
        <v>0.2</v>
      </c>
      <c r="D1341">
        <v>100</v>
      </c>
      <c r="E1341">
        <v>0.68067726341469903</v>
      </c>
      <c r="F1341">
        <v>3</v>
      </c>
      <c r="G1341">
        <v>29.199956218000001</v>
      </c>
      <c r="H1341">
        <v>0.45902678863662699</v>
      </c>
      <c r="I1341">
        <v>3</v>
      </c>
      <c r="J1341">
        <v>1.6034407230000001</v>
      </c>
      <c r="P1341"/>
      <c r="V1341">
        <v>0.46101635751364001</v>
      </c>
      <c r="W1341">
        <v>3</v>
      </c>
      <c r="X1341">
        <v>297761.57300177001</v>
      </c>
      <c r="Y1341">
        <v>1</v>
      </c>
      <c r="Z1341">
        <v>1.9998088922614501</v>
      </c>
      <c r="AA1341">
        <v>50</v>
      </c>
    </row>
    <row r="1342" spans="1:27" x14ac:dyDescent="0.2">
      <c r="A1342">
        <v>30</v>
      </c>
      <c r="B1342">
        <v>3</v>
      </c>
      <c r="C1342">
        <v>0.3</v>
      </c>
      <c r="D1342">
        <v>100</v>
      </c>
      <c r="E1342">
        <v>0.26882240754464898</v>
      </c>
      <c r="F1342">
        <v>3</v>
      </c>
      <c r="G1342">
        <v>28.427310045999999</v>
      </c>
      <c r="H1342">
        <v>0.13672462906185301</v>
      </c>
      <c r="I1342">
        <v>3</v>
      </c>
      <c r="J1342">
        <v>1.2074391369999999</v>
      </c>
      <c r="P1342"/>
      <c r="V1342">
        <v>0.12628675539970299</v>
      </c>
      <c r="W1342">
        <v>3</v>
      </c>
      <c r="X1342">
        <v>305301.20356810198</v>
      </c>
      <c r="Y1342">
        <v>1</v>
      </c>
      <c r="Z1342">
        <v>3.08683428189706</v>
      </c>
      <c r="AA1342">
        <v>50</v>
      </c>
    </row>
    <row r="1343" spans="1:27" x14ac:dyDescent="0.2">
      <c r="A1343">
        <v>30</v>
      </c>
      <c r="B1343">
        <v>3</v>
      </c>
      <c r="C1343">
        <v>0.2</v>
      </c>
      <c r="D1343">
        <v>100</v>
      </c>
      <c r="E1343">
        <v>0.559114967538337</v>
      </c>
      <c r="F1343">
        <v>3</v>
      </c>
      <c r="G1343">
        <v>30.134303737</v>
      </c>
      <c r="H1343">
        <v>0.45152324934871702</v>
      </c>
      <c r="I1343">
        <v>3</v>
      </c>
      <c r="J1343">
        <v>1.5220082720000001</v>
      </c>
      <c r="P1343"/>
      <c r="V1343">
        <v>0.44982183288285699</v>
      </c>
      <c r="W1343">
        <v>3</v>
      </c>
      <c r="X1343">
        <v>305584.13148677401</v>
      </c>
      <c r="Y1343">
        <v>1</v>
      </c>
      <c r="Z1343">
        <v>1.51254341295601</v>
      </c>
      <c r="AA1343">
        <v>50</v>
      </c>
    </row>
    <row r="1344" spans="1:27" x14ac:dyDescent="0.2">
      <c r="A1344">
        <v>30</v>
      </c>
      <c r="B1344">
        <v>3</v>
      </c>
      <c r="C1344">
        <v>0.2</v>
      </c>
      <c r="D1344">
        <v>100</v>
      </c>
      <c r="E1344">
        <v>0.52597448468668195</v>
      </c>
      <c r="F1344">
        <v>3</v>
      </c>
      <c r="G1344">
        <v>30.125307675999998</v>
      </c>
      <c r="H1344">
        <v>0.381475299843124</v>
      </c>
      <c r="I1344">
        <v>3</v>
      </c>
      <c r="J1344">
        <v>1.6583690790000001</v>
      </c>
      <c r="P1344"/>
      <c r="V1344">
        <v>0.37791329141155999</v>
      </c>
      <c r="W1344">
        <v>3</v>
      </c>
      <c r="X1344">
        <v>299282.61923517397</v>
      </c>
      <c r="Y1344">
        <v>1</v>
      </c>
      <c r="Z1344">
        <v>1.4703223179090901</v>
      </c>
      <c r="AA1344">
        <v>50</v>
      </c>
    </row>
    <row r="1345" spans="1:27" x14ac:dyDescent="0.2">
      <c r="A1345">
        <v>30</v>
      </c>
      <c r="B1345">
        <v>3</v>
      </c>
      <c r="C1345">
        <v>0.1</v>
      </c>
      <c r="D1345">
        <v>100</v>
      </c>
      <c r="E1345">
        <v>1.35416347025484</v>
      </c>
      <c r="F1345">
        <v>3</v>
      </c>
      <c r="G1345">
        <v>29.020131121999999</v>
      </c>
      <c r="H1345">
        <v>1.01084786788549</v>
      </c>
      <c r="I1345">
        <v>3</v>
      </c>
      <c r="J1345">
        <v>1.441355854</v>
      </c>
      <c r="P1345"/>
      <c r="V1345">
        <v>1.0114225066191</v>
      </c>
      <c r="W1345">
        <v>3</v>
      </c>
      <c r="X1345">
        <v>306078.55366143503</v>
      </c>
      <c r="Y1345">
        <v>1</v>
      </c>
      <c r="Z1345">
        <v>0.16085897468110399</v>
      </c>
      <c r="AA1345">
        <v>50</v>
      </c>
    </row>
    <row r="1346" spans="1:27" x14ac:dyDescent="0.2">
      <c r="A1346">
        <v>30</v>
      </c>
      <c r="B1346">
        <v>3</v>
      </c>
      <c r="C1346">
        <v>0.2</v>
      </c>
      <c r="D1346">
        <v>100</v>
      </c>
      <c r="E1346">
        <v>0.74045320451990104</v>
      </c>
      <c r="F1346">
        <v>3</v>
      </c>
      <c r="G1346">
        <v>30.206805104000001</v>
      </c>
      <c r="H1346">
        <v>0.90494576338625599</v>
      </c>
      <c r="I1346">
        <v>3</v>
      </c>
      <c r="J1346">
        <v>1.620117123</v>
      </c>
      <c r="P1346"/>
      <c r="V1346">
        <v>0.91275889098824203</v>
      </c>
      <c r="W1346">
        <v>3</v>
      </c>
      <c r="X1346">
        <v>299888.32302491699</v>
      </c>
      <c r="Y1346">
        <v>1</v>
      </c>
      <c r="Z1346">
        <v>1.1732544729325001</v>
      </c>
      <c r="AA1346">
        <v>50</v>
      </c>
    </row>
    <row r="1347" spans="1:27" x14ac:dyDescent="0.2">
      <c r="A1347">
        <v>30</v>
      </c>
      <c r="B1347">
        <v>3</v>
      </c>
      <c r="C1347">
        <v>0.1</v>
      </c>
      <c r="D1347">
        <v>100</v>
      </c>
      <c r="E1347">
        <v>1.0289747657377599</v>
      </c>
      <c r="F1347">
        <v>3</v>
      </c>
      <c r="G1347">
        <v>29.734731545999999</v>
      </c>
      <c r="H1347">
        <v>0.93103522583628895</v>
      </c>
      <c r="I1347">
        <v>3</v>
      </c>
      <c r="J1347">
        <v>1.546954873</v>
      </c>
      <c r="P1347"/>
      <c r="V1347">
        <v>0.93190696711158505</v>
      </c>
      <c r="W1347">
        <v>3</v>
      </c>
      <c r="X1347">
        <v>300987.44842657802</v>
      </c>
      <c r="Y1347">
        <v>1</v>
      </c>
      <c r="Z1347">
        <v>7.4610874041458497E-2</v>
      </c>
      <c r="AA1347">
        <v>50</v>
      </c>
    </row>
    <row r="1348" spans="1:27" x14ac:dyDescent="0.2">
      <c r="A1348">
        <v>30</v>
      </c>
      <c r="B1348">
        <v>3</v>
      </c>
      <c r="C1348">
        <v>0.2</v>
      </c>
      <c r="D1348">
        <v>100</v>
      </c>
      <c r="E1348">
        <v>0.70316416952351102</v>
      </c>
      <c r="F1348">
        <v>3</v>
      </c>
      <c r="G1348">
        <v>28.831509609000001</v>
      </c>
      <c r="H1348">
        <v>0.44293975305573402</v>
      </c>
      <c r="I1348">
        <v>3</v>
      </c>
      <c r="J1348">
        <v>1.572116326</v>
      </c>
      <c r="P1348"/>
      <c r="V1348">
        <v>0.44056664836106302</v>
      </c>
      <c r="W1348">
        <v>3</v>
      </c>
      <c r="X1348">
        <v>302571.786632061</v>
      </c>
      <c r="Y1348">
        <v>1</v>
      </c>
      <c r="Z1348">
        <v>1.06837082611278</v>
      </c>
      <c r="AA1348">
        <v>50</v>
      </c>
    </row>
    <row r="1349" spans="1:27" x14ac:dyDescent="0.2">
      <c r="A1349">
        <v>30</v>
      </c>
      <c r="B1349">
        <v>3</v>
      </c>
      <c r="C1349">
        <v>0.2</v>
      </c>
      <c r="D1349">
        <v>100</v>
      </c>
      <c r="E1349">
        <v>0.580409718047321</v>
      </c>
      <c r="F1349">
        <v>3</v>
      </c>
      <c r="G1349">
        <v>29.435921012000001</v>
      </c>
      <c r="H1349">
        <v>0.38456005658665798</v>
      </c>
      <c r="I1349">
        <v>3</v>
      </c>
      <c r="J1349">
        <v>1.626139389</v>
      </c>
      <c r="P1349"/>
      <c r="V1349">
        <v>0.38161850203659298</v>
      </c>
      <c r="W1349">
        <v>3</v>
      </c>
      <c r="X1349">
        <v>303474.824168274</v>
      </c>
      <c r="Y1349">
        <v>1</v>
      </c>
      <c r="Z1349">
        <v>1.02837090992391</v>
      </c>
      <c r="AA1349">
        <v>50</v>
      </c>
    </row>
    <row r="1350" spans="1:27" x14ac:dyDescent="0.2">
      <c r="A1350">
        <v>30</v>
      </c>
      <c r="B1350">
        <v>3</v>
      </c>
      <c r="C1350">
        <v>0.3</v>
      </c>
      <c r="D1350">
        <v>100</v>
      </c>
      <c r="E1350">
        <v>0.32516811133330598</v>
      </c>
      <c r="F1350">
        <v>3</v>
      </c>
      <c r="G1350">
        <v>29.820492429000002</v>
      </c>
      <c r="H1350">
        <v>0.15843977084267699</v>
      </c>
      <c r="I1350">
        <v>3</v>
      </c>
      <c r="J1350">
        <v>1.020665428</v>
      </c>
      <c r="P1350"/>
      <c r="V1350">
        <v>0.15592902348759</v>
      </c>
      <c r="W1350">
        <v>3</v>
      </c>
      <c r="X1350">
        <v>303863.08122921799</v>
      </c>
      <c r="Y1350">
        <v>1</v>
      </c>
      <c r="Z1350">
        <v>1.8678950278855999</v>
      </c>
      <c r="AA1350">
        <v>50</v>
      </c>
    </row>
    <row r="1351" spans="1:27" x14ac:dyDescent="0.2">
      <c r="A1351">
        <v>30</v>
      </c>
      <c r="B1351">
        <v>3</v>
      </c>
      <c r="C1351">
        <v>0.2</v>
      </c>
      <c r="D1351">
        <v>100</v>
      </c>
      <c r="E1351">
        <v>0.49317295266670902</v>
      </c>
      <c r="F1351">
        <v>3</v>
      </c>
      <c r="G1351">
        <v>28.417529956999999</v>
      </c>
      <c r="H1351">
        <v>0.33101561810753599</v>
      </c>
      <c r="I1351">
        <v>3</v>
      </c>
      <c r="J1351">
        <v>1.5181816930000001</v>
      </c>
      <c r="P1351"/>
      <c r="V1351">
        <v>0.324750428572811</v>
      </c>
      <c r="W1351">
        <v>3</v>
      </c>
      <c r="X1351">
        <v>304058.62061975198</v>
      </c>
      <c r="Y1351">
        <v>1</v>
      </c>
      <c r="Z1351">
        <v>1.00524429057986</v>
      </c>
      <c r="AA1351">
        <v>50</v>
      </c>
    </row>
    <row r="1352" spans="1:27" x14ac:dyDescent="0.2">
      <c r="A1352">
        <v>30</v>
      </c>
      <c r="B1352">
        <v>3</v>
      </c>
      <c r="C1352">
        <v>0.3</v>
      </c>
      <c r="D1352">
        <v>100</v>
      </c>
      <c r="E1352">
        <v>0.31043379430477402</v>
      </c>
      <c r="F1352">
        <v>3</v>
      </c>
      <c r="G1352">
        <v>29.340917951000002</v>
      </c>
      <c r="H1352">
        <v>9.1498140070862696E-2</v>
      </c>
      <c r="I1352">
        <v>3</v>
      </c>
      <c r="J1352">
        <v>0.86855829299999998</v>
      </c>
      <c r="P1352"/>
      <c r="V1352">
        <v>7.9832489719394203E-2</v>
      </c>
      <c r="W1352">
        <v>3</v>
      </c>
      <c r="X1352">
        <v>304133.48849613301</v>
      </c>
      <c r="Y1352">
        <v>1</v>
      </c>
      <c r="Z1352">
        <v>3.2861703048914301</v>
      </c>
      <c r="AA1352">
        <v>50</v>
      </c>
    </row>
    <row r="1353" spans="1:27" x14ac:dyDescent="0.2">
      <c r="A1353">
        <v>30</v>
      </c>
      <c r="B1353">
        <v>3</v>
      </c>
      <c r="C1353">
        <v>0.1</v>
      </c>
      <c r="D1353">
        <v>100</v>
      </c>
      <c r="E1353">
        <v>1.0441200403073001</v>
      </c>
      <c r="F1353">
        <v>3</v>
      </c>
      <c r="G1353">
        <v>29.586740672000001</v>
      </c>
      <c r="H1353">
        <v>0.97168394113061096</v>
      </c>
      <c r="I1353">
        <v>3</v>
      </c>
      <c r="J1353">
        <v>1.5236107910000001</v>
      </c>
      <c r="P1353"/>
      <c r="V1353">
        <v>0.97295764439631505</v>
      </c>
      <c r="W1353">
        <v>3</v>
      </c>
      <c r="X1353">
        <v>304008.568267186</v>
      </c>
      <c r="Y1353">
        <v>1</v>
      </c>
      <c r="Z1353">
        <v>7.0861487680793797E-2</v>
      </c>
      <c r="AA1353">
        <v>50</v>
      </c>
    </row>
    <row r="1354" spans="1:27" x14ac:dyDescent="0.2">
      <c r="A1354">
        <v>30</v>
      </c>
      <c r="B1354">
        <v>3</v>
      </c>
      <c r="C1354">
        <v>0.3</v>
      </c>
      <c r="D1354">
        <v>100</v>
      </c>
      <c r="E1354">
        <v>0.30007009336419699</v>
      </c>
      <c r="F1354">
        <v>3</v>
      </c>
      <c r="G1354">
        <v>32.899575337000002</v>
      </c>
      <c r="H1354">
        <v>0.14758227417271999</v>
      </c>
      <c r="I1354">
        <v>3</v>
      </c>
      <c r="J1354">
        <v>1.467879326</v>
      </c>
      <c r="P1354"/>
      <c r="V1354">
        <v>0.13513020260612099</v>
      </c>
      <c r="W1354">
        <v>3</v>
      </c>
      <c r="X1354">
        <v>304143.54938580102</v>
      </c>
      <c r="Y1354">
        <v>1</v>
      </c>
      <c r="Z1354">
        <v>3.48540190342263</v>
      </c>
      <c r="AA1354">
        <v>50</v>
      </c>
    </row>
    <row r="1355" spans="1:27" x14ac:dyDescent="0.2">
      <c r="A1355">
        <v>30</v>
      </c>
      <c r="B1355">
        <v>3</v>
      </c>
      <c r="C1355">
        <v>0.3</v>
      </c>
      <c r="D1355">
        <v>100</v>
      </c>
      <c r="E1355">
        <v>0.28675079169584899</v>
      </c>
      <c r="F1355">
        <v>3</v>
      </c>
      <c r="G1355">
        <v>29.900119803999999</v>
      </c>
      <c r="H1355">
        <v>0.105070958197142</v>
      </c>
      <c r="I1355">
        <v>3</v>
      </c>
      <c r="J1355">
        <v>1.3965993510000001</v>
      </c>
      <c r="P1355"/>
      <c r="V1355">
        <v>9.9979588713795295E-2</v>
      </c>
      <c r="W1355">
        <v>3</v>
      </c>
      <c r="X1355">
        <v>305606.63938785502</v>
      </c>
      <c r="Y1355">
        <v>1</v>
      </c>
      <c r="Z1355">
        <v>3.6103732447799901</v>
      </c>
      <c r="AA1355">
        <v>50</v>
      </c>
    </row>
    <row r="1356" spans="1:27" x14ac:dyDescent="0.2">
      <c r="A1356">
        <v>30</v>
      </c>
      <c r="B1356">
        <v>3</v>
      </c>
      <c r="C1356">
        <v>0.1</v>
      </c>
      <c r="D1356">
        <v>100</v>
      </c>
      <c r="E1356">
        <v>1.22413717860019</v>
      </c>
      <c r="F1356">
        <v>3</v>
      </c>
      <c r="G1356">
        <v>30.327149359</v>
      </c>
      <c r="H1356">
        <v>1.0152106806966501</v>
      </c>
      <c r="I1356">
        <v>3</v>
      </c>
      <c r="J1356">
        <v>1.5323461519999999</v>
      </c>
      <c r="P1356"/>
      <c r="V1356">
        <v>1.01607644313805</v>
      </c>
      <c r="W1356">
        <v>3</v>
      </c>
      <c r="X1356">
        <v>305801.91903889301</v>
      </c>
      <c r="Y1356">
        <v>2</v>
      </c>
      <c r="Z1356">
        <v>0.113225818727594</v>
      </c>
      <c r="AA1356">
        <v>50</v>
      </c>
    </row>
    <row r="1357" spans="1:27" x14ac:dyDescent="0.2">
      <c r="A1357">
        <v>30</v>
      </c>
      <c r="B1357">
        <v>3</v>
      </c>
      <c r="C1357">
        <v>0.1</v>
      </c>
      <c r="D1357">
        <v>100</v>
      </c>
      <c r="E1357">
        <v>1.1961087806117201</v>
      </c>
      <c r="F1357">
        <v>3</v>
      </c>
      <c r="G1357">
        <v>30.972045724000001</v>
      </c>
      <c r="H1357">
        <v>0.97756447580609396</v>
      </c>
      <c r="I1357">
        <v>3</v>
      </c>
      <c r="J1357">
        <v>1.6318420309999999</v>
      </c>
      <c r="P1357"/>
      <c r="V1357">
        <v>0.97849261903675</v>
      </c>
      <c r="W1357">
        <v>3</v>
      </c>
      <c r="X1357">
        <v>305805.20220083802</v>
      </c>
      <c r="Y1357">
        <v>1</v>
      </c>
      <c r="Z1357">
        <v>0.205208275561238</v>
      </c>
      <c r="AA1357">
        <v>50</v>
      </c>
    </row>
    <row r="1358" spans="1:27" x14ac:dyDescent="0.2">
      <c r="A1358">
        <v>30</v>
      </c>
      <c r="B1358">
        <v>3</v>
      </c>
      <c r="C1358">
        <v>0.3</v>
      </c>
      <c r="D1358">
        <v>100</v>
      </c>
      <c r="E1358">
        <v>0.28768627907481698</v>
      </c>
      <c r="F1358">
        <v>3</v>
      </c>
      <c r="G1358">
        <v>28.875801669000001</v>
      </c>
      <c r="H1358">
        <v>0.107699821612931</v>
      </c>
      <c r="I1358">
        <v>3</v>
      </c>
      <c r="J1358">
        <v>1.244187199</v>
      </c>
      <c r="P1358"/>
      <c r="V1358">
        <v>0.102539328043753</v>
      </c>
      <c r="W1358">
        <v>3</v>
      </c>
      <c r="X1358">
        <v>306221.01649656799</v>
      </c>
      <c r="Y1358">
        <v>1</v>
      </c>
      <c r="Z1358">
        <v>3.2451485630121502</v>
      </c>
      <c r="AA1358">
        <v>50</v>
      </c>
    </row>
    <row r="1359" spans="1:27" x14ac:dyDescent="0.2">
      <c r="A1359">
        <v>30</v>
      </c>
      <c r="B1359">
        <v>3</v>
      </c>
      <c r="C1359">
        <v>0.3</v>
      </c>
      <c r="D1359">
        <v>100</v>
      </c>
      <c r="E1359">
        <v>0.27607456041147999</v>
      </c>
      <c r="F1359">
        <v>3</v>
      </c>
      <c r="G1359">
        <v>30.440301048999999</v>
      </c>
      <c r="H1359">
        <v>0.102419879022925</v>
      </c>
      <c r="I1359">
        <v>3</v>
      </c>
      <c r="J1359">
        <v>1.0344575309999999</v>
      </c>
      <c r="P1359"/>
      <c r="V1359">
        <v>9.4414841233388697E-2</v>
      </c>
      <c r="W1359">
        <v>3</v>
      </c>
      <c r="X1359">
        <v>306523.93327001401</v>
      </c>
      <c r="Y1359">
        <v>1</v>
      </c>
      <c r="Z1359">
        <v>3.6607081605943601</v>
      </c>
      <c r="AA1359">
        <v>50</v>
      </c>
    </row>
    <row r="1360" spans="1:27" x14ac:dyDescent="0.2">
      <c r="A1360">
        <v>30</v>
      </c>
      <c r="B1360">
        <v>3</v>
      </c>
      <c r="C1360">
        <v>0.3</v>
      </c>
      <c r="D1360">
        <v>100</v>
      </c>
      <c r="E1360">
        <v>0.31885144052702002</v>
      </c>
      <c r="F1360">
        <v>3</v>
      </c>
      <c r="G1360">
        <v>29.276204599</v>
      </c>
      <c r="H1360">
        <v>0.10173266591303801</v>
      </c>
      <c r="I1360">
        <v>3</v>
      </c>
      <c r="J1360">
        <v>0.94641166799999998</v>
      </c>
      <c r="P1360"/>
      <c r="V1360">
        <v>9.6765316916280694E-2</v>
      </c>
      <c r="W1360">
        <v>3</v>
      </c>
      <c r="X1360">
        <v>307713.28313232103</v>
      </c>
      <c r="Y1360">
        <v>1</v>
      </c>
      <c r="Z1360">
        <v>3.9859850397897301</v>
      </c>
      <c r="AA1360">
        <v>50</v>
      </c>
    </row>
    <row r="1361" spans="1:27" x14ac:dyDescent="0.2">
      <c r="A1361">
        <v>30</v>
      </c>
      <c r="B1361">
        <v>3</v>
      </c>
      <c r="C1361">
        <v>0.2</v>
      </c>
      <c r="D1361">
        <v>100</v>
      </c>
      <c r="E1361">
        <v>0.51975226153103704</v>
      </c>
      <c r="F1361">
        <v>3</v>
      </c>
      <c r="G1361">
        <v>30.319161148999999</v>
      </c>
      <c r="H1361">
        <v>0.30772967810198498</v>
      </c>
      <c r="I1361">
        <v>3</v>
      </c>
      <c r="J1361">
        <v>1.7009113840000001</v>
      </c>
      <c r="P1361"/>
      <c r="V1361">
        <v>0.30133145017757001</v>
      </c>
      <c r="W1361">
        <v>3</v>
      </c>
      <c r="X1361">
        <v>307680.87765245198</v>
      </c>
      <c r="Y1361">
        <v>1</v>
      </c>
      <c r="Z1361">
        <v>1.00680525058417</v>
      </c>
      <c r="AA1361">
        <v>50</v>
      </c>
    </row>
    <row r="1362" spans="1:27" x14ac:dyDescent="0.2">
      <c r="A1362">
        <v>30</v>
      </c>
      <c r="B1362">
        <v>3</v>
      </c>
      <c r="C1362">
        <v>0.3</v>
      </c>
      <c r="D1362">
        <v>100</v>
      </c>
      <c r="E1362">
        <v>0.31168924325842301</v>
      </c>
      <c r="F1362">
        <v>3</v>
      </c>
      <c r="G1362">
        <v>29.964292050000001</v>
      </c>
      <c r="H1362">
        <v>0.20479909678399</v>
      </c>
      <c r="I1362">
        <v>3</v>
      </c>
      <c r="J1362">
        <v>1.034690063</v>
      </c>
      <c r="P1362"/>
      <c r="V1362">
        <v>0.20032940922093301</v>
      </c>
      <c r="W1362">
        <v>3</v>
      </c>
      <c r="X1362">
        <v>307753.21935666102</v>
      </c>
      <c r="Y1362">
        <v>1</v>
      </c>
      <c r="Z1362">
        <v>2.8612874034346198</v>
      </c>
      <c r="AA1362">
        <v>50</v>
      </c>
    </row>
    <row r="1363" spans="1:27" x14ac:dyDescent="0.2">
      <c r="A1363">
        <v>30</v>
      </c>
      <c r="B1363">
        <v>2</v>
      </c>
      <c r="C1363">
        <v>0.1</v>
      </c>
      <c r="D1363">
        <v>100</v>
      </c>
      <c r="E1363">
        <v>0.85699946681902806</v>
      </c>
      <c r="F1363">
        <v>2</v>
      </c>
      <c r="G1363">
        <v>31.240812806000001</v>
      </c>
      <c r="H1363">
        <v>0.77443981713726096</v>
      </c>
      <c r="I1363">
        <v>2</v>
      </c>
      <c r="J1363">
        <v>1.348900454</v>
      </c>
      <c r="P1363"/>
      <c r="V1363">
        <v>0.77559773920684505</v>
      </c>
      <c r="W1363">
        <v>2</v>
      </c>
      <c r="X1363">
        <v>299258.82786488999</v>
      </c>
      <c r="Y1363">
        <v>49</v>
      </c>
      <c r="Z1363">
        <v>0.125043148467474</v>
      </c>
      <c r="AA1363">
        <v>50</v>
      </c>
    </row>
    <row r="1364" spans="1:27" x14ac:dyDescent="0.2">
      <c r="A1364">
        <v>30</v>
      </c>
      <c r="B1364">
        <v>2</v>
      </c>
      <c r="C1364">
        <v>0.3</v>
      </c>
      <c r="D1364">
        <v>100</v>
      </c>
      <c r="E1364">
        <v>0.31531844811194099</v>
      </c>
      <c r="F1364">
        <v>2</v>
      </c>
      <c r="G1364">
        <v>32.672860460000003</v>
      </c>
      <c r="H1364">
        <v>0.30465051633055701</v>
      </c>
      <c r="I1364">
        <v>2</v>
      </c>
      <c r="J1364">
        <v>0.30249610599999999</v>
      </c>
      <c r="P1364"/>
      <c r="V1364">
        <v>0.304307545981165</v>
      </c>
      <c r="W1364">
        <v>2</v>
      </c>
      <c r="X1364">
        <v>296030.04946748202</v>
      </c>
      <c r="Y1364">
        <v>1</v>
      </c>
      <c r="Z1364">
        <v>0.57308726498050799</v>
      </c>
      <c r="AA1364">
        <v>50</v>
      </c>
    </row>
    <row r="1365" spans="1:27" x14ac:dyDescent="0.2">
      <c r="A1365">
        <v>30</v>
      </c>
      <c r="B1365">
        <v>2</v>
      </c>
      <c r="C1365">
        <v>0.1</v>
      </c>
      <c r="D1365">
        <v>100</v>
      </c>
      <c r="E1365">
        <v>1.1800906295727001</v>
      </c>
      <c r="F1365">
        <v>2</v>
      </c>
      <c r="G1365">
        <v>32.232684601999999</v>
      </c>
      <c r="H1365">
        <v>1.1433501080997099</v>
      </c>
      <c r="I1365">
        <v>2</v>
      </c>
      <c r="J1365">
        <v>1.42026125</v>
      </c>
      <c r="P1365"/>
      <c r="V1365">
        <v>1.14711914364954</v>
      </c>
      <c r="W1365">
        <v>2</v>
      </c>
      <c r="X1365">
        <v>299562.01207036001</v>
      </c>
      <c r="Y1365">
        <v>50</v>
      </c>
      <c r="Z1365">
        <v>5.6006651448750701E-2</v>
      </c>
      <c r="AA1365">
        <v>50</v>
      </c>
    </row>
    <row r="1366" spans="1:27" x14ac:dyDescent="0.2">
      <c r="A1366">
        <v>30</v>
      </c>
      <c r="B1366">
        <v>2</v>
      </c>
      <c r="C1366">
        <v>0.2</v>
      </c>
      <c r="D1366">
        <v>100</v>
      </c>
      <c r="E1366">
        <v>0.44495666211676199</v>
      </c>
      <c r="F1366">
        <v>2</v>
      </c>
      <c r="G1366">
        <v>31.507890365000002</v>
      </c>
      <c r="H1366">
        <v>0.13292978640559999</v>
      </c>
      <c r="I1366">
        <v>2</v>
      </c>
      <c r="J1366">
        <v>1.056249437</v>
      </c>
      <c r="P1366"/>
      <c r="V1366">
        <v>0.12890499868879099</v>
      </c>
      <c r="W1366">
        <v>2</v>
      </c>
      <c r="X1366">
        <v>303509.67879525601</v>
      </c>
      <c r="Y1366">
        <v>3</v>
      </c>
      <c r="Z1366">
        <v>0.59873868869526203</v>
      </c>
      <c r="AA1366">
        <v>50</v>
      </c>
    </row>
    <row r="1367" spans="1:27" x14ac:dyDescent="0.2">
      <c r="A1367">
        <v>30</v>
      </c>
      <c r="B1367">
        <v>2</v>
      </c>
      <c r="C1367">
        <v>0.2</v>
      </c>
      <c r="D1367">
        <v>100</v>
      </c>
      <c r="E1367">
        <v>0.34846083735830402</v>
      </c>
      <c r="F1367">
        <v>2</v>
      </c>
      <c r="G1367">
        <v>30.707351068000001</v>
      </c>
      <c r="H1367">
        <v>0.19529514114539201</v>
      </c>
      <c r="I1367">
        <v>2</v>
      </c>
      <c r="J1367">
        <v>0.706394199</v>
      </c>
      <c r="P1367"/>
      <c r="V1367">
        <v>0.187964573430181</v>
      </c>
      <c r="W1367">
        <v>2</v>
      </c>
      <c r="X1367">
        <v>297505.99949106999</v>
      </c>
      <c r="Y1367">
        <v>1</v>
      </c>
      <c r="Z1367">
        <v>0.58531180918907899</v>
      </c>
      <c r="AA1367">
        <v>50</v>
      </c>
    </row>
    <row r="1368" spans="1:27" x14ac:dyDescent="0.2">
      <c r="A1368">
        <v>30</v>
      </c>
      <c r="B1368">
        <v>2</v>
      </c>
      <c r="C1368">
        <v>0.1</v>
      </c>
      <c r="D1368">
        <v>100</v>
      </c>
      <c r="E1368">
        <v>0.96075081906872895</v>
      </c>
      <c r="F1368">
        <v>2</v>
      </c>
      <c r="G1368">
        <v>31.961918593</v>
      </c>
      <c r="H1368">
        <v>0.996296141895889</v>
      </c>
      <c r="I1368">
        <v>2</v>
      </c>
      <c r="J1368">
        <v>1.3867949079999999</v>
      </c>
      <c r="P1368"/>
      <c r="V1368">
        <v>0.99950647599811804</v>
      </c>
      <c r="W1368">
        <v>2</v>
      </c>
      <c r="X1368">
        <v>300758.767298894</v>
      </c>
      <c r="Y1368">
        <v>39</v>
      </c>
      <c r="Z1368">
        <v>0.28215927389101098</v>
      </c>
      <c r="AA1368">
        <v>50</v>
      </c>
    </row>
    <row r="1369" spans="1:27" x14ac:dyDescent="0.2">
      <c r="A1369">
        <v>30</v>
      </c>
      <c r="B1369">
        <v>2</v>
      </c>
      <c r="C1369">
        <v>0.1</v>
      </c>
      <c r="D1369">
        <v>100</v>
      </c>
      <c r="E1369">
        <v>0.82378738692258502</v>
      </c>
      <c r="F1369">
        <v>2</v>
      </c>
      <c r="G1369">
        <v>32.890460349999998</v>
      </c>
      <c r="H1369">
        <v>0.82354981365031199</v>
      </c>
      <c r="I1369">
        <v>2</v>
      </c>
      <c r="J1369">
        <v>1.392568485</v>
      </c>
      <c r="P1369"/>
      <c r="V1369">
        <v>0.82667064283987501</v>
      </c>
      <c r="W1369">
        <v>2</v>
      </c>
      <c r="X1369">
        <v>304653.37670222198</v>
      </c>
      <c r="Y1369">
        <v>61</v>
      </c>
      <c r="Z1369">
        <v>0.181987703979757</v>
      </c>
      <c r="AA1369">
        <v>50</v>
      </c>
    </row>
    <row r="1370" spans="1:27" x14ac:dyDescent="0.2">
      <c r="A1370">
        <v>30</v>
      </c>
      <c r="B1370">
        <v>2</v>
      </c>
      <c r="C1370">
        <v>0.2</v>
      </c>
      <c r="D1370">
        <v>100</v>
      </c>
      <c r="E1370">
        <v>0.45600576900019901</v>
      </c>
      <c r="F1370">
        <v>2</v>
      </c>
      <c r="G1370">
        <v>33.492429055000002</v>
      </c>
      <c r="H1370">
        <v>0.17343821349212399</v>
      </c>
      <c r="I1370">
        <v>2</v>
      </c>
      <c r="J1370">
        <v>1.512400639</v>
      </c>
      <c r="P1370"/>
      <c r="V1370">
        <v>0.161216636374791</v>
      </c>
      <c r="W1370">
        <v>2</v>
      </c>
      <c r="X1370">
        <v>301717.85239198297</v>
      </c>
      <c r="Y1370">
        <v>5</v>
      </c>
      <c r="Z1370">
        <v>0.649896728396539</v>
      </c>
      <c r="AA1370">
        <v>50</v>
      </c>
    </row>
    <row r="1371" spans="1:27" x14ac:dyDescent="0.2">
      <c r="A1371">
        <v>30</v>
      </c>
      <c r="B1371">
        <v>2</v>
      </c>
      <c r="C1371">
        <v>0.3</v>
      </c>
      <c r="D1371">
        <v>100</v>
      </c>
      <c r="E1371">
        <v>0.17287998389076101</v>
      </c>
      <c r="F1371">
        <v>2</v>
      </c>
      <c r="G1371">
        <v>32.321566582999999</v>
      </c>
      <c r="H1371">
        <v>4.2187546673938099E-2</v>
      </c>
      <c r="I1371">
        <v>2</v>
      </c>
      <c r="J1371">
        <v>0.35682474400000003</v>
      </c>
      <c r="P1371"/>
      <c r="V1371">
        <v>3.8299569817716199E-2</v>
      </c>
      <c r="W1371">
        <v>2</v>
      </c>
      <c r="X1371">
        <v>302031.290886754</v>
      </c>
      <c r="Y1371">
        <v>1</v>
      </c>
      <c r="Z1371">
        <v>0.86017821841473896</v>
      </c>
      <c r="AA1371">
        <v>50</v>
      </c>
    </row>
    <row r="1372" spans="1:27" x14ac:dyDescent="0.2">
      <c r="A1372">
        <v>30</v>
      </c>
      <c r="B1372">
        <v>2</v>
      </c>
      <c r="C1372">
        <v>0.2</v>
      </c>
      <c r="D1372">
        <v>100</v>
      </c>
      <c r="E1372">
        <v>0.37180229130314502</v>
      </c>
      <c r="F1372">
        <v>2</v>
      </c>
      <c r="G1372">
        <v>32.830517792999999</v>
      </c>
      <c r="H1372">
        <v>0.13543579949713699</v>
      </c>
      <c r="I1372">
        <v>2</v>
      </c>
      <c r="J1372">
        <v>0.69192411499999995</v>
      </c>
      <c r="P1372"/>
      <c r="V1372">
        <v>0.124522363479704</v>
      </c>
      <c r="W1372">
        <v>2</v>
      </c>
      <c r="X1372">
        <v>302904.27562890202</v>
      </c>
      <c r="Y1372">
        <v>1</v>
      </c>
      <c r="Z1372">
        <v>0.50881763126016</v>
      </c>
      <c r="AA1372">
        <v>50</v>
      </c>
    </row>
    <row r="1373" spans="1:27" x14ac:dyDescent="0.2">
      <c r="A1373">
        <v>30</v>
      </c>
      <c r="B1373">
        <v>2</v>
      </c>
      <c r="C1373">
        <v>0.1</v>
      </c>
      <c r="D1373">
        <v>100</v>
      </c>
      <c r="E1373">
        <v>1.1626863252550199</v>
      </c>
      <c r="F1373">
        <v>2</v>
      </c>
      <c r="G1373">
        <v>33.051038935999998</v>
      </c>
      <c r="H1373">
        <v>0.87965608789984295</v>
      </c>
      <c r="I1373">
        <v>2</v>
      </c>
      <c r="J1373">
        <v>1.413287017</v>
      </c>
      <c r="P1373"/>
      <c r="V1373">
        <v>0.88255132103816303</v>
      </c>
      <c r="W1373">
        <v>2</v>
      </c>
      <c r="X1373">
        <v>304653.17523764702</v>
      </c>
      <c r="Y1373">
        <v>69</v>
      </c>
      <c r="Z1373">
        <v>6.0115575516346199E-2</v>
      </c>
      <c r="AA1373">
        <v>50</v>
      </c>
    </row>
    <row r="1374" spans="1:27" x14ac:dyDescent="0.2">
      <c r="A1374">
        <v>30</v>
      </c>
      <c r="B1374">
        <v>2</v>
      </c>
      <c r="C1374">
        <v>0.2</v>
      </c>
      <c r="D1374">
        <v>100</v>
      </c>
      <c r="E1374">
        <v>0.32294123053412799</v>
      </c>
      <c r="F1374">
        <v>2</v>
      </c>
      <c r="G1374">
        <v>31.299949924</v>
      </c>
      <c r="H1374">
        <v>0.173518137066804</v>
      </c>
      <c r="I1374">
        <v>2</v>
      </c>
      <c r="J1374">
        <v>0.81787171800000003</v>
      </c>
      <c r="P1374"/>
      <c r="V1374">
        <v>0.166837215258757</v>
      </c>
      <c r="W1374">
        <v>2</v>
      </c>
      <c r="X1374">
        <v>304093.50173380499</v>
      </c>
      <c r="Y1374">
        <v>6</v>
      </c>
      <c r="Z1374">
        <v>0.61066025110105704</v>
      </c>
      <c r="AA1374">
        <v>50</v>
      </c>
    </row>
    <row r="1375" spans="1:27" x14ac:dyDescent="0.2">
      <c r="A1375">
        <v>30</v>
      </c>
      <c r="B1375">
        <v>2</v>
      </c>
      <c r="C1375">
        <v>0.1</v>
      </c>
      <c r="D1375">
        <v>100</v>
      </c>
      <c r="E1375">
        <v>0.87069403547743796</v>
      </c>
      <c r="F1375">
        <v>2</v>
      </c>
      <c r="G1375">
        <v>24.237219997</v>
      </c>
      <c r="H1375">
        <v>0.76348100000410701</v>
      </c>
      <c r="I1375">
        <v>2</v>
      </c>
      <c r="J1375">
        <v>1.093082111</v>
      </c>
      <c r="P1375"/>
      <c r="V1375">
        <v>0.764049315664733</v>
      </c>
      <c r="W1375">
        <v>2</v>
      </c>
      <c r="X1375">
        <v>303636.135881041</v>
      </c>
      <c r="Y1375">
        <v>62</v>
      </c>
      <c r="Z1375">
        <v>4.3427772789080103E-2</v>
      </c>
      <c r="AA1375">
        <v>50</v>
      </c>
    </row>
    <row r="1376" spans="1:27" x14ac:dyDescent="0.2">
      <c r="A1376">
        <v>30</v>
      </c>
      <c r="B1376">
        <v>2</v>
      </c>
      <c r="C1376">
        <v>0.3</v>
      </c>
      <c r="D1376">
        <v>100</v>
      </c>
      <c r="E1376">
        <v>0.20119669364947701</v>
      </c>
      <c r="F1376">
        <v>2</v>
      </c>
      <c r="G1376">
        <v>31.502755277999999</v>
      </c>
      <c r="H1376">
        <v>4.76139643056116E-2</v>
      </c>
      <c r="I1376">
        <v>2</v>
      </c>
      <c r="J1376">
        <v>0.50064192600000001</v>
      </c>
      <c r="P1376"/>
      <c r="V1376">
        <v>3.7816513811685597E-2</v>
      </c>
      <c r="W1376">
        <v>2</v>
      </c>
      <c r="X1376">
        <v>305355.77220768499</v>
      </c>
      <c r="Y1376">
        <v>1</v>
      </c>
      <c r="Z1376">
        <v>0.98757023877092098</v>
      </c>
      <c r="AA1376">
        <v>50</v>
      </c>
    </row>
    <row r="1377" spans="1:27" x14ac:dyDescent="0.2">
      <c r="A1377">
        <v>30</v>
      </c>
      <c r="B1377">
        <v>2</v>
      </c>
      <c r="C1377">
        <v>0.3</v>
      </c>
      <c r="D1377">
        <v>100</v>
      </c>
      <c r="E1377">
        <v>0.24879572923893301</v>
      </c>
      <c r="F1377">
        <v>2</v>
      </c>
      <c r="G1377">
        <v>32.269719428999998</v>
      </c>
      <c r="H1377">
        <v>5.9135837745837097E-2</v>
      </c>
      <c r="I1377">
        <v>2</v>
      </c>
      <c r="J1377">
        <v>0.937716828</v>
      </c>
      <c r="P1377"/>
      <c r="V1377">
        <v>5.3167419565553702E-2</v>
      </c>
      <c r="W1377">
        <v>2</v>
      </c>
      <c r="X1377">
        <v>306241.74926643702</v>
      </c>
      <c r="Y1377">
        <v>1</v>
      </c>
      <c r="Z1377">
        <v>0.98472386087070396</v>
      </c>
      <c r="AA1377">
        <v>50</v>
      </c>
    </row>
    <row r="1378" spans="1:27" x14ac:dyDescent="0.2">
      <c r="A1378">
        <v>30</v>
      </c>
      <c r="B1378">
        <v>2</v>
      </c>
      <c r="C1378">
        <v>0.3</v>
      </c>
      <c r="D1378">
        <v>100</v>
      </c>
      <c r="E1378">
        <v>0.15580404184902</v>
      </c>
      <c r="F1378">
        <v>2</v>
      </c>
      <c r="G1378">
        <v>33.912540997000001</v>
      </c>
      <c r="H1378">
        <v>4.2327035876974201E-2</v>
      </c>
      <c r="I1378">
        <v>2</v>
      </c>
      <c r="J1378">
        <v>0.36385699300000002</v>
      </c>
      <c r="P1378"/>
      <c r="V1378">
        <v>3.7764708943939199E-2</v>
      </c>
      <c r="W1378">
        <v>2</v>
      </c>
      <c r="X1378">
        <v>303842.23075790901</v>
      </c>
      <c r="Y1378">
        <v>1</v>
      </c>
      <c r="Z1378">
        <v>0.92787412011700299</v>
      </c>
      <c r="AA1378">
        <v>50</v>
      </c>
    </row>
    <row r="1379" spans="1:27" x14ac:dyDescent="0.2">
      <c r="A1379">
        <v>30</v>
      </c>
      <c r="B1379">
        <v>2</v>
      </c>
      <c r="C1379">
        <v>0.2</v>
      </c>
      <c r="D1379">
        <v>100</v>
      </c>
      <c r="E1379">
        <v>0.36045149926555897</v>
      </c>
      <c r="F1379">
        <v>2</v>
      </c>
      <c r="G1379">
        <v>31.018400431</v>
      </c>
      <c r="H1379">
        <v>0.14059303832433401</v>
      </c>
      <c r="I1379">
        <v>2</v>
      </c>
      <c r="J1379">
        <v>0.98563224100000002</v>
      </c>
      <c r="P1379"/>
      <c r="V1379">
        <v>0.134042661350668</v>
      </c>
      <c r="W1379">
        <v>2</v>
      </c>
      <c r="X1379">
        <v>305588.84701493499</v>
      </c>
      <c r="Y1379">
        <v>1</v>
      </c>
      <c r="Z1379">
        <v>0.43317879645622098</v>
      </c>
      <c r="AA1379">
        <v>50</v>
      </c>
    </row>
    <row r="1380" spans="1:27" x14ac:dyDescent="0.2">
      <c r="A1380">
        <v>30</v>
      </c>
      <c r="B1380">
        <v>2</v>
      </c>
      <c r="C1380">
        <v>0.2</v>
      </c>
      <c r="D1380">
        <v>100</v>
      </c>
      <c r="E1380">
        <v>0.32179764685105899</v>
      </c>
      <c r="F1380">
        <v>2</v>
      </c>
      <c r="G1380">
        <v>31.907628033999998</v>
      </c>
      <c r="H1380">
        <v>0.18631527804915499</v>
      </c>
      <c r="I1380">
        <v>2</v>
      </c>
      <c r="J1380">
        <v>1.06036343</v>
      </c>
      <c r="P1380"/>
      <c r="V1380">
        <v>0.18358672473206</v>
      </c>
      <c r="W1380">
        <v>2</v>
      </c>
      <c r="X1380">
        <v>303511.75581362599</v>
      </c>
      <c r="Y1380">
        <v>3</v>
      </c>
      <c r="Z1380">
        <v>0.92613397285781196</v>
      </c>
      <c r="AA1380">
        <v>50</v>
      </c>
    </row>
    <row r="1381" spans="1:27" x14ac:dyDescent="0.2">
      <c r="A1381">
        <v>30</v>
      </c>
      <c r="B1381">
        <v>2</v>
      </c>
      <c r="C1381">
        <v>0.3</v>
      </c>
      <c r="D1381">
        <v>100</v>
      </c>
      <c r="E1381">
        <v>0.110014279042374</v>
      </c>
      <c r="F1381">
        <v>2</v>
      </c>
      <c r="G1381">
        <v>24.810806070000002</v>
      </c>
      <c r="H1381">
        <v>4.47094708224305E-2</v>
      </c>
      <c r="I1381">
        <v>2</v>
      </c>
      <c r="J1381">
        <v>0.36807489599999998</v>
      </c>
      <c r="P1381"/>
      <c r="V1381">
        <v>3.7851905432491298E-2</v>
      </c>
      <c r="W1381">
        <v>2</v>
      </c>
      <c r="X1381">
        <v>305869.78507960797</v>
      </c>
      <c r="Y1381">
        <v>1</v>
      </c>
      <c r="Z1381">
        <v>0.84714861996241697</v>
      </c>
      <c r="AA1381">
        <v>50</v>
      </c>
    </row>
    <row r="1382" spans="1:27" x14ac:dyDescent="0.2">
      <c r="A1382">
        <v>30</v>
      </c>
      <c r="B1382">
        <v>2</v>
      </c>
      <c r="C1382">
        <v>0.2</v>
      </c>
      <c r="D1382">
        <v>100</v>
      </c>
      <c r="E1382">
        <v>0.42460004622992797</v>
      </c>
      <c r="F1382">
        <v>2</v>
      </c>
      <c r="G1382">
        <v>31.563278691000001</v>
      </c>
      <c r="H1382">
        <v>0.228821193876039</v>
      </c>
      <c r="I1382">
        <v>2</v>
      </c>
      <c r="J1382">
        <v>0.83669155699999997</v>
      </c>
      <c r="P1382"/>
      <c r="V1382">
        <v>0.21312552002666801</v>
      </c>
      <c r="W1382">
        <v>2</v>
      </c>
      <c r="X1382">
        <v>305307.225414471</v>
      </c>
      <c r="Y1382">
        <v>15</v>
      </c>
      <c r="Z1382">
        <v>0.51630344911460302</v>
      </c>
      <c r="AA1382">
        <v>50</v>
      </c>
    </row>
    <row r="1383" spans="1:27" x14ac:dyDescent="0.2">
      <c r="A1383">
        <v>30</v>
      </c>
      <c r="B1383">
        <v>2</v>
      </c>
      <c r="C1383">
        <v>0.1</v>
      </c>
      <c r="D1383">
        <v>100</v>
      </c>
      <c r="E1383">
        <v>0.99059155867896498</v>
      </c>
      <c r="F1383">
        <v>2</v>
      </c>
      <c r="G1383">
        <v>32.190506995</v>
      </c>
      <c r="H1383">
        <v>0.68833438168307803</v>
      </c>
      <c r="I1383">
        <v>2</v>
      </c>
      <c r="J1383">
        <v>1.438119852</v>
      </c>
      <c r="P1383"/>
      <c r="V1383">
        <v>0.69151533977504298</v>
      </c>
      <c r="W1383">
        <v>2</v>
      </c>
      <c r="X1383">
        <v>307676.82571735198</v>
      </c>
      <c r="Y1383">
        <v>50</v>
      </c>
      <c r="Z1383">
        <v>8.0726326765216003E-2</v>
      </c>
      <c r="AA1383">
        <v>50</v>
      </c>
    </row>
    <row r="1384" spans="1:27" x14ac:dyDescent="0.2">
      <c r="A1384">
        <v>30</v>
      </c>
      <c r="B1384">
        <v>2</v>
      </c>
      <c r="C1384">
        <v>0.1</v>
      </c>
      <c r="D1384">
        <v>100</v>
      </c>
      <c r="E1384">
        <v>0.98987824871966101</v>
      </c>
      <c r="F1384">
        <v>2</v>
      </c>
      <c r="G1384">
        <v>30.333542715</v>
      </c>
      <c r="H1384">
        <v>0.821593869020248</v>
      </c>
      <c r="I1384">
        <v>2</v>
      </c>
      <c r="J1384">
        <v>1.3803852910000001</v>
      </c>
      <c r="P1384"/>
      <c r="V1384">
        <v>0.82112075795913297</v>
      </c>
      <c r="W1384">
        <v>2</v>
      </c>
      <c r="X1384">
        <v>304634.17568172701</v>
      </c>
      <c r="Y1384">
        <v>87</v>
      </c>
      <c r="Z1384">
        <v>0.12967049168219</v>
      </c>
      <c r="AA1384">
        <v>50</v>
      </c>
    </row>
    <row r="1385" spans="1:27" x14ac:dyDescent="0.2">
      <c r="A1385">
        <v>30</v>
      </c>
      <c r="B1385">
        <v>2</v>
      </c>
      <c r="C1385">
        <v>0.1</v>
      </c>
      <c r="D1385">
        <v>100</v>
      </c>
      <c r="E1385">
        <v>0.85731764271371003</v>
      </c>
      <c r="F1385">
        <v>2</v>
      </c>
      <c r="G1385">
        <v>31.367895143999998</v>
      </c>
      <c r="H1385">
        <v>0.80474911990458897</v>
      </c>
      <c r="I1385">
        <v>2</v>
      </c>
      <c r="J1385">
        <v>1.52459867</v>
      </c>
      <c r="P1385"/>
      <c r="V1385">
        <v>0.80631360634524896</v>
      </c>
      <c r="W1385">
        <v>2</v>
      </c>
      <c r="X1385">
        <v>304935.53686167899</v>
      </c>
      <c r="Y1385">
        <v>63</v>
      </c>
      <c r="Z1385">
        <v>0.20603808256419101</v>
      </c>
      <c r="AA1385">
        <v>50</v>
      </c>
    </row>
    <row r="1386" spans="1:27" x14ac:dyDescent="0.2">
      <c r="A1386">
        <v>30</v>
      </c>
      <c r="B1386">
        <v>2</v>
      </c>
      <c r="C1386">
        <v>0.3</v>
      </c>
      <c r="D1386">
        <v>100</v>
      </c>
      <c r="E1386">
        <v>9.8776292375606103E-2</v>
      </c>
      <c r="F1386">
        <v>2</v>
      </c>
      <c r="G1386">
        <v>30.805428823</v>
      </c>
      <c r="H1386">
        <v>4.9142154856271103E-2</v>
      </c>
      <c r="I1386">
        <v>2</v>
      </c>
      <c r="J1386">
        <v>0.52877870699999996</v>
      </c>
      <c r="P1386"/>
      <c r="V1386">
        <v>3.4080944203415703E-2</v>
      </c>
      <c r="W1386">
        <v>2</v>
      </c>
      <c r="X1386">
        <v>305329.29101009399</v>
      </c>
      <c r="Y1386">
        <v>1</v>
      </c>
      <c r="Z1386">
        <v>0.92499490092203096</v>
      </c>
      <c r="AA1386">
        <v>50</v>
      </c>
    </row>
    <row r="1387" spans="1:27" x14ac:dyDescent="0.2">
      <c r="A1387">
        <v>30</v>
      </c>
      <c r="B1387">
        <v>2</v>
      </c>
      <c r="C1387">
        <v>0.1</v>
      </c>
      <c r="D1387">
        <v>100</v>
      </c>
      <c r="E1387">
        <v>1.23776012755455</v>
      </c>
      <c r="F1387">
        <v>2</v>
      </c>
      <c r="G1387">
        <v>25.640138719999999</v>
      </c>
      <c r="H1387">
        <v>1.0923530376192301</v>
      </c>
      <c r="I1387">
        <v>2</v>
      </c>
      <c r="J1387">
        <v>1.1346221670000001</v>
      </c>
      <c r="P1387"/>
      <c r="V1387">
        <v>1.0941884977415699</v>
      </c>
      <c r="W1387">
        <v>2</v>
      </c>
      <c r="X1387">
        <v>307627.15829138801</v>
      </c>
      <c r="Y1387">
        <v>27</v>
      </c>
      <c r="Z1387">
        <v>4.2853870059484503E-2</v>
      </c>
      <c r="AA1387">
        <v>50</v>
      </c>
    </row>
    <row r="1388" spans="1:27" x14ac:dyDescent="0.2">
      <c r="A1388">
        <v>30</v>
      </c>
      <c r="B1388">
        <v>2</v>
      </c>
      <c r="C1388">
        <v>0.2</v>
      </c>
      <c r="D1388">
        <v>100</v>
      </c>
      <c r="E1388">
        <v>0.39508074004163601</v>
      </c>
      <c r="F1388">
        <v>2</v>
      </c>
      <c r="G1388">
        <v>31.667224108999999</v>
      </c>
      <c r="H1388">
        <v>0.112507295245457</v>
      </c>
      <c r="I1388">
        <v>2</v>
      </c>
      <c r="J1388">
        <v>1.532734966</v>
      </c>
      <c r="P1388"/>
      <c r="V1388">
        <v>0.10810395035368001</v>
      </c>
      <c r="W1388">
        <v>2</v>
      </c>
      <c r="X1388">
        <v>307690.20413753297</v>
      </c>
      <c r="Y1388">
        <v>6</v>
      </c>
      <c r="Z1388">
        <v>0.97391677816053202</v>
      </c>
      <c r="AA1388">
        <v>50</v>
      </c>
    </row>
    <row r="1389" spans="1:27" x14ac:dyDescent="0.2">
      <c r="A1389">
        <v>30</v>
      </c>
      <c r="B1389">
        <v>2</v>
      </c>
      <c r="C1389">
        <v>0.3</v>
      </c>
      <c r="D1389">
        <v>100</v>
      </c>
      <c r="E1389">
        <v>0.11514981535817299</v>
      </c>
      <c r="F1389">
        <v>2</v>
      </c>
      <c r="G1389">
        <v>31.070877444000001</v>
      </c>
      <c r="H1389">
        <v>7.2765977372911905E-2</v>
      </c>
      <c r="I1389">
        <v>2</v>
      </c>
      <c r="J1389">
        <v>0.68618482199999997</v>
      </c>
      <c r="P1389"/>
      <c r="V1389">
        <v>5.6303931385794703E-2</v>
      </c>
      <c r="W1389">
        <v>2</v>
      </c>
      <c r="X1389">
        <v>302938.05231562897</v>
      </c>
      <c r="Y1389">
        <v>1</v>
      </c>
      <c r="Z1389">
        <v>0.59567257001569496</v>
      </c>
      <c r="AA1389">
        <v>50</v>
      </c>
    </row>
    <row r="1390" spans="1:27" x14ac:dyDescent="0.2">
      <c r="A1390">
        <v>30</v>
      </c>
      <c r="B1390">
        <v>2</v>
      </c>
      <c r="C1390">
        <v>0.3</v>
      </c>
      <c r="D1390">
        <v>100</v>
      </c>
      <c r="E1390">
        <v>0.17559368988778601</v>
      </c>
      <c r="F1390">
        <v>2</v>
      </c>
      <c r="G1390">
        <v>32.870677090000001</v>
      </c>
      <c r="H1390">
        <v>5.9060093138085801E-2</v>
      </c>
      <c r="I1390">
        <v>2</v>
      </c>
      <c r="J1390">
        <v>0.63136830099999997</v>
      </c>
      <c r="P1390"/>
      <c r="V1390">
        <v>4.9073262628885998E-2</v>
      </c>
      <c r="W1390">
        <v>2</v>
      </c>
      <c r="X1390">
        <v>305049.29474646301</v>
      </c>
      <c r="Y1390">
        <v>1</v>
      </c>
      <c r="Z1390">
        <v>1.28847377038223</v>
      </c>
      <c r="AA1390">
        <v>50</v>
      </c>
    </row>
    <row r="1391" spans="1:27" x14ac:dyDescent="0.2">
      <c r="A1391">
        <v>30</v>
      </c>
      <c r="B1391">
        <v>2</v>
      </c>
      <c r="C1391">
        <v>0.1</v>
      </c>
      <c r="D1391">
        <v>100</v>
      </c>
      <c r="E1391">
        <v>1.4235961446251599</v>
      </c>
      <c r="F1391">
        <v>2</v>
      </c>
      <c r="G1391">
        <v>29.660888806999999</v>
      </c>
      <c r="H1391">
        <v>1.01231831942338</v>
      </c>
      <c r="I1391">
        <v>2</v>
      </c>
      <c r="J1391">
        <v>1.3406479680000001</v>
      </c>
      <c r="P1391"/>
      <c r="V1391">
        <v>1.01241928504414</v>
      </c>
      <c r="W1391">
        <v>2</v>
      </c>
      <c r="X1391">
        <v>307635.91533276299</v>
      </c>
      <c r="Y1391">
        <v>68</v>
      </c>
      <c r="Z1391">
        <v>7.2997517168736301E-2</v>
      </c>
      <c r="AA1391">
        <v>50</v>
      </c>
    </row>
    <row r="1392" spans="1:27" x14ac:dyDescent="0.2">
      <c r="A1392" s="4">
        <v>30</v>
      </c>
      <c r="B1392" s="4">
        <v>1</v>
      </c>
      <c r="C1392" s="4">
        <v>0.2</v>
      </c>
      <c r="D1392" s="4">
        <v>20</v>
      </c>
      <c r="E1392" s="4">
        <v>0.20950026999999999</v>
      </c>
      <c r="F1392" s="4">
        <v>1</v>
      </c>
      <c r="G1392" s="4">
        <v>35.3837069</v>
      </c>
      <c r="H1392" s="4">
        <v>0.14985796000000001</v>
      </c>
      <c r="I1392" s="4">
        <v>1</v>
      </c>
      <c r="J1392" s="4">
        <v>0.33638494000000002</v>
      </c>
      <c r="K1392" s="4"/>
      <c r="L1392" s="4"/>
      <c r="M1392" s="4"/>
      <c r="N1392" s="4"/>
      <c r="O1392" s="4"/>
      <c r="P1392" s="4"/>
      <c r="Q1392" s="4"/>
      <c r="R1392" s="4"/>
      <c r="S1392" s="4"/>
      <c r="T1392" s="4"/>
      <c r="U1392" s="4"/>
      <c r="V1392" s="4">
        <v>0.12202934</v>
      </c>
      <c r="W1392" s="4">
        <v>1</v>
      </c>
      <c r="X1392" s="4">
        <v>299528.30699999997</v>
      </c>
      <c r="Y1392" s="4">
        <v>1429</v>
      </c>
      <c r="Z1392" s="4">
        <v>8.9824950000000001E-2</v>
      </c>
      <c r="AA1392" s="4">
        <v>50</v>
      </c>
    </row>
    <row r="1393" spans="1:27" x14ac:dyDescent="0.2">
      <c r="A1393">
        <v>60</v>
      </c>
      <c r="B1393">
        <v>1</v>
      </c>
      <c r="C1393">
        <v>0.1</v>
      </c>
      <c r="D1393">
        <v>20</v>
      </c>
      <c r="E1393">
        <v>0.13077275903444599</v>
      </c>
      <c r="F1393">
        <v>1</v>
      </c>
      <c r="G1393">
        <v>37.338324987999997</v>
      </c>
      <c r="H1393">
        <v>0.158213580178097</v>
      </c>
      <c r="I1393">
        <v>1</v>
      </c>
      <c r="J1393">
        <v>0.92065679600000006</v>
      </c>
      <c r="P1393"/>
      <c r="V1393">
        <v>0.120800531503863</v>
      </c>
      <c r="W1393">
        <v>1</v>
      </c>
      <c r="X1393">
        <v>307809.938818725</v>
      </c>
      <c r="Y1393">
        <v>0</v>
      </c>
      <c r="Z1393">
        <v>7.1218716370221999</v>
      </c>
      <c r="AA1393">
        <v>50</v>
      </c>
    </row>
    <row r="1394" spans="1:27" x14ac:dyDescent="0.2">
      <c r="A1394">
        <v>60</v>
      </c>
      <c r="B1394">
        <v>1</v>
      </c>
      <c r="C1394">
        <v>0.1</v>
      </c>
      <c r="D1394">
        <v>20</v>
      </c>
      <c r="E1394">
        <v>0.22347835820894801</v>
      </c>
      <c r="F1394">
        <v>1</v>
      </c>
      <c r="G1394">
        <v>38.406069479999999</v>
      </c>
      <c r="H1394">
        <v>0.22882054181578099</v>
      </c>
      <c r="I1394">
        <v>1</v>
      </c>
      <c r="J1394">
        <v>1.0249381209999999</v>
      </c>
      <c r="P1394"/>
      <c r="V1394">
        <v>0.22082392323951799</v>
      </c>
      <c r="W1394">
        <v>1</v>
      </c>
      <c r="X1394">
        <v>310790.13946774002</v>
      </c>
      <c r="Y1394">
        <v>0</v>
      </c>
      <c r="Z1394">
        <v>4.9730849735467402</v>
      </c>
      <c r="AA1394">
        <v>50</v>
      </c>
    </row>
    <row r="1395" spans="1:27" x14ac:dyDescent="0.2">
      <c r="A1395">
        <v>60</v>
      </c>
      <c r="B1395">
        <v>1</v>
      </c>
      <c r="C1395">
        <v>0.1</v>
      </c>
      <c r="D1395">
        <v>20</v>
      </c>
      <c r="E1395">
        <v>0.230517607833571</v>
      </c>
      <c r="F1395">
        <v>1</v>
      </c>
      <c r="G1395">
        <v>35.755623739000001</v>
      </c>
      <c r="H1395">
        <v>0.167515953173797</v>
      </c>
      <c r="I1395">
        <v>1</v>
      </c>
      <c r="J1395">
        <v>1.1515646639999999</v>
      </c>
      <c r="P1395"/>
      <c r="V1395">
        <v>0.15405698140596699</v>
      </c>
      <c r="W1395">
        <v>1</v>
      </c>
      <c r="X1395">
        <v>310845.54391900997</v>
      </c>
      <c r="Y1395">
        <v>0</v>
      </c>
      <c r="Z1395">
        <v>7.03160246608509</v>
      </c>
      <c r="AA1395">
        <v>50</v>
      </c>
    </row>
    <row r="1396" spans="1:27" x14ac:dyDescent="0.2">
      <c r="A1396">
        <v>60</v>
      </c>
      <c r="B1396">
        <v>1</v>
      </c>
      <c r="C1396">
        <v>0.1</v>
      </c>
      <c r="D1396">
        <v>20</v>
      </c>
      <c r="E1396">
        <v>0.27524114758653201</v>
      </c>
      <c r="F1396">
        <v>1</v>
      </c>
      <c r="G1396">
        <v>34.157833875999998</v>
      </c>
      <c r="H1396">
        <v>0.22232652853597101</v>
      </c>
      <c r="I1396">
        <v>1</v>
      </c>
      <c r="J1396">
        <v>1.250125361</v>
      </c>
      <c r="P1396"/>
      <c r="V1396">
        <v>0.19124705198849101</v>
      </c>
      <c r="W1396">
        <v>1</v>
      </c>
      <c r="X1396">
        <v>307824.45419484901</v>
      </c>
      <c r="Y1396">
        <v>0</v>
      </c>
      <c r="Z1396">
        <v>8.8930187955503506</v>
      </c>
      <c r="AA1396">
        <v>50</v>
      </c>
    </row>
    <row r="1397" spans="1:27" x14ac:dyDescent="0.2">
      <c r="A1397">
        <v>60</v>
      </c>
      <c r="B1397">
        <v>1</v>
      </c>
      <c r="C1397">
        <v>0.1</v>
      </c>
      <c r="D1397">
        <v>20</v>
      </c>
      <c r="E1397">
        <v>0.202537624961518</v>
      </c>
      <c r="F1397">
        <v>1</v>
      </c>
      <c r="G1397">
        <v>35.117295640999998</v>
      </c>
      <c r="H1397">
        <v>0.18068944091801201</v>
      </c>
      <c r="I1397">
        <v>1</v>
      </c>
      <c r="J1397">
        <v>0.45294421400000001</v>
      </c>
      <c r="P1397"/>
      <c r="V1397">
        <v>0.15744886775873601</v>
      </c>
      <c r="W1397">
        <v>1</v>
      </c>
      <c r="X1397">
        <v>309165.133851188</v>
      </c>
      <c r="Y1397">
        <v>0</v>
      </c>
      <c r="Z1397">
        <v>8.3318686648765503</v>
      </c>
      <c r="AA1397">
        <v>50</v>
      </c>
    </row>
    <row r="1398" spans="1:27" x14ac:dyDescent="0.2">
      <c r="A1398">
        <v>60</v>
      </c>
      <c r="B1398">
        <v>1</v>
      </c>
      <c r="C1398">
        <v>0.1</v>
      </c>
      <c r="D1398">
        <v>20</v>
      </c>
      <c r="E1398">
        <v>0.27936013658847603</v>
      </c>
      <c r="F1398">
        <v>1</v>
      </c>
      <c r="G1398">
        <v>36.752473092000002</v>
      </c>
      <c r="H1398">
        <v>0.227440621311187</v>
      </c>
      <c r="I1398">
        <v>1</v>
      </c>
      <c r="J1398">
        <v>0.92290223100000002</v>
      </c>
      <c r="P1398"/>
      <c r="V1398">
        <v>0.195398784732634</v>
      </c>
      <c r="W1398">
        <v>1</v>
      </c>
      <c r="X1398">
        <v>311267.55987541901</v>
      </c>
      <c r="Y1398">
        <v>0</v>
      </c>
      <c r="Z1398">
        <v>5.6449771136732103</v>
      </c>
      <c r="AA1398">
        <v>50</v>
      </c>
    </row>
    <row r="1399" spans="1:27" x14ac:dyDescent="0.2">
      <c r="A1399">
        <v>60</v>
      </c>
      <c r="B1399">
        <v>1</v>
      </c>
      <c r="C1399">
        <v>0.1</v>
      </c>
      <c r="D1399">
        <v>20</v>
      </c>
      <c r="E1399">
        <v>0.215694224221539</v>
      </c>
      <c r="F1399">
        <v>1</v>
      </c>
      <c r="G1399">
        <v>37.446921881999998</v>
      </c>
      <c r="H1399">
        <v>0.204309100054687</v>
      </c>
      <c r="I1399">
        <v>1</v>
      </c>
      <c r="J1399">
        <v>1.485239172</v>
      </c>
      <c r="P1399"/>
      <c r="V1399">
        <v>0.17054377516980099</v>
      </c>
      <c r="W1399">
        <v>1</v>
      </c>
      <c r="X1399">
        <v>311230.16764331301</v>
      </c>
      <c r="Y1399">
        <v>0</v>
      </c>
      <c r="Z1399">
        <v>6.6207745466657597</v>
      </c>
      <c r="AA1399">
        <v>50</v>
      </c>
    </row>
    <row r="1400" spans="1:27" x14ac:dyDescent="0.2">
      <c r="A1400">
        <v>60</v>
      </c>
      <c r="B1400">
        <v>1</v>
      </c>
      <c r="C1400">
        <v>0.1</v>
      </c>
      <c r="D1400">
        <v>20</v>
      </c>
      <c r="E1400">
        <v>0.45935808258826799</v>
      </c>
      <c r="F1400">
        <v>1</v>
      </c>
      <c r="G1400">
        <v>35.200494083000002</v>
      </c>
      <c r="H1400">
        <v>0.385323420591834</v>
      </c>
      <c r="I1400">
        <v>1</v>
      </c>
      <c r="J1400">
        <v>1.3554476209999999</v>
      </c>
      <c r="P1400"/>
      <c r="V1400">
        <v>0.36901235161839702</v>
      </c>
      <c r="W1400">
        <v>1</v>
      </c>
      <c r="X1400">
        <v>309046.23357292102</v>
      </c>
      <c r="Y1400">
        <v>0</v>
      </c>
      <c r="Z1400">
        <v>4.3440778430715996</v>
      </c>
      <c r="AA1400">
        <v>50</v>
      </c>
    </row>
    <row r="1401" spans="1:27" x14ac:dyDescent="0.2">
      <c r="A1401">
        <v>60</v>
      </c>
      <c r="B1401">
        <v>1</v>
      </c>
      <c r="C1401">
        <v>0.1</v>
      </c>
      <c r="D1401">
        <v>20</v>
      </c>
      <c r="E1401">
        <v>0.19906144425772701</v>
      </c>
      <c r="F1401">
        <v>1</v>
      </c>
      <c r="G1401">
        <v>38.107404379000002</v>
      </c>
      <c r="H1401">
        <v>0.160972612902929</v>
      </c>
      <c r="I1401">
        <v>1</v>
      </c>
      <c r="J1401">
        <v>1.1109855200000001</v>
      </c>
      <c r="P1401"/>
      <c r="V1401">
        <v>0.14680682471591799</v>
      </c>
      <c r="W1401">
        <v>1</v>
      </c>
      <c r="X1401">
        <v>310814.826269813</v>
      </c>
      <c r="Y1401">
        <v>0</v>
      </c>
      <c r="Z1401">
        <v>5.63516393754358</v>
      </c>
      <c r="AA1401">
        <v>50</v>
      </c>
    </row>
    <row r="1402" spans="1:27" x14ac:dyDescent="0.2">
      <c r="A1402">
        <v>60</v>
      </c>
      <c r="B1402">
        <v>1</v>
      </c>
      <c r="C1402">
        <v>0.1</v>
      </c>
      <c r="D1402">
        <v>20</v>
      </c>
      <c r="E1402">
        <v>0.18064716737586101</v>
      </c>
      <c r="F1402">
        <v>1</v>
      </c>
      <c r="G1402">
        <v>37.311041672999998</v>
      </c>
      <c r="H1402">
        <v>0.18409909192725099</v>
      </c>
      <c r="I1402">
        <v>1</v>
      </c>
      <c r="J1402">
        <v>0.94080812300000005</v>
      </c>
      <c r="P1402"/>
      <c r="V1402">
        <v>0.161952658807623</v>
      </c>
      <c r="W1402">
        <v>1</v>
      </c>
      <c r="X1402">
        <v>310877.38570122002</v>
      </c>
      <c r="Y1402">
        <v>0</v>
      </c>
      <c r="Z1402">
        <v>6.2425134453262903</v>
      </c>
      <c r="AA1402">
        <v>50</v>
      </c>
    </row>
    <row r="1403" spans="1:27" x14ac:dyDescent="0.2">
      <c r="A1403">
        <v>60</v>
      </c>
      <c r="B1403">
        <v>1</v>
      </c>
      <c r="C1403">
        <v>0.1</v>
      </c>
      <c r="D1403">
        <v>20</v>
      </c>
      <c r="E1403">
        <v>0.17854224588164</v>
      </c>
      <c r="F1403">
        <v>1</v>
      </c>
      <c r="G1403">
        <v>35.111725581000002</v>
      </c>
      <c r="H1403">
        <v>0.17484767517642699</v>
      </c>
      <c r="I1403">
        <v>1</v>
      </c>
      <c r="J1403">
        <v>1.076851732</v>
      </c>
      <c r="P1403"/>
      <c r="V1403">
        <v>0.14743293986455799</v>
      </c>
      <c r="W1403">
        <v>1</v>
      </c>
      <c r="X1403">
        <v>310848.017703477</v>
      </c>
      <c r="Y1403">
        <v>0</v>
      </c>
      <c r="Z1403">
        <v>6.1209976603114598</v>
      </c>
      <c r="AA1403">
        <v>50</v>
      </c>
    </row>
    <row r="1404" spans="1:27" x14ac:dyDescent="0.2">
      <c r="A1404">
        <v>60</v>
      </c>
      <c r="B1404">
        <v>1</v>
      </c>
      <c r="C1404">
        <v>0.1</v>
      </c>
      <c r="D1404">
        <v>20</v>
      </c>
      <c r="E1404">
        <v>0.154454615633591</v>
      </c>
      <c r="F1404">
        <v>1</v>
      </c>
      <c r="G1404">
        <v>34.868201317</v>
      </c>
      <c r="H1404">
        <v>0.127030158112137</v>
      </c>
      <c r="I1404">
        <v>1</v>
      </c>
      <c r="J1404">
        <v>0.67565640599999999</v>
      </c>
      <c r="P1404"/>
      <c r="V1404">
        <v>0.10026495337445</v>
      </c>
      <c r="W1404">
        <v>1</v>
      </c>
      <c r="X1404">
        <v>310848.38512839499</v>
      </c>
      <c r="Y1404">
        <v>0</v>
      </c>
      <c r="Z1404">
        <v>7.9289662243323598</v>
      </c>
      <c r="AA1404">
        <v>50</v>
      </c>
    </row>
    <row r="1405" spans="1:27" x14ac:dyDescent="0.2">
      <c r="A1405">
        <v>60</v>
      </c>
      <c r="B1405">
        <v>1</v>
      </c>
      <c r="C1405">
        <v>0.1</v>
      </c>
      <c r="D1405">
        <v>20</v>
      </c>
      <c r="E1405">
        <v>0.35068240643125898</v>
      </c>
      <c r="F1405">
        <v>1</v>
      </c>
      <c r="G1405">
        <v>34.402367822999999</v>
      </c>
      <c r="H1405">
        <v>0.31977080599934998</v>
      </c>
      <c r="I1405">
        <v>1</v>
      </c>
      <c r="J1405">
        <v>0.90471376599999997</v>
      </c>
      <c r="P1405"/>
      <c r="V1405">
        <v>0.30872255384507802</v>
      </c>
      <c r="W1405">
        <v>1</v>
      </c>
      <c r="X1405">
        <v>311309.732387244</v>
      </c>
      <c r="Y1405">
        <v>0</v>
      </c>
      <c r="Z1405">
        <v>9.0827168472420095</v>
      </c>
      <c r="AA1405">
        <v>50</v>
      </c>
    </row>
    <row r="1406" spans="1:27" x14ac:dyDescent="0.2">
      <c r="A1406">
        <v>60</v>
      </c>
      <c r="B1406">
        <v>1</v>
      </c>
      <c r="C1406">
        <v>0.1</v>
      </c>
      <c r="D1406">
        <v>20</v>
      </c>
      <c r="E1406">
        <v>0.28710806660238802</v>
      </c>
      <c r="F1406">
        <v>1</v>
      </c>
      <c r="G1406">
        <v>36.372002244000001</v>
      </c>
      <c r="H1406">
        <v>0.23133953542147501</v>
      </c>
      <c r="I1406">
        <v>1</v>
      </c>
      <c r="J1406">
        <v>1.6644792589999999</v>
      </c>
      <c r="P1406"/>
      <c r="V1406">
        <v>0.21094161547264201</v>
      </c>
      <c r="W1406">
        <v>1</v>
      </c>
      <c r="X1406">
        <v>310962.60034543602</v>
      </c>
      <c r="Y1406">
        <v>0</v>
      </c>
      <c r="Z1406">
        <v>8.2454992178937996</v>
      </c>
      <c r="AA1406">
        <v>50</v>
      </c>
    </row>
    <row r="1407" spans="1:27" x14ac:dyDescent="0.2">
      <c r="A1407">
        <v>60</v>
      </c>
      <c r="B1407">
        <v>1</v>
      </c>
      <c r="C1407">
        <v>0.1</v>
      </c>
      <c r="D1407">
        <v>20</v>
      </c>
      <c r="E1407">
        <v>0.177951627757476</v>
      </c>
      <c r="F1407">
        <v>1</v>
      </c>
      <c r="G1407">
        <v>34.918723327999999</v>
      </c>
      <c r="H1407">
        <v>0.13847836745674399</v>
      </c>
      <c r="I1407">
        <v>1</v>
      </c>
      <c r="J1407">
        <v>1.0180045499999999</v>
      </c>
      <c r="P1407"/>
      <c r="V1407">
        <v>0.113207385420903</v>
      </c>
      <c r="W1407">
        <v>1</v>
      </c>
      <c r="X1407">
        <v>310852.60408668802</v>
      </c>
      <c r="Y1407">
        <v>0</v>
      </c>
      <c r="Z1407">
        <v>10.6550468979065</v>
      </c>
      <c r="AA1407">
        <v>50</v>
      </c>
    </row>
    <row r="1408" spans="1:27" x14ac:dyDescent="0.2">
      <c r="A1408">
        <v>60</v>
      </c>
      <c r="B1408">
        <v>1</v>
      </c>
      <c r="C1408">
        <v>0.1</v>
      </c>
      <c r="D1408">
        <v>20</v>
      </c>
      <c r="E1408">
        <v>0.28028049868009802</v>
      </c>
      <c r="F1408">
        <v>1</v>
      </c>
      <c r="G1408">
        <v>40.022620197000002</v>
      </c>
      <c r="H1408">
        <v>0.25446540770952197</v>
      </c>
      <c r="I1408">
        <v>1</v>
      </c>
      <c r="J1408">
        <v>0.88171302200000001</v>
      </c>
      <c r="P1408"/>
      <c r="V1408">
        <v>0.24131532538841699</v>
      </c>
      <c r="W1408">
        <v>1</v>
      </c>
      <c r="X1408">
        <v>311273.92258888797</v>
      </c>
      <c r="Y1408">
        <v>0</v>
      </c>
      <c r="Z1408">
        <v>8.6753715367855602</v>
      </c>
      <c r="AA1408">
        <v>50</v>
      </c>
    </row>
    <row r="1409" spans="1:27" x14ac:dyDescent="0.2">
      <c r="A1409">
        <v>60</v>
      </c>
      <c r="B1409">
        <v>1</v>
      </c>
      <c r="C1409">
        <v>0.1</v>
      </c>
      <c r="D1409">
        <v>20</v>
      </c>
      <c r="E1409">
        <v>0.26268704174461999</v>
      </c>
      <c r="F1409">
        <v>1</v>
      </c>
      <c r="G1409">
        <v>33.880081597</v>
      </c>
      <c r="H1409">
        <v>0.21258260338881799</v>
      </c>
      <c r="I1409">
        <v>1</v>
      </c>
      <c r="J1409">
        <v>0.94734056200000005</v>
      </c>
      <c r="P1409"/>
      <c r="V1409">
        <v>0.18130761321736599</v>
      </c>
      <c r="W1409">
        <v>1</v>
      </c>
      <c r="X1409">
        <v>310145.63547847699</v>
      </c>
      <c r="Y1409">
        <v>0</v>
      </c>
      <c r="Z1409">
        <v>3.9608547350840699</v>
      </c>
      <c r="AA1409">
        <v>50</v>
      </c>
    </row>
    <row r="1410" spans="1:27" x14ac:dyDescent="0.2">
      <c r="A1410">
        <v>60</v>
      </c>
      <c r="B1410">
        <v>1</v>
      </c>
      <c r="C1410">
        <v>0.1</v>
      </c>
      <c r="D1410">
        <v>20</v>
      </c>
      <c r="E1410">
        <v>0.30684289605551801</v>
      </c>
      <c r="F1410">
        <v>1</v>
      </c>
      <c r="G1410">
        <v>36.316735629</v>
      </c>
      <c r="H1410">
        <v>0.20979896321855401</v>
      </c>
      <c r="I1410">
        <v>1</v>
      </c>
      <c r="J1410">
        <v>1.330186342</v>
      </c>
      <c r="P1410"/>
      <c r="V1410">
        <v>0.18720781478753001</v>
      </c>
      <c r="W1410">
        <v>1</v>
      </c>
      <c r="X1410">
        <v>309864.81277992699</v>
      </c>
      <c r="Y1410">
        <v>0</v>
      </c>
      <c r="Z1410">
        <v>6.2799812460500997</v>
      </c>
      <c r="AA1410">
        <v>50</v>
      </c>
    </row>
    <row r="1411" spans="1:27" x14ac:dyDescent="0.2">
      <c r="A1411">
        <v>60</v>
      </c>
      <c r="B1411">
        <v>1</v>
      </c>
      <c r="C1411">
        <v>0.1</v>
      </c>
      <c r="D1411">
        <v>20</v>
      </c>
      <c r="E1411">
        <v>0.176809092098861</v>
      </c>
      <c r="F1411">
        <v>1</v>
      </c>
      <c r="G1411">
        <v>34.175230947999999</v>
      </c>
      <c r="H1411">
        <v>0.20137740239426</v>
      </c>
      <c r="I1411">
        <v>1</v>
      </c>
      <c r="J1411">
        <v>1.0409799239999999</v>
      </c>
      <c r="P1411"/>
      <c r="V1411">
        <v>0.17303112605975199</v>
      </c>
      <c r="W1411">
        <v>1</v>
      </c>
      <c r="X1411">
        <v>311059.093113765</v>
      </c>
      <c r="Y1411">
        <v>0</v>
      </c>
      <c r="Z1411">
        <v>7.0561751405242301</v>
      </c>
      <c r="AA1411">
        <v>50</v>
      </c>
    </row>
    <row r="1412" spans="1:27" x14ac:dyDescent="0.2">
      <c r="A1412">
        <v>60</v>
      </c>
      <c r="B1412">
        <v>1</v>
      </c>
      <c r="C1412">
        <v>0.1</v>
      </c>
      <c r="D1412">
        <v>20</v>
      </c>
      <c r="E1412">
        <v>0.176652733878671</v>
      </c>
      <c r="F1412">
        <v>1</v>
      </c>
      <c r="G1412">
        <v>34.779999134000001</v>
      </c>
      <c r="H1412">
        <v>0.138638236861442</v>
      </c>
      <c r="I1412">
        <v>1</v>
      </c>
      <c r="J1412">
        <v>0.66729878200000003</v>
      </c>
      <c r="P1412"/>
      <c r="V1412">
        <v>0.118957610610359</v>
      </c>
      <c r="W1412">
        <v>1</v>
      </c>
      <c r="X1412">
        <v>310953.81078742398</v>
      </c>
      <c r="Y1412">
        <v>0</v>
      </c>
      <c r="Z1412">
        <v>7.1567056302347698</v>
      </c>
      <c r="AA1412">
        <v>50</v>
      </c>
    </row>
    <row r="1413" spans="1:27" x14ac:dyDescent="0.2">
      <c r="A1413">
        <v>60</v>
      </c>
      <c r="B1413">
        <v>1</v>
      </c>
      <c r="C1413">
        <v>0.1</v>
      </c>
      <c r="D1413">
        <v>20</v>
      </c>
      <c r="E1413">
        <v>0.23575080437917101</v>
      </c>
      <c r="F1413">
        <v>1</v>
      </c>
      <c r="G1413">
        <v>40.479504448</v>
      </c>
      <c r="H1413">
        <v>0.20812987601423699</v>
      </c>
      <c r="I1413">
        <v>1</v>
      </c>
      <c r="J1413">
        <v>0.93784500000000004</v>
      </c>
      <c r="P1413"/>
      <c r="V1413">
        <v>0.18201019319971301</v>
      </c>
      <c r="W1413">
        <v>1</v>
      </c>
      <c r="X1413">
        <v>311306.28805931099</v>
      </c>
      <c r="Y1413">
        <v>0</v>
      </c>
      <c r="Z1413">
        <v>8.6818604053311699</v>
      </c>
      <c r="AA1413">
        <v>50</v>
      </c>
    </row>
    <row r="1414" spans="1:27" x14ac:dyDescent="0.2">
      <c r="A1414">
        <v>60</v>
      </c>
      <c r="B1414">
        <v>1</v>
      </c>
      <c r="C1414">
        <v>0.1</v>
      </c>
      <c r="D1414">
        <v>20</v>
      </c>
      <c r="E1414">
        <v>0.25668716621113602</v>
      </c>
      <c r="F1414">
        <v>1</v>
      </c>
      <c r="G1414">
        <v>36.293883927000003</v>
      </c>
      <c r="H1414">
        <v>0.18728921459105999</v>
      </c>
      <c r="I1414">
        <v>1</v>
      </c>
      <c r="J1414">
        <v>1.0118676879999999</v>
      </c>
      <c r="P1414"/>
      <c r="V1414">
        <v>0.166365723454373</v>
      </c>
      <c r="W1414">
        <v>1</v>
      </c>
      <c r="X1414">
        <v>311139.47353843</v>
      </c>
      <c r="Y1414">
        <v>0</v>
      </c>
      <c r="Z1414">
        <v>5.8870560809345802</v>
      </c>
      <c r="AA1414">
        <v>50</v>
      </c>
    </row>
    <row r="1415" spans="1:27" x14ac:dyDescent="0.2">
      <c r="A1415">
        <v>60</v>
      </c>
      <c r="B1415">
        <v>1</v>
      </c>
      <c r="C1415">
        <v>0.1</v>
      </c>
      <c r="D1415">
        <v>20</v>
      </c>
      <c r="E1415">
        <v>0.30966438404160501</v>
      </c>
      <c r="F1415">
        <v>1</v>
      </c>
      <c r="G1415">
        <v>36.099822779</v>
      </c>
      <c r="H1415">
        <v>0.28093897813086099</v>
      </c>
      <c r="I1415">
        <v>1</v>
      </c>
      <c r="J1415">
        <v>1.090552806</v>
      </c>
      <c r="P1415"/>
      <c r="V1415">
        <v>0.25104304130403099</v>
      </c>
      <c r="W1415">
        <v>1</v>
      </c>
      <c r="X1415">
        <v>311162.93285128899</v>
      </c>
      <c r="Y1415">
        <v>0</v>
      </c>
      <c r="Z1415">
        <v>9.4863901510736692</v>
      </c>
      <c r="AA1415">
        <v>50</v>
      </c>
    </row>
    <row r="1416" spans="1:27" x14ac:dyDescent="0.2">
      <c r="A1416">
        <v>60</v>
      </c>
      <c r="B1416">
        <v>1</v>
      </c>
      <c r="C1416">
        <v>0.1</v>
      </c>
      <c r="D1416">
        <v>20</v>
      </c>
      <c r="E1416">
        <v>9.9362640360131996E-2</v>
      </c>
      <c r="F1416">
        <v>1</v>
      </c>
      <c r="G1416">
        <v>35.492833759</v>
      </c>
      <c r="H1416">
        <v>0.102561530381407</v>
      </c>
      <c r="I1416">
        <v>1</v>
      </c>
      <c r="J1416">
        <v>1.1262661220000001</v>
      </c>
      <c r="P1416"/>
      <c r="V1416">
        <v>8.5489942039079697E-2</v>
      </c>
      <c r="W1416">
        <v>1</v>
      </c>
      <c r="X1416">
        <v>310640.86912070599</v>
      </c>
      <c r="Y1416">
        <v>0</v>
      </c>
      <c r="Z1416">
        <v>7.9002357550404296</v>
      </c>
      <c r="AA1416">
        <v>50</v>
      </c>
    </row>
    <row r="1417" spans="1:27" x14ac:dyDescent="0.2">
      <c r="A1417">
        <v>60</v>
      </c>
      <c r="B1417">
        <v>1</v>
      </c>
      <c r="C1417">
        <v>0.1</v>
      </c>
      <c r="D1417">
        <v>20</v>
      </c>
      <c r="E1417">
        <v>0.21755316813487099</v>
      </c>
      <c r="F1417">
        <v>1</v>
      </c>
      <c r="G1417">
        <v>31.586911209</v>
      </c>
      <c r="H1417">
        <v>0.16874514301350099</v>
      </c>
      <c r="I1417">
        <v>1</v>
      </c>
      <c r="J1417">
        <v>1.221000587</v>
      </c>
      <c r="P1417"/>
      <c r="V1417">
        <v>0.147411126824435</v>
      </c>
      <c r="W1417">
        <v>1</v>
      </c>
      <c r="X1417">
        <v>311085.62941269</v>
      </c>
      <c r="Y1417">
        <v>0</v>
      </c>
      <c r="Z1417">
        <v>11.210222953617301</v>
      </c>
      <c r="AA1417">
        <v>50</v>
      </c>
    </row>
    <row r="1418" spans="1:27" x14ac:dyDescent="0.2">
      <c r="A1418">
        <v>60</v>
      </c>
      <c r="B1418">
        <v>1</v>
      </c>
      <c r="C1418">
        <v>0.1</v>
      </c>
      <c r="D1418">
        <v>20</v>
      </c>
      <c r="E1418">
        <v>0.29675613212791302</v>
      </c>
      <c r="F1418">
        <v>1</v>
      </c>
      <c r="G1418">
        <v>37.893930238999999</v>
      </c>
      <c r="H1418">
        <v>0.27181791372520903</v>
      </c>
      <c r="I1418">
        <v>1</v>
      </c>
      <c r="J1418">
        <v>1.1776909630000001</v>
      </c>
      <c r="P1418"/>
      <c r="V1418">
        <v>0.25227136493665703</v>
      </c>
      <c r="W1418">
        <v>1</v>
      </c>
      <c r="X1418">
        <v>312672.847927052</v>
      </c>
      <c r="Y1418">
        <v>0</v>
      </c>
      <c r="Z1418">
        <v>6.5739784895638804</v>
      </c>
      <c r="AA1418">
        <v>50</v>
      </c>
    </row>
    <row r="1419" spans="1:27" x14ac:dyDescent="0.2">
      <c r="A1419">
        <v>60</v>
      </c>
      <c r="B1419">
        <v>1</v>
      </c>
      <c r="C1419">
        <v>0.1</v>
      </c>
      <c r="D1419">
        <v>20</v>
      </c>
      <c r="E1419">
        <v>0.20290097222703499</v>
      </c>
      <c r="F1419">
        <v>1</v>
      </c>
      <c r="G1419">
        <v>34.478755702999997</v>
      </c>
      <c r="H1419">
        <v>0.18378469253468799</v>
      </c>
      <c r="I1419">
        <v>1</v>
      </c>
      <c r="J1419">
        <v>0.66339583000000002</v>
      </c>
      <c r="P1419"/>
      <c r="V1419">
        <v>0.15640730929709901</v>
      </c>
      <c r="W1419">
        <v>1</v>
      </c>
      <c r="X1419">
        <v>310996.13602288999</v>
      </c>
      <c r="Y1419">
        <v>0</v>
      </c>
      <c r="Z1419">
        <v>7.7304619141154598</v>
      </c>
      <c r="AA1419">
        <v>50</v>
      </c>
    </row>
    <row r="1420" spans="1:27" x14ac:dyDescent="0.2">
      <c r="A1420">
        <v>60</v>
      </c>
      <c r="B1420">
        <v>1</v>
      </c>
      <c r="C1420">
        <v>0.1</v>
      </c>
      <c r="D1420">
        <v>20</v>
      </c>
      <c r="E1420">
        <v>0.26487159316632902</v>
      </c>
      <c r="F1420">
        <v>1</v>
      </c>
      <c r="G1420">
        <v>34.304009301000001</v>
      </c>
      <c r="H1420">
        <v>0.196873796533092</v>
      </c>
      <c r="I1420">
        <v>1</v>
      </c>
      <c r="J1420">
        <v>1.202527798</v>
      </c>
      <c r="P1420"/>
      <c r="V1420">
        <v>0.18155992523690201</v>
      </c>
      <c r="W1420">
        <v>1</v>
      </c>
      <c r="X1420">
        <v>311111.51430535997</v>
      </c>
      <c r="Y1420">
        <v>0</v>
      </c>
      <c r="Z1420">
        <v>5.7701575986008002</v>
      </c>
      <c r="AA1420">
        <v>50</v>
      </c>
    </row>
    <row r="1421" spans="1:27" x14ac:dyDescent="0.2">
      <c r="A1421">
        <v>60</v>
      </c>
      <c r="B1421">
        <v>1</v>
      </c>
      <c r="C1421">
        <v>0.1</v>
      </c>
      <c r="D1421">
        <v>20</v>
      </c>
      <c r="E1421">
        <v>0.34716789450407198</v>
      </c>
      <c r="F1421">
        <v>1</v>
      </c>
      <c r="G1421">
        <v>34.798219275000001</v>
      </c>
      <c r="H1421">
        <v>0.24356540898012699</v>
      </c>
      <c r="I1421">
        <v>1</v>
      </c>
      <c r="J1421">
        <v>1.4557356239999999</v>
      </c>
      <c r="P1421"/>
      <c r="V1421">
        <v>0.224417631325491</v>
      </c>
      <c r="W1421">
        <v>1</v>
      </c>
      <c r="X1421">
        <v>312289.108839678</v>
      </c>
      <c r="Y1421">
        <v>0</v>
      </c>
      <c r="Z1421">
        <v>10.237950645800201</v>
      </c>
      <c r="AA1421">
        <v>50</v>
      </c>
    </row>
    <row r="1422" spans="1:27" x14ac:dyDescent="0.2">
      <c r="A1422">
        <v>60</v>
      </c>
      <c r="B1422">
        <v>1</v>
      </c>
      <c r="C1422">
        <v>0.1</v>
      </c>
      <c r="D1422">
        <v>20</v>
      </c>
      <c r="E1422">
        <v>0.231220430114046</v>
      </c>
      <c r="F1422">
        <v>1</v>
      </c>
      <c r="G1422">
        <v>34.424389501</v>
      </c>
      <c r="H1422">
        <v>0.1929739826604</v>
      </c>
      <c r="I1422">
        <v>1</v>
      </c>
      <c r="J1422">
        <v>0.90189826500000003</v>
      </c>
      <c r="P1422"/>
      <c r="V1422">
        <v>0.16465087019306501</v>
      </c>
      <c r="W1422">
        <v>1</v>
      </c>
      <c r="X1422">
        <v>312295.73282150098</v>
      </c>
      <c r="Y1422">
        <v>0</v>
      </c>
      <c r="Z1422">
        <v>5.8222040424131798</v>
      </c>
      <c r="AA1422">
        <v>50</v>
      </c>
    </row>
    <row r="1423" spans="1:27" x14ac:dyDescent="0.2">
      <c r="A1423">
        <v>60</v>
      </c>
      <c r="B1423">
        <v>1</v>
      </c>
      <c r="C1423">
        <v>0.1</v>
      </c>
      <c r="D1423">
        <v>100</v>
      </c>
      <c r="E1423">
        <v>0.30245844204075301</v>
      </c>
      <c r="F1423">
        <v>1</v>
      </c>
      <c r="G1423">
        <v>26.998677858000001</v>
      </c>
      <c r="H1423">
        <v>0.213719439218331</v>
      </c>
      <c r="I1423">
        <v>1</v>
      </c>
      <c r="J1423">
        <v>1.787569688</v>
      </c>
      <c r="P1423"/>
      <c r="V1423">
        <v>0.21017843268330899</v>
      </c>
      <c r="W1423">
        <v>1</v>
      </c>
      <c r="X1423">
        <v>311107.47545845999</v>
      </c>
      <c r="Y1423">
        <v>0</v>
      </c>
      <c r="Z1423">
        <v>1.7784063560796901</v>
      </c>
      <c r="AA1423">
        <v>50</v>
      </c>
    </row>
    <row r="1424" spans="1:27" x14ac:dyDescent="0.2">
      <c r="A1424">
        <v>60</v>
      </c>
      <c r="B1424">
        <v>1</v>
      </c>
      <c r="C1424">
        <v>0.1</v>
      </c>
      <c r="D1424">
        <v>100</v>
      </c>
      <c r="E1424">
        <v>8.8176942843923897E-2</v>
      </c>
      <c r="F1424">
        <v>1</v>
      </c>
      <c r="G1424">
        <v>36.708543452999997</v>
      </c>
      <c r="H1424">
        <v>8.9680868576707998E-2</v>
      </c>
      <c r="I1424">
        <v>1</v>
      </c>
      <c r="J1424">
        <v>0.76400785500000001</v>
      </c>
      <c r="P1424"/>
      <c r="V1424">
        <v>8.7540360216589605E-2</v>
      </c>
      <c r="W1424">
        <v>1</v>
      </c>
      <c r="X1424">
        <v>313106.78391015797</v>
      </c>
      <c r="Y1424">
        <v>0</v>
      </c>
      <c r="Z1424">
        <v>1.6129994687709801</v>
      </c>
      <c r="AA1424">
        <v>50</v>
      </c>
    </row>
    <row r="1425" spans="1:27" x14ac:dyDescent="0.2">
      <c r="A1425">
        <v>60</v>
      </c>
      <c r="B1425">
        <v>1</v>
      </c>
      <c r="C1425">
        <v>0.1</v>
      </c>
      <c r="D1425">
        <v>100</v>
      </c>
      <c r="E1425">
        <v>0.22269039654639</v>
      </c>
      <c r="F1425">
        <v>1</v>
      </c>
      <c r="G1425">
        <v>33.925724817000003</v>
      </c>
      <c r="H1425">
        <v>0.194523428403482</v>
      </c>
      <c r="I1425">
        <v>1</v>
      </c>
      <c r="J1425">
        <v>1.3462820129999999</v>
      </c>
      <c r="P1425"/>
      <c r="V1425">
        <v>0.15835676954282599</v>
      </c>
      <c r="W1425">
        <v>1</v>
      </c>
      <c r="X1425">
        <v>313355.506104281</v>
      </c>
      <c r="Y1425">
        <v>0</v>
      </c>
      <c r="Z1425">
        <v>1.99424728341526</v>
      </c>
      <c r="AA1425">
        <v>50</v>
      </c>
    </row>
    <row r="1426" spans="1:27" x14ac:dyDescent="0.2">
      <c r="A1426">
        <v>60</v>
      </c>
      <c r="B1426">
        <v>1</v>
      </c>
      <c r="C1426">
        <v>0.1</v>
      </c>
      <c r="D1426">
        <v>100</v>
      </c>
      <c r="E1426">
        <v>0.282406333891211</v>
      </c>
      <c r="F1426">
        <v>1</v>
      </c>
      <c r="G1426">
        <v>33.857337051000002</v>
      </c>
      <c r="H1426">
        <v>9.8922844257616604E-2</v>
      </c>
      <c r="I1426">
        <v>1</v>
      </c>
      <c r="J1426">
        <v>1.720257868</v>
      </c>
      <c r="P1426"/>
      <c r="V1426">
        <v>8.0019427216213301E-2</v>
      </c>
      <c r="W1426">
        <v>1</v>
      </c>
      <c r="X1426">
        <v>313431.08242351201</v>
      </c>
      <c r="Y1426">
        <v>0</v>
      </c>
      <c r="Z1426">
        <v>1.96363988511734</v>
      </c>
      <c r="AA1426">
        <v>50</v>
      </c>
    </row>
    <row r="1427" spans="1:27" x14ac:dyDescent="0.2">
      <c r="A1427">
        <v>60</v>
      </c>
      <c r="B1427">
        <v>1</v>
      </c>
      <c r="C1427">
        <v>0.1</v>
      </c>
      <c r="D1427">
        <v>100</v>
      </c>
      <c r="E1427">
        <v>0.106160537092948</v>
      </c>
      <c r="F1427">
        <v>1</v>
      </c>
      <c r="G1427">
        <v>34.281577415000001</v>
      </c>
      <c r="H1427">
        <v>5.8168536576932599E-2</v>
      </c>
      <c r="I1427">
        <v>1</v>
      </c>
      <c r="J1427">
        <v>1.422280929</v>
      </c>
      <c r="P1427"/>
      <c r="V1427">
        <v>4.7808611889959503E-2</v>
      </c>
      <c r="W1427">
        <v>1</v>
      </c>
      <c r="X1427">
        <v>313431.43307501602</v>
      </c>
      <c r="Y1427">
        <v>0</v>
      </c>
      <c r="Z1427">
        <v>1.39476024006924</v>
      </c>
      <c r="AA1427">
        <v>50</v>
      </c>
    </row>
    <row r="1428" spans="1:27" x14ac:dyDescent="0.2">
      <c r="A1428">
        <v>60</v>
      </c>
      <c r="B1428">
        <v>1</v>
      </c>
      <c r="C1428">
        <v>0.1</v>
      </c>
      <c r="D1428">
        <v>100</v>
      </c>
      <c r="E1428">
        <v>0.170502801274803</v>
      </c>
      <c r="F1428">
        <v>1</v>
      </c>
      <c r="G1428">
        <v>37.590303931999998</v>
      </c>
      <c r="H1428">
        <v>9.2919059806005094E-2</v>
      </c>
      <c r="I1428">
        <v>1</v>
      </c>
      <c r="J1428">
        <v>1.2647112060000001</v>
      </c>
      <c r="P1428"/>
      <c r="V1428">
        <v>7.7763902791103096E-2</v>
      </c>
      <c r="W1428">
        <v>1</v>
      </c>
      <c r="X1428">
        <v>313430.43632790801</v>
      </c>
      <c r="Y1428">
        <v>0</v>
      </c>
      <c r="Z1428">
        <v>1.13764945632352</v>
      </c>
      <c r="AA1428">
        <v>50</v>
      </c>
    </row>
    <row r="1429" spans="1:27" x14ac:dyDescent="0.2">
      <c r="A1429">
        <v>60</v>
      </c>
      <c r="B1429">
        <v>1</v>
      </c>
      <c r="C1429">
        <v>0.1</v>
      </c>
      <c r="D1429">
        <v>100</v>
      </c>
      <c r="E1429">
        <v>0.109159717847841</v>
      </c>
      <c r="F1429">
        <v>1</v>
      </c>
      <c r="G1429">
        <v>38.756625149999998</v>
      </c>
      <c r="H1429">
        <v>9.1700854424414099E-2</v>
      </c>
      <c r="I1429">
        <v>1</v>
      </c>
      <c r="J1429">
        <v>1.0450721300000001</v>
      </c>
      <c r="P1429"/>
      <c r="V1429">
        <v>8.2243176210499494E-2</v>
      </c>
      <c r="W1429">
        <v>1</v>
      </c>
      <c r="X1429">
        <v>311667.98486565001</v>
      </c>
      <c r="Y1429">
        <v>0</v>
      </c>
      <c r="Z1429">
        <v>1.2384240081909501</v>
      </c>
      <c r="AA1429">
        <v>50</v>
      </c>
    </row>
    <row r="1430" spans="1:27" x14ac:dyDescent="0.2">
      <c r="A1430">
        <v>60</v>
      </c>
      <c r="B1430">
        <v>1</v>
      </c>
      <c r="C1430">
        <v>0.1</v>
      </c>
      <c r="D1430">
        <v>100</v>
      </c>
      <c r="E1430">
        <v>0.15132412799153</v>
      </c>
      <c r="F1430">
        <v>1</v>
      </c>
      <c r="G1430">
        <v>26.826889510000001</v>
      </c>
      <c r="H1430">
        <v>6.0896018399668697E-2</v>
      </c>
      <c r="I1430">
        <v>1</v>
      </c>
      <c r="J1430">
        <v>1.3773987940000001</v>
      </c>
      <c r="P1430"/>
      <c r="V1430">
        <v>5.2049219689482402E-2</v>
      </c>
      <c r="W1430">
        <v>1</v>
      </c>
      <c r="X1430">
        <v>312659.23515178898</v>
      </c>
      <c r="Y1430">
        <v>0</v>
      </c>
      <c r="Z1430">
        <v>1.36063937067743</v>
      </c>
      <c r="AA1430">
        <v>50</v>
      </c>
    </row>
    <row r="1431" spans="1:27" x14ac:dyDescent="0.2">
      <c r="A1431">
        <v>60</v>
      </c>
      <c r="B1431">
        <v>1</v>
      </c>
      <c r="C1431">
        <v>0.1</v>
      </c>
      <c r="D1431">
        <v>100</v>
      </c>
      <c r="E1431">
        <v>0.138460768713873</v>
      </c>
      <c r="F1431">
        <v>1</v>
      </c>
      <c r="G1431">
        <v>33.907204454999999</v>
      </c>
      <c r="H1431">
        <v>8.3858301137060998E-2</v>
      </c>
      <c r="I1431">
        <v>1</v>
      </c>
      <c r="J1431">
        <v>1.7423625970000001</v>
      </c>
      <c r="P1431"/>
      <c r="V1431">
        <v>7.2867772795116706E-2</v>
      </c>
      <c r="W1431">
        <v>1</v>
      </c>
      <c r="X1431">
        <v>313303.10874552297</v>
      </c>
      <c r="Y1431">
        <v>0</v>
      </c>
      <c r="Z1431">
        <v>1.35502629071075</v>
      </c>
      <c r="AA1431">
        <v>50</v>
      </c>
    </row>
    <row r="1432" spans="1:27" x14ac:dyDescent="0.2">
      <c r="A1432">
        <v>60</v>
      </c>
      <c r="B1432">
        <v>1</v>
      </c>
      <c r="C1432">
        <v>0.1</v>
      </c>
      <c r="D1432">
        <v>100</v>
      </c>
      <c r="E1432">
        <v>0.21031623822463999</v>
      </c>
      <c r="F1432">
        <v>1</v>
      </c>
      <c r="G1432">
        <v>38.540441365</v>
      </c>
      <c r="H1432">
        <v>5.3217508350878101E-2</v>
      </c>
      <c r="I1432">
        <v>1</v>
      </c>
      <c r="J1432">
        <v>1.960758679</v>
      </c>
      <c r="P1432"/>
      <c r="V1432">
        <v>4.4552160109087899E-2</v>
      </c>
      <c r="W1432">
        <v>1</v>
      </c>
      <c r="X1432">
        <v>313659.75733583502</v>
      </c>
      <c r="Y1432">
        <v>0</v>
      </c>
      <c r="Z1432">
        <v>2.2211359492849798</v>
      </c>
      <c r="AA1432">
        <v>50</v>
      </c>
    </row>
    <row r="1433" spans="1:27" x14ac:dyDescent="0.2">
      <c r="A1433">
        <v>60</v>
      </c>
      <c r="B1433">
        <v>1</v>
      </c>
      <c r="C1433">
        <v>0.1</v>
      </c>
      <c r="D1433">
        <v>100</v>
      </c>
      <c r="E1433">
        <v>0.17893128155423399</v>
      </c>
      <c r="F1433">
        <v>1</v>
      </c>
      <c r="G1433">
        <v>35.593100905999997</v>
      </c>
      <c r="H1433">
        <v>5.8303181075066102E-2</v>
      </c>
      <c r="I1433">
        <v>1</v>
      </c>
      <c r="J1433">
        <v>1.8627717530000001</v>
      </c>
      <c r="P1433"/>
      <c r="V1433">
        <v>4.9067122575674797E-2</v>
      </c>
      <c r="W1433">
        <v>1</v>
      </c>
      <c r="X1433">
        <v>313542.62315809401</v>
      </c>
      <c r="Y1433">
        <v>0</v>
      </c>
      <c r="Z1433">
        <v>1.8669452174668399</v>
      </c>
      <c r="AA1433">
        <v>50</v>
      </c>
    </row>
    <row r="1434" spans="1:27" x14ac:dyDescent="0.2">
      <c r="A1434">
        <v>60</v>
      </c>
      <c r="B1434">
        <v>1</v>
      </c>
      <c r="C1434">
        <v>0.1</v>
      </c>
      <c r="D1434">
        <v>100</v>
      </c>
      <c r="E1434">
        <v>0.163551324650765</v>
      </c>
      <c r="F1434">
        <v>1</v>
      </c>
      <c r="G1434">
        <v>38.390432396999998</v>
      </c>
      <c r="H1434">
        <v>6.2004185792630798E-2</v>
      </c>
      <c r="I1434">
        <v>1</v>
      </c>
      <c r="J1434">
        <v>1.912192699</v>
      </c>
      <c r="P1434"/>
      <c r="V1434">
        <v>5.3865228417526001E-2</v>
      </c>
      <c r="W1434">
        <v>1</v>
      </c>
      <c r="X1434">
        <v>313562.432813361</v>
      </c>
      <c r="Y1434">
        <v>0</v>
      </c>
      <c r="Z1434">
        <v>0.88180483147550603</v>
      </c>
      <c r="AA1434">
        <v>50</v>
      </c>
    </row>
    <row r="1435" spans="1:27" x14ac:dyDescent="0.2">
      <c r="A1435">
        <v>60</v>
      </c>
      <c r="B1435">
        <v>1</v>
      </c>
      <c r="C1435">
        <v>0.1</v>
      </c>
      <c r="D1435">
        <v>100</v>
      </c>
      <c r="E1435">
        <v>0.123316339575563</v>
      </c>
      <c r="F1435">
        <v>1</v>
      </c>
      <c r="G1435">
        <v>33.436858010000002</v>
      </c>
      <c r="H1435">
        <v>0.105543770669701</v>
      </c>
      <c r="I1435">
        <v>1</v>
      </c>
      <c r="J1435">
        <v>0.50005798099999998</v>
      </c>
      <c r="P1435"/>
      <c r="V1435">
        <v>7.7352326828088902E-2</v>
      </c>
      <c r="W1435">
        <v>1</v>
      </c>
      <c r="X1435">
        <v>313387.682456457</v>
      </c>
      <c r="Y1435">
        <v>0</v>
      </c>
      <c r="Z1435">
        <v>1.7826860078727</v>
      </c>
      <c r="AA1435">
        <v>50</v>
      </c>
    </row>
    <row r="1436" spans="1:27" x14ac:dyDescent="0.2">
      <c r="A1436">
        <v>60</v>
      </c>
      <c r="B1436">
        <v>1</v>
      </c>
      <c r="C1436">
        <v>0.1</v>
      </c>
      <c r="D1436">
        <v>100</v>
      </c>
      <c r="E1436">
        <v>0.10691886152322599</v>
      </c>
      <c r="F1436">
        <v>1</v>
      </c>
      <c r="G1436">
        <v>39.187806205000001</v>
      </c>
      <c r="H1436">
        <v>4.9173636436476598E-2</v>
      </c>
      <c r="I1436">
        <v>1</v>
      </c>
      <c r="J1436">
        <v>1.123546645</v>
      </c>
      <c r="P1436"/>
      <c r="V1436">
        <v>4.08074787712389E-2</v>
      </c>
      <c r="W1436">
        <v>1</v>
      </c>
      <c r="X1436">
        <v>313375.876194101</v>
      </c>
      <c r="Y1436">
        <v>0</v>
      </c>
      <c r="Z1436">
        <v>1.3517343019683199</v>
      </c>
      <c r="AA1436">
        <v>50</v>
      </c>
    </row>
    <row r="1437" spans="1:27" x14ac:dyDescent="0.2">
      <c r="A1437">
        <v>60</v>
      </c>
      <c r="B1437">
        <v>1</v>
      </c>
      <c r="C1437">
        <v>0.1</v>
      </c>
      <c r="D1437">
        <v>100</v>
      </c>
      <c r="E1437">
        <v>0.14080936750499101</v>
      </c>
      <c r="F1437">
        <v>1</v>
      </c>
      <c r="G1437">
        <v>36.813934875000001</v>
      </c>
      <c r="H1437">
        <v>8.6092440244550705E-2</v>
      </c>
      <c r="I1437">
        <v>1</v>
      </c>
      <c r="J1437">
        <v>1.2317584029999999</v>
      </c>
      <c r="P1437"/>
      <c r="V1437">
        <v>7.9196896226719493E-2</v>
      </c>
      <c r="W1437">
        <v>1</v>
      </c>
      <c r="X1437">
        <v>313474.53756253998</v>
      </c>
      <c r="Y1437">
        <v>0</v>
      </c>
      <c r="Z1437">
        <v>1.6059689949023801</v>
      </c>
      <c r="AA1437">
        <v>50</v>
      </c>
    </row>
    <row r="1438" spans="1:27" x14ac:dyDescent="0.2">
      <c r="A1438">
        <v>60</v>
      </c>
      <c r="B1438">
        <v>1</v>
      </c>
      <c r="C1438">
        <v>0.1</v>
      </c>
      <c r="D1438">
        <v>100</v>
      </c>
      <c r="E1438">
        <v>7.8260750896170295E-2</v>
      </c>
      <c r="F1438">
        <v>1</v>
      </c>
      <c r="G1438">
        <v>36.782816029000003</v>
      </c>
      <c r="H1438">
        <v>6.9096537597776397E-2</v>
      </c>
      <c r="I1438">
        <v>1</v>
      </c>
      <c r="J1438">
        <v>1.291991281</v>
      </c>
      <c r="P1438"/>
      <c r="V1438">
        <v>5.1250984716507998E-2</v>
      </c>
      <c r="W1438">
        <v>1</v>
      </c>
      <c r="X1438">
        <v>313488.92759011599</v>
      </c>
      <c r="Y1438">
        <v>0</v>
      </c>
      <c r="Z1438">
        <v>1.83789409321144</v>
      </c>
      <c r="AA1438">
        <v>50</v>
      </c>
    </row>
    <row r="1439" spans="1:27" x14ac:dyDescent="0.2">
      <c r="A1439">
        <v>60</v>
      </c>
      <c r="B1439">
        <v>1</v>
      </c>
      <c r="C1439">
        <v>0.1</v>
      </c>
      <c r="D1439">
        <v>100</v>
      </c>
      <c r="E1439">
        <v>9.4868148804058805E-2</v>
      </c>
      <c r="F1439">
        <v>1</v>
      </c>
      <c r="G1439">
        <v>38.037433317000001</v>
      </c>
      <c r="H1439">
        <v>4.3160190558547397E-2</v>
      </c>
      <c r="I1439">
        <v>1</v>
      </c>
      <c r="J1439">
        <v>1.248444063</v>
      </c>
      <c r="P1439"/>
      <c r="V1439">
        <v>3.7323213675638997E-2</v>
      </c>
      <c r="W1439">
        <v>1</v>
      </c>
      <c r="X1439">
        <v>313500.182535498</v>
      </c>
      <c r="Y1439">
        <v>0</v>
      </c>
      <c r="Z1439">
        <v>1.45243026247928</v>
      </c>
      <c r="AA1439">
        <v>50</v>
      </c>
    </row>
    <row r="1440" spans="1:27" x14ac:dyDescent="0.2">
      <c r="A1440">
        <v>60</v>
      </c>
      <c r="B1440">
        <v>1</v>
      </c>
      <c r="C1440">
        <v>0.1</v>
      </c>
      <c r="D1440">
        <v>100</v>
      </c>
      <c r="E1440">
        <v>0.18005264585678099</v>
      </c>
      <c r="F1440">
        <v>1</v>
      </c>
      <c r="G1440">
        <v>33.300124341999997</v>
      </c>
      <c r="H1440">
        <v>0.10129784678414799</v>
      </c>
      <c r="I1440">
        <v>1</v>
      </c>
      <c r="J1440">
        <v>2.0909605949999999</v>
      </c>
      <c r="P1440"/>
      <c r="V1440">
        <v>9.0180474925434795E-2</v>
      </c>
      <c r="W1440">
        <v>1</v>
      </c>
      <c r="X1440">
        <v>313323.26790629898</v>
      </c>
      <c r="Y1440">
        <v>0</v>
      </c>
      <c r="Z1440">
        <v>1.1282169448688799</v>
      </c>
      <c r="AA1440">
        <v>50</v>
      </c>
    </row>
    <row r="1441" spans="1:27" x14ac:dyDescent="0.2">
      <c r="A1441">
        <v>60</v>
      </c>
      <c r="B1441">
        <v>1</v>
      </c>
      <c r="C1441">
        <v>0.1</v>
      </c>
      <c r="D1441">
        <v>100</v>
      </c>
      <c r="E1441">
        <v>0.24510083006342401</v>
      </c>
      <c r="F1441">
        <v>1</v>
      </c>
      <c r="G1441">
        <v>36.987220168999997</v>
      </c>
      <c r="H1441">
        <v>0.18828470720128401</v>
      </c>
      <c r="I1441">
        <v>1</v>
      </c>
      <c r="J1441">
        <v>0.84902171800000004</v>
      </c>
      <c r="P1441"/>
      <c r="V1441">
        <v>0.181702983543682</v>
      </c>
      <c r="W1441">
        <v>1</v>
      </c>
      <c r="X1441">
        <v>313619.97541794</v>
      </c>
      <c r="Y1441">
        <v>0</v>
      </c>
      <c r="Z1441">
        <v>0.98606772795160302</v>
      </c>
      <c r="AA1441">
        <v>50</v>
      </c>
    </row>
    <row r="1442" spans="1:27" x14ac:dyDescent="0.2">
      <c r="A1442">
        <v>60</v>
      </c>
      <c r="B1442">
        <v>1</v>
      </c>
      <c r="C1442">
        <v>0.1</v>
      </c>
      <c r="D1442">
        <v>100</v>
      </c>
      <c r="E1442">
        <v>0.221369170096618</v>
      </c>
      <c r="F1442">
        <v>1</v>
      </c>
      <c r="G1442">
        <v>37.209034924000001</v>
      </c>
      <c r="H1442">
        <v>0.11001376976013599</v>
      </c>
      <c r="I1442">
        <v>1</v>
      </c>
      <c r="J1442">
        <v>0.76435741099999999</v>
      </c>
      <c r="P1442"/>
      <c r="V1442">
        <v>0.108246720168913</v>
      </c>
      <c r="W1442">
        <v>1</v>
      </c>
      <c r="X1442">
        <v>313485.13011009502</v>
      </c>
      <c r="Y1442">
        <v>0</v>
      </c>
      <c r="Z1442">
        <v>2.0487677769182402</v>
      </c>
      <c r="AA1442">
        <v>50</v>
      </c>
    </row>
    <row r="1443" spans="1:27" x14ac:dyDescent="0.2">
      <c r="A1443">
        <v>60</v>
      </c>
      <c r="B1443">
        <v>1</v>
      </c>
      <c r="C1443">
        <v>0.1</v>
      </c>
      <c r="D1443">
        <v>100</v>
      </c>
      <c r="E1443">
        <v>0.19609451782517101</v>
      </c>
      <c r="F1443">
        <v>1</v>
      </c>
      <c r="G1443">
        <v>36.850768696999999</v>
      </c>
      <c r="H1443">
        <v>5.9375897213942701E-2</v>
      </c>
      <c r="I1443">
        <v>1</v>
      </c>
      <c r="J1443">
        <v>1.496037955</v>
      </c>
      <c r="P1443"/>
      <c r="V1443">
        <v>5.0856776915604897E-2</v>
      </c>
      <c r="W1443">
        <v>1</v>
      </c>
      <c r="X1443">
        <v>313536.42226942797</v>
      </c>
      <c r="Y1443">
        <v>0</v>
      </c>
      <c r="Z1443">
        <v>2.19592165220334</v>
      </c>
      <c r="AA1443">
        <v>50</v>
      </c>
    </row>
    <row r="1444" spans="1:27" x14ac:dyDescent="0.2">
      <c r="A1444">
        <v>60</v>
      </c>
      <c r="B1444">
        <v>1</v>
      </c>
      <c r="C1444">
        <v>0.1</v>
      </c>
      <c r="D1444">
        <v>100</v>
      </c>
      <c r="E1444">
        <v>0.18362885316820399</v>
      </c>
      <c r="F1444">
        <v>1</v>
      </c>
      <c r="G1444">
        <v>35.569984607999999</v>
      </c>
      <c r="H1444">
        <v>6.1786950726688397E-2</v>
      </c>
      <c r="I1444">
        <v>1</v>
      </c>
      <c r="J1444">
        <v>1.367003779</v>
      </c>
      <c r="P1444"/>
      <c r="V1444">
        <v>4.7986218982458001E-2</v>
      </c>
      <c r="W1444">
        <v>1</v>
      </c>
      <c r="X1444">
        <v>313488.556003134</v>
      </c>
      <c r="Y1444">
        <v>0</v>
      </c>
      <c r="Z1444">
        <v>1.70775755659258</v>
      </c>
      <c r="AA1444">
        <v>50</v>
      </c>
    </row>
    <row r="1445" spans="1:27" x14ac:dyDescent="0.2">
      <c r="A1445">
        <v>60</v>
      </c>
      <c r="B1445">
        <v>1</v>
      </c>
      <c r="C1445">
        <v>0.1</v>
      </c>
      <c r="D1445">
        <v>100</v>
      </c>
      <c r="E1445">
        <v>0.25276309331075397</v>
      </c>
      <c r="F1445">
        <v>1</v>
      </c>
      <c r="G1445">
        <v>28.745539907000001</v>
      </c>
      <c r="H1445">
        <v>7.84669102054803E-2</v>
      </c>
      <c r="I1445">
        <v>1</v>
      </c>
      <c r="J1445">
        <v>1.42182757</v>
      </c>
      <c r="P1445"/>
      <c r="V1445">
        <v>6.6153293343142794E-2</v>
      </c>
      <c r="W1445">
        <v>1</v>
      </c>
      <c r="X1445">
        <v>310929.20909816597</v>
      </c>
      <c r="Y1445">
        <v>0</v>
      </c>
      <c r="Z1445">
        <v>1.4182967986384301</v>
      </c>
      <c r="AA1445">
        <v>50</v>
      </c>
    </row>
    <row r="1446" spans="1:27" x14ac:dyDescent="0.2">
      <c r="A1446">
        <v>60</v>
      </c>
      <c r="B1446">
        <v>1</v>
      </c>
      <c r="C1446">
        <v>0.1</v>
      </c>
      <c r="D1446">
        <v>100</v>
      </c>
      <c r="E1446">
        <v>0.38339942058440402</v>
      </c>
      <c r="F1446">
        <v>1</v>
      </c>
      <c r="G1446">
        <v>34.202556981000001</v>
      </c>
      <c r="H1446">
        <v>0.11325287850366</v>
      </c>
      <c r="I1446">
        <v>1</v>
      </c>
      <c r="J1446">
        <v>3.2478291970000002</v>
      </c>
      <c r="P1446"/>
      <c r="V1446">
        <v>0.10583565914929</v>
      </c>
      <c r="W1446">
        <v>1</v>
      </c>
      <c r="X1446">
        <v>313386.34337396699</v>
      </c>
      <c r="Y1446">
        <v>0</v>
      </c>
      <c r="Z1446">
        <v>2.5620457746433001</v>
      </c>
      <c r="AA1446">
        <v>50</v>
      </c>
    </row>
    <row r="1447" spans="1:27" x14ac:dyDescent="0.2">
      <c r="A1447">
        <v>60</v>
      </c>
      <c r="B1447">
        <v>1</v>
      </c>
      <c r="C1447">
        <v>0.1</v>
      </c>
      <c r="D1447">
        <v>100</v>
      </c>
      <c r="E1447">
        <v>9.4865190207189906E-2</v>
      </c>
      <c r="F1447">
        <v>1</v>
      </c>
      <c r="G1447">
        <v>34.409098569999998</v>
      </c>
      <c r="H1447">
        <v>5.2937837409228999E-2</v>
      </c>
      <c r="I1447">
        <v>1</v>
      </c>
      <c r="J1447">
        <v>0.93481430799999998</v>
      </c>
      <c r="P1447"/>
      <c r="V1447">
        <v>4.1982730593591797E-2</v>
      </c>
      <c r="W1447">
        <v>1</v>
      </c>
      <c r="X1447">
        <v>313462.44528095401</v>
      </c>
      <c r="Y1447">
        <v>0</v>
      </c>
      <c r="Z1447">
        <v>1.5655445196529401</v>
      </c>
      <c r="AA1447">
        <v>50</v>
      </c>
    </row>
    <row r="1448" spans="1:27" x14ac:dyDescent="0.2">
      <c r="A1448">
        <v>60</v>
      </c>
      <c r="B1448">
        <v>1</v>
      </c>
      <c r="C1448">
        <v>0.1</v>
      </c>
      <c r="D1448">
        <v>100</v>
      </c>
      <c r="E1448">
        <v>0.28964600148576503</v>
      </c>
      <c r="F1448">
        <v>1</v>
      </c>
      <c r="G1448">
        <v>38.361165743000001</v>
      </c>
      <c r="H1448">
        <v>0.15110694557886001</v>
      </c>
      <c r="I1448">
        <v>1</v>
      </c>
      <c r="J1448">
        <v>1.449679036</v>
      </c>
      <c r="P1448"/>
      <c r="V1448">
        <v>0.123303202275535</v>
      </c>
      <c r="W1448">
        <v>1</v>
      </c>
      <c r="X1448">
        <v>313556.18165814102</v>
      </c>
      <c r="Y1448">
        <v>0</v>
      </c>
      <c r="Z1448">
        <v>1.6029927124774499</v>
      </c>
      <c r="AA1448">
        <v>50</v>
      </c>
    </row>
    <row r="1449" spans="1:27" x14ac:dyDescent="0.2">
      <c r="A1449">
        <v>60</v>
      </c>
      <c r="B1449">
        <v>1</v>
      </c>
      <c r="C1449">
        <v>0.1</v>
      </c>
      <c r="D1449">
        <v>100</v>
      </c>
      <c r="E1449">
        <v>0.219290451898666</v>
      </c>
      <c r="F1449">
        <v>1</v>
      </c>
      <c r="G1449">
        <v>39.720796092999997</v>
      </c>
      <c r="H1449">
        <v>6.71442188344267E-2</v>
      </c>
      <c r="I1449">
        <v>1</v>
      </c>
      <c r="J1449">
        <v>1.28048703</v>
      </c>
      <c r="P1449"/>
      <c r="V1449">
        <v>5.7252798554361502E-2</v>
      </c>
      <c r="W1449">
        <v>1</v>
      </c>
      <c r="X1449">
        <v>313412.91251357202</v>
      </c>
      <c r="Y1449">
        <v>0</v>
      </c>
      <c r="Z1449">
        <v>2.3659788060773401</v>
      </c>
      <c r="AA1449">
        <v>50</v>
      </c>
    </row>
    <row r="1450" spans="1:27" x14ac:dyDescent="0.2">
      <c r="A1450">
        <v>60</v>
      </c>
      <c r="B1450">
        <v>1</v>
      </c>
      <c r="C1450">
        <v>0.1</v>
      </c>
      <c r="D1450">
        <v>100</v>
      </c>
      <c r="E1450">
        <v>0.16912395502013999</v>
      </c>
      <c r="F1450">
        <v>1</v>
      </c>
      <c r="G1450">
        <v>37.540438072000001</v>
      </c>
      <c r="H1450">
        <v>4.7610802320240002E-2</v>
      </c>
      <c r="I1450">
        <v>1</v>
      </c>
      <c r="J1450">
        <v>0.69924839299999997</v>
      </c>
      <c r="P1450"/>
      <c r="V1450">
        <v>4.06844447216669E-2</v>
      </c>
      <c r="W1450">
        <v>1</v>
      </c>
      <c r="X1450">
        <v>313533.27377581701</v>
      </c>
      <c r="Y1450">
        <v>0</v>
      </c>
      <c r="Z1450">
        <v>2.1109630487223101</v>
      </c>
      <c r="AA1450">
        <v>50</v>
      </c>
    </row>
    <row r="1451" spans="1:27" x14ac:dyDescent="0.2">
      <c r="A1451">
        <v>60</v>
      </c>
      <c r="B1451">
        <v>1</v>
      </c>
      <c r="C1451">
        <v>0.1</v>
      </c>
      <c r="D1451">
        <v>100</v>
      </c>
      <c r="E1451">
        <v>0.28473823969574402</v>
      </c>
      <c r="F1451">
        <v>1</v>
      </c>
      <c r="G1451">
        <v>39.429281594000003</v>
      </c>
      <c r="H1451">
        <v>0.10811748223399401</v>
      </c>
      <c r="I1451">
        <v>1</v>
      </c>
      <c r="J1451">
        <v>2.1307843179999999</v>
      </c>
      <c r="P1451"/>
      <c r="V1451">
        <v>8.7007030747882796E-2</v>
      </c>
      <c r="W1451">
        <v>1</v>
      </c>
      <c r="X1451">
        <v>313489.02810531802</v>
      </c>
      <c r="Y1451">
        <v>0</v>
      </c>
      <c r="Z1451">
        <v>1.9635447928538901</v>
      </c>
      <c r="AA1451">
        <v>50</v>
      </c>
    </row>
    <row r="1452" spans="1:27" x14ac:dyDescent="0.2">
      <c r="A1452">
        <v>60</v>
      </c>
      <c r="B1452">
        <v>1</v>
      </c>
      <c r="C1452">
        <v>0.1</v>
      </c>
      <c r="D1452">
        <v>100</v>
      </c>
      <c r="E1452">
        <v>0.18204422190586</v>
      </c>
      <c r="F1452">
        <v>1</v>
      </c>
      <c r="G1452">
        <v>37.191240897</v>
      </c>
      <c r="H1452">
        <v>5.1652950819621499E-2</v>
      </c>
      <c r="I1452">
        <v>1</v>
      </c>
      <c r="J1452">
        <v>1.8669878280000001</v>
      </c>
      <c r="P1452"/>
      <c r="V1452">
        <v>4.7334729600143399E-2</v>
      </c>
      <c r="W1452">
        <v>1</v>
      </c>
      <c r="X1452">
        <v>313457.84812884103</v>
      </c>
      <c r="Y1452">
        <v>0</v>
      </c>
      <c r="Z1452">
        <v>1.56940408632808</v>
      </c>
      <c r="AA1452">
        <v>50</v>
      </c>
    </row>
    <row r="1453" spans="1:27" x14ac:dyDescent="0.2">
      <c r="A1453">
        <v>20</v>
      </c>
      <c r="B1453">
        <v>3</v>
      </c>
      <c r="C1453">
        <v>0.1</v>
      </c>
      <c r="D1453">
        <v>20</v>
      </c>
      <c r="E1453">
        <v>0.96253831297540604</v>
      </c>
      <c r="F1453">
        <v>3</v>
      </c>
      <c r="G1453">
        <v>33.115595591999998</v>
      </c>
      <c r="H1453">
        <v>0.998560336913077</v>
      </c>
      <c r="I1453">
        <v>3</v>
      </c>
      <c r="J1453">
        <v>0.65050243299999999</v>
      </c>
      <c r="P1453"/>
      <c r="V1453">
        <v>1.00019721985112</v>
      </c>
      <c r="W1453">
        <v>3</v>
      </c>
      <c r="X1453">
        <v>7000.6896379339996</v>
      </c>
      <c r="Y1453">
        <v>1</v>
      </c>
      <c r="Z1453">
        <v>9.2683151087840001E-3</v>
      </c>
      <c r="AA1453">
        <v>11</v>
      </c>
    </row>
    <row r="1454" spans="1:27" x14ac:dyDescent="0.2">
      <c r="A1454">
        <v>30</v>
      </c>
      <c r="B1454">
        <v>2</v>
      </c>
      <c r="C1454">
        <v>0.2</v>
      </c>
      <c r="D1454">
        <v>100</v>
      </c>
      <c r="E1454">
        <v>0.49906886194581401</v>
      </c>
      <c r="F1454">
        <v>2</v>
      </c>
      <c r="G1454">
        <v>30.114309364</v>
      </c>
      <c r="H1454">
        <v>0.129741751057355</v>
      </c>
      <c r="I1454">
        <v>2</v>
      </c>
      <c r="J1454">
        <v>1.2632751360000001</v>
      </c>
      <c r="P1454"/>
      <c r="V1454">
        <v>0.117720321930954</v>
      </c>
      <c r="W1454">
        <v>2</v>
      </c>
      <c r="X1454">
        <v>305288.67215453298</v>
      </c>
      <c r="Y1454">
        <v>1</v>
      </c>
      <c r="Z1454">
        <v>0.895666056203406</v>
      </c>
      <c r="AA1454">
        <v>50</v>
      </c>
    </row>
    <row r="1455" spans="1:27" x14ac:dyDescent="0.2">
      <c r="A1455">
        <v>30</v>
      </c>
      <c r="B1455">
        <v>2</v>
      </c>
      <c r="C1455">
        <v>0.1</v>
      </c>
      <c r="D1455">
        <v>100</v>
      </c>
      <c r="E1455">
        <v>0.88910988220569198</v>
      </c>
      <c r="F1455">
        <v>2</v>
      </c>
      <c r="G1455">
        <v>32.000686514999998</v>
      </c>
      <c r="H1455">
        <v>0.90278464226142996</v>
      </c>
      <c r="I1455">
        <v>2</v>
      </c>
      <c r="J1455">
        <v>1.398240521</v>
      </c>
      <c r="P1455"/>
      <c r="V1455">
        <v>0.90424869716728196</v>
      </c>
      <c r="W1455">
        <v>2</v>
      </c>
      <c r="X1455">
        <v>304645.65176310699</v>
      </c>
      <c r="Y1455">
        <v>601</v>
      </c>
      <c r="Z1455">
        <v>0.188911298566381</v>
      </c>
      <c r="AA1455">
        <v>50</v>
      </c>
    </row>
    <row r="1456" spans="1:27" x14ac:dyDescent="0.2">
      <c r="A1456">
        <v>20</v>
      </c>
      <c r="B1456">
        <v>3</v>
      </c>
      <c r="C1456">
        <v>0.1</v>
      </c>
      <c r="D1456">
        <v>100</v>
      </c>
      <c r="E1456">
        <v>1.1487418197110399</v>
      </c>
      <c r="F1456">
        <v>3</v>
      </c>
      <c r="G1456">
        <v>34.387768983000001</v>
      </c>
      <c r="H1456">
        <v>1.0926663075699801</v>
      </c>
      <c r="I1456">
        <v>3</v>
      </c>
      <c r="J1456">
        <v>0.69887703199999995</v>
      </c>
      <c r="P1456"/>
      <c r="V1456">
        <v>1.0932708845012999</v>
      </c>
      <c r="W1456">
        <v>3</v>
      </c>
      <c r="X1456">
        <v>1487.7797585010001</v>
      </c>
      <c r="Y1456">
        <v>0</v>
      </c>
      <c r="Z1456">
        <v>5.4753488943546898E-3</v>
      </c>
      <c r="AA1456">
        <v>3</v>
      </c>
    </row>
    <row r="1457" spans="1:27" x14ac:dyDescent="0.2">
      <c r="A1457">
        <v>20</v>
      </c>
      <c r="B1457">
        <v>3</v>
      </c>
      <c r="C1457">
        <v>0.1</v>
      </c>
      <c r="D1457">
        <v>100</v>
      </c>
      <c r="E1457">
        <v>0.98813392826561397</v>
      </c>
      <c r="F1457">
        <v>3</v>
      </c>
      <c r="G1457">
        <v>34.344664950999999</v>
      </c>
      <c r="H1457">
        <v>0.96515656279116402</v>
      </c>
      <c r="I1457">
        <v>3</v>
      </c>
      <c r="J1457">
        <v>0.36059608599999998</v>
      </c>
      <c r="P1457"/>
      <c r="V1457">
        <v>0.96536062341960904</v>
      </c>
      <c r="W1457">
        <v>3</v>
      </c>
      <c r="X1457">
        <v>1533.0090982710001</v>
      </c>
      <c r="Y1457">
        <v>0</v>
      </c>
      <c r="Z1457">
        <v>2.1749396364612E-3</v>
      </c>
      <c r="AA1457">
        <v>3</v>
      </c>
    </row>
    <row r="1458" spans="1:27" x14ac:dyDescent="0.2">
      <c r="A1458">
        <v>30</v>
      </c>
      <c r="B1458">
        <v>2</v>
      </c>
      <c r="C1458">
        <v>0.2</v>
      </c>
      <c r="D1458">
        <v>100</v>
      </c>
      <c r="E1458">
        <v>0.29940854662787397</v>
      </c>
      <c r="F1458">
        <v>2</v>
      </c>
      <c r="G1458">
        <v>33.024769726000002</v>
      </c>
      <c r="H1458">
        <v>0.13173701165281701</v>
      </c>
      <c r="I1458">
        <v>2</v>
      </c>
      <c r="J1458">
        <v>0.94266946699999998</v>
      </c>
      <c r="P1458"/>
      <c r="V1458">
        <v>0.12522817618936</v>
      </c>
      <c r="W1458">
        <v>2</v>
      </c>
      <c r="X1458">
        <v>307701.65030342998</v>
      </c>
      <c r="Y1458">
        <v>1</v>
      </c>
      <c r="Z1458">
        <v>0.68720213146504705</v>
      </c>
      <c r="AA1458">
        <v>50</v>
      </c>
    </row>
    <row r="1459" spans="1:27" x14ac:dyDescent="0.2">
      <c r="A1459">
        <v>30</v>
      </c>
      <c r="B1459">
        <v>2</v>
      </c>
      <c r="C1459">
        <v>0.1</v>
      </c>
      <c r="D1459">
        <v>100</v>
      </c>
      <c r="E1459">
        <v>1.0649458622965799</v>
      </c>
      <c r="F1459">
        <v>2</v>
      </c>
      <c r="G1459">
        <v>30.667781241</v>
      </c>
      <c r="H1459">
        <v>1.0783306173524201</v>
      </c>
      <c r="I1459">
        <v>2</v>
      </c>
      <c r="J1459">
        <v>1.3800318970000001</v>
      </c>
      <c r="P1459"/>
      <c r="V1459">
        <v>1.0804329115895801</v>
      </c>
      <c r="W1459">
        <v>2</v>
      </c>
      <c r="X1459">
        <v>301936.19907821598</v>
      </c>
      <c r="Y1459">
        <v>26</v>
      </c>
      <c r="Z1459">
        <v>4.6562207463901301E-2</v>
      </c>
      <c r="AA1459">
        <v>50</v>
      </c>
    </row>
    <row r="1460" spans="1:27" x14ac:dyDescent="0.2">
      <c r="A1460">
        <v>30</v>
      </c>
      <c r="B1460">
        <v>2</v>
      </c>
      <c r="C1460">
        <v>0.3</v>
      </c>
      <c r="D1460">
        <v>100</v>
      </c>
      <c r="E1460">
        <v>7.8132127880128299E-2</v>
      </c>
      <c r="F1460">
        <v>2</v>
      </c>
      <c r="G1460">
        <v>33.485640314000001</v>
      </c>
      <c r="H1460">
        <v>3.6251885956442E-2</v>
      </c>
      <c r="I1460">
        <v>2</v>
      </c>
      <c r="J1460">
        <v>0.32733954700000001</v>
      </c>
      <c r="P1460"/>
      <c r="V1460">
        <v>2.93449463787155E-2</v>
      </c>
      <c r="W1460">
        <v>2</v>
      </c>
      <c r="X1460">
        <v>304124.61141683802</v>
      </c>
      <c r="Y1460">
        <v>1</v>
      </c>
      <c r="Z1460">
        <v>1.03509970748041</v>
      </c>
      <c r="AA1460">
        <v>50</v>
      </c>
    </row>
    <row r="1461" spans="1:27" x14ac:dyDescent="0.2">
      <c r="A1461">
        <v>30</v>
      </c>
      <c r="B1461">
        <v>2</v>
      </c>
      <c r="C1461">
        <v>0.3</v>
      </c>
      <c r="D1461">
        <v>100</v>
      </c>
      <c r="E1461">
        <v>0.107904466495121</v>
      </c>
      <c r="F1461">
        <v>2</v>
      </c>
      <c r="G1461">
        <v>32.668802284999998</v>
      </c>
      <c r="H1461">
        <v>4.8972344175294898E-2</v>
      </c>
      <c r="I1461">
        <v>2</v>
      </c>
      <c r="J1461">
        <v>0.44016934000000002</v>
      </c>
      <c r="P1461"/>
      <c r="V1461">
        <v>4.51794237935833E-2</v>
      </c>
      <c r="W1461">
        <v>2</v>
      </c>
      <c r="X1461">
        <v>305633.61987527303</v>
      </c>
      <c r="Y1461">
        <v>1</v>
      </c>
      <c r="Z1461">
        <v>1.0743086913889</v>
      </c>
      <c r="AA1461">
        <v>50</v>
      </c>
    </row>
    <row r="1462" spans="1:27" x14ac:dyDescent="0.2">
      <c r="A1462">
        <v>30</v>
      </c>
      <c r="B1462">
        <v>2</v>
      </c>
      <c r="C1462">
        <v>0.3</v>
      </c>
      <c r="D1462">
        <v>100</v>
      </c>
      <c r="E1462">
        <v>0.13713454885795601</v>
      </c>
      <c r="F1462">
        <v>2</v>
      </c>
      <c r="G1462">
        <v>31.815579502999999</v>
      </c>
      <c r="H1462">
        <v>3.39884720005754E-2</v>
      </c>
      <c r="I1462">
        <v>2</v>
      </c>
      <c r="J1462">
        <v>0.42608263299999999</v>
      </c>
      <c r="P1462"/>
      <c r="V1462">
        <v>2.9522981068701E-2</v>
      </c>
      <c r="W1462">
        <v>2</v>
      </c>
      <c r="X1462">
        <v>305643.43511749897</v>
      </c>
      <c r="Y1462">
        <v>1</v>
      </c>
      <c r="Z1462">
        <v>0.57382067937236703</v>
      </c>
      <c r="AA1462">
        <v>50</v>
      </c>
    </row>
    <row r="1463" spans="1:27" x14ac:dyDescent="0.2">
      <c r="A1463">
        <v>20</v>
      </c>
      <c r="B1463">
        <v>3</v>
      </c>
      <c r="C1463">
        <v>0.1</v>
      </c>
      <c r="D1463">
        <v>100</v>
      </c>
      <c r="E1463">
        <v>0.914609307752412</v>
      </c>
      <c r="F1463">
        <v>3</v>
      </c>
      <c r="G1463">
        <v>35.060440880999998</v>
      </c>
      <c r="H1463">
        <v>0.94093898071544402</v>
      </c>
      <c r="I1463">
        <v>3</v>
      </c>
      <c r="J1463">
        <v>0.55700676800000004</v>
      </c>
      <c r="P1463"/>
      <c r="V1463">
        <v>0.94104776072361895</v>
      </c>
      <c r="W1463">
        <v>3</v>
      </c>
      <c r="X1463">
        <v>385.84997479999998</v>
      </c>
      <c r="Y1463">
        <v>1</v>
      </c>
      <c r="Z1463">
        <v>4.6732060492133401E-3</v>
      </c>
      <c r="AA1463">
        <v>2</v>
      </c>
    </row>
    <row r="1464" spans="1:27" x14ac:dyDescent="0.2">
      <c r="A1464">
        <v>20</v>
      </c>
      <c r="B1464">
        <v>3</v>
      </c>
      <c r="C1464">
        <v>0.1</v>
      </c>
      <c r="D1464">
        <v>100</v>
      </c>
      <c r="E1464">
        <v>0.94483193587589098</v>
      </c>
      <c r="F1464">
        <v>3</v>
      </c>
      <c r="G1464">
        <v>35.448706037000001</v>
      </c>
      <c r="H1464">
        <v>0.94314385010437995</v>
      </c>
      <c r="I1464">
        <v>3</v>
      </c>
      <c r="J1464">
        <v>0.41771266499999998</v>
      </c>
      <c r="P1464"/>
      <c r="V1464">
        <v>0.94339887060724603</v>
      </c>
      <c r="W1464">
        <v>3</v>
      </c>
      <c r="X1464">
        <v>1683.7327632629999</v>
      </c>
      <c r="Y1464">
        <v>1</v>
      </c>
      <c r="Z1464">
        <v>8.84941067400862E-3</v>
      </c>
      <c r="AA1464">
        <v>3</v>
      </c>
    </row>
    <row r="1465" spans="1:27" x14ac:dyDescent="0.2">
      <c r="A1465">
        <v>20</v>
      </c>
      <c r="B1465">
        <v>3</v>
      </c>
      <c r="C1465">
        <v>0.1</v>
      </c>
      <c r="D1465">
        <v>100</v>
      </c>
      <c r="E1465">
        <v>0.98136445746897605</v>
      </c>
      <c r="F1465">
        <v>3</v>
      </c>
      <c r="G1465">
        <v>33.712601755999998</v>
      </c>
      <c r="H1465">
        <v>0.97156486715638202</v>
      </c>
      <c r="I1465">
        <v>3</v>
      </c>
      <c r="J1465">
        <v>1.027989365</v>
      </c>
      <c r="P1465"/>
      <c r="V1465">
        <v>0.97170210957720005</v>
      </c>
      <c r="W1465">
        <v>3</v>
      </c>
      <c r="X1465">
        <v>460.03831799300002</v>
      </c>
      <c r="Y1465">
        <v>1</v>
      </c>
      <c r="Z1465">
        <v>6.8989402674068303E-3</v>
      </c>
      <c r="AA1465">
        <v>2</v>
      </c>
    </row>
    <row r="1466" spans="1:27" x14ac:dyDescent="0.2">
      <c r="A1466">
        <v>30</v>
      </c>
      <c r="B1466">
        <v>3</v>
      </c>
      <c r="C1466">
        <v>0.2</v>
      </c>
      <c r="D1466">
        <v>100</v>
      </c>
      <c r="E1466">
        <v>0.62899027908876903</v>
      </c>
      <c r="F1466">
        <v>3</v>
      </c>
      <c r="G1466">
        <v>26.925246759</v>
      </c>
      <c r="H1466">
        <v>0.46569771413178501</v>
      </c>
      <c r="I1466">
        <v>3</v>
      </c>
      <c r="J1466">
        <v>1.4556552599999999</v>
      </c>
      <c r="P1466"/>
      <c r="V1466">
        <v>0.46323028984578202</v>
      </c>
      <c r="W1466">
        <v>3</v>
      </c>
      <c r="X1466">
        <v>299225.10167241702</v>
      </c>
      <c r="Y1466">
        <v>1</v>
      </c>
      <c r="Z1466">
        <v>1.55637480309055</v>
      </c>
      <c r="AA1466">
        <v>50</v>
      </c>
    </row>
    <row r="1467" spans="1:27" x14ac:dyDescent="0.2">
      <c r="A1467">
        <v>30</v>
      </c>
      <c r="B1467">
        <v>3</v>
      </c>
      <c r="C1467">
        <v>0.1</v>
      </c>
      <c r="D1467">
        <v>100</v>
      </c>
      <c r="E1467">
        <v>1.0438712434720201</v>
      </c>
      <c r="F1467">
        <v>3</v>
      </c>
      <c r="G1467">
        <v>32.926202535000002</v>
      </c>
      <c r="H1467">
        <v>0.94679878892029401</v>
      </c>
      <c r="I1467">
        <v>3</v>
      </c>
      <c r="J1467">
        <v>1.639636769</v>
      </c>
      <c r="P1467"/>
      <c r="V1467">
        <v>0.94716451344596098</v>
      </c>
      <c r="W1467">
        <v>3</v>
      </c>
      <c r="X1467">
        <v>297114.07623937301</v>
      </c>
      <c r="Y1467">
        <v>3</v>
      </c>
      <c r="Z1467">
        <v>6.5820520298075197E-2</v>
      </c>
      <c r="AA1467">
        <v>50</v>
      </c>
    </row>
    <row r="1468" spans="1:27" x14ac:dyDescent="0.2">
      <c r="A1468">
        <v>30</v>
      </c>
      <c r="B1468">
        <v>3</v>
      </c>
      <c r="C1468">
        <v>0.3</v>
      </c>
      <c r="D1468">
        <v>100</v>
      </c>
      <c r="E1468">
        <v>0.35727795475753099</v>
      </c>
      <c r="F1468">
        <v>3</v>
      </c>
      <c r="G1468">
        <v>29.626198575</v>
      </c>
      <c r="H1468">
        <v>0.118668303206448</v>
      </c>
      <c r="I1468">
        <v>3</v>
      </c>
      <c r="J1468">
        <v>1.4233388199999999</v>
      </c>
      <c r="P1468"/>
      <c r="V1468">
        <v>0.113188732661037</v>
      </c>
      <c r="W1468">
        <v>3</v>
      </c>
      <c r="X1468">
        <v>302023.34326846898</v>
      </c>
      <c r="Y1468">
        <v>1</v>
      </c>
      <c r="Z1468">
        <v>4.0501993029392898</v>
      </c>
      <c r="AA1468">
        <v>50</v>
      </c>
    </row>
    <row r="1469" spans="1:27" x14ac:dyDescent="0.2">
      <c r="A1469">
        <v>30</v>
      </c>
      <c r="B1469">
        <v>3</v>
      </c>
      <c r="C1469">
        <v>0.3</v>
      </c>
      <c r="D1469">
        <v>100</v>
      </c>
      <c r="E1469">
        <v>0.238139074427103</v>
      </c>
      <c r="F1469">
        <v>3</v>
      </c>
      <c r="G1469">
        <v>33.779376434</v>
      </c>
      <c r="H1469">
        <v>7.2223311255149206E-2</v>
      </c>
      <c r="I1469">
        <v>3</v>
      </c>
      <c r="J1469">
        <v>1.2911107559999999</v>
      </c>
      <c r="P1469"/>
      <c r="V1469">
        <v>6.74615473581298E-2</v>
      </c>
      <c r="W1469">
        <v>3</v>
      </c>
      <c r="X1469">
        <v>303542.65082390502</v>
      </c>
      <c r="Y1469">
        <v>1</v>
      </c>
      <c r="Z1469">
        <v>2.8000747604764902</v>
      </c>
      <c r="AA1469">
        <v>50</v>
      </c>
    </row>
    <row r="1470" spans="1:27" x14ac:dyDescent="0.2">
      <c r="A1470">
        <v>30</v>
      </c>
      <c r="B1470">
        <v>3</v>
      </c>
      <c r="C1470">
        <v>0.2</v>
      </c>
      <c r="D1470">
        <v>100</v>
      </c>
      <c r="E1470">
        <v>0.54154581607244301</v>
      </c>
      <c r="F1470">
        <v>3</v>
      </c>
      <c r="G1470">
        <v>36.744231472000003</v>
      </c>
      <c r="H1470">
        <v>0.18670527953733099</v>
      </c>
      <c r="I1470">
        <v>3</v>
      </c>
      <c r="J1470">
        <v>1.8839775990000001</v>
      </c>
      <c r="P1470"/>
      <c r="V1470">
        <v>0.18263525498087599</v>
      </c>
      <c r="W1470">
        <v>3</v>
      </c>
      <c r="X1470">
        <v>303526.32874236902</v>
      </c>
      <c r="Y1470">
        <v>1</v>
      </c>
      <c r="Z1470">
        <v>1.85537163053068</v>
      </c>
      <c r="AA1470">
        <v>50</v>
      </c>
    </row>
    <row r="1471" spans="1:27" x14ac:dyDescent="0.2">
      <c r="A1471">
        <v>30</v>
      </c>
      <c r="B1471">
        <v>3</v>
      </c>
      <c r="C1471">
        <v>0.3</v>
      </c>
      <c r="D1471">
        <v>100</v>
      </c>
      <c r="E1471">
        <v>0.248676269825364</v>
      </c>
      <c r="F1471">
        <v>3</v>
      </c>
      <c r="G1471">
        <v>31.280079687000001</v>
      </c>
      <c r="H1471">
        <v>0.133188640955097</v>
      </c>
      <c r="I1471">
        <v>3</v>
      </c>
      <c r="J1471">
        <v>1.034118323</v>
      </c>
      <c r="P1471"/>
      <c r="V1471">
        <v>0.126440703178231</v>
      </c>
      <c r="W1471">
        <v>3</v>
      </c>
      <c r="X1471">
        <v>302957.52127889398</v>
      </c>
      <c r="Y1471">
        <v>1</v>
      </c>
      <c r="Z1471">
        <v>4.26922265058435</v>
      </c>
      <c r="AA1471">
        <v>50</v>
      </c>
    </row>
    <row r="1472" spans="1:27" x14ac:dyDescent="0.2">
      <c r="A1472">
        <v>30</v>
      </c>
      <c r="B1472">
        <v>3</v>
      </c>
      <c r="C1472">
        <v>0.1</v>
      </c>
      <c r="D1472">
        <v>100</v>
      </c>
      <c r="E1472">
        <v>1.1438085765784001</v>
      </c>
      <c r="F1472">
        <v>3</v>
      </c>
      <c r="G1472">
        <v>33.266354389</v>
      </c>
      <c r="H1472">
        <v>1.05678969757797</v>
      </c>
      <c r="I1472">
        <v>3</v>
      </c>
      <c r="J1472">
        <v>1.671412157</v>
      </c>
      <c r="P1472"/>
      <c r="V1472">
        <v>1.0576055275126499</v>
      </c>
      <c r="W1472">
        <v>3</v>
      </c>
      <c r="X1472">
        <v>305512.21046161902</v>
      </c>
      <c r="Y1472">
        <v>1</v>
      </c>
      <c r="Z1472">
        <v>0.100940188974419</v>
      </c>
      <c r="AA1472">
        <v>50</v>
      </c>
    </row>
    <row r="1473" spans="1:27" x14ac:dyDescent="0.2">
      <c r="A1473">
        <v>30</v>
      </c>
      <c r="B1473">
        <v>3</v>
      </c>
      <c r="C1473">
        <v>0.1</v>
      </c>
      <c r="D1473">
        <v>100</v>
      </c>
      <c r="E1473">
        <v>1.1818022232649601</v>
      </c>
      <c r="F1473">
        <v>3</v>
      </c>
      <c r="G1473">
        <v>27.035083024999999</v>
      </c>
      <c r="H1473">
        <v>0.96254094290311298</v>
      </c>
      <c r="I1473">
        <v>3</v>
      </c>
      <c r="J1473">
        <v>1.3877672050000001</v>
      </c>
      <c r="P1473"/>
      <c r="V1473">
        <v>0.96300790731655805</v>
      </c>
      <c r="W1473">
        <v>3</v>
      </c>
      <c r="X1473">
        <v>307533.74632602301</v>
      </c>
      <c r="Y1473">
        <v>1</v>
      </c>
      <c r="Z1473">
        <v>4.4955298531370903E-2</v>
      </c>
      <c r="AA1473">
        <v>50</v>
      </c>
    </row>
    <row r="1474" spans="1:27" x14ac:dyDescent="0.2">
      <c r="A1474">
        <v>30</v>
      </c>
      <c r="B1474">
        <v>3</v>
      </c>
      <c r="C1474">
        <v>0.1</v>
      </c>
      <c r="D1474">
        <v>100</v>
      </c>
      <c r="E1474">
        <v>1.0656477750350799</v>
      </c>
      <c r="F1474">
        <v>3</v>
      </c>
      <c r="G1474">
        <v>31.672997068000001</v>
      </c>
      <c r="H1474">
        <v>1.01498723944548</v>
      </c>
      <c r="I1474">
        <v>3</v>
      </c>
      <c r="J1474">
        <v>1.573218054</v>
      </c>
      <c r="P1474"/>
      <c r="V1474">
        <v>1.0155807293750501</v>
      </c>
      <c r="W1474">
        <v>3</v>
      </c>
      <c r="X1474">
        <v>304618.16110680299</v>
      </c>
      <c r="Y1474">
        <v>1</v>
      </c>
      <c r="Z1474">
        <v>0.127718566967814</v>
      </c>
      <c r="AA1474">
        <v>50</v>
      </c>
    </row>
    <row r="1475" spans="1:27" x14ac:dyDescent="0.2">
      <c r="A1475">
        <v>30</v>
      </c>
      <c r="B1475">
        <v>3</v>
      </c>
      <c r="C1475">
        <v>0.3</v>
      </c>
      <c r="D1475">
        <v>100</v>
      </c>
      <c r="E1475">
        <v>0.38094732794587599</v>
      </c>
      <c r="F1475">
        <v>3</v>
      </c>
      <c r="G1475">
        <v>32.023263909000001</v>
      </c>
      <c r="H1475">
        <v>0.22997098696232501</v>
      </c>
      <c r="I1475">
        <v>3</v>
      </c>
      <c r="J1475">
        <v>0.88581740399999997</v>
      </c>
      <c r="P1475"/>
      <c r="V1475">
        <v>0.22611476318425799</v>
      </c>
      <c r="W1475">
        <v>3</v>
      </c>
      <c r="X1475">
        <v>307740.585448372</v>
      </c>
      <c r="Y1475">
        <v>1</v>
      </c>
      <c r="Z1475">
        <v>3.6503811102575101</v>
      </c>
      <c r="AA1475">
        <v>50</v>
      </c>
    </row>
    <row r="1476" spans="1:27" x14ac:dyDescent="0.2">
      <c r="A1476">
        <v>30</v>
      </c>
      <c r="B1476">
        <v>3</v>
      </c>
      <c r="C1476">
        <v>0.2</v>
      </c>
      <c r="D1476">
        <v>100</v>
      </c>
      <c r="E1476">
        <v>0.80820520221091496</v>
      </c>
      <c r="F1476">
        <v>3</v>
      </c>
      <c r="G1476">
        <v>34.409267372000002</v>
      </c>
      <c r="H1476">
        <v>0.58133553154741202</v>
      </c>
      <c r="I1476">
        <v>3</v>
      </c>
      <c r="J1476">
        <v>1.7611989100000001</v>
      </c>
      <c r="P1476"/>
      <c r="V1476">
        <v>0.58057718475808295</v>
      </c>
      <c r="W1476">
        <v>3</v>
      </c>
      <c r="X1476">
        <v>306492.43771528098</v>
      </c>
      <c r="Y1476">
        <v>1</v>
      </c>
      <c r="Z1476">
        <v>1.30420567853226</v>
      </c>
      <c r="AA1476">
        <v>50</v>
      </c>
    </row>
    <row r="1477" spans="1:27" x14ac:dyDescent="0.2">
      <c r="A1477">
        <v>30</v>
      </c>
      <c r="B1477">
        <v>3</v>
      </c>
      <c r="C1477">
        <v>0.3</v>
      </c>
      <c r="D1477">
        <v>100</v>
      </c>
      <c r="E1477">
        <v>0.249493682168589</v>
      </c>
      <c r="F1477">
        <v>3</v>
      </c>
      <c r="G1477">
        <v>31.701515469</v>
      </c>
      <c r="H1477">
        <v>7.3605521580239294E-2</v>
      </c>
      <c r="I1477">
        <v>3</v>
      </c>
      <c r="J1477">
        <v>0.73436734599999998</v>
      </c>
      <c r="P1477"/>
      <c r="V1477">
        <v>6.7738132654008798E-2</v>
      </c>
      <c r="W1477">
        <v>3</v>
      </c>
      <c r="X1477">
        <v>305345.63188951701</v>
      </c>
      <c r="Y1477">
        <v>1</v>
      </c>
      <c r="Z1477">
        <v>2.3483008958899201</v>
      </c>
      <c r="AA1477">
        <v>50</v>
      </c>
    </row>
    <row r="1478" spans="1:27" x14ac:dyDescent="0.2">
      <c r="A1478">
        <v>30</v>
      </c>
      <c r="B1478">
        <v>3</v>
      </c>
      <c r="C1478">
        <v>0.2</v>
      </c>
      <c r="D1478">
        <v>100</v>
      </c>
      <c r="E1478">
        <v>0.61257312673072195</v>
      </c>
      <c r="F1478">
        <v>3</v>
      </c>
      <c r="G1478">
        <v>33.465962896999997</v>
      </c>
      <c r="H1478">
        <v>0.352741889095262</v>
      </c>
      <c r="I1478">
        <v>3</v>
      </c>
      <c r="J1478">
        <v>1.76194703</v>
      </c>
      <c r="P1478"/>
      <c r="V1478">
        <v>0.35051333337073398</v>
      </c>
      <c r="W1478">
        <v>3</v>
      </c>
      <c r="X1478">
        <v>305617.18162387802</v>
      </c>
      <c r="Y1478">
        <v>1</v>
      </c>
      <c r="Z1478">
        <v>1.7380172446130999</v>
      </c>
      <c r="AA1478">
        <v>50</v>
      </c>
    </row>
    <row r="1479" spans="1:27" x14ac:dyDescent="0.2">
      <c r="A1479">
        <v>30</v>
      </c>
      <c r="B1479">
        <v>3</v>
      </c>
      <c r="C1479">
        <v>0.1</v>
      </c>
      <c r="D1479">
        <v>100</v>
      </c>
      <c r="E1479">
        <v>1.00143253178937</v>
      </c>
      <c r="F1479">
        <v>3</v>
      </c>
      <c r="G1479">
        <v>25.412612018000001</v>
      </c>
      <c r="H1479">
        <v>0.96529206177698301</v>
      </c>
      <c r="I1479">
        <v>3</v>
      </c>
      <c r="J1479">
        <v>1.3013289189999999</v>
      </c>
      <c r="P1479"/>
      <c r="V1479">
        <v>0.96579267287973303</v>
      </c>
      <c r="W1479">
        <v>3</v>
      </c>
      <c r="X1479">
        <v>307557.29098135902</v>
      </c>
      <c r="Y1479">
        <v>14</v>
      </c>
      <c r="Z1479">
        <v>0.12954531150912199</v>
      </c>
      <c r="AA1479">
        <v>50</v>
      </c>
    </row>
    <row r="1480" spans="1:27" x14ac:dyDescent="0.2">
      <c r="A1480">
        <v>30</v>
      </c>
      <c r="B1480">
        <v>3</v>
      </c>
      <c r="C1480">
        <v>0.3</v>
      </c>
      <c r="D1480">
        <v>100</v>
      </c>
      <c r="E1480">
        <v>0.33278438327420001</v>
      </c>
      <c r="F1480">
        <v>3</v>
      </c>
      <c r="G1480">
        <v>36.724240561000002</v>
      </c>
      <c r="H1480">
        <v>0.17805952581717299</v>
      </c>
      <c r="I1480">
        <v>3</v>
      </c>
      <c r="J1480">
        <v>0.98633117599999998</v>
      </c>
      <c r="P1480"/>
      <c r="V1480">
        <v>0.176091130840548</v>
      </c>
      <c r="W1480">
        <v>3</v>
      </c>
      <c r="X1480">
        <v>307751.71918359998</v>
      </c>
      <c r="Y1480">
        <v>1</v>
      </c>
      <c r="Z1480">
        <v>2.5263503542482</v>
      </c>
      <c r="AA1480">
        <v>50</v>
      </c>
    </row>
    <row r="1481" spans="1:27" x14ac:dyDescent="0.2">
      <c r="A1481">
        <v>30</v>
      </c>
      <c r="B1481">
        <v>3</v>
      </c>
      <c r="C1481">
        <v>0.1</v>
      </c>
      <c r="D1481">
        <v>100</v>
      </c>
      <c r="E1481">
        <v>1.06917311408115</v>
      </c>
      <c r="F1481">
        <v>3</v>
      </c>
      <c r="G1481">
        <v>29.357763511000002</v>
      </c>
      <c r="H1481">
        <v>1.0623669548913499</v>
      </c>
      <c r="I1481">
        <v>3</v>
      </c>
      <c r="J1481">
        <v>1.5546327799999999</v>
      </c>
      <c r="P1481"/>
      <c r="V1481">
        <v>1.0627545629072099</v>
      </c>
      <c r="W1481">
        <v>3</v>
      </c>
      <c r="X1481">
        <v>307595.63350108103</v>
      </c>
      <c r="Y1481">
        <v>1</v>
      </c>
      <c r="Z1481">
        <v>7.7650152009497195E-2</v>
      </c>
      <c r="AA1481">
        <v>50</v>
      </c>
    </row>
    <row r="1482" spans="1:27" x14ac:dyDescent="0.2">
      <c r="A1482">
        <v>30</v>
      </c>
      <c r="B1482">
        <v>3</v>
      </c>
      <c r="C1482">
        <v>0.1</v>
      </c>
      <c r="D1482">
        <v>100</v>
      </c>
      <c r="E1482">
        <v>1.0200584125273899</v>
      </c>
      <c r="F1482">
        <v>3</v>
      </c>
      <c r="G1482">
        <v>33.353455707000002</v>
      </c>
      <c r="H1482">
        <v>0.998328575927242</v>
      </c>
      <c r="I1482">
        <v>3</v>
      </c>
      <c r="J1482">
        <v>1.645568666</v>
      </c>
      <c r="P1482"/>
      <c r="V1482">
        <v>0.99913339388301103</v>
      </c>
      <c r="W1482">
        <v>3</v>
      </c>
      <c r="X1482">
        <v>307619.24428776698</v>
      </c>
      <c r="Y1482">
        <v>1</v>
      </c>
      <c r="Z1482">
        <v>7.3010840199515897E-2</v>
      </c>
      <c r="AA1482">
        <v>50</v>
      </c>
    </row>
    <row r="1483" spans="1:27" x14ac:dyDescent="0.2">
      <c r="A1483">
        <v>30</v>
      </c>
      <c r="B1483">
        <v>3</v>
      </c>
      <c r="C1483">
        <v>0.2</v>
      </c>
      <c r="D1483">
        <v>100</v>
      </c>
      <c r="E1483">
        <v>0.66483116970804201</v>
      </c>
      <c r="F1483">
        <v>3</v>
      </c>
      <c r="G1483">
        <v>29.610776948000002</v>
      </c>
      <c r="H1483">
        <v>0.58689175104751501</v>
      </c>
      <c r="I1483">
        <v>3</v>
      </c>
      <c r="J1483">
        <v>1.640583063</v>
      </c>
      <c r="P1483"/>
      <c r="V1483">
        <v>0.58809686898860403</v>
      </c>
      <c r="W1483">
        <v>3</v>
      </c>
      <c r="X1483">
        <v>307692.230794681</v>
      </c>
      <c r="Y1483">
        <v>1</v>
      </c>
      <c r="Z1483">
        <v>1.01378749371143</v>
      </c>
      <c r="AA1483">
        <v>50</v>
      </c>
    </row>
    <row r="1484" spans="1:27" x14ac:dyDescent="0.2">
      <c r="A1484">
        <v>30</v>
      </c>
      <c r="B1484">
        <v>3</v>
      </c>
      <c r="C1484">
        <v>0.3</v>
      </c>
      <c r="D1484">
        <v>100</v>
      </c>
      <c r="E1484">
        <v>0.30582726396469301</v>
      </c>
      <c r="F1484">
        <v>3</v>
      </c>
      <c r="G1484">
        <v>30.320677804999999</v>
      </c>
      <c r="H1484">
        <v>6.9904936769084797E-2</v>
      </c>
      <c r="I1484">
        <v>3</v>
      </c>
      <c r="J1484">
        <v>0.99987044800000002</v>
      </c>
      <c r="P1484"/>
      <c r="V1484">
        <v>5.6733188415099702E-2</v>
      </c>
      <c r="W1484">
        <v>3</v>
      </c>
      <c r="X1484">
        <v>301723.27009322698</v>
      </c>
      <c r="Y1484">
        <v>1</v>
      </c>
      <c r="Z1484">
        <v>3.9402534828137399</v>
      </c>
      <c r="AA1484">
        <v>50</v>
      </c>
    </row>
    <row r="1485" spans="1:27" x14ac:dyDescent="0.2">
      <c r="A1485">
        <v>30</v>
      </c>
      <c r="B1485">
        <v>3</v>
      </c>
      <c r="C1485">
        <v>0.2</v>
      </c>
      <c r="D1485">
        <v>100</v>
      </c>
      <c r="E1485">
        <v>0.60518745171231203</v>
      </c>
      <c r="F1485">
        <v>3</v>
      </c>
      <c r="G1485">
        <v>33.687604972999999</v>
      </c>
      <c r="H1485">
        <v>0.43538129610578602</v>
      </c>
      <c r="I1485">
        <v>3</v>
      </c>
      <c r="J1485">
        <v>1.487122879</v>
      </c>
      <c r="P1485"/>
      <c r="V1485">
        <v>0.43311018208642599</v>
      </c>
      <c r="W1485">
        <v>3</v>
      </c>
      <c r="X1485">
        <v>307696.67797950603</v>
      </c>
      <c r="Y1485">
        <v>1</v>
      </c>
      <c r="Z1485">
        <v>1.38113161519689</v>
      </c>
      <c r="AA1485">
        <v>50</v>
      </c>
    </row>
    <row r="1486" spans="1:27" x14ac:dyDescent="0.2">
      <c r="A1486">
        <v>30</v>
      </c>
      <c r="B1486">
        <v>3</v>
      </c>
      <c r="C1486">
        <v>0.2</v>
      </c>
      <c r="D1486">
        <v>100</v>
      </c>
      <c r="E1486">
        <v>0.67124554850410301</v>
      </c>
      <c r="F1486">
        <v>3</v>
      </c>
      <c r="G1486">
        <v>33.616804608999999</v>
      </c>
      <c r="H1486">
        <v>0.497234497477686</v>
      </c>
      <c r="I1486">
        <v>3</v>
      </c>
      <c r="J1486">
        <v>1.741980922</v>
      </c>
      <c r="P1486"/>
      <c r="V1486">
        <v>0.49711817759716798</v>
      </c>
      <c r="W1486">
        <v>3</v>
      </c>
      <c r="X1486">
        <v>297197.06225383602</v>
      </c>
      <c r="Y1486">
        <v>1</v>
      </c>
      <c r="Z1486">
        <v>1.5115355254337799</v>
      </c>
      <c r="AA1486">
        <v>50</v>
      </c>
    </row>
    <row r="1487" spans="1:27" x14ac:dyDescent="0.2">
      <c r="A1487">
        <v>30</v>
      </c>
      <c r="B1487">
        <v>3</v>
      </c>
      <c r="C1487">
        <v>0.1</v>
      </c>
      <c r="D1487">
        <v>100</v>
      </c>
      <c r="E1487">
        <v>1.0218082643402</v>
      </c>
      <c r="F1487">
        <v>3</v>
      </c>
      <c r="G1487">
        <v>27.419926847999999</v>
      </c>
      <c r="H1487">
        <v>0.99504910096203603</v>
      </c>
      <c r="I1487">
        <v>3</v>
      </c>
      <c r="J1487">
        <v>1.3809595379999999</v>
      </c>
      <c r="P1487"/>
      <c r="V1487">
        <v>0.99561228337550001</v>
      </c>
      <c r="W1487">
        <v>3</v>
      </c>
      <c r="X1487">
        <v>307584.40712170198</v>
      </c>
      <c r="Y1487">
        <v>1</v>
      </c>
      <c r="Z1487">
        <v>7.9040211499235596E-2</v>
      </c>
      <c r="AA1487">
        <v>50</v>
      </c>
    </row>
    <row r="1488" spans="1:27" x14ac:dyDescent="0.2">
      <c r="A1488">
        <v>30</v>
      </c>
      <c r="B1488">
        <v>3</v>
      </c>
      <c r="C1488">
        <v>0.2</v>
      </c>
      <c r="D1488">
        <v>100</v>
      </c>
      <c r="E1488">
        <v>0.57089733427656097</v>
      </c>
      <c r="F1488">
        <v>3</v>
      </c>
      <c r="G1488">
        <v>33.699209834000001</v>
      </c>
      <c r="H1488">
        <v>0.45051606680773698</v>
      </c>
      <c r="I1488">
        <v>3</v>
      </c>
      <c r="J1488">
        <v>1.7467624079999999</v>
      </c>
      <c r="P1488"/>
      <c r="V1488">
        <v>0.45090893380117503</v>
      </c>
      <c r="W1488">
        <v>3</v>
      </c>
      <c r="X1488">
        <v>300497.680926956</v>
      </c>
      <c r="Y1488">
        <v>1</v>
      </c>
      <c r="Z1488">
        <v>1.3391825991839099</v>
      </c>
      <c r="AA1488">
        <v>50</v>
      </c>
    </row>
    <row r="1489" spans="1:27" x14ac:dyDescent="0.2">
      <c r="A1489">
        <v>30</v>
      </c>
      <c r="B1489">
        <v>3</v>
      </c>
      <c r="C1489">
        <v>0.2</v>
      </c>
      <c r="D1489">
        <v>100</v>
      </c>
      <c r="E1489">
        <v>0.73909122022081997</v>
      </c>
      <c r="F1489">
        <v>3</v>
      </c>
      <c r="G1489">
        <v>32.334634493000003</v>
      </c>
      <c r="H1489">
        <v>0.70803859193954899</v>
      </c>
      <c r="I1489">
        <v>3</v>
      </c>
      <c r="J1489">
        <v>1.6942612669999999</v>
      </c>
      <c r="P1489"/>
      <c r="V1489">
        <v>0.71211149621755099</v>
      </c>
      <c r="W1489">
        <v>3</v>
      </c>
      <c r="X1489">
        <v>302897.97184557799</v>
      </c>
      <c r="Y1489">
        <v>1</v>
      </c>
      <c r="Z1489">
        <v>1.3372710531123799</v>
      </c>
      <c r="AA1489">
        <v>50</v>
      </c>
    </row>
    <row r="1490" spans="1:27" x14ac:dyDescent="0.2">
      <c r="A1490">
        <v>30</v>
      </c>
      <c r="B1490">
        <v>3</v>
      </c>
      <c r="C1490">
        <v>0.3</v>
      </c>
      <c r="D1490">
        <v>100</v>
      </c>
      <c r="E1490">
        <v>0.30667503571779597</v>
      </c>
      <c r="F1490">
        <v>3</v>
      </c>
      <c r="G1490">
        <v>31.126553993000002</v>
      </c>
      <c r="H1490">
        <v>0.109287242714454</v>
      </c>
      <c r="I1490">
        <v>3</v>
      </c>
      <c r="J1490">
        <v>1.052396917</v>
      </c>
      <c r="P1490"/>
      <c r="V1490">
        <v>0.10221447810876701</v>
      </c>
      <c r="W1490">
        <v>3</v>
      </c>
      <c r="X1490">
        <v>304449.54415063799</v>
      </c>
      <c r="Y1490">
        <v>1</v>
      </c>
      <c r="Z1490">
        <v>2.8760016320789599</v>
      </c>
      <c r="AA1490">
        <v>50</v>
      </c>
    </row>
    <row r="1491" spans="1:27" x14ac:dyDescent="0.2">
      <c r="A1491">
        <v>30</v>
      </c>
      <c r="B1491">
        <v>3</v>
      </c>
      <c r="C1491">
        <v>0.3</v>
      </c>
      <c r="D1491">
        <v>100</v>
      </c>
      <c r="E1491">
        <v>0.285340287612809</v>
      </c>
      <c r="F1491">
        <v>3</v>
      </c>
      <c r="G1491">
        <v>29.675822460999999</v>
      </c>
      <c r="H1491">
        <v>6.3672038391859906E-2</v>
      </c>
      <c r="I1491">
        <v>3</v>
      </c>
      <c r="J1491">
        <v>1.0359853450000001</v>
      </c>
      <c r="P1491"/>
      <c r="V1491">
        <v>5.6685145141029E-2</v>
      </c>
      <c r="W1491">
        <v>3</v>
      </c>
      <c r="X1491">
        <v>303235.58368540299</v>
      </c>
      <c r="Y1491">
        <v>1</v>
      </c>
      <c r="Z1491">
        <v>3.4951008748249599</v>
      </c>
      <c r="AA1491">
        <v>50</v>
      </c>
    </row>
    <row r="1492" spans="1:27" x14ac:dyDescent="0.2">
      <c r="A1492">
        <v>30</v>
      </c>
      <c r="B1492">
        <v>3</v>
      </c>
      <c r="C1492">
        <v>0.1</v>
      </c>
      <c r="D1492">
        <v>100</v>
      </c>
      <c r="E1492">
        <v>0.97152343311945</v>
      </c>
      <c r="F1492">
        <v>3</v>
      </c>
      <c r="G1492">
        <v>25.609023218000001</v>
      </c>
      <c r="H1492">
        <v>0.92114220857354301</v>
      </c>
      <c r="I1492">
        <v>3</v>
      </c>
      <c r="J1492">
        <v>1.3512808009999999</v>
      </c>
      <c r="P1492"/>
      <c r="V1492">
        <v>0.92157887942382899</v>
      </c>
      <c r="W1492">
        <v>3</v>
      </c>
      <c r="X1492">
        <v>306386.14582136902</v>
      </c>
      <c r="Y1492">
        <v>1</v>
      </c>
      <c r="Z1492">
        <v>3.0405628736839899E-2</v>
      </c>
      <c r="AA1492">
        <v>50</v>
      </c>
    </row>
    <row r="1493" spans="1:27" x14ac:dyDescent="0.2">
      <c r="A1493">
        <v>30</v>
      </c>
      <c r="B1493">
        <v>3</v>
      </c>
      <c r="C1493">
        <v>0.3</v>
      </c>
      <c r="D1493">
        <v>100</v>
      </c>
      <c r="E1493">
        <v>0.31285511758512802</v>
      </c>
      <c r="F1493">
        <v>3</v>
      </c>
      <c r="G1493">
        <v>32.039353630999997</v>
      </c>
      <c r="H1493">
        <v>9.4184015292390205E-2</v>
      </c>
      <c r="I1493">
        <v>3</v>
      </c>
      <c r="J1493">
        <v>1.0976360869999999</v>
      </c>
      <c r="P1493"/>
      <c r="V1493">
        <v>8.95807215120039E-2</v>
      </c>
      <c r="W1493">
        <v>3</v>
      </c>
      <c r="X1493">
        <v>305037.05791718001</v>
      </c>
      <c r="Y1493">
        <v>1</v>
      </c>
      <c r="Z1493">
        <v>2.47589285287766</v>
      </c>
      <c r="AA1493">
        <v>50</v>
      </c>
    </row>
    <row r="1494" spans="1:27" x14ac:dyDescent="0.2">
      <c r="A1494">
        <v>30</v>
      </c>
      <c r="B1494">
        <v>3</v>
      </c>
      <c r="C1494">
        <v>0.2</v>
      </c>
      <c r="D1494">
        <v>100</v>
      </c>
      <c r="E1494">
        <v>0.58822398434899603</v>
      </c>
      <c r="F1494">
        <v>3</v>
      </c>
      <c r="G1494">
        <v>39.44365088</v>
      </c>
      <c r="H1494">
        <v>0.36523290957605897</v>
      </c>
      <c r="I1494">
        <v>3</v>
      </c>
      <c r="J1494">
        <v>1.974754412</v>
      </c>
      <c r="P1494"/>
      <c r="V1494">
        <v>0.36016087444567102</v>
      </c>
      <c r="W1494">
        <v>3</v>
      </c>
      <c r="X1494">
        <v>295132.61078068701</v>
      </c>
      <c r="Y1494">
        <v>1</v>
      </c>
      <c r="Z1494">
        <v>1.1337556203869801</v>
      </c>
      <c r="AA1494">
        <v>50</v>
      </c>
    </row>
    <row r="1495" spans="1:27" x14ac:dyDescent="0.2">
      <c r="A1495">
        <v>30</v>
      </c>
      <c r="B1495">
        <v>3</v>
      </c>
      <c r="C1495">
        <v>0.3</v>
      </c>
      <c r="D1495">
        <v>100</v>
      </c>
      <c r="E1495">
        <v>0.24842349849599499</v>
      </c>
      <c r="F1495">
        <v>3</v>
      </c>
      <c r="G1495">
        <v>33.624263313999997</v>
      </c>
      <c r="H1495">
        <v>9.0290093201452898E-2</v>
      </c>
      <c r="I1495">
        <v>3</v>
      </c>
      <c r="J1495">
        <v>1.080718979</v>
      </c>
      <c r="P1495"/>
      <c r="V1495">
        <v>8.3033329583158497E-2</v>
      </c>
      <c r="W1495">
        <v>3</v>
      </c>
      <c r="X1495">
        <v>302943.83304555702</v>
      </c>
      <c r="Y1495">
        <v>1</v>
      </c>
      <c r="Z1495">
        <v>3.2107893392053</v>
      </c>
      <c r="AA1495">
        <v>50</v>
      </c>
    </row>
    <row r="1496" spans="1:27" x14ac:dyDescent="0.2">
      <c r="A1496">
        <v>30</v>
      </c>
      <c r="B1496">
        <v>3</v>
      </c>
      <c r="C1496">
        <v>0.2</v>
      </c>
      <c r="D1496">
        <v>100</v>
      </c>
      <c r="E1496">
        <v>0.80803145189476799</v>
      </c>
      <c r="F1496">
        <v>3</v>
      </c>
      <c r="G1496">
        <v>33.808356291000003</v>
      </c>
      <c r="H1496">
        <v>0.72668658585509005</v>
      </c>
      <c r="I1496">
        <v>3</v>
      </c>
      <c r="J1496">
        <v>1.7518781139999999</v>
      </c>
      <c r="P1496"/>
      <c r="V1496">
        <v>0.72907448789035401</v>
      </c>
      <c r="W1496">
        <v>3</v>
      </c>
      <c r="X1496">
        <v>305290.48902318301</v>
      </c>
      <c r="Y1496">
        <v>1</v>
      </c>
      <c r="Z1496">
        <v>1.5080007373380699</v>
      </c>
      <c r="AA1496">
        <v>50</v>
      </c>
    </row>
    <row r="1497" spans="1:27" x14ac:dyDescent="0.2">
      <c r="A1497">
        <v>30</v>
      </c>
      <c r="B1497">
        <v>3</v>
      </c>
      <c r="C1497">
        <v>0.3</v>
      </c>
      <c r="D1497">
        <v>100</v>
      </c>
      <c r="E1497">
        <v>0.32271148923480297</v>
      </c>
      <c r="F1497">
        <v>3</v>
      </c>
      <c r="G1497">
        <v>32.798690299</v>
      </c>
      <c r="H1497">
        <v>0.130619226003964</v>
      </c>
      <c r="I1497">
        <v>3</v>
      </c>
      <c r="J1497">
        <v>1.675684642</v>
      </c>
      <c r="P1497"/>
      <c r="V1497">
        <v>0.117942467758913</v>
      </c>
      <c r="W1497">
        <v>3</v>
      </c>
      <c r="X1497">
        <v>303244.66514844599</v>
      </c>
      <c r="Y1497">
        <v>1</v>
      </c>
      <c r="Z1497">
        <v>3.7839535615253501</v>
      </c>
      <c r="AA1497">
        <v>50</v>
      </c>
    </row>
    <row r="1498" spans="1:27" x14ac:dyDescent="0.2">
      <c r="A1498">
        <v>30</v>
      </c>
      <c r="B1498">
        <v>3</v>
      </c>
      <c r="C1498">
        <v>0.2</v>
      </c>
      <c r="D1498">
        <v>100</v>
      </c>
      <c r="E1498">
        <v>0.65033139727447897</v>
      </c>
      <c r="F1498">
        <v>3</v>
      </c>
      <c r="G1498">
        <v>31.705896548999998</v>
      </c>
      <c r="H1498">
        <v>0.347480644068973</v>
      </c>
      <c r="I1498">
        <v>3</v>
      </c>
      <c r="J1498">
        <v>1.7263003770000001</v>
      </c>
      <c r="P1498"/>
      <c r="V1498">
        <v>0.34422321251328603</v>
      </c>
      <c r="W1498">
        <v>3</v>
      </c>
      <c r="X1498">
        <v>302886.28077772498</v>
      </c>
      <c r="Y1498">
        <v>1</v>
      </c>
      <c r="Z1498">
        <v>1.67223740890809</v>
      </c>
      <c r="AA1498">
        <v>50</v>
      </c>
    </row>
    <row r="1499" spans="1:27" x14ac:dyDescent="0.2">
      <c r="A1499">
        <v>30</v>
      </c>
      <c r="B1499">
        <v>3</v>
      </c>
      <c r="C1499">
        <v>0.1</v>
      </c>
      <c r="D1499">
        <v>100</v>
      </c>
      <c r="E1499">
        <v>1.01073132057879</v>
      </c>
      <c r="F1499">
        <v>3</v>
      </c>
      <c r="G1499">
        <v>31.900498450000001</v>
      </c>
      <c r="H1499">
        <v>0.93661444120302295</v>
      </c>
      <c r="I1499">
        <v>3</v>
      </c>
      <c r="J1499">
        <v>1.656041168</v>
      </c>
      <c r="P1499"/>
      <c r="V1499">
        <v>0.93740383446973796</v>
      </c>
      <c r="W1499">
        <v>3</v>
      </c>
      <c r="X1499">
        <v>307009.84884977899</v>
      </c>
      <c r="Y1499">
        <v>1</v>
      </c>
      <c r="Z1499">
        <v>5.1852076260658297E-2</v>
      </c>
      <c r="AA1499">
        <v>50</v>
      </c>
    </row>
    <row r="1500" spans="1:27" x14ac:dyDescent="0.2">
      <c r="A1500">
        <v>30</v>
      </c>
      <c r="B1500">
        <v>3</v>
      </c>
      <c r="C1500">
        <v>0.3</v>
      </c>
      <c r="D1500">
        <v>100</v>
      </c>
      <c r="E1500">
        <v>0.20926471209470701</v>
      </c>
      <c r="F1500">
        <v>3</v>
      </c>
      <c r="G1500">
        <v>32.209805041999999</v>
      </c>
      <c r="H1500">
        <v>5.0219081577385603E-2</v>
      </c>
      <c r="I1500">
        <v>3</v>
      </c>
      <c r="J1500">
        <v>0.89216632100000004</v>
      </c>
      <c r="P1500"/>
      <c r="V1500">
        <v>4.5757073887208399E-2</v>
      </c>
      <c r="W1500">
        <v>3</v>
      </c>
      <c r="X1500">
        <v>304746.73805112398</v>
      </c>
      <c r="Y1500">
        <v>1</v>
      </c>
      <c r="Z1500">
        <v>2.2054706666406001</v>
      </c>
      <c r="AA1500">
        <v>50</v>
      </c>
    </row>
    <row r="1501" spans="1:27" x14ac:dyDescent="0.2">
      <c r="A1501">
        <v>30</v>
      </c>
      <c r="B1501">
        <v>2</v>
      </c>
      <c r="C1501">
        <v>0.2</v>
      </c>
      <c r="D1501">
        <v>20</v>
      </c>
      <c r="E1501">
        <v>0.38857155921856701</v>
      </c>
      <c r="F1501">
        <v>2</v>
      </c>
      <c r="G1501">
        <v>34.715762480999999</v>
      </c>
      <c r="H1501">
        <v>0.261447612250093</v>
      </c>
      <c r="I1501">
        <v>2</v>
      </c>
      <c r="J1501">
        <v>0.67957909599999999</v>
      </c>
      <c r="P1501"/>
      <c r="V1501">
        <v>0.24993451397366501</v>
      </c>
      <c r="W1501">
        <v>2</v>
      </c>
      <c r="X1501">
        <v>294553.95262612001</v>
      </c>
      <c r="Y1501">
        <v>15</v>
      </c>
      <c r="Z1501">
        <v>3.0141633921168798</v>
      </c>
      <c r="AA1501">
        <v>50</v>
      </c>
    </row>
    <row r="1502" spans="1:27" x14ac:dyDescent="0.2">
      <c r="A1502">
        <v>30</v>
      </c>
      <c r="B1502">
        <v>2</v>
      </c>
      <c r="C1502">
        <v>0.2</v>
      </c>
      <c r="D1502">
        <v>20</v>
      </c>
      <c r="E1502">
        <v>0.48092716573998301</v>
      </c>
      <c r="F1502">
        <v>2</v>
      </c>
      <c r="G1502">
        <v>35.394285601999997</v>
      </c>
      <c r="H1502">
        <v>0.422842961234564</v>
      </c>
      <c r="I1502">
        <v>2</v>
      </c>
      <c r="J1502">
        <v>0.45875908399999998</v>
      </c>
      <c r="P1502"/>
      <c r="V1502">
        <v>0.38802243148902699</v>
      </c>
      <c r="W1502">
        <v>2</v>
      </c>
      <c r="X1502">
        <v>296900.669981474</v>
      </c>
      <c r="Y1502">
        <v>7</v>
      </c>
      <c r="Z1502">
        <v>2.2768826713219301</v>
      </c>
      <c r="AA1502">
        <v>50</v>
      </c>
    </row>
    <row r="1503" spans="1:27" x14ac:dyDescent="0.2">
      <c r="A1503">
        <v>30</v>
      </c>
      <c r="B1503">
        <v>2</v>
      </c>
      <c r="C1503">
        <v>0.3</v>
      </c>
      <c r="D1503">
        <v>20</v>
      </c>
      <c r="E1503">
        <v>0.118618819568364</v>
      </c>
      <c r="F1503">
        <v>2</v>
      </c>
      <c r="G1503">
        <v>34.089963795999999</v>
      </c>
      <c r="H1503">
        <v>0.126029435064412</v>
      </c>
      <c r="I1503">
        <v>2</v>
      </c>
      <c r="J1503">
        <v>0.333906235</v>
      </c>
      <c r="P1503"/>
      <c r="V1503">
        <v>0.11135150418381901</v>
      </c>
      <c r="W1503">
        <v>2</v>
      </c>
      <c r="X1503">
        <v>298386.85521215899</v>
      </c>
      <c r="Y1503">
        <v>1</v>
      </c>
      <c r="Z1503">
        <v>6.6453830565643397</v>
      </c>
      <c r="AA1503">
        <v>50</v>
      </c>
    </row>
    <row r="1504" spans="1:27" x14ac:dyDescent="0.2">
      <c r="A1504">
        <v>30</v>
      </c>
      <c r="B1504">
        <v>2</v>
      </c>
      <c r="C1504">
        <v>0.2</v>
      </c>
      <c r="D1504">
        <v>20</v>
      </c>
      <c r="E1504">
        <v>0.47196036817285902</v>
      </c>
      <c r="F1504">
        <v>2</v>
      </c>
      <c r="G1504">
        <v>34.557301813000002</v>
      </c>
      <c r="H1504">
        <v>0.29327087524319501</v>
      </c>
      <c r="I1504">
        <v>2</v>
      </c>
      <c r="J1504">
        <v>0.72217224099999999</v>
      </c>
      <c r="P1504"/>
      <c r="V1504">
        <v>0.278652454618529</v>
      </c>
      <c r="W1504">
        <v>2</v>
      </c>
      <c r="X1504">
        <v>299002.84369695501</v>
      </c>
      <c r="Y1504">
        <v>11</v>
      </c>
      <c r="Z1504">
        <v>2.10692456527386</v>
      </c>
      <c r="AA1504">
        <v>50</v>
      </c>
    </row>
    <row r="1505" spans="1:27" x14ac:dyDescent="0.2">
      <c r="A1505">
        <v>30</v>
      </c>
      <c r="B1505">
        <v>2</v>
      </c>
      <c r="C1505">
        <v>0.3</v>
      </c>
      <c r="D1505">
        <v>20</v>
      </c>
      <c r="E1505">
        <v>0.147798812395246</v>
      </c>
      <c r="F1505">
        <v>2</v>
      </c>
      <c r="G1505">
        <v>28.610043596000001</v>
      </c>
      <c r="H1505">
        <v>0.152810993404523</v>
      </c>
      <c r="I1505">
        <v>2</v>
      </c>
      <c r="J1505">
        <v>0.32284160200000001</v>
      </c>
      <c r="P1505"/>
      <c r="V1505">
        <v>0.13069897528916599</v>
      </c>
      <c r="W1505">
        <v>2</v>
      </c>
      <c r="X1505">
        <v>299622.677455845</v>
      </c>
      <c r="Y1505">
        <v>3</v>
      </c>
      <c r="Z1505">
        <v>2.6462355638979802</v>
      </c>
      <c r="AA1505">
        <v>50</v>
      </c>
    </row>
    <row r="1506" spans="1:27" x14ac:dyDescent="0.2">
      <c r="A1506">
        <v>30</v>
      </c>
      <c r="B1506">
        <v>2</v>
      </c>
      <c r="C1506">
        <v>0.3</v>
      </c>
      <c r="D1506">
        <v>20</v>
      </c>
      <c r="E1506">
        <v>0.23496564115937699</v>
      </c>
      <c r="F1506">
        <v>2</v>
      </c>
      <c r="G1506">
        <v>32.702374816000003</v>
      </c>
      <c r="H1506">
        <v>0.200922459572142</v>
      </c>
      <c r="I1506">
        <v>2</v>
      </c>
      <c r="J1506">
        <v>0.31864880699999998</v>
      </c>
      <c r="P1506"/>
      <c r="V1506">
        <v>0.185218351476476</v>
      </c>
      <c r="W1506">
        <v>2</v>
      </c>
      <c r="X1506">
        <v>299682.87253624201</v>
      </c>
      <c r="Y1506">
        <v>1</v>
      </c>
      <c r="Z1506">
        <v>4.9114420555323601</v>
      </c>
      <c r="AA1506">
        <v>50</v>
      </c>
    </row>
    <row r="1507" spans="1:27" x14ac:dyDescent="0.2">
      <c r="A1507">
        <v>30</v>
      </c>
      <c r="B1507">
        <v>2</v>
      </c>
      <c r="C1507">
        <v>0.2</v>
      </c>
      <c r="D1507">
        <v>20</v>
      </c>
      <c r="E1507">
        <v>0.22723775514486499</v>
      </c>
      <c r="F1507">
        <v>2</v>
      </c>
      <c r="G1507">
        <v>32.931634893000002</v>
      </c>
      <c r="H1507">
        <v>0.17519113445823101</v>
      </c>
      <c r="I1507">
        <v>2</v>
      </c>
      <c r="J1507">
        <v>0.38089983500000002</v>
      </c>
      <c r="P1507"/>
      <c r="V1507">
        <v>0.155386503897471</v>
      </c>
      <c r="W1507">
        <v>2</v>
      </c>
      <c r="X1507">
        <v>299462.26908274501</v>
      </c>
      <c r="Y1507">
        <v>1</v>
      </c>
      <c r="Z1507">
        <v>3.4593687815209102</v>
      </c>
      <c r="AA1507">
        <v>50</v>
      </c>
    </row>
    <row r="1508" spans="1:27" x14ac:dyDescent="0.2">
      <c r="A1508">
        <v>30</v>
      </c>
      <c r="B1508">
        <v>2</v>
      </c>
      <c r="C1508">
        <v>0.2</v>
      </c>
      <c r="D1508">
        <v>20</v>
      </c>
      <c r="E1508">
        <v>0.34438062033528699</v>
      </c>
      <c r="F1508">
        <v>2</v>
      </c>
      <c r="G1508">
        <v>33.407233015999999</v>
      </c>
      <c r="H1508">
        <v>0.26175467738271402</v>
      </c>
      <c r="I1508">
        <v>2</v>
      </c>
      <c r="J1508">
        <v>0.52128339800000001</v>
      </c>
      <c r="P1508"/>
      <c r="V1508">
        <v>0.24338155446832299</v>
      </c>
      <c r="W1508">
        <v>2</v>
      </c>
      <c r="X1508">
        <v>300174.88889352803</v>
      </c>
      <c r="Y1508">
        <v>7</v>
      </c>
      <c r="Z1508">
        <v>2.5147557004899102</v>
      </c>
      <c r="AA1508">
        <v>50</v>
      </c>
    </row>
    <row r="1509" spans="1:27" x14ac:dyDescent="0.2">
      <c r="A1509">
        <v>30</v>
      </c>
      <c r="B1509">
        <v>2</v>
      </c>
      <c r="C1509">
        <v>0.2</v>
      </c>
      <c r="D1509">
        <v>20</v>
      </c>
      <c r="E1509">
        <v>0.25834781355262298</v>
      </c>
      <c r="F1509">
        <v>2</v>
      </c>
      <c r="G1509">
        <v>32.719314871000002</v>
      </c>
      <c r="H1509">
        <v>0.21053122200976901</v>
      </c>
      <c r="I1509">
        <v>2</v>
      </c>
      <c r="J1509">
        <v>0.66636801899999998</v>
      </c>
      <c r="P1509"/>
      <c r="V1509">
        <v>0.18588471745190399</v>
      </c>
      <c r="W1509">
        <v>2</v>
      </c>
      <c r="X1509">
        <v>299718.33823539299</v>
      </c>
      <c r="Y1509">
        <v>4</v>
      </c>
      <c r="Z1509">
        <v>5.1198259715148504</v>
      </c>
      <c r="AA1509">
        <v>50</v>
      </c>
    </row>
    <row r="1510" spans="1:27" x14ac:dyDescent="0.2">
      <c r="A1510">
        <v>30</v>
      </c>
      <c r="B1510">
        <v>2</v>
      </c>
      <c r="C1510">
        <v>0.2</v>
      </c>
      <c r="D1510">
        <v>20</v>
      </c>
      <c r="E1510">
        <v>0.47775308825322299</v>
      </c>
      <c r="F1510">
        <v>2</v>
      </c>
      <c r="G1510">
        <v>35.361971558999997</v>
      </c>
      <c r="H1510">
        <v>0.39459930750833899</v>
      </c>
      <c r="I1510">
        <v>2</v>
      </c>
      <c r="J1510">
        <v>0.42005418300000003</v>
      </c>
      <c r="P1510"/>
      <c r="V1510">
        <v>0.37794000273596001</v>
      </c>
      <c r="W1510">
        <v>2</v>
      </c>
      <c r="X1510">
        <v>300497.841093625</v>
      </c>
      <c r="Y1510">
        <v>15</v>
      </c>
      <c r="Z1510">
        <v>2.3368585691475698</v>
      </c>
      <c r="AA1510">
        <v>50</v>
      </c>
    </row>
    <row r="1511" spans="1:27" x14ac:dyDescent="0.2">
      <c r="A1511">
        <v>30</v>
      </c>
      <c r="B1511">
        <v>2</v>
      </c>
      <c r="C1511">
        <v>0.1</v>
      </c>
      <c r="D1511">
        <v>20</v>
      </c>
      <c r="E1511">
        <v>1.1225521665869</v>
      </c>
      <c r="F1511">
        <v>2</v>
      </c>
      <c r="G1511">
        <v>34.202509909</v>
      </c>
      <c r="H1511">
        <v>0.89605217355391598</v>
      </c>
      <c r="I1511">
        <v>2</v>
      </c>
      <c r="J1511">
        <v>1.1718463029999999</v>
      </c>
      <c r="P1511"/>
      <c r="V1511">
        <v>0.89862417215508394</v>
      </c>
      <c r="W1511">
        <v>2</v>
      </c>
      <c r="X1511">
        <v>301360.95874625602</v>
      </c>
      <c r="Y1511">
        <v>4</v>
      </c>
      <c r="Z1511">
        <v>0.33511060760429201</v>
      </c>
      <c r="AA1511">
        <v>50</v>
      </c>
    </row>
    <row r="1512" spans="1:27" x14ac:dyDescent="0.2">
      <c r="A1512">
        <v>30</v>
      </c>
      <c r="B1512">
        <v>2</v>
      </c>
      <c r="C1512">
        <v>0.3</v>
      </c>
      <c r="D1512">
        <v>20</v>
      </c>
      <c r="E1512">
        <v>0.117974176850923</v>
      </c>
      <c r="F1512">
        <v>2</v>
      </c>
      <c r="G1512">
        <v>35.908790498999998</v>
      </c>
      <c r="H1512">
        <v>0.12754197846609899</v>
      </c>
      <c r="I1512">
        <v>2</v>
      </c>
      <c r="J1512">
        <v>0.303522134</v>
      </c>
      <c r="P1512"/>
      <c r="V1512">
        <v>9.8252077276894195E-2</v>
      </c>
      <c r="W1512">
        <v>2</v>
      </c>
      <c r="X1512">
        <v>301368.416481013</v>
      </c>
      <c r="Y1512">
        <v>3</v>
      </c>
      <c r="Z1512">
        <v>5.6813510709944204</v>
      </c>
      <c r="AA1512">
        <v>50</v>
      </c>
    </row>
    <row r="1513" spans="1:27" x14ac:dyDescent="0.2">
      <c r="A1513">
        <v>30</v>
      </c>
      <c r="B1513">
        <v>2</v>
      </c>
      <c r="C1513">
        <v>0.3</v>
      </c>
      <c r="D1513">
        <v>20</v>
      </c>
      <c r="E1513">
        <v>0.126802251253186</v>
      </c>
      <c r="F1513">
        <v>2</v>
      </c>
      <c r="G1513">
        <v>34.475842628999999</v>
      </c>
      <c r="H1513">
        <v>0.121678912013183</v>
      </c>
      <c r="I1513">
        <v>2</v>
      </c>
      <c r="J1513">
        <v>0.15779990099999999</v>
      </c>
      <c r="P1513"/>
      <c r="V1513">
        <v>0.102106357937074</v>
      </c>
      <c r="W1513">
        <v>2</v>
      </c>
      <c r="X1513">
        <v>301147.43869005499</v>
      </c>
      <c r="Y1513">
        <v>1</v>
      </c>
      <c r="Z1513">
        <v>3.9914715371238101</v>
      </c>
      <c r="AA1513">
        <v>50</v>
      </c>
    </row>
    <row r="1514" spans="1:27" x14ac:dyDescent="0.2">
      <c r="A1514">
        <v>30</v>
      </c>
      <c r="B1514">
        <v>2</v>
      </c>
      <c r="C1514">
        <v>0.1</v>
      </c>
      <c r="D1514">
        <v>20</v>
      </c>
      <c r="E1514">
        <v>1.0444685194315499</v>
      </c>
      <c r="F1514">
        <v>2</v>
      </c>
      <c r="G1514">
        <v>25.767543917000001</v>
      </c>
      <c r="H1514">
        <v>1.0594359535192901</v>
      </c>
      <c r="I1514">
        <v>2</v>
      </c>
      <c r="J1514">
        <v>0.93257100400000004</v>
      </c>
      <c r="P1514"/>
      <c r="V1514">
        <v>1.06717686575564</v>
      </c>
      <c r="W1514">
        <v>2</v>
      </c>
      <c r="X1514">
        <v>301623.373040871</v>
      </c>
      <c r="Y1514">
        <v>107</v>
      </c>
      <c r="Z1514">
        <v>0.43411429344996499</v>
      </c>
      <c r="AA1514">
        <v>50</v>
      </c>
    </row>
    <row r="1515" spans="1:27" x14ac:dyDescent="0.2">
      <c r="A1515">
        <v>30</v>
      </c>
      <c r="B1515">
        <v>2</v>
      </c>
      <c r="C1515">
        <v>0.3</v>
      </c>
      <c r="D1515">
        <v>20</v>
      </c>
      <c r="E1515">
        <v>0.11872413198617</v>
      </c>
      <c r="F1515">
        <v>2</v>
      </c>
      <c r="G1515">
        <v>34.613378136999998</v>
      </c>
      <c r="H1515">
        <v>0.130282153201601</v>
      </c>
      <c r="I1515">
        <v>2</v>
      </c>
      <c r="J1515">
        <v>0.31101226300000001</v>
      </c>
      <c r="P1515"/>
      <c r="V1515">
        <v>0.1145370328705</v>
      </c>
      <c r="W1515">
        <v>2</v>
      </c>
      <c r="X1515">
        <v>301664.29043271497</v>
      </c>
      <c r="Y1515">
        <v>1</v>
      </c>
      <c r="Z1515">
        <v>5.0628566028037501</v>
      </c>
      <c r="AA1515">
        <v>50</v>
      </c>
    </row>
    <row r="1516" spans="1:27" x14ac:dyDescent="0.2">
      <c r="A1516">
        <v>30</v>
      </c>
      <c r="B1516">
        <v>2</v>
      </c>
      <c r="C1516">
        <v>0.3</v>
      </c>
      <c r="D1516">
        <v>20</v>
      </c>
      <c r="E1516">
        <v>0.24292279970428099</v>
      </c>
      <c r="F1516">
        <v>2</v>
      </c>
      <c r="G1516">
        <v>33.380201929999998</v>
      </c>
      <c r="H1516">
        <v>0.255084527498876</v>
      </c>
      <c r="I1516">
        <v>2</v>
      </c>
      <c r="J1516">
        <v>0.33543703600000002</v>
      </c>
      <c r="P1516"/>
      <c r="V1516">
        <v>0.203669868163003</v>
      </c>
      <c r="W1516">
        <v>2</v>
      </c>
      <c r="X1516">
        <v>302181.03573292802</v>
      </c>
      <c r="Y1516">
        <v>1</v>
      </c>
      <c r="Z1516">
        <v>8.1923011940289001</v>
      </c>
      <c r="AA1516">
        <v>50</v>
      </c>
    </row>
    <row r="1517" spans="1:27" x14ac:dyDescent="0.2">
      <c r="A1517">
        <v>30</v>
      </c>
      <c r="B1517">
        <v>2</v>
      </c>
      <c r="C1517">
        <v>0.3</v>
      </c>
      <c r="D1517">
        <v>20</v>
      </c>
      <c r="E1517">
        <v>0.23813773565445501</v>
      </c>
      <c r="F1517">
        <v>2</v>
      </c>
      <c r="G1517">
        <v>34.823373142000001</v>
      </c>
      <c r="H1517">
        <v>0.169433037253957</v>
      </c>
      <c r="I1517">
        <v>2</v>
      </c>
      <c r="J1517">
        <v>0.37551173199999999</v>
      </c>
      <c r="P1517"/>
      <c r="V1517">
        <v>0.146305365755341</v>
      </c>
      <c r="W1517">
        <v>2</v>
      </c>
      <c r="X1517">
        <v>302866.073021141</v>
      </c>
      <c r="Y1517">
        <v>1</v>
      </c>
      <c r="Z1517">
        <v>4.9741214226902599</v>
      </c>
      <c r="AA1517">
        <v>50</v>
      </c>
    </row>
    <row r="1518" spans="1:27" x14ac:dyDescent="0.2">
      <c r="A1518">
        <v>30</v>
      </c>
      <c r="B1518">
        <v>2</v>
      </c>
      <c r="C1518">
        <v>0.3</v>
      </c>
      <c r="D1518">
        <v>20</v>
      </c>
      <c r="E1518">
        <v>0.29675672332541703</v>
      </c>
      <c r="F1518">
        <v>2</v>
      </c>
      <c r="G1518">
        <v>32.800891743000001</v>
      </c>
      <c r="H1518">
        <v>0.135760677394099</v>
      </c>
      <c r="I1518">
        <v>2</v>
      </c>
      <c r="J1518">
        <v>0.39965946800000002</v>
      </c>
      <c r="P1518"/>
      <c r="V1518">
        <v>0.10632082535594201</v>
      </c>
      <c r="W1518">
        <v>2</v>
      </c>
      <c r="X1518">
        <v>303310.13184104499</v>
      </c>
      <c r="Y1518">
        <v>1</v>
      </c>
      <c r="Z1518">
        <v>6.2074425793385997</v>
      </c>
      <c r="AA1518">
        <v>50</v>
      </c>
    </row>
    <row r="1519" spans="1:27" x14ac:dyDescent="0.2">
      <c r="A1519">
        <v>30</v>
      </c>
      <c r="B1519">
        <v>2</v>
      </c>
      <c r="C1519">
        <v>0.1</v>
      </c>
      <c r="D1519">
        <v>20</v>
      </c>
      <c r="E1519">
        <v>0.89399800733627</v>
      </c>
      <c r="F1519">
        <v>2</v>
      </c>
      <c r="G1519">
        <v>28.74320436</v>
      </c>
      <c r="H1519">
        <v>0.86693842579112801</v>
      </c>
      <c r="I1519">
        <v>2</v>
      </c>
      <c r="J1519">
        <v>0.69631485100000001</v>
      </c>
      <c r="P1519"/>
      <c r="V1519">
        <v>0.874006250297235</v>
      </c>
      <c r="W1519">
        <v>2</v>
      </c>
      <c r="X1519">
        <v>303383.698998735</v>
      </c>
      <c r="Y1519">
        <v>650</v>
      </c>
      <c r="Z1519">
        <v>0.18901464108872201</v>
      </c>
      <c r="AA1519">
        <v>50</v>
      </c>
    </row>
    <row r="1520" spans="1:27" x14ac:dyDescent="0.2">
      <c r="A1520">
        <v>30</v>
      </c>
      <c r="B1520">
        <v>2</v>
      </c>
      <c r="C1520">
        <v>0.3</v>
      </c>
      <c r="D1520">
        <v>20</v>
      </c>
      <c r="E1520">
        <v>0.26520694023753499</v>
      </c>
      <c r="F1520">
        <v>2</v>
      </c>
      <c r="G1520">
        <v>35.246034700999999</v>
      </c>
      <c r="H1520">
        <v>0.21592828057426899</v>
      </c>
      <c r="I1520">
        <v>2</v>
      </c>
      <c r="J1520">
        <v>0.40470829600000002</v>
      </c>
      <c r="P1520"/>
      <c r="V1520">
        <v>0.20572478613640099</v>
      </c>
      <c r="W1520">
        <v>2</v>
      </c>
      <c r="X1520">
        <v>303593.54655976902</v>
      </c>
      <c r="Y1520">
        <v>3</v>
      </c>
      <c r="Z1520">
        <v>9.0180560130633491</v>
      </c>
      <c r="AA1520">
        <v>50</v>
      </c>
    </row>
    <row r="1521" spans="1:27" x14ac:dyDescent="0.2">
      <c r="A1521">
        <v>30</v>
      </c>
      <c r="B1521">
        <v>2</v>
      </c>
      <c r="C1521">
        <v>0.2</v>
      </c>
      <c r="D1521">
        <v>20</v>
      </c>
      <c r="E1521">
        <v>0.40155459713879599</v>
      </c>
      <c r="F1521">
        <v>2</v>
      </c>
      <c r="G1521">
        <v>33.611893782999999</v>
      </c>
      <c r="H1521">
        <v>0.25787307958915501</v>
      </c>
      <c r="I1521">
        <v>2</v>
      </c>
      <c r="J1521">
        <v>0.79688022599999997</v>
      </c>
      <c r="P1521"/>
      <c r="V1521">
        <v>0.240124750028409</v>
      </c>
      <c r="W1521">
        <v>2</v>
      </c>
      <c r="X1521">
        <v>303777.24463297601</v>
      </c>
      <c r="Y1521">
        <v>15</v>
      </c>
      <c r="Z1521">
        <v>3.6048056115407898</v>
      </c>
      <c r="AA1521">
        <v>50</v>
      </c>
    </row>
    <row r="1522" spans="1:27" x14ac:dyDescent="0.2">
      <c r="A1522">
        <v>30</v>
      </c>
      <c r="B1522">
        <v>2</v>
      </c>
      <c r="C1522">
        <v>0.3</v>
      </c>
      <c r="D1522">
        <v>20</v>
      </c>
      <c r="E1522">
        <v>0.231049776222151</v>
      </c>
      <c r="F1522">
        <v>2</v>
      </c>
      <c r="G1522">
        <v>32.976874821999999</v>
      </c>
      <c r="H1522">
        <v>0.21407018599891101</v>
      </c>
      <c r="I1522">
        <v>2</v>
      </c>
      <c r="J1522">
        <v>0.36858823499999999</v>
      </c>
      <c r="P1522"/>
      <c r="V1522">
        <v>0.20197350861093599</v>
      </c>
      <c r="W1522">
        <v>2</v>
      </c>
      <c r="X1522">
        <v>303536.56013401097</v>
      </c>
      <c r="Y1522">
        <v>1</v>
      </c>
      <c r="Z1522">
        <v>4.8928227946037497</v>
      </c>
      <c r="AA1522">
        <v>50</v>
      </c>
    </row>
    <row r="1523" spans="1:27" x14ac:dyDescent="0.2">
      <c r="A1523">
        <v>30</v>
      </c>
      <c r="B1523">
        <v>2</v>
      </c>
      <c r="C1523">
        <v>0.1</v>
      </c>
      <c r="D1523">
        <v>20</v>
      </c>
      <c r="E1523">
        <v>1.03747734053631</v>
      </c>
      <c r="F1523">
        <v>2</v>
      </c>
      <c r="G1523">
        <v>32.656217198999997</v>
      </c>
      <c r="H1523">
        <v>1.02262421949682</v>
      </c>
      <c r="I1523">
        <v>2</v>
      </c>
      <c r="J1523">
        <v>1.439949497</v>
      </c>
      <c r="P1523"/>
      <c r="V1523">
        <v>1.0290221683937599</v>
      </c>
      <c r="W1523">
        <v>2</v>
      </c>
      <c r="X1523">
        <v>304343.07362165803</v>
      </c>
      <c r="Y1523">
        <v>72</v>
      </c>
      <c r="Z1523">
        <v>0.18998986318998501</v>
      </c>
      <c r="AA1523">
        <v>50</v>
      </c>
    </row>
    <row r="1524" spans="1:27" x14ac:dyDescent="0.2">
      <c r="A1524">
        <v>30</v>
      </c>
      <c r="B1524">
        <v>2</v>
      </c>
      <c r="C1524">
        <v>0.3</v>
      </c>
      <c r="D1524">
        <v>20</v>
      </c>
      <c r="E1524">
        <v>0.15577993912155</v>
      </c>
      <c r="F1524">
        <v>2</v>
      </c>
      <c r="G1524">
        <v>32.848694846999997</v>
      </c>
      <c r="H1524">
        <v>0.14082041499366801</v>
      </c>
      <c r="I1524">
        <v>2</v>
      </c>
      <c r="J1524">
        <v>0.38492419500000002</v>
      </c>
      <c r="P1524"/>
      <c r="V1524">
        <v>0.11297887859798</v>
      </c>
      <c r="W1524">
        <v>2</v>
      </c>
      <c r="X1524">
        <v>304366.75432453101</v>
      </c>
      <c r="Y1524">
        <v>1</v>
      </c>
      <c r="Z1524">
        <v>7.0771967184967899</v>
      </c>
      <c r="AA1524">
        <v>50</v>
      </c>
    </row>
    <row r="1525" spans="1:27" x14ac:dyDescent="0.2">
      <c r="A1525">
        <v>30</v>
      </c>
      <c r="B1525">
        <v>2</v>
      </c>
      <c r="C1525">
        <v>0.3</v>
      </c>
      <c r="D1525">
        <v>20</v>
      </c>
      <c r="E1525">
        <v>0.18407928248324901</v>
      </c>
      <c r="F1525">
        <v>2</v>
      </c>
      <c r="G1525">
        <v>34.520495318999998</v>
      </c>
      <c r="H1525">
        <v>0.145126517686468</v>
      </c>
      <c r="I1525">
        <v>2</v>
      </c>
      <c r="J1525">
        <v>0.324933154</v>
      </c>
      <c r="P1525"/>
      <c r="V1525">
        <v>0.122506584715097</v>
      </c>
      <c r="W1525">
        <v>2</v>
      </c>
      <c r="X1525">
        <v>304215.54950695997</v>
      </c>
      <c r="Y1525">
        <v>1</v>
      </c>
      <c r="Z1525">
        <v>4.4902016156491502</v>
      </c>
      <c r="AA1525">
        <v>50</v>
      </c>
    </row>
    <row r="1526" spans="1:27" x14ac:dyDescent="0.2">
      <c r="A1526">
        <v>30</v>
      </c>
      <c r="B1526">
        <v>2</v>
      </c>
      <c r="C1526">
        <v>0.2</v>
      </c>
      <c r="D1526">
        <v>20</v>
      </c>
      <c r="E1526">
        <v>0.54937926004158</v>
      </c>
      <c r="F1526">
        <v>2</v>
      </c>
      <c r="G1526">
        <v>32.456385812000001</v>
      </c>
      <c r="H1526">
        <v>0.59478204472478702</v>
      </c>
      <c r="I1526">
        <v>2</v>
      </c>
      <c r="J1526">
        <v>0.71839787700000002</v>
      </c>
      <c r="P1526"/>
      <c r="V1526">
        <v>0.60564092492626798</v>
      </c>
      <c r="W1526">
        <v>2</v>
      </c>
      <c r="X1526">
        <v>304555.618093742</v>
      </c>
      <c r="Y1526">
        <v>7</v>
      </c>
      <c r="Z1526">
        <v>3.3279193161335399</v>
      </c>
      <c r="AA1526">
        <v>50</v>
      </c>
    </row>
    <row r="1527" spans="1:27" x14ac:dyDescent="0.2">
      <c r="A1527">
        <v>30</v>
      </c>
      <c r="B1527">
        <v>2</v>
      </c>
      <c r="C1527">
        <v>0.3</v>
      </c>
      <c r="D1527">
        <v>20</v>
      </c>
      <c r="E1527">
        <v>0.119822657353632</v>
      </c>
      <c r="F1527">
        <v>2</v>
      </c>
      <c r="G1527">
        <v>26.013639335000001</v>
      </c>
      <c r="H1527">
        <v>9.8460822256556502E-2</v>
      </c>
      <c r="I1527">
        <v>2</v>
      </c>
      <c r="J1527">
        <v>0.261862922</v>
      </c>
      <c r="P1527"/>
      <c r="V1527">
        <v>7.4233966128417594E-2</v>
      </c>
      <c r="W1527">
        <v>2</v>
      </c>
      <c r="X1527">
        <v>304476.64789043798</v>
      </c>
      <c r="Y1527">
        <v>1</v>
      </c>
      <c r="Z1527">
        <v>5.4591604545236798</v>
      </c>
      <c r="AA1527">
        <v>50</v>
      </c>
    </row>
    <row r="1528" spans="1:27" x14ac:dyDescent="0.2">
      <c r="A1528">
        <v>30</v>
      </c>
      <c r="B1528">
        <v>2</v>
      </c>
      <c r="C1528">
        <v>0.3</v>
      </c>
      <c r="D1528">
        <v>20</v>
      </c>
      <c r="E1528">
        <v>0.34210752379369103</v>
      </c>
      <c r="F1528">
        <v>2</v>
      </c>
      <c r="G1528">
        <v>34.957394426</v>
      </c>
      <c r="H1528">
        <v>0.29940672335016699</v>
      </c>
      <c r="I1528">
        <v>2</v>
      </c>
      <c r="J1528">
        <v>0.37648246400000002</v>
      </c>
      <c r="P1528"/>
      <c r="V1528">
        <v>0.28817225059047802</v>
      </c>
      <c r="W1528">
        <v>2</v>
      </c>
      <c r="X1528">
        <v>305183.53051019</v>
      </c>
      <c r="Y1528">
        <v>1</v>
      </c>
      <c r="Z1528">
        <v>3.1135304805155899</v>
      </c>
      <c r="AA1528">
        <v>50</v>
      </c>
    </row>
    <row r="1529" spans="1:27" x14ac:dyDescent="0.2">
      <c r="A1529">
        <v>30</v>
      </c>
      <c r="B1529">
        <v>2</v>
      </c>
      <c r="C1529">
        <v>0.2</v>
      </c>
      <c r="D1529">
        <v>20</v>
      </c>
      <c r="E1529">
        <v>0.43441969513852902</v>
      </c>
      <c r="F1529">
        <v>2</v>
      </c>
      <c r="G1529">
        <v>34.025180147</v>
      </c>
      <c r="H1529">
        <v>0.345912270752259</v>
      </c>
      <c r="I1529">
        <v>2</v>
      </c>
      <c r="J1529">
        <v>0.51797177900000002</v>
      </c>
      <c r="P1529"/>
      <c r="V1529">
        <v>0.32068414544541701</v>
      </c>
      <c r="W1529">
        <v>2</v>
      </c>
      <c r="X1529">
        <v>305571.32760184899</v>
      </c>
      <c r="Y1529">
        <v>7</v>
      </c>
      <c r="Z1529">
        <v>2.39809554399418</v>
      </c>
      <c r="AA1529">
        <v>50</v>
      </c>
    </row>
    <row r="1530" spans="1:27" x14ac:dyDescent="0.2">
      <c r="A1530">
        <v>30</v>
      </c>
      <c r="B1530">
        <v>2</v>
      </c>
      <c r="C1530">
        <v>0.1</v>
      </c>
      <c r="D1530">
        <v>20</v>
      </c>
      <c r="E1530">
        <v>0.71567808313237602</v>
      </c>
      <c r="F1530">
        <v>2</v>
      </c>
      <c r="G1530">
        <v>32.774569225</v>
      </c>
      <c r="H1530">
        <v>0.76573049628932299</v>
      </c>
      <c r="I1530">
        <v>2</v>
      </c>
      <c r="J1530">
        <v>1.299343358</v>
      </c>
      <c r="P1530"/>
      <c r="V1530">
        <v>0.76661522957975603</v>
      </c>
      <c r="W1530">
        <v>2</v>
      </c>
      <c r="X1530">
        <v>305554.39519460802</v>
      </c>
      <c r="Y1530">
        <v>70</v>
      </c>
      <c r="Z1530">
        <v>0.42847249437342899</v>
      </c>
      <c r="AA1530">
        <v>50</v>
      </c>
    </row>
    <row r="1531" spans="1:27" x14ac:dyDescent="0.2">
      <c r="A1531">
        <v>30</v>
      </c>
      <c r="B1531">
        <v>2</v>
      </c>
      <c r="C1531">
        <v>0.1</v>
      </c>
      <c r="D1531">
        <v>20</v>
      </c>
      <c r="E1531">
        <v>0.84028025351404201</v>
      </c>
      <c r="F1531">
        <v>2</v>
      </c>
      <c r="G1531">
        <v>34.903967344000002</v>
      </c>
      <c r="H1531">
        <v>0.776945018958213</v>
      </c>
      <c r="I1531">
        <v>2</v>
      </c>
      <c r="J1531">
        <v>1.4464792470000001</v>
      </c>
      <c r="P1531"/>
      <c r="V1531">
        <v>0.77478995503408299</v>
      </c>
      <c r="W1531">
        <v>2</v>
      </c>
      <c r="X1531">
        <v>305574.396559001</v>
      </c>
      <c r="Y1531">
        <v>74</v>
      </c>
      <c r="Z1531">
        <v>0.48875156201211201</v>
      </c>
      <c r="AA1531">
        <v>50</v>
      </c>
    </row>
    <row r="1532" spans="1:27" x14ac:dyDescent="0.2">
      <c r="A1532">
        <v>30</v>
      </c>
      <c r="B1532">
        <v>2</v>
      </c>
      <c r="C1532">
        <v>0.3</v>
      </c>
      <c r="D1532">
        <v>20</v>
      </c>
      <c r="E1532">
        <v>0.172674181377581</v>
      </c>
      <c r="F1532">
        <v>2</v>
      </c>
      <c r="G1532">
        <v>35.374340527999998</v>
      </c>
      <c r="H1532">
        <v>0.10362402323731</v>
      </c>
      <c r="I1532">
        <v>2</v>
      </c>
      <c r="J1532">
        <v>0.40783494100000001</v>
      </c>
      <c r="P1532"/>
      <c r="V1532">
        <v>8.5793785411808696E-2</v>
      </c>
      <c r="W1532">
        <v>2</v>
      </c>
      <c r="X1532">
        <v>306835.84848966199</v>
      </c>
      <c r="Y1532">
        <v>1</v>
      </c>
      <c r="Z1532">
        <v>6.4404715117796503</v>
      </c>
      <c r="AA1532">
        <v>50</v>
      </c>
    </row>
    <row r="1533" spans="1:27" x14ac:dyDescent="0.2">
      <c r="A1533">
        <v>30</v>
      </c>
      <c r="B1533">
        <v>2</v>
      </c>
      <c r="C1533">
        <v>0.1</v>
      </c>
      <c r="D1533">
        <v>20</v>
      </c>
      <c r="E1533">
        <v>0.78091005124027302</v>
      </c>
      <c r="F1533">
        <v>2</v>
      </c>
      <c r="G1533">
        <v>34.907192748</v>
      </c>
      <c r="H1533">
        <v>0.72254978364709299</v>
      </c>
      <c r="I1533">
        <v>2</v>
      </c>
      <c r="J1533">
        <v>0.93876787500000003</v>
      </c>
      <c r="P1533"/>
      <c r="V1533">
        <v>0.71931491080237797</v>
      </c>
      <c r="W1533">
        <v>2</v>
      </c>
      <c r="X1533">
        <v>307360.43076245702</v>
      </c>
      <c r="Y1533">
        <v>94</v>
      </c>
      <c r="Z1533">
        <v>0.39017195139916</v>
      </c>
      <c r="AA1533">
        <v>50</v>
      </c>
    </row>
    <row r="1534" spans="1:27" x14ac:dyDescent="0.2">
      <c r="A1534">
        <v>30</v>
      </c>
      <c r="B1534">
        <v>2</v>
      </c>
      <c r="C1534">
        <v>0.1</v>
      </c>
      <c r="D1534">
        <v>20</v>
      </c>
      <c r="E1534">
        <v>0.72160158285351605</v>
      </c>
      <c r="F1534">
        <v>2</v>
      </c>
      <c r="G1534">
        <v>33.453527102000002</v>
      </c>
      <c r="H1534">
        <v>0.67173399277603796</v>
      </c>
      <c r="I1534">
        <v>2</v>
      </c>
      <c r="J1534">
        <v>0.83201952000000001</v>
      </c>
      <c r="P1534"/>
      <c r="V1534">
        <v>0.67548404264482498</v>
      </c>
      <c r="W1534">
        <v>2</v>
      </c>
      <c r="X1534">
        <v>307629.89766334998</v>
      </c>
      <c r="Y1534">
        <v>901</v>
      </c>
      <c r="Z1534">
        <v>0.54291922050659902</v>
      </c>
      <c r="AA1534">
        <v>50</v>
      </c>
    </row>
    <row r="1535" spans="1:27" x14ac:dyDescent="0.2">
      <c r="A1535">
        <v>30</v>
      </c>
      <c r="B1535">
        <v>2</v>
      </c>
      <c r="C1535">
        <v>0.1</v>
      </c>
      <c r="D1535">
        <v>20</v>
      </c>
      <c r="E1535">
        <v>0.96000817966276897</v>
      </c>
      <c r="F1535">
        <v>2</v>
      </c>
      <c r="G1535">
        <v>35.576176228999998</v>
      </c>
      <c r="H1535">
        <v>0.92794247700789301</v>
      </c>
      <c r="I1535">
        <v>2</v>
      </c>
      <c r="J1535">
        <v>1.476287071</v>
      </c>
      <c r="P1535"/>
      <c r="V1535">
        <v>0.93519151666961098</v>
      </c>
      <c r="W1535">
        <v>2</v>
      </c>
      <c r="X1535">
        <v>307654.83455595601</v>
      </c>
      <c r="Y1535">
        <v>113</v>
      </c>
      <c r="Z1535">
        <v>0.45024689569612503</v>
      </c>
      <c r="AA1535">
        <v>50</v>
      </c>
    </row>
    <row r="1536" spans="1:27" x14ac:dyDescent="0.2">
      <c r="A1536">
        <v>30</v>
      </c>
      <c r="B1536">
        <v>2</v>
      </c>
      <c r="C1536">
        <v>0.1</v>
      </c>
      <c r="D1536">
        <v>20</v>
      </c>
      <c r="E1536">
        <v>0.94187932645684103</v>
      </c>
      <c r="F1536">
        <v>2</v>
      </c>
      <c r="G1536">
        <v>33.386094409999998</v>
      </c>
      <c r="H1536">
        <v>0.96002494341079203</v>
      </c>
      <c r="I1536">
        <v>2</v>
      </c>
      <c r="J1536">
        <v>1.4522414850000001</v>
      </c>
      <c r="P1536"/>
      <c r="V1536">
        <v>0.96768690260391699</v>
      </c>
      <c r="W1536">
        <v>2</v>
      </c>
      <c r="X1536">
        <v>307641.39832397702</v>
      </c>
      <c r="Y1536">
        <v>72</v>
      </c>
      <c r="Z1536">
        <v>0.57880649830638298</v>
      </c>
      <c r="AA1536">
        <v>50</v>
      </c>
    </row>
    <row r="1537" spans="1:27" x14ac:dyDescent="0.2">
      <c r="A1537">
        <v>30</v>
      </c>
      <c r="B1537">
        <v>3</v>
      </c>
      <c r="C1537">
        <v>0.1</v>
      </c>
      <c r="D1537">
        <v>100</v>
      </c>
      <c r="E1537">
        <v>1.29188949452075</v>
      </c>
      <c r="F1537">
        <v>3</v>
      </c>
      <c r="G1537">
        <v>33.902076334</v>
      </c>
      <c r="H1537">
        <v>1.0450891395719299</v>
      </c>
      <c r="I1537">
        <v>3</v>
      </c>
      <c r="J1537">
        <v>1.729178764</v>
      </c>
      <c r="P1537"/>
      <c r="V1537">
        <v>1.0456546098157</v>
      </c>
      <c r="W1537">
        <v>3</v>
      </c>
      <c r="X1537">
        <v>305832.64869926602</v>
      </c>
      <c r="Y1537">
        <v>1</v>
      </c>
      <c r="Z1537">
        <v>0.18134027797806099</v>
      </c>
      <c r="AA1537">
        <v>50</v>
      </c>
    </row>
    <row r="1538" spans="1:27" x14ac:dyDescent="0.2">
      <c r="A1538">
        <v>30</v>
      </c>
      <c r="B1538">
        <v>3</v>
      </c>
      <c r="C1538">
        <v>0.2</v>
      </c>
      <c r="D1538">
        <v>100</v>
      </c>
      <c r="E1538">
        <v>0.54329336514904003</v>
      </c>
      <c r="F1538">
        <v>3</v>
      </c>
      <c r="G1538">
        <v>34.237132676000002</v>
      </c>
      <c r="H1538">
        <v>0.35175732319006697</v>
      </c>
      <c r="I1538">
        <v>3</v>
      </c>
      <c r="J1538">
        <v>1.7877436600000001</v>
      </c>
      <c r="P1538"/>
      <c r="V1538">
        <v>0.34974279307536799</v>
      </c>
      <c r="W1538">
        <v>3</v>
      </c>
      <c r="X1538">
        <v>299020.40612318303</v>
      </c>
      <c r="Y1538">
        <v>1</v>
      </c>
      <c r="Z1538">
        <v>1.2791342323118999</v>
      </c>
      <c r="AA1538">
        <v>50</v>
      </c>
    </row>
    <row r="1539" spans="1:27" x14ac:dyDescent="0.2">
      <c r="A1539">
        <v>30</v>
      </c>
      <c r="B1539">
        <v>3</v>
      </c>
      <c r="C1539">
        <v>0.1</v>
      </c>
      <c r="D1539">
        <v>100</v>
      </c>
      <c r="E1539">
        <v>1.5758284269496701</v>
      </c>
      <c r="F1539">
        <v>3</v>
      </c>
      <c r="G1539">
        <v>32.374926055000003</v>
      </c>
      <c r="H1539">
        <v>1.00620303546281</v>
      </c>
      <c r="I1539">
        <v>3</v>
      </c>
      <c r="J1539">
        <v>1.656343184</v>
      </c>
      <c r="P1539"/>
      <c r="V1539">
        <v>1.00714800916645</v>
      </c>
      <c r="W1539">
        <v>3</v>
      </c>
      <c r="X1539">
        <v>299212.731804993</v>
      </c>
      <c r="Y1539">
        <v>1</v>
      </c>
      <c r="Z1539">
        <v>9.0972056132159196E-2</v>
      </c>
      <c r="AA1539">
        <v>50</v>
      </c>
    </row>
    <row r="1540" spans="1:27" x14ac:dyDescent="0.2">
      <c r="A1540">
        <v>30</v>
      </c>
      <c r="B1540">
        <v>3</v>
      </c>
      <c r="C1540">
        <v>0.3</v>
      </c>
      <c r="D1540">
        <v>100</v>
      </c>
      <c r="E1540">
        <v>0.35719063680352298</v>
      </c>
      <c r="F1540">
        <v>3</v>
      </c>
      <c r="G1540">
        <v>26.36094155</v>
      </c>
      <c r="H1540">
        <v>0.16103346640491401</v>
      </c>
      <c r="I1540">
        <v>3</v>
      </c>
      <c r="J1540">
        <v>0.84290592799999997</v>
      </c>
      <c r="P1540"/>
      <c r="V1540">
        <v>0.15451521584660299</v>
      </c>
      <c r="W1540">
        <v>3</v>
      </c>
      <c r="X1540">
        <v>303786.93423673598</v>
      </c>
      <c r="Y1540">
        <v>1</v>
      </c>
      <c r="Z1540">
        <v>3.04805680208226</v>
      </c>
      <c r="AA1540">
        <v>50</v>
      </c>
    </row>
    <row r="1541" spans="1:27" x14ac:dyDescent="0.2">
      <c r="A1541">
        <v>20</v>
      </c>
      <c r="B1541">
        <v>3</v>
      </c>
      <c r="C1541">
        <v>0.2</v>
      </c>
      <c r="D1541">
        <v>100</v>
      </c>
      <c r="E1541">
        <v>0.92486270159350503</v>
      </c>
      <c r="F1541">
        <v>3</v>
      </c>
      <c r="G1541">
        <v>33.862071669999999</v>
      </c>
      <c r="H1541">
        <v>0.92017753173959005</v>
      </c>
      <c r="I1541">
        <v>3</v>
      </c>
      <c r="J1541">
        <v>1.067949603</v>
      </c>
      <c r="P1541"/>
      <c r="V1541">
        <v>0.92212405039219603</v>
      </c>
      <c r="W1541">
        <v>3</v>
      </c>
      <c r="X1541">
        <v>292145.410715145</v>
      </c>
      <c r="Y1541">
        <v>27</v>
      </c>
      <c r="Z1541">
        <v>0.132549326693119</v>
      </c>
      <c r="AA1541">
        <v>50</v>
      </c>
    </row>
    <row r="1542" spans="1:27" x14ac:dyDescent="0.2">
      <c r="A1542">
        <v>20</v>
      </c>
      <c r="B1542">
        <v>3</v>
      </c>
      <c r="C1542">
        <v>0.1</v>
      </c>
      <c r="D1542">
        <v>100</v>
      </c>
      <c r="E1542">
        <v>1.0594761781648101</v>
      </c>
      <c r="F1542">
        <v>3</v>
      </c>
      <c r="G1542">
        <v>34.521826464</v>
      </c>
      <c r="H1542">
        <v>1.0057002918289899</v>
      </c>
      <c r="I1542">
        <v>3</v>
      </c>
      <c r="J1542">
        <v>0.94704025000000003</v>
      </c>
      <c r="P1542"/>
      <c r="V1542">
        <v>1.0605508473991001</v>
      </c>
      <c r="W1542">
        <v>3</v>
      </c>
      <c r="X1542">
        <v>293226.18316755799</v>
      </c>
      <c r="Y1542">
        <v>2253</v>
      </c>
      <c r="Z1542">
        <v>8.7073480931502897E-3</v>
      </c>
      <c r="AA1542">
        <v>50</v>
      </c>
    </row>
    <row r="1543" spans="1:27" x14ac:dyDescent="0.2">
      <c r="A1543">
        <v>20</v>
      </c>
      <c r="B1543">
        <v>3</v>
      </c>
      <c r="C1543">
        <v>0.1</v>
      </c>
      <c r="D1543">
        <v>100</v>
      </c>
      <c r="E1543">
        <v>1.08900179022002</v>
      </c>
      <c r="F1543">
        <v>3</v>
      </c>
      <c r="G1543">
        <v>33.394420830999998</v>
      </c>
      <c r="H1543">
        <v>0.98371896640316303</v>
      </c>
      <c r="I1543">
        <v>3</v>
      </c>
      <c r="J1543">
        <v>1.0043596640000001</v>
      </c>
      <c r="P1543"/>
      <c r="V1543">
        <v>1.0566969108772699</v>
      </c>
      <c r="W1543">
        <v>3</v>
      </c>
      <c r="X1543">
        <v>297732.14959131402</v>
      </c>
      <c r="Y1543">
        <v>302</v>
      </c>
      <c r="Z1543">
        <v>1.1247982525834499E-2</v>
      </c>
      <c r="AA1543">
        <v>50</v>
      </c>
    </row>
    <row r="1544" spans="1:27" x14ac:dyDescent="0.2">
      <c r="A1544">
        <v>20</v>
      </c>
      <c r="B1544">
        <v>3</v>
      </c>
      <c r="C1544">
        <v>0.3</v>
      </c>
      <c r="D1544">
        <v>100</v>
      </c>
      <c r="E1544">
        <v>0.74609119858600603</v>
      </c>
      <c r="F1544">
        <v>3</v>
      </c>
      <c r="G1544">
        <v>33.500807799</v>
      </c>
      <c r="H1544">
        <v>0.76660897534116301</v>
      </c>
      <c r="I1544">
        <v>3</v>
      </c>
      <c r="J1544">
        <v>1.0835785099999999</v>
      </c>
      <c r="P1544"/>
      <c r="V1544">
        <v>0.79929459431816596</v>
      </c>
      <c r="W1544">
        <v>3</v>
      </c>
      <c r="X1544">
        <v>295187.75997632602</v>
      </c>
      <c r="Y1544">
        <v>49</v>
      </c>
      <c r="Z1544">
        <v>1.39424542347016</v>
      </c>
      <c r="AA1544">
        <v>50</v>
      </c>
    </row>
    <row r="1545" spans="1:27" x14ac:dyDescent="0.2">
      <c r="A1545">
        <v>20</v>
      </c>
      <c r="B1545">
        <v>3</v>
      </c>
      <c r="C1545">
        <v>0.3</v>
      </c>
      <c r="D1545">
        <v>100</v>
      </c>
      <c r="E1545">
        <v>0.48857298118164599</v>
      </c>
      <c r="F1545">
        <v>3</v>
      </c>
      <c r="G1545">
        <v>34.919461138999999</v>
      </c>
      <c r="H1545">
        <v>0.32228643298068999</v>
      </c>
      <c r="I1545">
        <v>3</v>
      </c>
      <c r="J1545">
        <v>0.72608893500000005</v>
      </c>
      <c r="P1545"/>
      <c r="V1545">
        <v>0.32186751251044798</v>
      </c>
      <c r="W1545">
        <v>3</v>
      </c>
      <c r="X1545">
        <v>299088.01503255102</v>
      </c>
      <c r="Y1545">
        <v>75</v>
      </c>
      <c r="Z1545">
        <v>0.39092223766970302</v>
      </c>
      <c r="AA1545">
        <v>50</v>
      </c>
    </row>
    <row r="1546" spans="1:27" x14ac:dyDescent="0.2">
      <c r="A1546">
        <v>20</v>
      </c>
      <c r="B1546">
        <v>3</v>
      </c>
      <c r="C1546">
        <v>0.2</v>
      </c>
      <c r="D1546">
        <v>100</v>
      </c>
      <c r="E1546">
        <v>0.85956474398757499</v>
      </c>
      <c r="F1546">
        <v>3</v>
      </c>
      <c r="G1546">
        <v>35.171390443999996</v>
      </c>
      <c r="H1546">
        <v>0.92040232930867005</v>
      </c>
      <c r="I1546">
        <v>3</v>
      </c>
      <c r="J1546">
        <v>1.093683915</v>
      </c>
      <c r="P1546"/>
      <c r="V1546">
        <v>0.92189411334386695</v>
      </c>
      <c r="W1546">
        <v>3</v>
      </c>
      <c r="X1546">
        <v>301442.78504029202</v>
      </c>
      <c r="Y1546">
        <v>433</v>
      </c>
      <c r="Z1546">
        <v>0.106543019266609</v>
      </c>
      <c r="AA1546">
        <v>50</v>
      </c>
    </row>
    <row r="1547" spans="1:27" x14ac:dyDescent="0.2">
      <c r="A1547">
        <v>20</v>
      </c>
      <c r="B1547">
        <v>3</v>
      </c>
      <c r="C1547">
        <v>0.1</v>
      </c>
      <c r="D1547">
        <v>100</v>
      </c>
      <c r="E1547">
        <v>1.081466542072</v>
      </c>
      <c r="F1547">
        <v>3</v>
      </c>
      <c r="G1547">
        <v>33.783100085999997</v>
      </c>
      <c r="H1547">
        <v>0.95577241719471095</v>
      </c>
      <c r="I1547">
        <v>3</v>
      </c>
      <c r="J1547">
        <v>1.0078384650000001</v>
      </c>
      <c r="P1547"/>
      <c r="V1547">
        <v>1.0241825012983801</v>
      </c>
      <c r="W1547">
        <v>3</v>
      </c>
      <c r="X1547">
        <v>292699.75113049598</v>
      </c>
      <c r="Y1547">
        <v>2811</v>
      </c>
      <c r="Z1547">
        <v>3.9262145390101498E-3</v>
      </c>
      <c r="AA1547">
        <v>50</v>
      </c>
    </row>
    <row r="1548" spans="1:27" x14ac:dyDescent="0.2">
      <c r="A1548">
        <v>20</v>
      </c>
      <c r="B1548">
        <v>3</v>
      </c>
      <c r="C1548">
        <v>0.2</v>
      </c>
      <c r="D1548">
        <v>100</v>
      </c>
      <c r="E1548">
        <v>0.955643926260072</v>
      </c>
      <c r="F1548">
        <v>3</v>
      </c>
      <c r="G1548">
        <v>33.389481240999999</v>
      </c>
      <c r="H1548">
        <v>0.89656565161874602</v>
      </c>
      <c r="I1548">
        <v>3</v>
      </c>
      <c r="J1548">
        <v>1.0659112749999999</v>
      </c>
      <c r="P1548"/>
      <c r="V1548">
        <v>0.898982812544732</v>
      </c>
      <c r="W1548">
        <v>3</v>
      </c>
      <c r="X1548">
        <v>295428.57520719699</v>
      </c>
      <c r="Y1548">
        <v>89</v>
      </c>
      <c r="Z1548">
        <v>0.168677635716205</v>
      </c>
      <c r="AA1548">
        <v>50</v>
      </c>
    </row>
    <row r="1549" spans="1:27" x14ac:dyDescent="0.2">
      <c r="A1549">
        <v>30</v>
      </c>
      <c r="B1549">
        <v>2</v>
      </c>
      <c r="C1549">
        <v>0.1</v>
      </c>
      <c r="D1549">
        <v>20</v>
      </c>
      <c r="E1549">
        <v>0.92519219713021805</v>
      </c>
      <c r="F1549">
        <v>2</v>
      </c>
      <c r="G1549">
        <v>30.777176830999998</v>
      </c>
      <c r="H1549">
        <v>0.86722042502363805</v>
      </c>
      <c r="I1549">
        <v>2</v>
      </c>
      <c r="J1549">
        <v>1.3386156039999999</v>
      </c>
      <c r="P1549"/>
      <c r="V1549">
        <v>0.87205559362429896</v>
      </c>
      <c r="W1549">
        <v>2</v>
      </c>
      <c r="X1549">
        <v>301917.25128818798</v>
      </c>
      <c r="Y1549">
        <v>31</v>
      </c>
      <c r="Z1549">
        <v>0.62074424226557301</v>
      </c>
      <c r="AA1549">
        <v>50</v>
      </c>
    </row>
    <row r="1550" spans="1:27" x14ac:dyDescent="0.2">
      <c r="A1550">
        <v>20</v>
      </c>
      <c r="B1550">
        <v>2</v>
      </c>
      <c r="C1550">
        <v>0.1</v>
      </c>
      <c r="D1550">
        <v>20</v>
      </c>
      <c r="E1550">
        <v>0.994227660680439</v>
      </c>
      <c r="F1550">
        <v>2</v>
      </c>
      <c r="G1550">
        <v>29.067169986</v>
      </c>
      <c r="H1550">
        <v>0.99491822275763497</v>
      </c>
      <c r="I1550">
        <v>2</v>
      </c>
      <c r="J1550">
        <v>0.47699657200000001</v>
      </c>
      <c r="P1550"/>
      <c r="V1550">
        <v>0.99700700488933502</v>
      </c>
      <c r="W1550">
        <v>2</v>
      </c>
      <c r="X1550">
        <v>396.29052025099998</v>
      </c>
      <c r="Y1550">
        <v>1</v>
      </c>
      <c r="Z1550">
        <v>9.1744881701742997E-3</v>
      </c>
      <c r="AA1550">
        <v>2</v>
      </c>
    </row>
    <row r="1551" spans="1:27" x14ac:dyDescent="0.2">
      <c r="A1551">
        <v>30</v>
      </c>
      <c r="B1551">
        <v>2</v>
      </c>
      <c r="C1551">
        <v>0.2</v>
      </c>
      <c r="D1551">
        <v>20</v>
      </c>
      <c r="E1551">
        <v>0.39988242714447902</v>
      </c>
      <c r="F1551">
        <v>2</v>
      </c>
      <c r="G1551">
        <v>29.646251857999999</v>
      </c>
      <c r="H1551">
        <v>0.32778621769910499</v>
      </c>
      <c r="I1551">
        <v>2</v>
      </c>
      <c r="J1551">
        <v>0.623005684</v>
      </c>
      <c r="P1551"/>
      <c r="V1551">
        <v>0.30768050991854101</v>
      </c>
      <c r="W1551">
        <v>2</v>
      </c>
      <c r="X1551">
        <v>304897.42333699699</v>
      </c>
      <c r="Y1551">
        <v>28</v>
      </c>
      <c r="Z1551">
        <v>2.5423849352439101</v>
      </c>
      <c r="AA1551">
        <v>50</v>
      </c>
    </row>
    <row r="1552" spans="1:27" x14ac:dyDescent="0.2">
      <c r="A1552">
        <v>30</v>
      </c>
      <c r="B1552">
        <v>2</v>
      </c>
      <c r="C1552">
        <v>0.3</v>
      </c>
      <c r="D1552">
        <v>20</v>
      </c>
      <c r="E1552">
        <v>0.18579176540181799</v>
      </c>
      <c r="F1552">
        <v>2</v>
      </c>
      <c r="G1552">
        <v>31.385060658</v>
      </c>
      <c r="H1552">
        <v>0.164491653812227</v>
      </c>
      <c r="I1552">
        <v>2</v>
      </c>
      <c r="J1552">
        <v>0.37844488199999998</v>
      </c>
      <c r="P1552"/>
      <c r="V1552">
        <v>0.14624538023223699</v>
      </c>
      <c r="W1552">
        <v>2</v>
      </c>
      <c r="X1552">
        <v>305445.38579488301</v>
      </c>
      <c r="Y1552">
        <v>7</v>
      </c>
      <c r="Z1552">
        <v>3.2993578776597299</v>
      </c>
      <c r="AA1552">
        <v>50</v>
      </c>
    </row>
    <row r="1553" spans="1:27" x14ac:dyDescent="0.2">
      <c r="A1553">
        <v>30</v>
      </c>
      <c r="B1553">
        <v>3</v>
      </c>
      <c r="C1553">
        <v>0.2</v>
      </c>
      <c r="D1553">
        <v>20</v>
      </c>
      <c r="E1553">
        <v>0.58162275890186799</v>
      </c>
      <c r="F1553">
        <v>3</v>
      </c>
      <c r="G1553">
        <v>32.620757767000001</v>
      </c>
      <c r="H1553">
        <v>0.40576198798677698</v>
      </c>
      <c r="I1553">
        <v>3</v>
      </c>
      <c r="J1553">
        <v>1.538837188</v>
      </c>
      <c r="P1553"/>
      <c r="V1553">
        <v>0.39687158667438099</v>
      </c>
      <c r="W1553">
        <v>3</v>
      </c>
      <c r="X1553">
        <v>294778.17401851201</v>
      </c>
      <c r="Y1553">
        <v>1</v>
      </c>
      <c r="Z1553">
        <v>4.06857650011366</v>
      </c>
      <c r="AA1553">
        <v>50</v>
      </c>
    </row>
    <row r="1554" spans="1:27" x14ac:dyDescent="0.2">
      <c r="A1554">
        <v>30</v>
      </c>
      <c r="B1554">
        <v>3</v>
      </c>
      <c r="C1554">
        <v>0.2</v>
      </c>
      <c r="D1554">
        <v>20</v>
      </c>
      <c r="E1554">
        <v>0.76186711712655797</v>
      </c>
      <c r="F1554">
        <v>3</v>
      </c>
      <c r="G1554">
        <v>31.655368885000001</v>
      </c>
      <c r="H1554">
        <v>0.72528782449558304</v>
      </c>
      <c r="I1554">
        <v>3</v>
      </c>
      <c r="J1554">
        <v>1.73903104</v>
      </c>
      <c r="P1554"/>
      <c r="V1554">
        <v>0.72606194777839494</v>
      </c>
      <c r="W1554">
        <v>3</v>
      </c>
      <c r="X1554">
        <v>295663.02151446801</v>
      </c>
      <c r="Y1554">
        <v>1</v>
      </c>
      <c r="Z1554">
        <v>6.7569881609013702</v>
      </c>
      <c r="AA1554">
        <v>50</v>
      </c>
    </row>
    <row r="1555" spans="1:27" x14ac:dyDescent="0.2">
      <c r="A1555">
        <v>30</v>
      </c>
      <c r="B1555">
        <v>3</v>
      </c>
      <c r="C1555">
        <v>0.2</v>
      </c>
      <c r="D1555">
        <v>20</v>
      </c>
      <c r="E1555">
        <v>0.694385703816914</v>
      </c>
      <c r="F1555">
        <v>3</v>
      </c>
      <c r="G1555">
        <v>31.811419122</v>
      </c>
      <c r="H1555">
        <v>0.517943403303739</v>
      </c>
      <c r="I1555">
        <v>3</v>
      </c>
      <c r="J1555">
        <v>1.155254778</v>
      </c>
      <c r="P1555"/>
      <c r="V1555">
        <v>0.51345318986277899</v>
      </c>
      <c r="W1555">
        <v>3</v>
      </c>
      <c r="X1555">
        <v>295067.53595372097</v>
      </c>
      <c r="Y1555">
        <v>1</v>
      </c>
      <c r="Z1555">
        <v>3.8849816213244499</v>
      </c>
      <c r="AA1555">
        <v>50</v>
      </c>
    </row>
    <row r="1556" spans="1:27" x14ac:dyDescent="0.2">
      <c r="A1556">
        <v>30</v>
      </c>
      <c r="B1556">
        <v>3</v>
      </c>
      <c r="C1556">
        <v>0.1</v>
      </c>
      <c r="D1556">
        <v>20</v>
      </c>
      <c r="E1556">
        <v>0.88419905253745001</v>
      </c>
      <c r="F1556">
        <v>3</v>
      </c>
      <c r="G1556">
        <v>30.422087276999999</v>
      </c>
      <c r="H1556">
        <v>0.91101878610736797</v>
      </c>
      <c r="I1556">
        <v>3</v>
      </c>
      <c r="J1556">
        <v>1.6264292490000001</v>
      </c>
      <c r="P1556"/>
      <c r="V1556">
        <v>0.91482746545345195</v>
      </c>
      <c r="W1556">
        <v>3</v>
      </c>
      <c r="X1556">
        <v>295514.77101783699</v>
      </c>
      <c r="Y1556">
        <v>3</v>
      </c>
      <c r="Z1556">
        <v>0.60575329556559099</v>
      </c>
      <c r="AA1556">
        <v>50</v>
      </c>
    </row>
    <row r="1557" spans="1:27" x14ac:dyDescent="0.2">
      <c r="A1557">
        <v>30</v>
      </c>
      <c r="B1557">
        <v>3</v>
      </c>
      <c r="C1557">
        <v>0.1</v>
      </c>
      <c r="D1557">
        <v>20</v>
      </c>
      <c r="E1557">
        <v>1.0392711657501199</v>
      </c>
      <c r="F1557">
        <v>3</v>
      </c>
      <c r="G1557">
        <v>28.726163952</v>
      </c>
      <c r="H1557">
        <v>1.01486372377723</v>
      </c>
      <c r="I1557">
        <v>3</v>
      </c>
      <c r="J1557">
        <v>1.4603129610000001</v>
      </c>
      <c r="P1557"/>
      <c r="V1557">
        <v>1.0175979746120201</v>
      </c>
      <c r="W1557">
        <v>3</v>
      </c>
      <c r="X1557">
        <v>302178.720414704</v>
      </c>
      <c r="Y1557">
        <v>1</v>
      </c>
      <c r="Z1557">
        <v>0.165942302268376</v>
      </c>
      <c r="AA1557">
        <v>50</v>
      </c>
    </row>
    <row r="1558" spans="1:27" x14ac:dyDescent="0.2">
      <c r="A1558">
        <v>30</v>
      </c>
      <c r="B1558">
        <v>3</v>
      </c>
      <c r="C1558">
        <v>0.3</v>
      </c>
      <c r="D1558">
        <v>20</v>
      </c>
      <c r="E1558">
        <v>0.32531249572460202</v>
      </c>
      <c r="F1558">
        <v>3</v>
      </c>
      <c r="G1558">
        <v>34.126488827000003</v>
      </c>
      <c r="H1558">
        <v>0.241708787912678</v>
      </c>
      <c r="I1558">
        <v>3</v>
      </c>
      <c r="J1558">
        <v>0.86190347</v>
      </c>
      <c r="P1558"/>
      <c r="V1558">
        <v>0.20655563001931901</v>
      </c>
      <c r="W1558">
        <v>3</v>
      </c>
      <c r="X1558">
        <v>300202.45685994002</v>
      </c>
      <c r="Y1558">
        <v>1</v>
      </c>
      <c r="Z1558">
        <v>15.321671627683401</v>
      </c>
      <c r="AA1558">
        <v>50</v>
      </c>
    </row>
    <row r="1559" spans="1:27" x14ac:dyDescent="0.2">
      <c r="A1559">
        <v>30</v>
      </c>
      <c r="B1559">
        <v>3</v>
      </c>
      <c r="C1559">
        <v>0.3</v>
      </c>
      <c r="D1559">
        <v>20</v>
      </c>
      <c r="E1559">
        <v>0.38253798225618502</v>
      </c>
      <c r="F1559">
        <v>3</v>
      </c>
      <c r="G1559">
        <v>29.965313963</v>
      </c>
      <c r="H1559">
        <v>0.247276153312596</v>
      </c>
      <c r="I1559">
        <v>3</v>
      </c>
      <c r="J1559">
        <v>0.66194071700000001</v>
      </c>
      <c r="P1559"/>
      <c r="V1559">
        <v>0.225133962403162</v>
      </c>
      <c r="W1559">
        <v>3</v>
      </c>
      <c r="X1559">
        <v>302285.74874011503</v>
      </c>
      <c r="Y1559">
        <v>1</v>
      </c>
      <c r="Z1559">
        <v>12.8608069528723</v>
      </c>
      <c r="AA1559">
        <v>50</v>
      </c>
    </row>
    <row r="1560" spans="1:27" x14ac:dyDescent="0.2">
      <c r="A1560">
        <v>30</v>
      </c>
      <c r="B1560">
        <v>3</v>
      </c>
      <c r="C1560">
        <v>0.1</v>
      </c>
      <c r="D1560">
        <v>20</v>
      </c>
      <c r="E1560">
        <v>0.983330715912624</v>
      </c>
      <c r="F1560">
        <v>3</v>
      </c>
      <c r="G1560">
        <v>30.051508805000001</v>
      </c>
      <c r="H1560">
        <v>0.92678883146556601</v>
      </c>
      <c r="I1560">
        <v>3</v>
      </c>
      <c r="J1560">
        <v>1.62615972</v>
      </c>
      <c r="P1560"/>
      <c r="V1560">
        <v>0.93142107061735002</v>
      </c>
      <c r="W1560">
        <v>3</v>
      </c>
      <c r="X1560">
        <v>300991.06302936398</v>
      </c>
      <c r="Y1560">
        <v>1</v>
      </c>
      <c r="Z1560">
        <v>0.280576048930607</v>
      </c>
      <c r="AA1560">
        <v>50</v>
      </c>
    </row>
    <row r="1561" spans="1:27" x14ac:dyDescent="0.2">
      <c r="A1561">
        <v>30</v>
      </c>
      <c r="B1561">
        <v>3</v>
      </c>
      <c r="C1561">
        <v>0.3</v>
      </c>
      <c r="D1561">
        <v>20</v>
      </c>
      <c r="E1561">
        <v>0.33080341296511701</v>
      </c>
      <c r="F1561">
        <v>3</v>
      </c>
      <c r="G1561">
        <v>30.862067053000001</v>
      </c>
      <c r="H1561">
        <v>0.23263545311061101</v>
      </c>
      <c r="I1561">
        <v>3</v>
      </c>
      <c r="J1561">
        <v>0.97463617499999999</v>
      </c>
      <c r="P1561"/>
      <c r="V1561">
        <v>0.20433235589351501</v>
      </c>
      <c r="W1561">
        <v>3</v>
      </c>
      <c r="X1561">
        <v>305014.13576063502</v>
      </c>
      <c r="Y1561">
        <v>1</v>
      </c>
      <c r="Z1561">
        <v>12.321118416413199</v>
      </c>
      <c r="AA1561">
        <v>50</v>
      </c>
    </row>
    <row r="1562" spans="1:27" x14ac:dyDescent="0.2">
      <c r="A1562">
        <v>30</v>
      </c>
      <c r="B1562">
        <v>3</v>
      </c>
      <c r="C1562">
        <v>0.2</v>
      </c>
      <c r="D1562">
        <v>20</v>
      </c>
      <c r="E1562">
        <v>0.61337169627267496</v>
      </c>
      <c r="F1562">
        <v>3</v>
      </c>
      <c r="G1562">
        <v>29.853668158000001</v>
      </c>
      <c r="H1562">
        <v>0.58426658711559998</v>
      </c>
      <c r="I1562">
        <v>3</v>
      </c>
      <c r="J1562">
        <v>1.64783462</v>
      </c>
      <c r="P1562"/>
      <c r="V1562">
        <v>0.58450815254224497</v>
      </c>
      <c r="W1562">
        <v>3</v>
      </c>
      <c r="X1562">
        <v>305258.01381817902</v>
      </c>
      <c r="Y1562">
        <v>1</v>
      </c>
      <c r="Z1562">
        <v>6.0354870661979003</v>
      </c>
      <c r="AA1562">
        <v>50</v>
      </c>
    </row>
    <row r="1563" spans="1:27" x14ac:dyDescent="0.2">
      <c r="A1563">
        <v>30</v>
      </c>
      <c r="B1563">
        <v>3</v>
      </c>
      <c r="C1563">
        <v>0.1</v>
      </c>
      <c r="D1563">
        <v>20</v>
      </c>
      <c r="E1563">
        <v>1.1460154334763799</v>
      </c>
      <c r="F1563">
        <v>3</v>
      </c>
      <c r="G1563">
        <v>31.456078621</v>
      </c>
      <c r="H1563">
        <v>1.1026498321415199</v>
      </c>
      <c r="I1563">
        <v>3</v>
      </c>
      <c r="J1563">
        <v>1.4105451879999999</v>
      </c>
      <c r="P1563"/>
      <c r="V1563">
        <v>1.10751944235462</v>
      </c>
      <c r="W1563">
        <v>3</v>
      </c>
      <c r="X1563">
        <v>305200.76667479298</v>
      </c>
      <c r="Y1563">
        <v>1</v>
      </c>
      <c r="Z1563">
        <v>0.29352948414442798</v>
      </c>
      <c r="AA1563">
        <v>50</v>
      </c>
    </row>
    <row r="1564" spans="1:27" x14ac:dyDescent="0.2">
      <c r="A1564">
        <v>30</v>
      </c>
      <c r="B1564">
        <v>3</v>
      </c>
      <c r="C1564">
        <v>0.2</v>
      </c>
      <c r="D1564">
        <v>20</v>
      </c>
      <c r="E1564">
        <v>0.59112658972495202</v>
      </c>
      <c r="F1564">
        <v>3</v>
      </c>
      <c r="G1564">
        <v>30.509461400999999</v>
      </c>
      <c r="H1564">
        <v>0.36103937112618101</v>
      </c>
      <c r="I1564">
        <v>3</v>
      </c>
      <c r="J1564">
        <v>1.475235523</v>
      </c>
      <c r="P1564"/>
      <c r="V1564">
        <v>0.35304209461109798</v>
      </c>
      <c r="W1564">
        <v>3</v>
      </c>
      <c r="X1564">
        <v>305253.429678299</v>
      </c>
      <c r="Y1564">
        <v>1</v>
      </c>
      <c r="Z1564">
        <v>6.1187361119150001</v>
      </c>
      <c r="AA1564">
        <v>50</v>
      </c>
    </row>
    <row r="1565" spans="1:27" x14ac:dyDescent="0.2">
      <c r="A1565">
        <v>30</v>
      </c>
      <c r="B1565">
        <v>3</v>
      </c>
      <c r="C1565">
        <v>0.3</v>
      </c>
      <c r="D1565">
        <v>20</v>
      </c>
      <c r="E1565">
        <v>0.364292585208702</v>
      </c>
      <c r="F1565">
        <v>3</v>
      </c>
      <c r="G1565">
        <v>30.470966923999999</v>
      </c>
      <c r="H1565">
        <v>0.27040276389441797</v>
      </c>
      <c r="I1565">
        <v>3</v>
      </c>
      <c r="J1565">
        <v>1.0664111469999999</v>
      </c>
      <c r="P1565"/>
      <c r="V1565">
        <v>0.25505266070799598</v>
      </c>
      <c r="W1565">
        <v>3</v>
      </c>
      <c r="X1565">
        <v>305008.08452676301</v>
      </c>
      <c r="Y1565">
        <v>1</v>
      </c>
      <c r="Z1565">
        <v>10.8858784726648</v>
      </c>
      <c r="AA1565">
        <v>50</v>
      </c>
    </row>
    <row r="1566" spans="1:27" x14ac:dyDescent="0.2">
      <c r="A1566">
        <v>30</v>
      </c>
      <c r="B1566">
        <v>3</v>
      </c>
      <c r="C1566">
        <v>0.1</v>
      </c>
      <c r="D1566">
        <v>20</v>
      </c>
      <c r="E1566">
        <v>1.04667470113442</v>
      </c>
      <c r="F1566">
        <v>3</v>
      </c>
      <c r="G1566">
        <v>31.076770610000001</v>
      </c>
      <c r="H1566">
        <v>1.0440018010591301</v>
      </c>
      <c r="I1566">
        <v>3</v>
      </c>
      <c r="J1566">
        <v>1.4148916659999999</v>
      </c>
      <c r="P1566"/>
      <c r="V1566">
        <v>1.0480682644364701</v>
      </c>
      <c r="W1566">
        <v>3</v>
      </c>
      <c r="X1566">
        <v>305182.89684960101</v>
      </c>
      <c r="Y1566">
        <v>1</v>
      </c>
      <c r="Z1566">
        <v>0.38271166290505498</v>
      </c>
      <c r="AA1566">
        <v>50</v>
      </c>
    </row>
    <row r="1567" spans="1:27" x14ac:dyDescent="0.2">
      <c r="A1567">
        <v>30</v>
      </c>
      <c r="B1567">
        <v>3</v>
      </c>
      <c r="C1567">
        <v>0.1</v>
      </c>
      <c r="D1567">
        <v>20</v>
      </c>
      <c r="E1567">
        <v>1.0346945054098999</v>
      </c>
      <c r="F1567">
        <v>3</v>
      </c>
      <c r="G1567">
        <v>29.786737300999999</v>
      </c>
      <c r="H1567">
        <v>1.01118283499344</v>
      </c>
      <c r="I1567">
        <v>3</v>
      </c>
      <c r="J1567">
        <v>1.5452954969999999</v>
      </c>
      <c r="P1567"/>
      <c r="V1567">
        <v>1.0139498647973599</v>
      </c>
      <c r="W1567">
        <v>3</v>
      </c>
      <c r="X1567">
        <v>305178.458013058</v>
      </c>
      <c r="Y1567">
        <v>1</v>
      </c>
      <c r="Z1567">
        <v>0.405047987041944</v>
      </c>
      <c r="AA1567">
        <v>50</v>
      </c>
    </row>
    <row r="1568" spans="1:27" x14ac:dyDescent="0.2">
      <c r="A1568">
        <v>30</v>
      </c>
      <c r="B1568">
        <v>3</v>
      </c>
      <c r="C1568">
        <v>0.3</v>
      </c>
      <c r="D1568">
        <v>20</v>
      </c>
      <c r="E1568">
        <v>0.36009595457892002</v>
      </c>
      <c r="F1568">
        <v>3</v>
      </c>
      <c r="G1568">
        <v>34.022340483000001</v>
      </c>
      <c r="H1568">
        <v>0.20620637742365</v>
      </c>
      <c r="I1568">
        <v>3</v>
      </c>
      <c r="J1568">
        <v>1.1373490390000001</v>
      </c>
      <c r="P1568"/>
      <c r="V1568">
        <v>0.184356068472803</v>
      </c>
      <c r="W1568">
        <v>3</v>
      </c>
      <c r="X1568">
        <v>305906.20309020497</v>
      </c>
      <c r="Y1568">
        <v>1</v>
      </c>
      <c r="Z1568">
        <v>16.1598311403107</v>
      </c>
      <c r="AA1568">
        <v>50</v>
      </c>
    </row>
    <row r="1569" spans="1:27" x14ac:dyDescent="0.2">
      <c r="A1569">
        <v>30</v>
      </c>
      <c r="B1569">
        <v>3</v>
      </c>
      <c r="C1569">
        <v>0.1</v>
      </c>
      <c r="D1569">
        <v>20</v>
      </c>
      <c r="E1569">
        <v>0.98781941569250098</v>
      </c>
      <c r="F1569">
        <v>3</v>
      </c>
      <c r="G1569">
        <v>29.311859424000001</v>
      </c>
      <c r="H1569">
        <v>0.94239924877182901</v>
      </c>
      <c r="I1569">
        <v>3</v>
      </c>
      <c r="J1569">
        <v>1.7313775060000001</v>
      </c>
      <c r="P1569"/>
      <c r="V1569">
        <v>0.945091790459332</v>
      </c>
      <c r="W1569">
        <v>3</v>
      </c>
      <c r="X1569">
        <v>303374.82004273601</v>
      </c>
      <c r="Y1569">
        <v>1</v>
      </c>
      <c r="Z1569">
        <v>0.37943305922578102</v>
      </c>
      <c r="AA1569">
        <v>50</v>
      </c>
    </row>
    <row r="1570" spans="1:27" x14ac:dyDescent="0.2">
      <c r="A1570">
        <v>30</v>
      </c>
      <c r="B1570">
        <v>3</v>
      </c>
      <c r="C1570">
        <v>0.2</v>
      </c>
      <c r="D1570">
        <v>20</v>
      </c>
      <c r="E1570">
        <v>0.69533548005248902</v>
      </c>
      <c r="F1570">
        <v>3</v>
      </c>
      <c r="G1570">
        <v>32.569636809000002</v>
      </c>
      <c r="H1570">
        <v>0.51415413332100701</v>
      </c>
      <c r="I1570">
        <v>3</v>
      </c>
      <c r="J1570">
        <v>1.7353867860000001</v>
      </c>
      <c r="P1570"/>
      <c r="V1570">
        <v>0.50275712328851696</v>
      </c>
      <c r="W1570">
        <v>3</v>
      </c>
      <c r="X1570">
        <v>305562.240130344</v>
      </c>
      <c r="Y1570">
        <v>1</v>
      </c>
      <c r="Z1570">
        <v>3.0978933562181901</v>
      </c>
      <c r="AA1570">
        <v>50</v>
      </c>
    </row>
    <row r="1571" spans="1:27" x14ac:dyDescent="0.2">
      <c r="A1571">
        <v>30</v>
      </c>
      <c r="B1571">
        <v>3</v>
      </c>
      <c r="C1571">
        <v>0.2</v>
      </c>
      <c r="D1571">
        <v>20</v>
      </c>
      <c r="E1571">
        <v>0.55054111970012998</v>
      </c>
      <c r="F1571">
        <v>3</v>
      </c>
      <c r="G1571">
        <v>32.099926566000001</v>
      </c>
      <c r="H1571">
        <v>0.38603183214665698</v>
      </c>
      <c r="I1571">
        <v>3</v>
      </c>
      <c r="J1571">
        <v>1.7350935139999999</v>
      </c>
      <c r="P1571"/>
      <c r="V1571">
        <v>0.37274952991011301</v>
      </c>
      <c r="W1571">
        <v>3</v>
      </c>
      <c r="X1571">
        <v>306759.81009168399</v>
      </c>
      <c r="Y1571">
        <v>1</v>
      </c>
      <c r="Z1571">
        <v>6.5606655304009998</v>
      </c>
      <c r="AA1571">
        <v>50</v>
      </c>
    </row>
    <row r="1572" spans="1:27" x14ac:dyDescent="0.2">
      <c r="A1572">
        <v>30</v>
      </c>
      <c r="B1572">
        <v>3</v>
      </c>
      <c r="C1572">
        <v>0.3</v>
      </c>
      <c r="D1572">
        <v>20</v>
      </c>
      <c r="E1572">
        <v>0.314064382344166</v>
      </c>
      <c r="F1572">
        <v>3</v>
      </c>
      <c r="G1572">
        <v>32.742114790000002</v>
      </c>
      <c r="H1572">
        <v>0.238960392599365</v>
      </c>
      <c r="I1572">
        <v>3</v>
      </c>
      <c r="J1572">
        <v>0.850194966</v>
      </c>
      <c r="P1572"/>
      <c r="V1572">
        <v>0.21744628675765701</v>
      </c>
      <c r="W1572">
        <v>3</v>
      </c>
      <c r="X1572">
        <v>306211.24662733002</v>
      </c>
      <c r="Y1572">
        <v>1</v>
      </c>
      <c r="Z1572">
        <v>11.545124215444901</v>
      </c>
      <c r="AA1572">
        <v>50</v>
      </c>
    </row>
    <row r="1573" spans="1:27" x14ac:dyDescent="0.2">
      <c r="A1573">
        <v>30</v>
      </c>
      <c r="B1573">
        <v>3</v>
      </c>
      <c r="C1573">
        <v>0.1</v>
      </c>
      <c r="D1573">
        <v>20</v>
      </c>
      <c r="E1573">
        <v>0.98832043768959299</v>
      </c>
      <c r="F1573">
        <v>3</v>
      </c>
      <c r="G1573">
        <v>29.378945281</v>
      </c>
      <c r="H1573">
        <v>0.99779623966788999</v>
      </c>
      <c r="I1573">
        <v>3</v>
      </c>
      <c r="J1573">
        <v>1.521226239</v>
      </c>
      <c r="P1573"/>
      <c r="V1573">
        <v>1.0008551509280701</v>
      </c>
      <c r="W1573">
        <v>3</v>
      </c>
      <c r="X1573">
        <v>294682.90523781901</v>
      </c>
      <c r="Y1573">
        <v>1</v>
      </c>
      <c r="Z1573">
        <v>0.216125480605558</v>
      </c>
      <c r="AA1573">
        <v>50</v>
      </c>
    </row>
    <row r="1574" spans="1:27" x14ac:dyDescent="0.2">
      <c r="A1574">
        <v>30</v>
      </c>
      <c r="B1574">
        <v>3</v>
      </c>
      <c r="C1574">
        <v>0.2</v>
      </c>
      <c r="D1574">
        <v>20</v>
      </c>
      <c r="E1574">
        <v>0.670967628068872</v>
      </c>
      <c r="F1574">
        <v>3</v>
      </c>
      <c r="G1574">
        <v>30.104831105999999</v>
      </c>
      <c r="H1574">
        <v>0.64942078246980695</v>
      </c>
      <c r="I1574">
        <v>3</v>
      </c>
      <c r="J1574">
        <v>1.674129835</v>
      </c>
      <c r="P1574"/>
      <c r="V1574">
        <v>0.64510137696901004</v>
      </c>
      <c r="W1574">
        <v>3</v>
      </c>
      <c r="X1574">
        <v>299540.39944577299</v>
      </c>
      <c r="Y1574">
        <v>1</v>
      </c>
      <c r="Z1574">
        <v>6.0422759541221502</v>
      </c>
      <c r="AA1574">
        <v>50</v>
      </c>
    </row>
    <row r="1575" spans="1:27" x14ac:dyDescent="0.2">
      <c r="A1575">
        <v>30</v>
      </c>
      <c r="B1575">
        <v>3</v>
      </c>
      <c r="C1575">
        <v>0.1</v>
      </c>
      <c r="D1575">
        <v>20</v>
      </c>
      <c r="E1575">
        <v>0.92829935139661601</v>
      </c>
      <c r="F1575">
        <v>3</v>
      </c>
      <c r="G1575">
        <v>29.722846222000001</v>
      </c>
      <c r="H1575">
        <v>0.93827923367362698</v>
      </c>
      <c r="I1575">
        <v>3</v>
      </c>
      <c r="J1575">
        <v>1.54271381</v>
      </c>
      <c r="P1575"/>
      <c r="V1575">
        <v>0.93969074264626795</v>
      </c>
      <c r="W1575">
        <v>3</v>
      </c>
      <c r="X1575">
        <v>302749.64575717301</v>
      </c>
      <c r="Y1575">
        <v>1</v>
      </c>
      <c r="Z1575">
        <v>0.24737751287488099</v>
      </c>
      <c r="AA1575">
        <v>50</v>
      </c>
    </row>
    <row r="1576" spans="1:27" x14ac:dyDescent="0.2">
      <c r="A1576">
        <v>30</v>
      </c>
      <c r="B1576">
        <v>3</v>
      </c>
      <c r="C1576">
        <v>0.3</v>
      </c>
      <c r="D1576">
        <v>20</v>
      </c>
      <c r="E1576">
        <v>0.22865929180671099</v>
      </c>
      <c r="F1576">
        <v>3</v>
      </c>
      <c r="G1576">
        <v>28.904254663</v>
      </c>
      <c r="H1576">
        <v>0.14789003064352499</v>
      </c>
      <c r="I1576">
        <v>3</v>
      </c>
      <c r="J1576">
        <v>0.62438555299999998</v>
      </c>
      <c r="P1576"/>
      <c r="V1576">
        <v>0.129196095391715</v>
      </c>
      <c r="W1576">
        <v>3</v>
      </c>
      <c r="X1576">
        <v>307678.451923816</v>
      </c>
      <c r="Y1576">
        <v>0</v>
      </c>
      <c r="Z1576">
        <v>14.290909877521599</v>
      </c>
      <c r="AA1576">
        <v>50</v>
      </c>
    </row>
    <row r="1577" spans="1:27" x14ac:dyDescent="0.2">
      <c r="A1577">
        <v>20</v>
      </c>
      <c r="B1577">
        <v>3</v>
      </c>
      <c r="C1577">
        <v>0.3</v>
      </c>
      <c r="D1577">
        <v>20</v>
      </c>
      <c r="E1577">
        <v>0.56662747319852802</v>
      </c>
      <c r="F1577">
        <v>3</v>
      </c>
      <c r="G1577">
        <v>31.242505379000001</v>
      </c>
      <c r="H1577">
        <v>0.712084519161993</v>
      </c>
      <c r="I1577">
        <v>3</v>
      </c>
      <c r="J1577">
        <v>1.050961238</v>
      </c>
      <c r="P1577"/>
      <c r="V1577">
        <v>0.72144512062752397</v>
      </c>
      <c r="W1577">
        <v>3</v>
      </c>
      <c r="X1577">
        <v>286464.14161980501</v>
      </c>
      <c r="Y1577">
        <v>26</v>
      </c>
      <c r="Z1577">
        <v>2.8042426401421801</v>
      </c>
      <c r="AA1577">
        <v>50</v>
      </c>
    </row>
    <row r="1578" spans="1:27" x14ac:dyDescent="0.2">
      <c r="A1578">
        <v>20</v>
      </c>
      <c r="B1578">
        <v>3</v>
      </c>
      <c r="C1578">
        <v>0.2</v>
      </c>
      <c r="D1578">
        <v>20</v>
      </c>
      <c r="E1578">
        <v>0.850361940092354</v>
      </c>
      <c r="F1578">
        <v>3</v>
      </c>
      <c r="G1578">
        <v>30.848222893999999</v>
      </c>
      <c r="H1578">
        <v>0.80721698836785305</v>
      </c>
      <c r="I1578">
        <v>3</v>
      </c>
      <c r="J1578">
        <v>0.99558201800000001</v>
      </c>
      <c r="P1578"/>
      <c r="V1578">
        <v>0.80960657882067999</v>
      </c>
      <c r="W1578">
        <v>3</v>
      </c>
      <c r="X1578">
        <v>288204.625909505</v>
      </c>
      <c r="Y1578">
        <v>50</v>
      </c>
      <c r="Z1578">
        <v>0.99348237705718101</v>
      </c>
      <c r="AA1578">
        <v>50</v>
      </c>
    </row>
    <row r="1579" spans="1:27" x14ac:dyDescent="0.2">
      <c r="A1579">
        <v>20</v>
      </c>
      <c r="B1579">
        <v>3</v>
      </c>
      <c r="C1579">
        <v>0.1</v>
      </c>
      <c r="D1579">
        <v>20</v>
      </c>
      <c r="E1579">
        <v>0.98570827824446206</v>
      </c>
      <c r="F1579">
        <v>3</v>
      </c>
      <c r="G1579">
        <v>31.385308535</v>
      </c>
      <c r="H1579">
        <v>0.993137819262365</v>
      </c>
      <c r="I1579">
        <v>3</v>
      </c>
      <c r="J1579">
        <v>0.98504606900000002</v>
      </c>
      <c r="P1579"/>
      <c r="V1579">
        <v>0.99522427308463701</v>
      </c>
      <c r="W1579">
        <v>3</v>
      </c>
      <c r="X1579">
        <v>288154.13765943499</v>
      </c>
      <c r="Y1579">
        <v>4435</v>
      </c>
      <c r="Z1579">
        <v>1.9613465186200101E-2</v>
      </c>
      <c r="AA1579">
        <v>50</v>
      </c>
    </row>
    <row r="1580" spans="1:27" x14ac:dyDescent="0.2">
      <c r="A1580">
        <v>20</v>
      </c>
      <c r="B1580">
        <v>3</v>
      </c>
      <c r="C1580">
        <v>0.3</v>
      </c>
      <c r="D1580">
        <v>20</v>
      </c>
      <c r="E1580">
        <v>0.46802223434430401</v>
      </c>
      <c r="F1580">
        <v>3</v>
      </c>
      <c r="G1580">
        <v>31.701708428</v>
      </c>
      <c r="H1580">
        <v>0.39889499994928002</v>
      </c>
      <c r="I1580">
        <v>3</v>
      </c>
      <c r="J1580">
        <v>0.67118676899999996</v>
      </c>
      <c r="P1580"/>
      <c r="V1580">
        <v>0.395015642915715</v>
      </c>
      <c r="W1580">
        <v>3</v>
      </c>
      <c r="X1580">
        <v>288262.13847117597</v>
      </c>
      <c r="Y1580">
        <v>26</v>
      </c>
      <c r="Z1580">
        <v>1.1997723446642099</v>
      </c>
      <c r="AA1580">
        <v>50</v>
      </c>
    </row>
    <row r="1581" spans="1:27" x14ac:dyDescent="0.2">
      <c r="A1581">
        <v>20</v>
      </c>
      <c r="B1581">
        <v>3</v>
      </c>
      <c r="C1581">
        <v>0.2</v>
      </c>
      <c r="D1581">
        <v>20</v>
      </c>
      <c r="E1581">
        <v>0.88919960366680795</v>
      </c>
      <c r="F1581">
        <v>3</v>
      </c>
      <c r="G1581">
        <v>32.800929279000002</v>
      </c>
      <c r="H1581">
        <v>0.95798207412867198</v>
      </c>
      <c r="I1581">
        <v>3</v>
      </c>
      <c r="J1581">
        <v>0.75564620699999996</v>
      </c>
      <c r="P1581"/>
      <c r="V1581">
        <v>0.96119330315444396</v>
      </c>
      <c r="W1581">
        <v>3</v>
      </c>
      <c r="X1581">
        <v>291742.14477156999</v>
      </c>
      <c r="Y1581">
        <v>176</v>
      </c>
      <c r="Z1581">
        <v>0.90856517142615101</v>
      </c>
      <c r="AA1581">
        <v>50</v>
      </c>
    </row>
    <row r="1582" spans="1:27" x14ac:dyDescent="0.2">
      <c r="A1582">
        <v>20</v>
      </c>
      <c r="B1582">
        <v>3</v>
      </c>
      <c r="C1582">
        <v>0.3</v>
      </c>
      <c r="D1582">
        <v>20</v>
      </c>
      <c r="E1582">
        <v>0.713305674821196</v>
      </c>
      <c r="F1582">
        <v>3</v>
      </c>
      <c r="G1582">
        <v>30.896215722000001</v>
      </c>
      <c r="H1582">
        <v>0.70733575746557398</v>
      </c>
      <c r="I1582">
        <v>3</v>
      </c>
      <c r="J1582">
        <v>0.56465575999999995</v>
      </c>
      <c r="P1582"/>
      <c r="V1582">
        <v>0.70462480929108995</v>
      </c>
      <c r="W1582">
        <v>3</v>
      </c>
      <c r="X1582">
        <v>289157.01583825902</v>
      </c>
      <c r="Y1582">
        <v>24</v>
      </c>
      <c r="Z1582">
        <v>2.33738167926276</v>
      </c>
      <c r="AA1582">
        <v>50</v>
      </c>
    </row>
    <row r="1583" spans="1:27" x14ac:dyDescent="0.2">
      <c r="A1583">
        <v>20</v>
      </c>
      <c r="B1583">
        <v>3</v>
      </c>
      <c r="C1583">
        <v>0.3</v>
      </c>
      <c r="D1583">
        <v>20</v>
      </c>
      <c r="E1583">
        <v>0.61781775871646205</v>
      </c>
      <c r="F1583">
        <v>3</v>
      </c>
      <c r="G1583">
        <v>33.529319203</v>
      </c>
      <c r="H1583">
        <v>0.52720660998397995</v>
      </c>
      <c r="I1583">
        <v>3</v>
      </c>
      <c r="J1583">
        <v>0.80728295699999997</v>
      </c>
      <c r="P1583"/>
      <c r="V1583">
        <v>0.51603734487089903</v>
      </c>
      <c r="W1583">
        <v>3</v>
      </c>
      <c r="X1583">
        <v>292170.840376993</v>
      </c>
      <c r="Y1583">
        <v>43</v>
      </c>
      <c r="Z1583">
        <v>2.1382709361091599</v>
      </c>
      <c r="AA1583">
        <v>50</v>
      </c>
    </row>
    <row r="1584" spans="1:27" x14ac:dyDescent="0.2">
      <c r="A1584">
        <v>20</v>
      </c>
      <c r="B1584">
        <v>3</v>
      </c>
      <c r="C1584">
        <v>0.3</v>
      </c>
      <c r="D1584">
        <v>20</v>
      </c>
      <c r="E1584">
        <v>0.54382745654051001</v>
      </c>
      <c r="F1584">
        <v>3</v>
      </c>
      <c r="G1584">
        <v>30.645547131000001</v>
      </c>
      <c r="H1584">
        <v>0.203643242377712</v>
      </c>
      <c r="I1584">
        <v>3</v>
      </c>
      <c r="J1584">
        <v>1.0079950209999999</v>
      </c>
      <c r="P1584"/>
      <c r="V1584">
        <v>0.19024688393162001</v>
      </c>
      <c r="W1584">
        <v>3</v>
      </c>
      <c r="X1584">
        <v>290914.85932905303</v>
      </c>
      <c r="Y1584">
        <v>62</v>
      </c>
      <c r="Z1584">
        <v>2.8536753142977802</v>
      </c>
      <c r="AA1584">
        <v>50</v>
      </c>
    </row>
    <row r="1585" spans="1:27" x14ac:dyDescent="0.2">
      <c r="A1585">
        <v>20</v>
      </c>
      <c r="B1585">
        <v>3</v>
      </c>
      <c r="C1585">
        <v>0.3</v>
      </c>
      <c r="D1585">
        <v>20</v>
      </c>
      <c r="E1585">
        <v>0.59102920540443904</v>
      </c>
      <c r="F1585">
        <v>3</v>
      </c>
      <c r="G1585">
        <v>30.913780568</v>
      </c>
      <c r="H1585">
        <v>0.56073521826259298</v>
      </c>
      <c r="I1585">
        <v>3</v>
      </c>
      <c r="J1585">
        <v>1.041352767</v>
      </c>
      <c r="P1585"/>
      <c r="V1585">
        <v>0.55094097587358903</v>
      </c>
      <c r="W1585">
        <v>3</v>
      </c>
      <c r="X1585">
        <v>294268.27720016299</v>
      </c>
      <c r="Y1585">
        <v>13</v>
      </c>
      <c r="Z1585">
        <v>2.5513033728802799</v>
      </c>
      <c r="AA1585">
        <v>50</v>
      </c>
    </row>
    <row r="1586" spans="1:27" x14ac:dyDescent="0.2">
      <c r="A1586">
        <v>20</v>
      </c>
      <c r="B1586">
        <v>3</v>
      </c>
      <c r="C1586">
        <v>0.3</v>
      </c>
      <c r="D1586">
        <v>20</v>
      </c>
      <c r="E1586">
        <v>0.619046313332132</v>
      </c>
      <c r="F1586">
        <v>3</v>
      </c>
      <c r="G1586">
        <v>30.157506758</v>
      </c>
      <c r="H1586">
        <v>0.522927165907078</v>
      </c>
      <c r="I1586">
        <v>3</v>
      </c>
      <c r="J1586">
        <v>0.67482998400000005</v>
      </c>
      <c r="P1586"/>
      <c r="V1586">
        <v>0.504997999345705</v>
      </c>
      <c r="W1586">
        <v>3</v>
      </c>
      <c r="X1586">
        <v>296068.73304911802</v>
      </c>
      <c r="Y1586">
        <v>37</v>
      </c>
      <c r="Z1586">
        <v>2.4471354561288199</v>
      </c>
      <c r="AA1586">
        <v>50</v>
      </c>
    </row>
    <row r="1587" spans="1:27" x14ac:dyDescent="0.2">
      <c r="A1587">
        <v>20</v>
      </c>
      <c r="B1587">
        <v>3</v>
      </c>
      <c r="C1587">
        <v>0.2</v>
      </c>
      <c r="D1587">
        <v>20</v>
      </c>
      <c r="E1587">
        <v>0.90402602833669798</v>
      </c>
      <c r="F1587">
        <v>3</v>
      </c>
      <c r="G1587">
        <v>34.986359735999997</v>
      </c>
      <c r="H1587">
        <v>0.88905140884297895</v>
      </c>
      <c r="I1587">
        <v>3</v>
      </c>
      <c r="J1587">
        <v>1.1840123490000001</v>
      </c>
      <c r="P1587"/>
      <c r="V1587">
        <v>0.89509272465576994</v>
      </c>
      <c r="W1587">
        <v>3</v>
      </c>
      <c r="X1587">
        <v>298155.26131701702</v>
      </c>
      <c r="Y1587">
        <v>38</v>
      </c>
      <c r="Z1587">
        <v>1.5468928734001499</v>
      </c>
      <c r="AA1587">
        <v>50</v>
      </c>
    </row>
    <row r="1588" spans="1:27" x14ac:dyDescent="0.2">
      <c r="A1588">
        <v>20</v>
      </c>
      <c r="B1588">
        <v>3</v>
      </c>
      <c r="C1588">
        <v>0.3</v>
      </c>
      <c r="D1588">
        <v>20</v>
      </c>
      <c r="E1588">
        <v>0.54176890508123499</v>
      </c>
      <c r="F1588">
        <v>3</v>
      </c>
      <c r="G1588">
        <v>33.005855736999997</v>
      </c>
      <c r="H1588">
        <v>0.354895294733095</v>
      </c>
      <c r="I1588">
        <v>3</v>
      </c>
      <c r="J1588">
        <v>1.0269903929999999</v>
      </c>
      <c r="P1588"/>
      <c r="V1588">
        <v>0.349148602621976</v>
      </c>
      <c r="W1588">
        <v>3</v>
      </c>
      <c r="X1588">
        <v>295762.25545495399</v>
      </c>
      <c r="Y1588">
        <v>47</v>
      </c>
      <c r="Z1588">
        <v>1.9441299133268299</v>
      </c>
      <c r="AA1588">
        <v>50</v>
      </c>
    </row>
    <row r="1589" spans="1:27" x14ac:dyDescent="0.2">
      <c r="A1589">
        <v>20</v>
      </c>
      <c r="B1589">
        <v>3</v>
      </c>
      <c r="C1589">
        <v>0.1</v>
      </c>
      <c r="D1589">
        <v>20</v>
      </c>
      <c r="E1589">
        <v>1.02140816977664</v>
      </c>
      <c r="F1589">
        <v>3</v>
      </c>
      <c r="G1589">
        <v>30.753728640999999</v>
      </c>
      <c r="H1589">
        <v>1.00396446640777</v>
      </c>
      <c r="I1589">
        <v>3</v>
      </c>
      <c r="J1589">
        <v>0.69828302399999997</v>
      </c>
      <c r="P1589"/>
      <c r="V1589">
        <v>1.00542581272277</v>
      </c>
      <c r="W1589">
        <v>3</v>
      </c>
      <c r="X1589">
        <v>296884.51947944303</v>
      </c>
      <c r="Y1589">
        <v>4372</v>
      </c>
      <c r="Z1589">
        <v>2.75284366474399E-2</v>
      </c>
      <c r="AA1589">
        <v>50</v>
      </c>
    </row>
    <row r="1590" spans="1:27" x14ac:dyDescent="0.2">
      <c r="A1590">
        <v>20</v>
      </c>
      <c r="B1590">
        <v>3</v>
      </c>
      <c r="C1590">
        <v>0.3</v>
      </c>
      <c r="D1590">
        <v>20</v>
      </c>
      <c r="E1590">
        <v>0.46894865139454001</v>
      </c>
      <c r="F1590">
        <v>3</v>
      </c>
      <c r="G1590">
        <v>32.461082331</v>
      </c>
      <c r="H1590">
        <v>0.34863671808482399</v>
      </c>
      <c r="I1590">
        <v>3</v>
      </c>
      <c r="J1590">
        <v>0.353282653</v>
      </c>
      <c r="P1590"/>
      <c r="V1590">
        <v>0.33344730646725201</v>
      </c>
      <c r="W1590">
        <v>3</v>
      </c>
      <c r="X1590">
        <v>283482.97429563099</v>
      </c>
      <c r="Y1590">
        <v>67</v>
      </c>
      <c r="Z1590">
        <v>2.0188292876896599</v>
      </c>
      <c r="AA1590">
        <v>50</v>
      </c>
    </row>
    <row r="1591" spans="1:27" x14ac:dyDescent="0.2">
      <c r="A1591">
        <v>20</v>
      </c>
      <c r="B1591">
        <v>3</v>
      </c>
      <c r="C1591">
        <v>0.3</v>
      </c>
      <c r="D1591">
        <v>20</v>
      </c>
      <c r="E1591">
        <v>0.63141195072078704</v>
      </c>
      <c r="F1591">
        <v>3</v>
      </c>
      <c r="G1591">
        <v>29.66240809</v>
      </c>
      <c r="H1591">
        <v>0.51155572680274497</v>
      </c>
      <c r="I1591">
        <v>3</v>
      </c>
      <c r="J1591">
        <v>0.98011353199999995</v>
      </c>
      <c r="P1591"/>
      <c r="V1591">
        <v>0.501804876696756</v>
      </c>
      <c r="W1591">
        <v>3</v>
      </c>
      <c r="X1591">
        <v>281954.83879096399</v>
      </c>
      <c r="Y1591">
        <v>39</v>
      </c>
      <c r="Z1591">
        <v>2.20158200999321</v>
      </c>
      <c r="AA1591">
        <v>50</v>
      </c>
    </row>
    <row r="1592" spans="1:27" x14ac:dyDescent="0.2">
      <c r="A1592">
        <v>20</v>
      </c>
      <c r="B1592">
        <v>3</v>
      </c>
      <c r="C1592">
        <v>0.1</v>
      </c>
      <c r="D1592">
        <v>20</v>
      </c>
      <c r="E1592">
        <v>1.1261537142657001</v>
      </c>
      <c r="F1592">
        <v>3</v>
      </c>
      <c r="G1592">
        <v>31.965241854999999</v>
      </c>
      <c r="H1592">
        <v>1.0308689184939099</v>
      </c>
      <c r="I1592">
        <v>3</v>
      </c>
      <c r="J1592">
        <v>0.45656839399999999</v>
      </c>
      <c r="P1592"/>
      <c r="V1592">
        <v>1.05431857897369</v>
      </c>
      <c r="W1592">
        <v>3</v>
      </c>
      <c r="X1592">
        <v>302286.31166901399</v>
      </c>
      <c r="Y1592">
        <v>3924</v>
      </c>
      <c r="Z1592">
        <v>2.36732562568066E-2</v>
      </c>
      <c r="AA1592">
        <v>50</v>
      </c>
    </row>
    <row r="1593" spans="1:27" x14ac:dyDescent="0.2">
      <c r="A1593">
        <v>20</v>
      </c>
      <c r="B1593">
        <v>3</v>
      </c>
      <c r="C1593">
        <v>0.2</v>
      </c>
      <c r="D1593">
        <v>20</v>
      </c>
      <c r="E1593">
        <v>0.69601184283722095</v>
      </c>
      <c r="F1593">
        <v>3</v>
      </c>
      <c r="G1593">
        <v>33.188500091999998</v>
      </c>
      <c r="H1593">
        <v>0.69177093547536495</v>
      </c>
      <c r="I1593">
        <v>3</v>
      </c>
      <c r="J1593">
        <v>1.067882193</v>
      </c>
      <c r="P1593"/>
      <c r="V1593">
        <v>0.69315813486810196</v>
      </c>
      <c r="W1593">
        <v>3</v>
      </c>
      <c r="X1593">
        <v>297438.98657878698</v>
      </c>
      <c r="Y1593">
        <v>79</v>
      </c>
      <c r="Z1593">
        <v>1.1073118170982901</v>
      </c>
      <c r="AA1593">
        <v>50</v>
      </c>
    </row>
    <row r="1594" spans="1:27" x14ac:dyDescent="0.2">
      <c r="A1594">
        <v>20</v>
      </c>
      <c r="B1594">
        <v>3</v>
      </c>
      <c r="C1594">
        <v>0.1</v>
      </c>
      <c r="D1594">
        <v>20</v>
      </c>
      <c r="E1594">
        <v>1.07701079547657</v>
      </c>
      <c r="F1594">
        <v>3</v>
      </c>
      <c r="G1594">
        <v>31.618265347000001</v>
      </c>
      <c r="H1594">
        <v>0.99545527933197397</v>
      </c>
      <c r="I1594">
        <v>3</v>
      </c>
      <c r="J1594">
        <v>0.72173844600000003</v>
      </c>
      <c r="P1594"/>
      <c r="V1594">
        <v>1.0652528939632799</v>
      </c>
      <c r="W1594">
        <v>3</v>
      </c>
      <c r="X1594">
        <v>302232.86357187899</v>
      </c>
      <c r="Y1594">
        <v>4393</v>
      </c>
      <c r="Z1594">
        <v>2.9333384125347899E-2</v>
      </c>
      <c r="AA1594">
        <v>50</v>
      </c>
    </row>
    <row r="1595" spans="1:27" x14ac:dyDescent="0.2">
      <c r="A1595">
        <v>20</v>
      </c>
      <c r="B1595">
        <v>3</v>
      </c>
      <c r="C1595">
        <v>0.1</v>
      </c>
      <c r="D1595">
        <v>20</v>
      </c>
      <c r="E1595">
        <v>0.93964314959949402</v>
      </c>
      <c r="F1595">
        <v>3</v>
      </c>
      <c r="G1595">
        <v>30.979227997999999</v>
      </c>
      <c r="H1595">
        <v>0.95818798358440704</v>
      </c>
      <c r="I1595">
        <v>3</v>
      </c>
      <c r="J1595">
        <v>0.51070344999999995</v>
      </c>
      <c r="P1595"/>
      <c r="V1595">
        <v>0.96015047338683601</v>
      </c>
      <c r="W1595">
        <v>3</v>
      </c>
      <c r="X1595">
        <v>303776.13361600199</v>
      </c>
      <c r="Y1595">
        <v>4025</v>
      </c>
      <c r="Z1595">
        <v>2.89197099276301E-2</v>
      </c>
      <c r="AA1595">
        <v>50</v>
      </c>
    </row>
    <row r="1596" spans="1:27" x14ac:dyDescent="0.2">
      <c r="A1596">
        <v>20</v>
      </c>
      <c r="B1596">
        <v>3</v>
      </c>
      <c r="C1596">
        <v>0.3</v>
      </c>
      <c r="D1596">
        <v>20</v>
      </c>
      <c r="E1596">
        <v>0.58685563783519701</v>
      </c>
      <c r="F1596">
        <v>3</v>
      </c>
      <c r="G1596">
        <v>24.998868769000001</v>
      </c>
      <c r="H1596">
        <v>0.51234889707126496</v>
      </c>
      <c r="I1596">
        <v>3</v>
      </c>
      <c r="J1596">
        <v>0.55406212399999999</v>
      </c>
      <c r="P1596"/>
      <c r="V1596">
        <v>0.49726382726889101</v>
      </c>
      <c r="W1596">
        <v>3</v>
      </c>
      <c r="X1596">
        <v>296662.00324763701</v>
      </c>
      <c r="Y1596">
        <v>43</v>
      </c>
      <c r="Z1596">
        <v>1.6097632736271399</v>
      </c>
      <c r="AA1596">
        <v>50</v>
      </c>
    </row>
    <row r="1597" spans="1:27" x14ac:dyDescent="0.2">
      <c r="A1597">
        <v>20</v>
      </c>
      <c r="B1597">
        <v>3</v>
      </c>
      <c r="C1597">
        <v>0.3</v>
      </c>
      <c r="D1597">
        <v>20</v>
      </c>
      <c r="E1597">
        <v>0.56758833862302305</v>
      </c>
      <c r="F1597">
        <v>3</v>
      </c>
      <c r="G1597">
        <v>32.613408417999999</v>
      </c>
      <c r="H1597">
        <v>0.41035631478384099</v>
      </c>
      <c r="I1597">
        <v>3</v>
      </c>
      <c r="J1597">
        <v>0.70767443299999999</v>
      </c>
      <c r="P1597"/>
      <c r="V1597">
        <v>0.39952907974528201</v>
      </c>
      <c r="W1597">
        <v>3</v>
      </c>
      <c r="X1597">
        <v>289158.410175909</v>
      </c>
      <c r="Y1597">
        <v>27</v>
      </c>
      <c r="Z1597">
        <v>2.7970016237464201</v>
      </c>
      <c r="AA1597">
        <v>50</v>
      </c>
    </row>
    <row r="1598" spans="1:27" x14ac:dyDescent="0.2">
      <c r="A1598">
        <v>20</v>
      </c>
      <c r="B1598">
        <v>3</v>
      </c>
      <c r="C1598">
        <v>0.3</v>
      </c>
      <c r="D1598">
        <v>20</v>
      </c>
      <c r="E1598">
        <v>0.75677612301094299</v>
      </c>
      <c r="F1598">
        <v>3</v>
      </c>
      <c r="G1598">
        <v>34.023854352000001</v>
      </c>
      <c r="H1598">
        <v>0.74767176021559401</v>
      </c>
      <c r="I1598">
        <v>3</v>
      </c>
      <c r="J1598">
        <v>0.88771382700000001</v>
      </c>
      <c r="P1598"/>
      <c r="V1598">
        <v>0.75145214591645604</v>
      </c>
      <c r="W1598">
        <v>3</v>
      </c>
      <c r="X1598">
        <v>295776.53780382301</v>
      </c>
      <c r="Y1598">
        <v>36</v>
      </c>
      <c r="Z1598">
        <v>2.9480624076463302</v>
      </c>
      <c r="AA1598">
        <v>50</v>
      </c>
    </row>
    <row r="1599" spans="1:27" x14ac:dyDescent="0.2">
      <c r="A1599">
        <v>20</v>
      </c>
      <c r="B1599">
        <v>3</v>
      </c>
      <c r="C1599">
        <v>0.3</v>
      </c>
      <c r="D1599">
        <v>20</v>
      </c>
      <c r="E1599">
        <v>0.47086310785193902</v>
      </c>
      <c r="F1599">
        <v>3</v>
      </c>
      <c r="G1599">
        <v>32.282685647000001</v>
      </c>
      <c r="H1599">
        <v>0.45264034580018297</v>
      </c>
      <c r="I1599">
        <v>3</v>
      </c>
      <c r="J1599">
        <v>0.66459634400000001</v>
      </c>
      <c r="P1599"/>
      <c r="V1599">
        <v>0.44195580281797597</v>
      </c>
      <c r="W1599">
        <v>3</v>
      </c>
      <c r="X1599">
        <v>288528.05234782101</v>
      </c>
      <c r="Y1599">
        <v>36</v>
      </c>
      <c r="Z1599">
        <v>1.27895429398363</v>
      </c>
      <c r="AA1599">
        <v>50</v>
      </c>
    </row>
    <row r="1600" spans="1:27" x14ac:dyDescent="0.2">
      <c r="A1600">
        <v>20</v>
      </c>
      <c r="B1600">
        <v>3</v>
      </c>
      <c r="C1600">
        <v>0.3</v>
      </c>
      <c r="D1600">
        <v>20</v>
      </c>
      <c r="E1600">
        <v>0.40964637147740302</v>
      </c>
      <c r="F1600">
        <v>3</v>
      </c>
      <c r="G1600">
        <v>31.300347927000001</v>
      </c>
      <c r="H1600">
        <v>0.39521899988284998</v>
      </c>
      <c r="I1600">
        <v>3</v>
      </c>
      <c r="J1600">
        <v>0.37448109299999999</v>
      </c>
      <c r="P1600"/>
      <c r="V1600">
        <v>0.381059660777673</v>
      </c>
      <c r="W1600">
        <v>3</v>
      </c>
      <c r="X1600">
        <v>302885.23753650702</v>
      </c>
      <c r="Y1600">
        <v>62</v>
      </c>
      <c r="Z1600">
        <v>2.0640181999369802</v>
      </c>
      <c r="AA1600">
        <v>50</v>
      </c>
    </row>
    <row r="1601" spans="1:27" x14ac:dyDescent="0.2">
      <c r="A1601">
        <v>20</v>
      </c>
      <c r="B1601">
        <v>3</v>
      </c>
      <c r="C1601">
        <v>0.2</v>
      </c>
      <c r="D1601">
        <v>20</v>
      </c>
      <c r="E1601">
        <v>0.83333376875623499</v>
      </c>
      <c r="F1601">
        <v>3</v>
      </c>
      <c r="G1601">
        <v>24.605036908999999</v>
      </c>
      <c r="H1601">
        <v>0.79710690747743795</v>
      </c>
      <c r="I1601">
        <v>3</v>
      </c>
      <c r="J1601">
        <v>0.80450598799999995</v>
      </c>
      <c r="P1601"/>
      <c r="V1601">
        <v>0.79983963945996095</v>
      </c>
      <c r="W1601">
        <v>3</v>
      </c>
      <c r="X1601">
        <v>294478.43178960902</v>
      </c>
      <c r="Y1601">
        <v>468</v>
      </c>
      <c r="Z1601">
        <v>0.69085661199275605</v>
      </c>
      <c r="AA1601">
        <v>50</v>
      </c>
    </row>
    <row r="1602" spans="1:27" x14ac:dyDescent="0.2">
      <c r="A1602">
        <v>20</v>
      </c>
      <c r="B1602">
        <v>3</v>
      </c>
      <c r="C1602">
        <v>0.3</v>
      </c>
      <c r="D1602">
        <v>20</v>
      </c>
      <c r="E1602">
        <v>0.58708928825955398</v>
      </c>
      <c r="F1602">
        <v>3</v>
      </c>
      <c r="G1602">
        <v>30.368372559000001</v>
      </c>
      <c r="H1602">
        <v>0.63101348362283705</v>
      </c>
      <c r="I1602">
        <v>3</v>
      </c>
      <c r="J1602">
        <v>0.65887273999999996</v>
      </c>
      <c r="P1602"/>
      <c r="V1602">
        <v>0.63202259933032701</v>
      </c>
      <c r="W1602">
        <v>3</v>
      </c>
      <c r="X1602">
        <v>297557.97963440802</v>
      </c>
      <c r="Y1602">
        <v>67</v>
      </c>
      <c r="Z1602">
        <v>2.1106676703897098</v>
      </c>
      <c r="AA1602">
        <v>50</v>
      </c>
    </row>
    <row r="1603" spans="1:27" x14ac:dyDescent="0.2">
      <c r="A1603">
        <v>20</v>
      </c>
      <c r="B1603">
        <v>3</v>
      </c>
      <c r="C1603">
        <v>0.2</v>
      </c>
      <c r="D1603">
        <v>20</v>
      </c>
      <c r="E1603">
        <v>0.86728233485759298</v>
      </c>
      <c r="F1603">
        <v>3</v>
      </c>
      <c r="G1603">
        <v>31.356258597</v>
      </c>
      <c r="H1603">
        <v>0.95460127704854203</v>
      </c>
      <c r="I1603">
        <v>3</v>
      </c>
      <c r="J1603">
        <v>0.90341623800000004</v>
      </c>
      <c r="P1603"/>
      <c r="V1603">
        <v>0.95905168377632199</v>
      </c>
      <c r="W1603">
        <v>3</v>
      </c>
      <c r="X1603">
        <v>298386.15436390601</v>
      </c>
      <c r="Y1603">
        <v>417</v>
      </c>
      <c r="Z1603">
        <v>0.63990007573083396</v>
      </c>
      <c r="AA1603">
        <v>50</v>
      </c>
    </row>
    <row r="1604" spans="1:27" x14ac:dyDescent="0.2">
      <c r="A1604">
        <v>20</v>
      </c>
      <c r="B1604">
        <v>3</v>
      </c>
      <c r="C1604">
        <v>0.1</v>
      </c>
      <c r="D1604">
        <v>20</v>
      </c>
      <c r="E1604">
        <v>0.99042449102306995</v>
      </c>
      <c r="F1604">
        <v>3</v>
      </c>
      <c r="G1604">
        <v>32.281052805000002</v>
      </c>
      <c r="H1604">
        <v>0.98297959687940895</v>
      </c>
      <c r="I1604">
        <v>3</v>
      </c>
      <c r="J1604">
        <v>0.44681150400000003</v>
      </c>
      <c r="P1604"/>
      <c r="V1604">
        <v>1.0500662877575599</v>
      </c>
      <c r="W1604">
        <v>3</v>
      </c>
      <c r="X1604">
        <v>302552.02541923203</v>
      </c>
      <c r="Y1604">
        <v>3688</v>
      </c>
      <c r="Z1604">
        <v>4.1184733549288997E-2</v>
      </c>
      <c r="AA1604">
        <v>50</v>
      </c>
    </row>
    <row r="1605" spans="1:27" x14ac:dyDescent="0.2">
      <c r="A1605">
        <v>20</v>
      </c>
      <c r="B1605">
        <v>3</v>
      </c>
      <c r="C1605">
        <v>0.1</v>
      </c>
      <c r="D1605">
        <v>20</v>
      </c>
      <c r="E1605">
        <v>0.95066032923952204</v>
      </c>
      <c r="F1605">
        <v>3</v>
      </c>
      <c r="G1605">
        <v>31.251424710999999</v>
      </c>
      <c r="H1605">
        <v>0.95944317474350105</v>
      </c>
      <c r="I1605">
        <v>3</v>
      </c>
      <c r="J1605">
        <v>0.52269193800000002</v>
      </c>
      <c r="P1605"/>
      <c r="V1605">
        <v>0.99066826104626704</v>
      </c>
      <c r="W1605">
        <v>3</v>
      </c>
      <c r="X1605">
        <v>302793.91223503399</v>
      </c>
      <c r="Y1605">
        <v>4245</v>
      </c>
      <c r="Z1605">
        <v>6.4983949664420698E-2</v>
      </c>
      <c r="AA1605">
        <v>50</v>
      </c>
    </row>
    <row r="1606" spans="1:27" x14ac:dyDescent="0.2">
      <c r="A1606">
        <v>20</v>
      </c>
      <c r="B1606">
        <v>3</v>
      </c>
      <c r="C1606">
        <v>0.1</v>
      </c>
      <c r="D1606">
        <v>20</v>
      </c>
      <c r="E1606">
        <v>0.95949547364133003</v>
      </c>
      <c r="F1606">
        <v>3</v>
      </c>
      <c r="G1606">
        <v>33.275463889000001</v>
      </c>
      <c r="H1606">
        <v>0.95498032903579899</v>
      </c>
      <c r="I1606">
        <v>3</v>
      </c>
      <c r="J1606">
        <v>0.33547185499999999</v>
      </c>
      <c r="P1606"/>
      <c r="V1606">
        <v>0.998280889183639</v>
      </c>
      <c r="W1606">
        <v>3</v>
      </c>
      <c r="X1606">
        <v>306101.42644640501</v>
      </c>
      <c r="Y1606">
        <v>4988</v>
      </c>
      <c r="Z1606">
        <v>3.08565186817647E-2</v>
      </c>
      <c r="AA1606">
        <v>50</v>
      </c>
    </row>
    <row r="1607" spans="1:27" x14ac:dyDescent="0.2">
      <c r="A1607">
        <v>20</v>
      </c>
      <c r="B1607">
        <v>3</v>
      </c>
      <c r="C1607">
        <v>0.3</v>
      </c>
      <c r="D1607">
        <v>100</v>
      </c>
      <c r="E1607">
        <v>0.63506681337284998</v>
      </c>
      <c r="F1607">
        <v>3</v>
      </c>
      <c r="G1607">
        <v>32.907693006000002</v>
      </c>
      <c r="H1607">
        <v>0.506536410090074</v>
      </c>
      <c r="I1607">
        <v>3</v>
      </c>
      <c r="J1607">
        <v>0.93711112200000002</v>
      </c>
      <c r="P1607"/>
      <c r="V1607">
        <v>0.50354474548990003</v>
      </c>
      <c r="W1607">
        <v>3</v>
      </c>
      <c r="X1607">
        <v>288867.86056536698</v>
      </c>
      <c r="Y1607">
        <v>15</v>
      </c>
      <c r="Z1607">
        <v>0.21013423969137701</v>
      </c>
      <c r="AA1607">
        <v>50</v>
      </c>
    </row>
    <row r="1608" spans="1:27" x14ac:dyDescent="0.2">
      <c r="A1608">
        <v>20</v>
      </c>
      <c r="B1608">
        <v>3</v>
      </c>
      <c r="C1608">
        <v>0.3</v>
      </c>
      <c r="D1608">
        <v>100</v>
      </c>
      <c r="E1608">
        <v>0.63793278563679001</v>
      </c>
      <c r="F1608">
        <v>3</v>
      </c>
      <c r="G1608">
        <v>35.171011126000003</v>
      </c>
      <c r="H1608">
        <v>0.223763930752682</v>
      </c>
      <c r="I1608">
        <v>3</v>
      </c>
      <c r="J1608">
        <v>1.0954229150000001</v>
      </c>
      <c r="P1608"/>
      <c r="V1608">
        <v>0.21951124870466199</v>
      </c>
      <c r="W1608">
        <v>3</v>
      </c>
      <c r="X1608">
        <v>290086.397161578</v>
      </c>
      <c r="Y1608">
        <v>15</v>
      </c>
      <c r="Z1608">
        <v>1.0089900940679399</v>
      </c>
      <c r="AA1608">
        <v>50</v>
      </c>
    </row>
    <row r="1609" spans="1:27" x14ac:dyDescent="0.2">
      <c r="A1609">
        <v>20</v>
      </c>
      <c r="B1609">
        <v>3</v>
      </c>
      <c r="C1609">
        <v>0.3</v>
      </c>
      <c r="D1609">
        <v>100</v>
      </c>
      <c r="E1609">
        <v>0.614271476915766</v>
      </c>
      <c r="F1609">
        <v>3</v>
      </c>
      <c r="G1609">
        <v>33.419803537</v>
      </c>
      <c r="H1609">
        <v>0.39462972339521002</v>
      </c>
      <c r="I1609">
        <v>3</v>
      </c>
      <c r="J1609">
        <v>1.075224797</v>
      </c>
      <c r="P1609"/>
      <c r="V1609">
        <v>0.392581868115705</v>
      </c>
      <c r="W1609">
        <v>3</v>
      </c>
      <c r="X1609">
        <v>290387.99135886203</v>
      </c>
      <c r="Y1609">
        <v>51</v>
      </c>
      <c r="Z1609">
        <v>0.60566394655623201</v>
      </c>
      <c r="AA1609">
        <v>50</v>
      </c>
    </row>
    <row r="1610" spans="1:27" x14ac:dyDescent="0.2">
      <c r="A1610">
        <v>20</v>
      </c>
      <c r="B1610">
        <v>3</v>
      </c>
      <c r="C1610">
        <v>0.2</v>
      </c>
      <c r="D1610">
        <v>100</v>
      </c>
      <c r="E1610">
        <v>0.73117698179998403</v>
      </c>
      <c r="F1610">
        <v>3</v>
      </c>
      <c r="G1610">
        <v>32.138199870999998</v>
      </c>
      <c r="H1610">
        <v>0.84674894528655897</v>
      </c>
      <c r="I1610">
        <v>3</v>
      </c>
      <c r="J1610">
        <v>1.026369144</v>
      </c>
      <c r="P1610"/>
      <c r="V1610">
        <v>0.84837255120977095</v>
      </c>
      <c r="W1610">
        <v>3</v>
      </c>
      <c r="X1610">
        <v>291532.248655445</v>
      </c>
      <c r="Y1610">
        <v>47</v>
      </c>
      <c r="Z1610">
        <v>0.12740186428257699</v>
      </c>
      <c r="AA1610">
        <v>50</v>
      </c>
    </row>
    <row r="1611" spans="1:27" x14ac:dyDescent="0.2">
      <c r="A1611">
        <v>20</v>
      </c>
      <c r="B1611">
        <v>3</v>
      </c>
      <c r="C1611">
        <v>0.3</v>
      </c>
      <c r="D1611">
        <v>100</v>
      </c>
      <c r="E1611">
        <v>0.49838723422113401</v>
      </c>
      <c r="F1611">
        <v>3</v>
      </c>
      <c r="G1611">
        <v>33.168823261999997</v>
      </c>
      <c r="H1611">
        <v>0.28731580773470999</v>
      </c>
      <c r="I1611">
        <v>3</v>
      </c>
      <c r="J1611">
        <v>0.99179563999999998</v>
      </c>
      <c r="P1611"/>
      <c r="V1611">
        <v>0.28622774578842403</v>
      </c>
      <c r="W1611">
        <v>3</v>
      </c>
      <c r="X1611">
        <v>294574.92000580498</v>
      </c>
      <c r="Y1611">
        <v>51</v>
      </c>
      <c r="Z1611">
        <v>0.353916411931123</v>
      </c>
      <c r="AA1611">
        <v>50</v>
      </c>
    </row>
    <row r="1612" spans="1:27" x14ac:dyDescent="0.2">
      <c r="A1612">
        <v>20</v>
      </c>
      <c r="B1612">
        <v>3</v>
      </c>
      <c r="C1612">
        <v>0.3</v>
      </c>
      <c r="D1612">
        <v>100</v>
      </c>
      <c r="E1612">
        <v>0.47762213774144102</v>
      </c>
      <c r="F1612">
        <v>3</v>
      </c>
      <c r="G1612">
        <v>35.172985318000002</v>
      </c>
      <c r="H1612">
        <v>0.31823016720371999</v>
      </c>
      <c r="I1612">
        <v>3</v>
      </c>
      <c r="J1612">
        <v>0.62812178900000004</v>
      </c>
      <c r="P1612"/>
      <c r="V1612">
        <v>0.31083827975064698</v>
      </c>
      <c r="W1612">
        <v>3</v>
      </c>
      <c r="X1612">
        <v>290082.22804722202</v>
      </c>
      <c r="Y1612">
        <v>52</v>
      </c>
      <c r="Z1612">
        <v>0.25104279551894099</v>
      </c>
      <c r="AA1612">
        <v>50</v>
      </c>
    </row>
    <row r="1613" spans="1:27" x14ac:dyDescent="0.2">
      <c r="A1613">
        <v>20</v>
      </c>
      <c r="B1613">
        <v>3</v>
      </c>
      <c r="C1613">
        <v>0.3</v>
      </c>
      <c r="D1613">
        <v>100</v>
      </c>
      <c r="E1613">
        <v>0.55430056783482595</v>
      </c>
      <c r="F1613">
        <v>3</v>
      </c>
      <c r="G1613">
        <v>33.156185970999999</v>
      </c>
      <c r="H1613">
        <v>0.39832622568951098</v>
      </c>
      <c r="I1613">
        <v>3</v>
      </c>
      <c r="J1613">
        <v>0.81164590000000003</v>
      </c>
      <c r="P1613"/>
      <c r="V1613">
        <v>0.39559856053747</v>
      </c>
      <c r="W1613">
        <v>3</v>
      </c>
      <c r="X1613">
        <v>295789.30605255702</v>
      </c>
      <c r="Y1613">
        <v>53</v>
      </c>
      <c r="Z1613">
        <v>0.46805274880033598</v>
      </c>
      <c r="AA1613">
        <v>50</v>
      </c>
    </row>
    <row r="1614" spans="1:27" x14ac:dyDescent="0.2">
      <c r="A1614">
        <v>20</v>
      </c>
      <c r="B1614">
        <v>3</v>
      </c>
      <c r="C1614">
        <v>0.2</v>
      </c>
      <c r="D1614">
        <v>100</v>
      </c>
      <c r="E1614">
        <v>0.99415469238137399</v>
      </c>
      <c r="F1614">
        <v>3</v>
      </c>
      <c r="G1614">
        <v>34.270231144</v>
      </c>
      <c r="H1614">
        <v>0.88317739316231103</v>
      </c>
      <c r="I1614">
        <v>3</v>
      </c>
      <c r="J1614">
        <v>1.103924597</v>
      </c>
      <c r="P1614"/>
      <c r="V1614">
        <v>0.88537853003445499</v>
      </c>
      <c r="W1614">
        <v>3</v>
      </c>
      <c r="X1614">
        <v>297537.40787401202</v>
      </c>
      <c r="Y1614">
        <v>51</v>
      </c>
      <c r="Z1614">
        <v>8.5241779221341601E-2</v>
      </c>
      <c r="AA1614">
        <v>50</v>
      </c>
    </row>
    <row r="1615" spans="1:27" x14ac:dyDescent="0.2">
      <c r="A1615">
        <v>20</v>
      </c>
      <c r="B1615">
        <v>3</v>
      </c>
      <c r="C1615">
        <v>0.1</v>
      </c>
      <c r="D1615">
        <v>100</v>
      </c>
      <c r="E1615">
        <v>1.0072339764084699</v>
      </c>
      <c r="F1615">
        <v>3</v>
      </c>
      <c r="G1615">
        <v>35.251853376</v>
      </c>
      <c r="H1615">
        <v>1.0130987387179</v>
      </c>
      <c r="I1615">
        <v>3</v>
      </c>
      <c r="J1615">
        <v>0.47204249700000001</v>
      </c>
      <c r="P1615"/>
      <c r="V1615">
        <v>1.02822499309779</v>
      </c>
      <c r="W1615">
        <v>3</v>
      </c>
      <c r="X1615">
        <v>298687.37742710701</v>
      </c>
      <c r="Y1615">
        <v>1634</v>
      </c>
      <c r="Z1615">
        <v>8.5133668590992306E-3</v>
      </c>
      <c r="AA1615">
        <v>50</v>
      </c>
    </row>
    <row r="1616" spans="1:27" x14ac:dyDescent="0.2">
      <c r="A1616">
        <v>20</v>
      </c>
      <c r="B1616">
        <v>3</v>
      </c>
      <c r="C1616">
        <v>0.1</v>
      </c>
      <c r="D1616">
        <v>100</v>
      </c>
      <c r="E1616">
        <v>1.2131513138582</v>
      </c>
      <c r="F1616">
        <v>3</v>
      </c>
      <c r="G1616">
        <v>33.658255341999997</v>
      </c>
      <c r="H1616">
        <v>1.0464315905954999</v>
      </c>
      <c r="I1616">
        <v>3</v>
      </c>
      <c r="J1616">
        <v>1.013083862</v>
      </c>
      <c r="P1616"/>
      <c r="V1616">
        <v>1.04504048871336</v>
      </c>
      <c r="W1616">
        <v>3</v>
      </c>
      <c r="X1616">
        <v>298151.55041516502</v>
      </c>
      <c r="Y1616">
        <v>4725</v>
      </c>
      <c r="Z1616">
        <v>2.1698824149065901E-3</v>
      </c>
      <c r="AA1616">
        <v>50</v>
      </c>
    </row>
    <row r="1617" spans="1:27" x14ac:dyDescent="0.2">
      <c r="A1617">
        <v>20</v>
      </c>
      <c r="B1617">
        <v>3</v>
      </c>
      <c r="C1617">
        <v>0.3</v>
      </c>
      <c r="D1617">
        <v>100</v>
      </c>
      <c r="E1617">
        <v>0.81136574731964395</v>
      </c>
      <c r="F1617">
        <v>3</v>
      </c>
      <c r="G1617">
        <v>31.929478305</v>
      </c>
      <c r="H1617">
        <v>0.87844586073679098</v>
      </c>
      <c r="I1617">
        <v>3</v>
      </c>
      <c r="J1617">
        <v>1.0372160530000001</v>
      </c>
      <c r="P1617"/>
      <c r="V1617">
        <v>0.89620252723652205</v>
      </c>
      <c r="W1617">
        <v>3</v>
      </c>
      <c r="X1617">
        <v>294285.33217405702</v>
      </c>
      <c r="Y1617">
        <v>51</v>
      </c>
      <c r="Z1617">
        <v>1.6229688600430401</v>
      </c>
      <c r="AA1617">
        <v>50</v>
      </c>
    </row>
    <row r="1618" spans="1:27" x14ac:dyDescent="0.2">
      <c r="A1618">
        <v>20</v>
      </c>
      <c r="B1618">
        <v>3</v>
      </c>
      <c r="C1618">
        <v>0.1</v>
      </c>
      <c r="D1618">
        <v>100</v>
      </c>
      <c r="E1618">
        <v>1.02174642156033</v>
      </c>
      <c r="F1618">
        <v>3</v>
      </c>
      <c r="G1618">
        <v>35.269990012999997</v>
      </c>
      <c r="H1618">
        <v>1.0225679963831</v>
      </c>
      <c r="I1618">
        <v>3</v>
      </c>
      <c r="J1618">
        <v>0.33482341999999998</v>
      </c>
      <c r="P1618"/>
      <c r="V1618">
        <v>1.0112945393619299</v>
      </c>
      <c r="W1618">
        <v>3</v>
      </c>
      <c r="X1618">
        <v>299644.48231936101</v>
      </c>
      <c r="Y1618">
        <v>4274</v>
      </c>
      <c r="Z1618">
        <v>5.02931541537446E-3</v>
      </c>
      <c r="AA1618">
        <v>50</v>
      </c>
    </row>
    <row r="1619" spans="1:27" x14ac:dyDescent="0.2">
      <c r="A1619">
        <v>20</v>
      </c>
      <c r="B1619">
        <v>3</v>
      </c>
      <c r="C1619">
        <v>0.1</v>
      </c>
      <c r="D1619">
        <v>100</v>
      </c>
      <c r="E1619">
        <v>1.1732794103898601</v>
      </c>
      <c r="F1619">
        <v>3</v>
      </c>
      <c r="G1619">
        <v>32.673029176999997</v>
      </c>
      <c r="H1619">
        <v>0.962453414586387</v>
      </c>
      <c r="I1619">
        <v>3</v>
      </c>
      <c r="J1619">
        <v>0.99381609999999998</v>
      </c>
      <c r="P1619"/>
      <c r="V1619">
        <v>0.95818867761030702</v>
      </c>
      <c r="W1619">
        <v>3</v>
      </c>
      <c r="X1619">
        <v>301650.360135141</v>
      </c>
      <c r="Y1619">
        <v>3817</v>
      </c>
      <c r="Z1619">
        <v>4.1638026752355804E-3</v>
      </c>
      <c r="AA1619">
        <v>50</v>
      </c>
    </row>
    <row r="1620" spans="1:27" x14ac:dyDescent="0.2">
      <c r="A1620">
        <v>20</v>
      </c>
      <c r="B1620">
        <v>3</v>
      </c>
      <c r="C1620">
        <v>0.2</v>
      </c>
      <c r="D1620">
        <v>100</v>
      </c>
      <c r="E1620">
        <v>0.86847103901677603</v>
      </c>
      <c r="F1620">
        <v>3</v>
      </c>
      <c r="G1620">
        <v>32.553867586999999</v>
      </c>
      <c r="H1620">
        <v>0.87541929986644795</v>
      </c>
      <c r="I1620">
        <v>3</v>
      </c>
      <c r="J1620">
        <v>1.049081674</v>
      </c>
      <c r="P1620"/>
      <c r="V1620">
        <v>0.87585557416452697</v>
      </c>
      <c r="W1620">
        <v>3</v>
      </c>
      <c r="X1620">
        <v>299940.486958294</v>
      </c>
      <c r="Y1620">
        <v>145</v>
      </c>
      <c r="Z1620">
        <v>0.19547443582110299</v>
      </c>
      <c r="AA1620">
        <v>50</v>
      </c>
    </row>
    <row r="1621" spans="1:27" x14ac:dyDescent="0.2">
      <c r="A1621">
        <v>20</v>
      </c>
      <c r="B1621">
        <v>2</v>
      </c>
      <c r="C1621">
        <v>0.1</v>
      </c>
      <c r="D1621">
        <v>20</v>
      </c>
      <c r="E1621">
        <v>1.0446742161978599</v>
      </c>
      <c r="F1621">
        <v>2</v>
      </c>
      <c r="G1621">
        <v>28.048026792000002</v>
      </c>
      <c r="H1621">
        <v>1.0444436269544799</v>
      </c>
      <c r="I1621">
        <v>2</v>
      </c>
      <c r="J1621">
        <v>0.46515351599999999</v>
      </c>
      <c r="P1621"/>
      <c r="V1621">
        <v>1.10893481742942</v>
      </c>
      <c r="W1621">
        <v>2</v>
      </c>
      <c r="X1621">
        <v>287077.91375768301</v>
      </c>
      <c r="Y1621">
        <v>7994</v>
      </c>
      <c r="Z1621">
        <v>2.6220865696303702E-2</v>
      </c>
      <c r="AA1621">
        <v>50</v>
      </c>
    </row>
    <row r="1622" spans="1:27" x14ac:dyDescent="0.2">
      <c r="A1622">
        <v>20</v>
      </c>
      <c r="B1622">
        <v>2</v>
      </c>
      <c r="C1622">
        <v>0.2</v>
      </c>
      <c r="D1622">
        <v>20</v>
      </c>
      <c r="E1622">
        <v>0.87768275041267496</v>
      </c>
      <c r="F1622">
        <v>2</v>
      </c>
      <c r="G1622">
        <v>30.256293189000001</v>
      </c>
      <c r="H1622">
        <v>0.84135136054590698</v>
      </c>
      <c r="I1622">
        <v>2</v>
      </c>
      <c r="J1622">
        <v>0.54076416699999996</v>
      </c>
      <c r="P1622"/>
      <c r="V1622">
        <v>0.85666809001857602</v>
      </c>
      <c r="W1622">
        <v>2</v>
      </c>
      <c r="X1622">
        <v>293220.67320497503</v>
      </c>
      <c r="Y1622">
        <v>2444</v>
      </c>
      <c r="Z1622">
        <v>0.61248956507686902</v>
      </c>
      <c r="AA1622">
        <v>50</v>
      </c>
    </row>
    <row r="1623" spans="1:27" x14ac:dyDescent="0.2">
      <c r="A1623">
        <v>20</v>
      </c>
      <c r="B1623">
        <v>2</v>
      </c>
      <c r="C1623">
        <v>0.2</v>
      </c>
      <c r="D1623">
        <v>20</v>
      </c>
      <c r="E1623">
        <v>0.67923901102554596</v>
      </c>
      <c r="F1623">
        <v>2</v>
      </c>
      <c r="G1623">
        <v>27.956801117000001</v>
      </c>
      <c r="H1623">
        <v>0.52810885574625899</v>
      </c>
      <c r="I1623">
        <v>2</v>
      </c>
      <c r="J1623">
        <v>0.46835492200000001</v>
      </c>
      <c r="P1623"/>
      <c r="V1623">
        <v>0.51423903377878399</v>
      </c>
      <c r="W1623">
        <v>2</v>
      </c>
      <c r="X1623">
        <v>296553.63377240702</v>
      </c>
      <c r="Y1623">
        <v>3555</v>
      </c>
      <c r="Z1623">
        <v>0.47063941499849699</v>
      </c>
      <c r="AA1623">
        <v>50</v>
      </c>
    </row>
    <row r="1624" spans="1:27" x14ac:dyDescent="0.2">
      <c r="A1624">
        <v>20</v>
      </c>
      <c r="B1624">
        <v>2</v>
      </c>
      <c r="C1624">
        <v>0.3</v>
      </c>
      <c r="D1624">
        <v>20</v>
      </c>
      <c r="E1624">
        <v>0.23280055723036799</v>
      </c>
      <c r="F1624">
        <v>2</v>
      </c>
      <c r="G1624">
        <v>28.107060994000001</v>
      </c>
      <c r="H1624">
        <v>0.20671786093352501</v>
      </c>
      <c r="I1624">
        <v>2</v>
      </c>
      <c r="J1624">
        <v>0.21751663600000001</v>
      </c>
      <c r="P1624"/>
      <c r="V1624">
        <v>0.194129294971744</v>
      </c>
      <c r="W1624">
        <v>2</v>
      </c>
      <c r="X1624">
        <v>292015.653076066</v>
      </c>
      <c r="Y1624">
        <v>2375</v>
      </c>
      <c r="Z1624">
        <v>0.91425947070844604</v>
      </c>
      <c r="AA1624">
        <v>50</v>
      </c>
    </row>
    <row r="1625" spans="1:27" x14ac:dyDescent="0.2">
      <c r="A1625">
        <v>20</v>
      </c>
      <c r="B1625">
        <v>2</v>
      </c>
      <c r="C1625">
        <v>0.3</v>
      </c>
      <c r="D1625">
        <v>20</v>
      </c>
      <c r="E1625">
        <v>0.488484157422853</v>
      </c>
      <c r="F1625">
        <v>2</v>
      </c>
      <c r="G1625">
        <v>31.601877709</v>
      </c>
      <c r="H1625">
        <v>0.400178346968037</v>
      </c>
      <c r="I1625">
        <v>2</v>
      </c>
      <c r="J1625">
        <v>0.31357559600000001</v>
      </c>
      <c r="P1625"/>
      <c r="V1625">
        <v>0.37566220989144999</v>
      </c>
      <c r="W1625">
        <v>2</v>
      </c>
      <c r="X1625">
        <v>295701.98536520603</v>
      </c>
      <c r="Y1625">
        <v>2496</v>
      </c>
      <c r="Z1625">
        <v>1.1337857747607401</v>
      </c>
      <c r="AA1625">
        <v>50</v>
      </c>
    </row>
    <row r="1626" spans="1:27" x14ac:dyDescent="0.2">
      <c r="A1626">
        <v>20</v>
      </c>
      <c r="B1626">
        <v>2</v>
      </c>
      <c r="C1626">
        <v>0.3</v>
      </c>
      <c r="D1626">
        <v>20</v>
      </c>
      <c r="E1626">
        <v>0.37793597175281402</v>
      </c>
      <c r="F1626">
        <v>2</v>
      </c>
      <c r="G1626">
        <v>28.394406636999999</v>
      </c>
      <c r="H1626">
        <v>0.30602302098194101</v>
      </c>
      <c r="I1626">
        <v>2</v>
      </c>
      <c r="J1626">
        <v>0.30232623800000002</v>
      </c>
      <c r="P1626"/>
      <c r="V1626">
        <v>0.29869865823296499</v>
      </c>
      <c r="W1626">
        <v>2</v>
      </c>
      <c r="X1626">
        <v>291720.25572662201</v>
      </c>
      <c r="Y1626">
        <v>4192</v>
      </c>
      <c r="Z1626">
        <v>1.175509730685</v>
      </c>
      <c r="AA1626">
        <v>50</v>
      </c>
    </row>
    <row r="1627" spans="1:27" x14ac:dyDescent="0.2">
      <c r="A1627">
        <v>20</v>
      </c>
      <c r="B1627">
        <v>2</v>
      </c>
      <c r="C1627">
        <v>0.3</v>
      </c>
      <c r="D1627">
        <v>20</v>
      </c>
      <c r="E1627">
        <v>0.49229311066294501</v>
      </c>
      <c r="F1627">
        <v>2</v>
      </c>
      <c r="G1627">
        <v>28.578431323</v>
      </c>
      <c r="H1627">
        <v>0.40982608790099101</v>
      </c>
      <c r="I1627">
        <v>2</v>
      </c>
      <c r="J1627">
        <v>0.15136897999999999</v>
      </c>
      <c r="P1627"/>
      <c r="V1627">
        <v>0.40594900403726702</v>
      </c>
      <c r="W1627">
        <v>2</v>
      </c>
      <c r="X1627">
        <v>294419.03203141899</v>
      </c>
      <c r="Y1627">
        <v>3204</v>
      </c>
      <c r="Z1627">
        <v>0.54414108835797803</v>
      </c>
      <c r="AA1627">
        <v>50</v>
      </c>
    </row>
    <row r="1628" spans="1:27" x14ac:dyDescent="0.2">
      <c r="A1628">
        <v>20</v>
      </c>
      <c r="B1628">
        <v>2</v>
      </c>
      <c r="C1628">
        <v>0.1</v>
      </c>
      <c r="D1628">
        <v>20</v>
      </c>
      <c r="E1628">
        <v>1.0523596489639999</v>
      </c>
      <c r="F1628">
        <v>2</v>
      </c>
      <c r="G1628">
        <v>29.043947883000001</v>
      </c>
      <c r="H1628">
        <v>1.0035373193539501</v>
      </c>
      <c r="I1628">
        <v>2</v>
      </c>
      <c r="J1628">
        <v>0.49015962099999999</v>
      </c>
      <c r="P1628"/>
      <c r="V1628">
        <v>1.07509755441963</v>
      </c>
      <c r="W1628">
        <v>2</v>
      </c>
      <c r="X1628">
        <v>293881.868153107</v>
      </c>
      <c r="Y1628">
        <v>13375</v>
      </c>
      <c r="Z1628">
        <v>2.9918142824746401E-2</v>
      </c>
      <c r="AA1628">
        <v>50</v>
      </c>
    </row>
    <row r="1629" spans="1:27" x14ac:dyDescent="0.2">
      <c r="A1629">
        <v>20</v>
      </c>
      <c r="B1629">
        <v>2</v>
      </c>
      <c r="C1629">
        <v>0.1</v>
      </c>
      <c r="D1629">
        <v>20</v>
      </c>
      <c r="E1629">
        <v>0.98847367169244804</v>
      </c>
      <c r="F1629">
        <v>2</v>
      </c>
      <c r="G1629">
        <v>27.118840712000001</v>
      </c>
      <c r="H1629">
        <v>1.00829968700477</v>
      </c>
      <c r="I1629">
        <v>2</v>
      </c>
      <c r="J1629">
        <v>0.410228337</v>
      </c>
      <c r="P1629"/>
      <c r="V1629">
        <v>1.01242148909958</v>
      </c>
      <c r="W1629">
        <v>2</v>
      </c>
      <c r="X1629">
        <v>295611.64774055802</v>
      </c>
      <c r="Y1629">
        <v>10134</v>
      </c>
      <c r="Z1629">
        <v>1.5911752901956702E-2</v>
      </c>
      <c r="AA1629">
        <v>50</v>
      </c>
    </row>
    <row r="1630" spans="1:27" x14ac:dyDescent="0.2">
      <c r="A1630">
        <v>20</v>
      </c>
      <c r="B1630">
        <v>2</v>
      </c>
      <c r="C1630">
        <v>0.3</v>
      </c>
      <c r="D1630">
        <v>20</v>
      </c>
      <c r="E1630">
        <v>0.41827678421102099</v>
      </c>
      <c r="F1630">
        <v>2</v>
      </c>
      <c r="G1630">
        <v>23.154891428999999</v>
      </c>
      <c r="H1630">
        <v>0.48499402020760701</v>
      </c>
      <c r="I1630">
        <v>2</v>
      </c>
      <c r="J1630">
        <v>0.174230106</v>
      </c>
      <c r="P1630"/>
      <c r="V1630">
        <v>0.47352321489169502</v>
      </c>
      <c r="W1630">
        <v>2</v>
      </c>
      <c r="X1630">
        <v>299524.49014499999</v>
      </c>
      <c r="Y1630">
        <v>4301</v>
      </c>
      <c r="Z1630">
        <v>1.2709193493564599</v>
      </c>
      <c r="AA1630">
        <v>50</v>
      </c>
    </row>
    <row r="1631" spans="1:27" x14ac:dyDescent="0.2">
      <c r="A1631">
        <v>20</v>
      </c>
      <c r="B1631">
        <v>2</v>
      </c>
      <c r="C1631">
        <v>0.3</v>
      </c>
      <c r="D1631">
        <v>20</v>
      </c>
      <c r="E1631">
        <v>0.45216548569821402</v>
      </c>
      <c r="F1631">
        <v>2</v>
      </c>
      <c r="G1631">
        <v>31.158685687999998</v>
      </c>
      <c r="H1631">
        <v>0.34596383784690798</v>
      </c>
      <c r="I1631">
        <v>2</v>
      </c>
      <c r="J1631">
        <v>0.50729613900000003</v>
      </c>
      <c r="P1631"/>
      <c r="V1631">
        <v>0.32780571627668498</v>
      </c>
      <c r="W1631">
        <v>2</v>
      </c>
      <c r="X1631">
        <v>297206.85540902801</v>
      </c>
      <c r="Y1631">
        <v>2237</v>
      </c>
      <c r="Z1631">
        <v>1.183945846411</v>
      </c>
      <c r="AA1631">
        <v>50</v>
      </c>
    </row>
    <row r="1632" spans="1:27" x14ac:dyDescent="0.2">
      <c r="A1632">
        <v>20</v>
      </c>
      <c r="B1632">
        <v>2</v>
      </c>
      <c r="C1632">
        <v>0.2</v>
      </c>
      <c r="D1632">
        <v>20</v>
      </c>
      <c r="E1632">
        <v>0.59964233683021295</v>
      </c>
      <c r="F1632">
        <v>2</v>
      </c>
      <c r="G1632">
        <v>30.077415770999998</v>
      </c>
      <c r="H1632">
        <v>0.52646548536993298</v>
      </c>
      <c r="I1632">
        <v>2</v>
      </c>
      <c r="J1632">
        <v>0.45114182600000002</v>
      </c>
      <c r="P1632"/>
      <c r="V1632">
        <v>0.52114645143901694</v>
      </c>
      <c r="W1632">
        <v>2</v>
      </c>
      <c r="X1632">
        <v>295899.00658911403</v>
      </c>
      <c r="Y1632">
        <v>4376</v>
      </c>
      <c r="Z1632">
        <v>0.33883920685708802</v>
      </c>
      <c r="AA1632">
        <v>50</v>
      </c>
    </row>
    <row r="1633" spans="1:27" x14ac:dyDescent="0.2">
      <c r="A1633">
        <v>20</v>
      </c>
      <c r="B1633">
        <v>2</v>
      </c>
      <c r="C1633">
        <v>0.2</v>
      </c>
      <c r="D1633">
        <v>20</v>
      </c>
      <c r="E1633">
        <v>0.74251516699531095</v>
      </c>
      <c r="F1633">
        <v>2</v>
      </c>
      <c r="G1633">
        <v>27.944522823</v>
      </c>
      <c r="H1633">
        <v>0.67703149934909901</v>
      </c>
      <c r="I1633">
        <v>2</v>
      </c>
      <c r="J1633">
        <v>0.68360394999999996</v>
      </c>
      <c r="P1633"/>
      <c r="V1633">
        <v>0.67969972773684795</v>
      </c>
      <c r="W1633">
        <v>2</v>
      </c>
      <c r="X1633">
        <v>298950.53248249798</v>
      </c>
      <c r="Y1633">
        <v>3193</v>
      </c>
      <c r="Z1633">
        <v>0.32018888219520902</v>
      </c>
      <c r="AA1633">
        <v>50</v>
      </c>
    </row>
    <row r="1634" spans="1:27" x14ac:dyDescent="0.2">
      <c r="A1634">
        <v>20</v>
      </c>
      <c r="B1634">
        <v>2</v>
      </c>
      <c r="C1634">
        <v>0.3</v>
      </c>
      <c r="D1634">
        <v>20</v>
      </c>
      <c r="E1634">
        <v>0.32041598597515403</v>
      </c>
      <c r="F1634">
        <v>2</v>
      </c>
      <c r="G1634">
        <v>29.199448673999999</v>
      </c>
      <c r="H1634">
        <v>0.214200156315069</v>
      </c>
      <c r="I1634">
        <v>2</v>
      </c>
      <c r="J1634">
        <v>0.25253010599999998</v>
      </c>
      <c r="P1634"/>
      <c r="V1634">
        <v>0.188744071252926</v>
      </c>
      <c r="W1634">
        <v>2</v>
      </c>
      <c r="X1634">
        <v>299859.90437521099</v>
      </c>
      <c r="Y1634">
        <v>3131</v>
      </c>
      <c r="Z1634">
        <v>1.5584594171558199</v>
      </c>
      <c r="AA1634">
        <v>50</v>
      </c>
    </row>
    <row r="1635" spans="1:27" x14ac:dyDescent="0.2">
      <c r="A1635">
        <v>20</v>
      </c>
      <c r="B1635">
        <v>2</v>
      </c>
      <c r="C1635">
        <v>0.1</v>
      </c>
      <c r="D1635">
        <v>20</v>
      </c>
      <c r="E1635">
        <v>0.98710862386389697</v>
      </c>
      <c r="F1635">
        <v>2</v>
      </c>
      <c r="G1635">
        <v>29.123503495000001</v>
      </c>
      <c r="H1635">
        <v>0.95739229530469805</v>
      </c>
      <c r="I1635">
        <v>2</v>
      </c>
      <c r="J1635">
        <v>0.83550075599999996</v>
      </c>
      <c r="P1635"/>
      <c r="V1635">
        <v>0.95865394999514997</v>
      </c>
      <c r="W1635">
        <v>2</v>
      </c>
      <c r="X1635">
        <v>300037.02190678701</v>
      </c>
      <c r="Y1635">
        <v>10969</v>
      </c>
      <c r="Z1635">
        <v>1.67522944757365E-2</v>
      </c>
      <c r="AA1635">
        <v>50</v>
      </c>
    </row>
    <row r="1636" spans="1:27" x14ac:dyDescent="0.2">
      <c r="A1636">
        <v>20</v>
      </c>
      <c r="B1636">
        <v>2</v>
      </c>
      <c r="C1636">
        <v>0.1</v>
      </c>
      <c r="D1636">
        <v>20</v>
      </c>
      <c r="E1636">
        <v>0.98565665657471202</v>
      </c>
      <c r="F1636">
        <v>2</v>
      </c>
      <c r="G1636">
        <v>28.063851764999999</v>
      </c>
      <c r="H1636">
        <v>0.95531476572859897</v>
      </c>
      <c r="I1636">
        <v>2</v>
      </c>
      <c r="J1636">
        <v>0.80953959399999997</v>
      </c>
      <c r="P1636"/>
      <c r="V1636">
        <v>1.0522514219633099</v>
      </c>
      <c r="W1636">
        <v>2</v>
      </c>
      <c r="X1636">
        <v>302538.73901668901</v>
      </c>
      <c r="Y1636">
        <v>3205</v>
      </c>
      <c r="Z1636">
        <v>5.4140769468460803E-2</v>
      </c>
      <c r="AA1636">
        <v>50</v>
      </c>
    </row>
    <row r="1637" spans="1:27" x14ac:dyDescent="0.2">
      <c r="A1637">
        <v>20</v>
      </c>
      <c r="B1637">
        <v>2</v>
      </c>
      <c r="C1637">
        <v>0.3</v>
      </c>
      <c r="D1637">
        <v>20</v>
      </c>
      <c r="E1637">
        <v>0.347562014683158</v>
      </c>
      <c r="F1637">
        <v>2</v>
      </c>
      <c r="G1637">
        <v>28.683193193000001</v>
      </c>
      <c r="H1637">
        <v>0.32651480367830998</v>
      </c>
      <c r="I1637">
        <v>2</v>
      </c>
      <c r="J1637">
        <v>0.59403826500000001</v>
      </c>
      <c r="P1637"/>
      <c r="V1637">
        <v>0.30246174864380199</v>
      </c>
      <c r="W1637">
        <v>2</v>
      </c>
      <c r="X1637">
        <v>297719.63524860598</v>
      </c>
      <c r="Y1637">
        <v>3155</v>
      </c>
      <c r="Z1637">
        <v>1.23888954931094</v>
      </c>
      <c r="AA1637">
        <v>50</v>
      </c>
    </row>
    <row r="1638" spans="1:27" x14ac:dyDescent="0.2">
      <c r="A1638">
        <v>20</v>
      </c>
      <c r="B1638">
        <v>2</v>
      </c>
      <c r="C1638">
        <v>0.1</v>
      </c>
      <c r="D1638">
        <v>20</v>
      </c>
      <c r="E1638">
        <v>1.0076041907212301</v>
      </c>
      <c r="F1638">
        <v>2</v>
      </c>
      <c r="G1638">
        <v>28.088114869000002</v>
      </c>
      <c r="H1638">
        <v>0.994852032781125</v>
      </c>
      <c r="I1638">
        <v>2</v>
      </c>
      <c r="J1638">
        <v>0.75517932200000004</v>
      </c>
      <c r="P1638"/>
      <c r="V1638">
        <v>0.99803079465668698</v>
      </c>
      <c r="W1638">
        <v>2</v>
      </c>
      <c r="X1638">
        <v>299101.66982408398</v>
      </c>
      <c r="Y1638">
        <v>6580</v>
      </c>
      <c r="Z1638">
        <v>1.2068582460340699E-2</v>
      </c>
      <c r="AA1638">
        <v>50</v>
      </c>
    </row>
    <row r="1639" spans="1:27" x14ac:dyDescent="0.2">
      <c r="A1639">
        <v>20</v>
      </c>
      <c r="B1639">
        <v>2</v>
      </c>
      <c r="C1639">
        <v>0.3</v>
      </c>
      <c r="D1639">
        <v>20</v>
      </c>
      <c r="E1639">
        <v>0.31227431281081702</v>
      </c>
      <c r="F1639">
        <v>2</v>
      </c>
      <c r="G1639">
        <v>29.679939696000002</v>
      </c>
      <c r="H1639">
        <v>0.17916772224760499</v>
      </c>
      <c r="I1639">
        <v>2</v>
      </c>
      <c r="J1639">
        <v>0.26143461600000001</v>
      </c>
      <c r="P1639"/>
      <c r="V1639">
        <v>0.16284669568464399</v>
      </c>
      <c r="W1639">
        <v>2</v>
      </c>
      <c r="X1639">
        <v>298936.16434929502</v>
      </c>
      <c r="Y1639">
        <v>2401</v>
      </c>
      <c r="Z1639">
        <v>1.0049631759757101</v>
      </c>
      <c r="AA1639">
        <v>50</v>
      </c>
    </row>
    <row r="1640" spans="1:27" x14ac:dyDescent="0.2">
      <c r="A1640">
        <v>20</v>
      </c>
      <c r="B1640">
        <v>2</v>
      </c>
      <c r="C1640">
        <v>0.1</v>
      </c>
      <c r="D1640">
        <v>20</v>
      </c>
      <c r="E1640">
        <v>0.97510118144981806</v>
      </c>
      <c r="F1640">
        <v>2</v>
      </c>
      <c r="G1640">
        <v>27.179464919000001</v>
      </c>
      <c r="H1640">
        <v>0.94574784484089802</v>
      </c>
      <c r="I1640">
        <v>2</v>
      </c>
      <c r="J1640">
        <v>0.29156814399999997</v>
      </c>
      <c r="P1640"/>
      <c r="V1640">
        <v>0.95650077003152301</v>
      </c>
      <c r="W1640">
        <v>2</v>
      </c>
      <c r="X1640">
        <v>303531.01525221602</v>
      </c>
      <c r="Y1640">
        <v>23275</v>
      </c>
      <c r="Z1640">
        <v>4.0622458707359997E-2</v>
      </c>
      <c r="AA1640">
        <v>50</v>
      </c>
    </row>
    <row r="1641" spans="1:27" x14ac:dyDescent="0.2">
      <c r="A1641">
        <v>20</v>
      </c>
      <c r="B1641">
        <v>2</v>
      </c>
      <c r="C1641">
        <v>0.3</v>
      </c>
      <c r="D1641">
        <v>20</v>
      </c>
      <c r="E1641">
        <v>0.48283723314284499</v>
      </c>
      <c r="F1641">
        <v>2</v>
      </c>
      <c r="G1641">
        <v>28.683193961000001</v>
      </c>
      <c r="H1641">
        <v>0.274998053914081</v>
      </c>
      <c r="I1641">
        <v>2</v>
      </c>
      <c r="J1641">
        <v>0.57993071900000004</v>
      </c>
      <c r="P1641"/>
      <c r="V1641">
        <v>0.26382424693456102</v>
      </c>
      <c r="W1641">
        <v>2</v>
      </c>
      <c r="X1641">
        <v>298896.268748337</v>
      </c>
      <c r="Y1641">
        <v>3043</v>
      </c>
      <c r="Z1641">
        <v>1.8747866616003499</v>
      </c>
      <c r="AA1641">
        <v>50</v>
      </c>
    </row>
    <row r="1642" spans="1:27" x14ac:dyDescent="0.2">
      <c r="A1642">
        <v>20</v>
      </c>
      <c r="B1642">
        <v>2</v>
      </c>
      <c r="C1642">
        <v>0.2</v>
      </c>
      <c r="D1642">
        <v>20</v>
      </c>
      <c r="E1642">
        <v>0.86968317851925803</v>
      </c>
      <c r="F1642">
        <v>2</v>
      </c>
      <c r="G1642">
        <v>28.151167292</v>
      </c>
      <c r="H1642">
        <v>1.03806172628056</v>
      </c>
      <c r="I1642">
        <v>2</v>
      </c>
      <c r="J1642">
        <v>0.60952718900000002</v>
      </c>
      <c r="P1642"/>
      <c r="V1642">
        <v>1.0497584425126001</v>
      </c>
      <c r="W1642">
        <v>2</v>
      </c>
      <c r="X1642">
        <v>299918.63164150697</v>
      </c>
      <c r="Y1642">
        <v>2431</v>
      </c>
      <c r="Z1642">
        <v>0.53111038061214699</v>
      </c>
      <c r="AA1642">
        <v>50</v>
      </c>
    </row>
    <row r="1643" spans="1:27" x14ac:dyDescent="0.2">
      <c r="A1643">
        <v>20</v>
      </c>
      <c r="B1643">
        <v>2</v>
      </c>
      <c r="C1643">
        <v>0.1</v>
      </c>
      <c r="D1643">
        <v>20</v>
      </c>
      <c r="E1643">
        <v>1.2305639747286099</v>
      </c>
      <c r="F1643">
        <v>2</v>
      </c>
      <c r="G1643">
        <v>28.088534546000002</v>
      </c>
      <c r="H1643">
        <v>1.09078477189735</v>
      </c>
      <c r="I1643">
        <v>2</v>
      </c>
      <c r="J1643">
        <v>0.67274323700000005</v>
      </c>
      <c r="P1643"/>
      <c r="V1643">
        <v>1.03357202222228</v>
      </c>
      <c r="W1643">
        <v>2</v>
      </c>
      <c r="X1643">
        <v>304673.10146512999</v>
      </c>
      <c r="Y1643">
        <v>6449</v>
      </c>
      <c r="Z1643">
        <v>3.4381879900545399E-2</v>
      </c>
      <c r="AA1643">
        <v>50</v>
      </c>
    </row>
    <row r="1644" spans="1:27" x14ac:dyDescent="0.2">
      <c r="A1644">
        <v>20</v>
      </c>
      <c r="B1644">
        <v>2</v>
      </c>
      <c r="C1644">
        <v>0.1</v>
      </c>
      <c r="D1644">
        <v>20</v>
      </c>
      <c r="E1644">
        <v>1.2232393900649099</v>
      </c>
      <c r="F1644">
        <v>2</v>
      </c>
      <c r="G1644">
        <v>28.624559338000001</v>
      </c>
      <c r="H1644">
        <v>1.1184410641917</v>
      </c>
      <c r="I1644">
        <v>2</v>
      </c>
      <c r="J1644">
        <v>0.81021052999999998</v>
      </c>
      <c r="P1644"/>
      <c r="V1644">
        <v>1.0086613811885301</v>
      </c>
      <c r="W1644">
        <v>2</v>
      </c>
      <c r="X1644">
        <v>301149.09245102899</v>
      </c>
      <c r="Y1644">
        <v>13475</v>
      </c>
      <c r="Z1644">
        <v>3.1729388713813103E-2</v>
      </c>
      <c r="AA1644">
        <v>50</v>
      </c>
    </row>
    <row r="1645" spans="1:27" x14ac:dyDescent="0.2">
      <c r="A1645">
        <v>20</v>
      </c>
      <c r="B1645">
        <v>2</v>
      </c>
      <c r="C1645">
        <v>0.1</v>
      </c>
      <c r="D1645">
        <v>20</v>
      </c>
      <c r="E1645">
        <v>0.99733978383842004</v>
      </c>
      <c r="F1645">
        <v>2</v>
      </c>
      <c r="G1645">
        <v>29.190179398000001</v>
      </c>
      <c r="H1645">
        <v>0.81607582297147996</v>
      </c>
      <c r="I1645">
        <v>2</v>
      </c>
      <c r="J1645">
        <v>0.699469542</v>
      </c>
      <c r="P1645"/>
      <c r="V1645">
        <v>0.814933376365097</v>
      </c>
      <c r="W1645">
        <v>2</v>
      </c>
      <c r="X1645">
        <v>303635.48380485299</v>
      </c>
      <c r="Y1645">
        <v>5029</v>
      </c>
      <c r="Z1645">
        <v>2.06146553348696E-2</v>
      </c>
      <c r="AA1645">
        <v>50</v>
      </c>
    </row>
    <row r="1646" spans="1:27" x14ac:dyDescent="0.2">
      <c r="A1646">
        <v>20</v>
      </c>
      <c r="B1646">
        <v>2</v>
      </c>
      <c r="C1646">
        <v>0.1</v>
      </c>
      <c r="D1646">
        <v>20</v>
      </c>
      <c r="E1646">
        <v>1.04177753191855</v>
      </c>
      <c r="F1646">
        <v>2</v>
      </c>
      <c r="G1646">
        <v>27.579420948999999</v>
      </c>
      <c r="H1646">
        <v>1.12235385888186</v>
      </c>
      <c r="I1646">
        <v>2</v>
      </c>
      <c r="J1646">
        <v>0.47602461899999998</v>
      </c>
      <c r="P1646"/>
      <c r="V1646">
        <v>0.99926076056839497</v>
      </c>
      <c r="W1646">
        <v>2</v>
      </c>
      <c r="X1646">
        <v>301093.00443954498</v>
      </c>
      <c r="Y1646">
        <v>11643</v>
      </c>
      <c r="Z1646">
        <v>3.6250251317146903E-2</v>
      </c>
      <c r="AA1646">
        <v>50</v>
      </c>
    </row>
    <row r="1647" spans="1:27" x14ac:dyDescent="0.2">
      <c r="A1647">
        <v>20</v>
      </c>
      <c r="B1647">
        <v>2</v>
      </c>
      <c r="C1647">
        <v>0.1</v>
      </c>
      <c r="D1647">
        <v>20</v>
      </c>
      <c r="E1647">
        <v>0.88249576632938198</v>
      </c>
      <c r="F1647">
        <v>2</v>
      </c>
      <c r="G1647">
        <v>29.196098548999998</v>
      </c>
      <c r="H1647">
        <v>0.90030229339882994</v>
      </c>
      <c r="I1647">
        <v>2</v>
      </c>
      <c r="J1647">
        <v>0.32883393300000002</v>
      </c>
      <c r="P1647"/>
      <c r="V1647">
        <v>1.00353941558902</v>
      </c>
      <c r="W1647">
        <v>2</v>
      </c>
      <c r="X1647">
        <v>303474.07570869097</v>
      </c>
      <c r="Y1647">
        <v>11451</v>
      </c>
      <c r="Z1647">
        <v>2.7113976529843299E-2</v>
      </c>
      <c r="AA1647">
        <v>50</v>
      </c>
    </row>
    <row r="1648" spans="1:27" x14ac:dyDescent="0.2">
      <c r="A1648">
        <v>20</v>
      </c>
      <c r="B1648">
        <v>2</v>
      </c>
      <c r="C1648">
        <v>0.2</v>
      </c>
      <c r="D1648">
        <v>20</v>
      </c>
      <c r="E1648">
        <v>0.77817381886404502</v>
      </c>
      <c r="F1648">
        <v>2</v>
      </c>
      <c r="G1648">
        <v>29.062415590000001</v>
      </c>
      <c r="H1648">
        <v>0.66652353972483103</v>
      </c>
      <c r="I1648">
        <v>2</v>
      </c>
      <c r="J1648">
        <v>0.39479802000000003</v>
      </c>
      <c r="P1648"/>
      <c r="V1648">
        <v>0.64568418988512799</v>
      </c>
      <c r="W1648">
        <v>2</v>
      </c>
      <c r="X1648">
        <v>303781.75216189103</v>
      </c>
      <c r="Y1648">
        <v>2264</v>
      </c>
      <c r="Z1648">
        <v>0.46535407638086701</v>
      </c>
      <c r="AA1648">
        <v>50</v>
      </c>
    </row>
    <row r="1649" spans="1:27" x14ac:dyDescent="0.2">
      <c r="A1649">
        <v>20</v>
      </c>
      <c r="B1649">
        <v>2</v>
      </c>
      <c r="C1649">
        <v>0.2</v>
      </c>
      <c r="D1649">
        <v>20</v>
      </c>
      <c r="E1649">
        <v>0.65904493446304102</v>
      </c>
      <c r="F1649">
        <v>2</v>
      </c>
      <c r="G1649">
        <v>30.932851432</v>
      </c>
      <c r="H1649">
        <v>0.56925334618476298</v>
      </c>
      <c r="I1649">
        <v>2</v>
      </c>
      <c r="J1649">
        <v>0.40932569400000002</v>
      </c>
      <c r="P1649"/>
      <c r="V1649">
        <v>0.56980006326517696</v>
      </c>
      <c r="W1649">
        <v>2</v>
      </c>
      <c r="X1649">
        <v>301729.602124158</v>
      </c>
      <c r="Y1649">
        <v>3437</v>
      </c>
      <c r="Z1649">
        <v>0.25900504855584</v>
      </c>
      <c r="AA1649">
        <v>50</v>
      </c>
    </row>
    <row r="1650" spans="1:27" x14ac:dyDescent="0.2">
      <c r="A1650">
        <v>20</v>
      </c>
      <c r="B1650">
        <v>2</v>
      </c>
      <c r="C1650">
        <v>0.3</v>
      </c>
      <c r="D1650">
        <v>20</v>
      </c>
      <c r="E1650">
        <v>0.290893794880135</v>
      </c>
      <c r="F1650">
        <v>2</v>
      </c>
      <c r="G1650">
        <v>29.814119428000001</v>
      </c>
      <c r="H1650">
        <v>0.21743024675050501</v>
      </c>
      <c r="I1650">
        <v>2</v>
      </c>
      <c r="J1650">
        <v>0.30276629700000002</v>
      </c>
      <c r="P1650"/>
      <c r="V1650">
        <v>0.197591379834307</v>
      </c>
      <c r="W1650">
        <v>2</v>
      </c>
      <c r="X1650">
        <v>293219.96750582999</v>
      </c>
      <c r="Y1650">
        <v>2342</v>
      </c>
      <c r="Z1650">
        <v>1.77546916444252</v>
      </c>
      <c r="AA1650">
        <v>50</v>
      </c>
    </row>
    <row r="1651" spans="1:27" x14ac:dyDescent="0.2">
      <c r="A1651">
        <v>20</v>
      </c>
      <c r="B1651">
        <v>2</v>
      </c>
      <c r="C1651">
        <v>0.3</v>
      </c>
      <c r="D1651">
        <v>20</v>
      </c>
      <c r="E1651">
        <v>0.50800735266719499</v>
      </c>
      <c r="F1651">
        <v>2</v>
      </c>
      <c r="G1651">
        <v>28.048030416</v>
      </c>
      <c r="H1651">
        <v>0.340891334671302</v>
      </c>
      <c r="I1651">
        <v>2</v>
      </c>
      <c r="J1651">
        <v>0.26238326699999998</v>
      </c>
      <c r="P1651"/>
      <c r="V1651">
        <v>0.32580682940436501</v>
      </c>
      <c r="W1651">
        <v>2</v>
      </c>
      <c r="X1651">
        <v>301981.386182038</v>
      </c>
      <c r="Y1651">
        <v>2395</v>
      </c>
      <c r="Z1651">
        <v>1.1639683310018101</v>
      </c>
      <c r="AA1651">
        <v>50</v>
      </c>
    </row>
    <row r="1652" spans="1:27" x14ac:dyDescent="0.2">
      <c r="A1652">
        <v>20</v>
      </c>
      <c r="B1652">
        <v>2</v>
      </c>
      <c r="C1652">
        <v>0.3</v>
      </c>
      <c r="D1652">
        <v>20</v>
      </c>
      <c r="E1652">
        <v>0.226631407214928</v>
      </c>
      <c r="F1652">
        <v>2</v>
      </c>
      <c r="G1652">
        <v>22.324426113000001</v>
      </c>
      <c r="H1652">
        <v>0.212390682543774</v>
      </c>
      <c r="I1652">
        <v>2</v>
      </c>
      <c r="J1652">
        <v>0.106613477</v>
      </c>
      <c r="P1652"/>
      <c r="V1652">
        <v>0.203569358405288</v>
      </c>
      <c r="W1652">
        <v>2</v>
      </c>
      <c r="X1652">
        <v>302204.758154365</v>
      </c>
      <c r="Y1652">
        <v>6703</v>
      </c>
      <c r="Z1652">
        <v>1.3775948502417199</v>
      </c>
      <c r="AA1652">
        <v>50</v>
      </c>
    </row>
    <row r="1653" spans="1:27" x14ac:dyDescent="0.2">
      <c r="A1653">
        <v>20</v>
      </c>
      <c r="B1653">
        <v>2</v>
      </c>
      <c r="C1653">
        <v>0.1</v>
      </c>
      <c r="D1653">
        <v>20</v>
      </c>
      <c r="E1653">
        <v>0.96724464301032598</v>
      </c>
      <c r="F1653">
        <v>2</v>
      </c>
      <c r="G1653">
        <v>28.394338885</v>
      </c>
      <c r="H1653">
        <v>0.97292740277957501</v>
      </c>
      <c r="I1653">
        <v>2</v>
      </c>
      <c r="J1653">
        <v>0.58089374500000002</v>
      </c>
      <c r="P1653"/>
      <c r="V1653">
        <v>0.97514144769266498</v>
      </c>
      <c r="W1653">
        <v>2</v>
      </c>
      <c r="X1653">
        <v>304348.15763954801</v>
      </c>
      <c r="Y1653">
        <v>3138</v>
      </c>
      <c r="Z1653">
        <v>3.9605504374776501E-2</v>
      </c>
      <c r="AA1653">
        <v>50</v>
      </c>
    </row>
    <row r="1654" spans="1:27" x14ac:dyDescent="0.2">
      <c r="A1654">
        <v>20</v>
      </c>
      <c r="B1654">
        <v>2</v>
      </c>
      <c r="C1654">
        <v>0.3</v>
      </c>
      <c r="D1654">
        <v>20</v>
      </c>
      <c r="E1654">
        <v>0.26776272561745401</v>
      </c>
      <c r="F1654">
        <v>2</v>
      </c>
      <c r="G1654">
        <v>28.226080289999999</v>
      </c>
      <c r="H1654">
        <v>0.23004582056342901</v>
      </c>
      <c r="I1654">
        <v>2</v>
      </c>
      <c r="J1654">
        <v>0.17294874900000001</v>
      </c>
      <c r="P1654"/>
      <c r="V1654">
        <v>0.192919422774738</v>
      </c>
      <c r="W1654">
        <v>2</v>
      </c>
      <c r="X1654">
        <v>296624.53146974102</v>
      </c>
      <c r="Y1654">
        <v>2424</v>
      </c>
      <c r="Z1654">
        <v>1.05564695482999</v>
      </c>
      <c r="AA1654">
        <v>50</v>
      </c>
    </row>
    <row r="1655" spans="1:27" x14ac:dyDescent="0.2">
      <c r="A1655">
        <v>20</v>
      </c>
      <c r="B1655">
        <v>2</v>
      </c>
      <c r="C1655">
        <v>0.1</v>
      </c>
      <c r="D1655">
        <v>20</v>
      </c>
      <c r="E1655">
        <v>1.16081838776341</v>
      </c>
      <c r="F1655">
        <v>2</v>
      </c>
      <c r="G1655">
        <v>28.629713363</v>
      </c>
      <c r="H1655">
        <v>1.0260395563099001</v>
      </c>
      <c r="I1655">
        <v>2</v>
      </c>
      <c r="J1655">
        <v>0.56184896799999995</v>
      </c>
      <c r="P1655"/>
      <c r="V1655">
        <v>1.0211381827327599</v>
      </c>
      <c r="W1655">
        <v>2</v>
      </c>
      <c r="X1655">
        <v>294936.93100619502</v>
      </c>
      <c r="Y1655">
        <v>4845</v>
      </c>
      <c r="Z1655">
        <v>3.4469933468584998E-2</v>
      </c>
      <c r="AA1655">
        <v>50</v>
      </c>
    </row>
    <row r="1656" spans="1:27" x14ac:dyDescent="0.2">
      <c r="A1656">
        <v>20</v>
      </c>
      <c r="B1656">
        <v>2</v>
      </c>
      <c r="C1656">
        <v>0.3</v>
      </c>
      <c r="D1656">
        <v>20</v>
      </c>
      <c r="E1656">
        <v>0.38033095761312402</v>
      </c>
      <c r="F1656">
        <v>2</v>
      </c>
      <c r="G1656">
        <v>28.387836271000001</v>
      </c>
      <c r="H1656">
        <v>0.33155078850846398</v>
      </c>
      <c r="I1656">
        <v>2</v>
      </c>
      <c r="J1656">
        <v>0.26604241899999997</v>
      </c>
      <c r="P1656"/>
      <c r="V1656">
        <v>0.32504147187002402</v>
      </c>
      <c r="W1656">
        <v>2</v>
      </c>
      <c r="X1656">
        <v>298931.900690915</v>
      </c>
      <c r="Y1656">
        <v>2152</v>
      </c>
      <c r="Z1656">
        <v>1.0208644666464</v>
      </c>
      <c r="AA1656">
        <v>50</v>
      </c>
    </row>
    <row r="1657" spans="1:27" x14ac:dyDescent="0.2">
      <c r="A1657">
        <v>20</v>
      </c>
      <c r="B1657">
        <v>2</v>
      </c>
      <c r="C1657">
        <v>0.2</v>
      </c>
      <c r="D1657">
        <v>20</v>
      </c>
      <c r="E1657">
        <v>0.53356715419596101</v>
      </c>
      <c r="F1657">
        <v>2</v>
      </c>
      <c r="G1657">
        <v>28.507197473000002</v>
      </c>
      <c r="H1657">
        <v>0.44921775302539602</v>
      </c>
      <c r="I1657">
        <v>2</v>
      </c>
      <c r="J1657">
        <v>0.30877465399999998</v>
      </c>
      <c r="P1657"/>
      <c r="V1657">
        <v>0.44078878996416399</v>
      </c>
      <c r="W1657">
        <v>2</v>
      </c>
      <c r="X1657">
        <v>296535.149549664</v>
      </c>
      <c r="Y1657">
        <v>4235</v>
      </c>
      <c r="Z1657">
        <v>0.55919315546452697</v>
      </c>
      <c r="AA1657">
        <v>50</v>
      </c>
    </row>
    <row r="1658" spans="1:27" x14ac:dyDescent="0.2">
      <c r="A1658">
        <v>20</v>
      </c>
      <c r="B1658">
        <v>2</v>
      </c>
      <c r="C1658">
        <v>0.3</v>
      </c>
      <c r="D1658">
        <v>20</v>
      </c>
      <c r="E1658">
        <v>0.29766740472771602</v>
      </c>
      <c r="F1658">
        <v>2</v>
      </c>
      <c r="G1658">
        <v>29.751646006000001</v>
      </c>
      <c r="H1658">
        <v>0.26825186576386301</v>
      </c>
      <c r="I1658">
        <v>2</v>
      </c>
      <c r="J1658">
        <v>0.193667016</v>
      </c>
      <c r="P1658"/>
      <c r="V1658">
        <v>0.25152070400691201</v>
      </c>
      <c r="W1658">
        <v>2</v>
      </c>
      <c r="X1658">
        <v>294175.383212118</v>
      </c>
      <c r="Y1658">
        <v>2317</v>
      </c>
      <c r="Z1658">
        <v>1.28770319115262</v>
      </c>
      <c r="AA1658">
        <v>50</v>
      </c>
    </row>
    <row r="1659" spans="1:27" x14ac:dyDescent="0.2">
      <c r="A1659">
        <v>20</v>
      </c>
      <c r="B1659">
        <v>2</v>
      </c>
      <c r="C1659">
        <v>0.2</v>
      </c>
      <c r="D1659">
        <v>20</v>
      </c>
      <c r="E1659">
        <v>0.72522655019025095</v>
      </c>
      <c r="F1659">
        <v>2</v>
      </c>
      <c r="G1659">
        <v>28.076288535</v>
      </c>
      <c r="H1659">
        <v>0.46433144882786498</v>
      </c>
      <c r="I1659">
        <v>2</v>
      </c>
      <c r="J1659">
        <v>0.56213177299999995</v>
      </c>
      <c r="P1659"/>
      <c r="V1659">
        <v>0.44622884828023301</v>
      </c>
      <c r="W1659">
        <v>2</v>
      </c>
      <c r="X1659">
        <v>303199.03021587402</v>
      </c>
      <c r="Y1659">
        <v>2430</v>
      </c>
      <c r="Z1659">
        <v>0.39466142892913902</v>
      </c>
      <c r="AA1659">
        <v>50</v>
      </c>
    </row>
    <row r="1660" spans="1:27" x14ac:dyDescent="0.2">
      <c r="A1660">
        <v>20</v>
      </c>
      <c r="B1660">
        <v>2</v>
      </c>
      <c r="C1660">
        <v>0.1</v>
      </c>
      <c r="D1660">
        <v>100</v>
      </c>
      <c r="E1660">
        <v>1.6797890521739101</v>
      </c>
      <c r="F1660">
        <v>2</v>
      </c>
      <c r="G1660">
        <v>29.511257985</v>
      </c>
      <c r="H1660">
        <v>1.0833964615996801</v>
      </c>
      <c r="I1660">
        <v>2</v>
      </c>
      <c r="J1660">
        <v>0.85509782199999995</v>
      </c>
      <c r="P1660"/>
      <c r="V1660">
        <v>1.08458047226179</v>
      </c>
      <c r="W1660">
        <v>2</v>
      </c>
      <c r="X1660">
        <v>345.70148432399998</v>
      </c>
      <c r="Y1660">
        <v>1</v>
      </c>
      <c r="Z1660">
        <v>9.4586672366858693E-3</v>
      </c>
      <c r="AA1660">
        <v>2</v>
      </c>
    </row>
    <row r="1661" spans="1:27" x14ac:dyDescent="0.2">
      <c r="A1661">
        <v>20</v>
      </c>
      <c r="B1661">
        <v>2</v>
      </c>
      <c r="C1661">
        <v>0.1</v>
      </c>
      <c r="D1661">
        <v>100</v>
      </c>
      <c r="E1661">
        <v>0.95352472310168401</v>
      </c>
      <c r="F1661">
        <v>2</v>
      </c>
      <c r="G1661">
        <v>29.398922928000001</v>
      </c>
      <c r="H1661">
        <v>0.89554176228587501</v>
      </c>
      <c r="I1661">
        <v>2</v>
      </c>
      <c r="J1661">
        <v>0.87099700999999996</v>
      </c>
      <c r="P1661"/>
      <c r="V1661">
        <v>0.89549847639710101</v>
      </c>
      <c r="W1661">
        <v>2</v>
      </c>
      <c r="X1661">
        <v>768.99751555700004</v>
      </c>
      <c r="Y1661">
        <v>325</v>
      </c>
      <c r="Z1661">
        <v>5.8504502520444202E-3</v>
      </c>
      <c r="AA1661">
        <v>2</v>
      </c>
    </row>
    <row r="1662" spans="1:27" x14ac:dyDescent="0.2">
      <c r="A1662">
        <v>40</v>
      </c>
      <c r="B1662">
        <v>1</v>
      </c>
      <c r="C1662">
        <v>0.1</v>
      </c>
      <c r="D1662">
        <v>20</v>
      </c>
      <c r="E1662">
        <v>0.39233481368239298</v>
      </c>
      <c r="F1662">
        <v>1</v>
      </c>
      <c r="G1662">
        <v>23.250051794000001</v>
      </c>
      <c r="H1662">
        <v>0.33129625753879</v>
      </c>
      <c r="I1662">
        <v>1</v>
      </c>
      <c r="J1662">
        <v>0.67410739399999997</v>
      </c>
      <c r="P1662"/>
      <c r="V1662">
        <v>0.30925309877705398</v>
      </c>
      <c r="W1662">
        <v>1</v>
      </c>
      <c r="X1662">
        <v>296711.15166598198</v>
      </c>
      <c r="Y1662">
        <v>371</v>
      </c>
      <c r="Z1662">
        <v>0.19047801641631701</v>
      </c>
      <c r="AA1662">
        <v>50</v>
      </c>
    </row>
    <row r="1663" spans="1:27" x14ac:dyDescent="0.2">
      <c r="A1663">
        <v>40</v>
      </c>
      <c r="B1663">
        <v>1</v>
      </c>
      <c r="C1663">
        <v>0.1</v>
      </c>
      <c r="D1663">
        <v>20</v>
      </c>
      <c r="E1663">
        <v>0.51875297967182699</v>
      </c>
      <c r="F1663">
        <v>1</v>
      </c>
      <c r="G1663">
        <v>23.114165290999999</v>
      </c>
      <c r="H1663">
        <v>0.47394268136251799</v>
      </c>
      <c r="I1663">
        <v>1</v>
      </c>
      <c r="J1663">
        <v>0.69618974300000003</v>
      </c>
      <c r="P1663"/>
      <c r="V1663">
        <v>0.45758752337516401</v>
      </c>
      <c r="W1663">
        <v>1</v>
      </c>
      <c r="X1663">
        <v>303430.53870340099</v>
      </c>
      <c r="Y1663">
        <v>352</v>
      </c>
      <c r="Z1663">
        <v>0.130659288791</v>
      </c>
      <c r="AA1663">
        <v>50</v>
      </c>
    </row>
    <row r="1664" spans="1:27" x14ac:dyDescent="0.2">
      <c r="A1664">
        <v>40</v>
      </c>
      <c r="B1664">
        <v>1</v>
      </c>
      <c r="C1664">
        <v>0.1</v>
      </c>
      <c r="D1664">
        <v>20</v>
      </c>
      <c r="E1664">
        <v>0.30651590749630803</v>
      </c>
      <c r="F1664">
        <v>1</v>
      </c>
      <c r="G1664">
        <v>29.940252158</v>
      </c>
      <c r="H1664">
        <v>0.32549478953197503</v>
      </c>
      <c r="I1664">
        <v>1</v>
      </c>
      <c r="J1664">
        <v>0.75813418300000002</v>
      </c>
      <c r="P1664"/>
      <c r="V1664">
        <v>0.31552700583416299</v>
      </c>
      <c r="W1664">
        <v>1</v>
      </c>
      <c r="X1664">
        <v>302085.23457614798</v>
      </c>
      <c r="Y1664">
        <v>785</v>
      </c>
      <c r="Z1664">
        <v>0.117786026116851</v>
      </c>
      <c r="AA1664">
        <v>50</v>
      </c>
    </row>
    <row r="1665" spans="1:27" x14ac:dyDescent="0.2">
      <c r="A1665">
        <v>40</v>
      </c>
      <c r="B1665">
        <v>1</v>
      </c>
      <c r="C1665">
        <v>0.1</v>
      </c>
      <c r="D1665">
        <v>20</v>
      </c>
      <c r="E1665">
        <v>0.51519586105283399</v>
      </c>
      <c r="F1665">
        <v>1</v>
      </c>
      <c r="G1665">
        <v>32.020304707000001</v>
      </c>
      <c r="H1665">
        <v>0.39945889446357602</v>
      </c>
      <c r="I1665">
        <v>1</v>
      </c>
      <c r="J1665">
        <v>0.74510051399999999</v>
      </c>
      <c r="P1665"/>
      <c r="V1665">
        <v>0.38725965243150501</v>
      </c>
      <c r="W1665">
        <v>1</v>
      </c>
      <c r="X1665">
        <v>304547.69694613997</v>
      </c>
      <c r="Y1665">
        <v>255</v>
      </c>
      <c r="Z1665">
        <v>0.15201001349663901</v>
      </c>
      <c r="AA1665">
        <v>50</v>
      </c>
    </row>
    <row r="1666" spans="1:27" x14ac:dyDescent="0.2">
      <c r="A1666">
        <v>40</v>
      </c>
      <c r="B1666">
        <v>1</v>
      </c>
      <c r="C1666">
        <v>0.1</v>
      </c>
      <c r="D1666">
        <v>20</v>
      </c>
      <c r="E1666">
        <v>0.28282992658677802</v>
      </c>
      <c r="F1666">
        <v>1</v>
      </c>
      <c r="G1666">
        <v>32.029399933999997</v>
      </c>
      <c r="H1666">
        <v>0.200038147798661</v>
      </c>
      <c r="I1666">
        <v>1</v>
      </c>
      <c r="J1666">
        <v>1.0288732970000001</v>
      </c>
      <c r="P1666"/>
      <c r="V1666">
        <v>0.171627126194485</v>
      </c>
      <c r="W1666">
        <v>1</v>
      </c>
      <c r="X1666">
        <v>304557.11948945298</v>
      </c>
      <c r="Y1666">
        <v>1018</v>
      </c>
      <c r="Z1666">
        <v>0.17669649754361699</v>
      </c>
      <c r="AA1666">
        <v>50</v>
      </c>
    </row>
    <row r="1667" spans="1:27" x14ac:dyDescent="0.2">
      <c r="A1667">
        <v>40</v>
      </c>
      <c r="B1667">
        <v>1</v>
      </c>
      <c r="C1667">
        <v>0.1</v>
      </c>
      <c r="D1667">
        <v>20</v>
      </c>
      <c r="E1667">
        <v>0.39254267534679999</v>
      </c>
      <c r="F1667">
        <v>1</v>
      </c>
      <c r="G1667">
        <v>30.878705362000002</v>
      </c>
      <c r="H1667">
        <v>0.29582060767297602</v>
      </c>
      <c r="I1667">
        <v>1</v>
      </c>
      <c r="J1667">
        <v>0.61761271500000003</v>
      </c>
      <c r="P1667"/>
      <c r="V1667">
        <v>0.25899808345646902</v>
      </c>
      <c r="W1667">
        <v>1</v>
      </c>
      <c r="X1667">
        <v>302101.90310453501</v>
      </c>
      <c r="Y1667">
        <v>355</v>
      </c>
      <c r="Z1667">
        <v>0.18834126200475099</v>
      </c>
      <c r="AA1667">
        <v>50</v>
      </c>
    </row>
    <row r="1668" spans="1:27" x14ac:dyDescent="0.2">
      <c r="A1668">
        <v>40</v>
      </c>
      <c r="B1668">
        <v>1</v>
      </c>
      <c r="C1668">
        <v>0.1</v>
      </c>
      <c r="D1668">
        <v>20</v>
      </c>
      <c r="E1668">
        <v>0.46958397101201999</v>
      </c>
      <c r="F1668">
        <v>1</v>
      </c>
      <c r="G1668">
        <v>30.905563318999999</v>
      </c>
      <c r="H1668">
        <v>0.35214691236747298</v>
      </c>
      <c r="I1668">
        <v>1</v>
      </c>
      <c r="J1668">
        <v>1.022100741</v>
      </c>
      <c r="P1668"/>
      <c r="V1668">
        <v>0.34152030803420702</v>
      </c>
      <c r="W1668">
        <v>1</v>
      </c>
      <c r="X1668">
        <v>307535.10314807302</v>
      </c>
      <c r="Y1668">
        <v>191</v>
      </c>
      <c r="Z1668">
        <v>0.21665938279792801</v>
      </c>
      <c r="AA1668">
        <v>50</v>
      </c>
    </row>
    <row r="1669" spans="1:27" x14ac:dyDescent="0.2">
      <c r="A1669">
        <v>40</v>
      </c>
      <c r="B1669">
        <v>1</v>
      </c>
      <c r="C1669">
        <v>0.1</v>
      </c>
      <c r="D1669">
        <v>20</v>
      </c>
      <c r="E1669">
        <v>0.29133333384819499</v>
      </c>
      <c r="F1669">
        <v>1</v>
      </c>
      <c r="G1669">
        <v>30.974589258000002</v>
      </c>
      <c r="H1669">
        <v>0.26019382199448499</v>
      </c>
      <c r="I1669">
        <v>1</v>
      </c>
      <c r="J1669">
        <v>0.65770932500000001</v>
      </c>
      <c r="P1669"/>
      <c r="V1669">
        <v>0.215754712368043</v>
      </c>
      <c r="W1669">
        <v>1</v>
      </c>
      <c r="X1669">
        <v>307767.79700573703</v>
      </c>
      <c r="Y1669">
        <v>386</v>
      </c>
      <c r="Z1669">
        <v>0.177827417549071</v>
      </c>
      <c r="AA1669">
        <v>50</v>
      </c>
    </row>
    <row r="1670" spans="1:27" x14ac:dyDescent="0.2">
      <c r="A1670">
        <v>40</v>
      </c>
      <c r="B1670">
        <v>1</v>
      </c>
      <c r="C1670">
        <v>0.1</v>
      </c>
      <c r="D1670">
        <v>20</v>
      </c>
      <c r="E1670">
        <v>0.313658345728485</v>
      </c>
      <c r="F1670">
        <v>1</v>
      </c>
      <c r="G1670">
        <v>29.462441286000001</v>
      </c>
      <c r="H1670">
        <v>0.293852552898001</v>
      </c>
      <c r="I1670">
        <v>1</v>
      </c>
      <c r="J1670">
        <v>0.69713925099999996</v>
      </c>
      <c r="P1670"/>
      <c r="V1670">
        <v>0.26174290227904501</v>
      </c>
      <c r="W1670">
        <v>1</v>
      </c>
      <c r="X1670">
        <v>303328.608342527</v>
      </c>
      <c r="Y1670">
        <v>192</v>
      </c>
      <c r="Z1670">
        <v>0.16167565908751599</v>
      </c>
      <c r="AA1670">
        <v>50</v>
      </c>
    </row>
    <row r="1671" spans="1:27" x14ac:dyDescent="0.2">
      <c r="A1671">
        <v>20</v>
      </c>
      <c r="B1671">
        <v>2</v>
      </c>
      <c r="C1671">
        <v>0.2</v>
      </c>
      <c r="D1671">
        <v>100</v>
      </c>
      <c r="E1671">
        <v>0.76730441688841899</v>
      </c>
      <c r="F1671">
        <v>2</v>
      </c>
      <c r="G1671">
        <v>32.893413899999999</v>
      </c>
      <c r="H1671">
        <v>0.95025782960769001</v>
      </c>
      <c r="I1671">
        <v>2</v>
      </c>
      <c r="J1671">
        <v>0.87727302699999998</v>
      </c>
      <c r="P1671"/>
      <c r="V1671">
        <v>0.95947504229687497</v>
      </c>
      <c r="W1671">
        <v>2</v>
      </c>
      <c r="X1671">
        <v>296052.17058421799</v>
      </c>
      <c r="Y1671">
        <v>2402</v>
      </c>
      <c r="Z1671">
        <v>0.18113531109155601</v>
      </c>
      <c r="AA1671">
        <v>50</v>
      </c>
    </row>
    <row r="1672" spans="1:27" x14ac:dyDescent="0.2">
      <c r="A1672">
        <v>20</v>
      </c>
      <c r="B1672">
        <v>2</v>
      </c>
      <c r="C1672">
        <v>0.3</v>
      </c>
      <c r="D1672">
        <v>100</v>
      </c>
      <c r="E1672">
        <v>0.37722829385493201</v>
      </c>
      <c r="F1672">
        <v>2</v>
      </c>
      <c r="G1672">
        <v>32.908894674000003</v>
      </c>
      <c r="H1672">
        <v>7.0252617276895704E-2</v>
      </c>
      <c r="I1672">
        <v>2</v>
      </c>
      <c r="J1672">
        <v>0.490217968</v>
      </c>
      <c r="P1672"/>
      <c r="V1672">
        <v>5.9047593425945802E-2</v>
      </c>
      <c r="W1672">
        <v>2</v>
      </c>
      <c r="X1672">
        <v>296689.93950437702</v>
      </c>
      <c r="Y1672">
        <v>2399</v>
      </c>
      <c r="Z1672">
        <v>0.47107288300424799</v>
      </c>
      <c r="AA1672">
        <v>50</v>
      </c>
    </row>
    <row r="1673" spans="1:27" x14ac:dyDescent="0.2">
      <c r="A1673">
        <v>20</v>
      </c>
      <c r="B1673">
        <v>2</v>
      </c>
      <c r="C1673">
        <v>0.1</v>
      </c>
      <c r="D1673">
        <v>100</v>
      </c>
      <c r="E1673">
        <v>0.95697468691545196</v>
      </c>
      <c r="F1673">
        <v>2</v>
      </c>
      <c r="G1673">
        <v>29.414371085999999</v>
      </c>
      <c r="H1673">
        <v>0.95330557445962905</v>
      </c>
      <c r="I1673">
        <v>2</v>
      </c>
      <c r="J1673">
        <v>0.43275303599999998</v>
      </c>
      <c r="P1673"/>
      <c r="V1673">
        <v>0.98781054999194395</v>
      </c>
      <c r="W1673">
        <v>2</v>
      </c>
      <c r="X1673">
        <v>298071.74697040702</v>
      </c>
      <c r="Y1673">
        <v>5715</v>
      </c>
      <c r="Z1673">
        <v>3.8615968725475899E-3</v>
      </c>
      <c r="AA1673">
        <v>50</v>
      </c>
    </row>
    <row r="1674" spans="1:27" x14ac:dyDescent="0.2">
      <c r="A1674">
        <v>20</v>
      </c>
      <c r="B1674">
        <v>2</v>
      </c>
      <c r="C1674">
        <v>0.2</v>
      </c>
      <c r="D1674">
        <v>100</v>
      </c>
      <c r="E1674">
        <v>0.79282992598943103</v>
      </c>
      <c r="F1674">
        <v>2</v>
      </c>
      <c r="G1674">
        <v>31.227590143</v>
      </c>
      <c r="H1674">
        <v>0.81770708910898005</v>
      </c>
      <c r="I1674">
        <v>2</v>
      </c>
      <c r="J1674">
        <v>0.88213677899999998</v>
      </c>
      <c r="P1674"/>
      <c r="V1674">
        <v>0.83375259420971204</v>
      </c>
      <c r="W1674">
        <v>2</v>
      </c>
      <c r="X1674">
        <v>299343.06073817599</v>
      </c>
      <c r="Y1674">
        <v>2075</v>
      </c>
      <c r="Z1674">
        <v>0.21160910321458901</v>
      </c>
      <c r="AA1674">
        <v>50</v>
      </c>
    </row>
    <row r="1675" spans="1:27" x14ac:dyDescent="0.2">
      <c r="A1675">
        <v>20</v>
      </c>
      <c r="B1675">
        <v>2</v>
      </c>
      <c r="C1675">
        <v>0.3</v>
      </c>
      <c r="D1675">
        <v>100</v>
      </c>
      <c r="E1675">
        <v>0.50425507127987901</v>
      </c>
      <c r="F1675">
        <v>2</v>
      </c>
      <c r="G1675">
        <v>29.400742194999999</v>
      </c>
      <c r="H1675">
        <v>0.24906089162899001</v>
      </c>
      <c r="I1675">
        <v>2</v>
      </c>
      <c r="J1675">
        <v>0.35231109700000002</v>
      </c>
      <c r="P1675"/>
      <c r="V1675">
        <v>0.22570336982042399</v>
      </c>
      <c r="W1675">
        <v>2</v>
      </c>
      <c r="X1675">
        <v>299398.87982751703</v>
      </c>
      <c r="Y1675">
        <v>2291</v>
      </c>
      <c r="Z1675">
        <v>0.51050274803909201</v>
      </c>
      <c r="AA1675">
        <v>50</v>
      </c>
    </row>
    <row r="1676" spans="1:27" x14ac:dyDescent="0.2">
      <c r="A1676">
        <v>20</v>
      </c>
      <c r="B1676">
        <v>2</v>
      </c>
      <c r="C1676">
        <v>0.3</v>
      </c>
      <c r="D1676">
        <v>100</v>
      </c>
      <c r="E1676">
        <v>0.14812759240001799</v>
      </c>
      <c r="F1676">
        <v>2</v>
      </c>
      <c r="G1676">
        <v>29.480122585</v>
      </c>
      <c r="H1676">
        <v>3.5929974442055299E-2</v>
      </c>
      <c r="I1676">
        <v>2</v>
      </c>
      <c r="J1676">
        <v>0.37750229400000002</v>
      </c>
      <c r="P1676"/>
      <c r="V1676">
        <v>3.0498402833837202E-2</v>
      </c>
      <c r="W1676">
        <v>2</v>
      </c>
      <c r="X1676">
        <v>297557.82931700198</v>
      </c>
      <c r="Y1676">
        <v>2934</v>
      </c>
      <c r="Z1676">
        <v>0.17477031722955799</v>
      </c>
      <c r="AA1676">
        <v>50</v>
      </c>
    </row>
    <row r="1677" spans="1:27" x14ac:dyDescent="0.2">
      <c r="A1677">
        <v>20</v>
      </c>
      <c r="B1677">
        <v>2</v>
      </c>
      <c r="C1677">
        <v>0.3</v>
      </c>
      <c r="D1677">
        <v>100</v>
      </c>
      <c r="E1677">
        <v>0.43620355785093601</v>
      </c>
      <c r="F1677">
        <v>2</v>
      </c>
      <c r="G1677">
        <v>28.866153987000001</v>
      </c>
      <c r="H1677">
        <v>0.20615533003077899</v>
      </c>
      <c r="I1677">
        <v>2</v>
      </c>
      <c r="J1677">
        <v>0.39073142500000002</v>
      </c>
      <c r="P1677"/>
      <c r="V1677">
        <v>0.188533592097474</v>
      </c>
      <c r="W1677">
        <v>2</v>
      </c>
      <c r="X1677">
        <v>300560.25814208499</v>
      </c>
      <c r="Y1677">
        <v>2468</v>
      </c>
      <c r="Z1677">
        <v>0.31083464834333002</v>
      </c>
      <c r="AA1677">
        <v>50</v>
      </c>
    </row>
    <row r="1678" spans="1:27" x14ac:dyDescent="0.2">
      <c r="A1678">
        <v>20</v>
      </c>
      <c r="B1678">
        <v>2</v>
      </c>
      <c r="C1678">
        <v>0.1</v>
      </c>
      <c r="D1678">
        <v>100</v>
      </c>
      <c r="E1678">
        <v>1.14803810416875</v>
      </c>
      <c r="F1678">
        <v>2</v>
      </c>
      <c r="G1678">
        <v>31.353720338999999</v>
      </c>
      <c r="H1678">
        <v>0.92773082393164197</v>
      </c>
      <c r="I1678">
        <v>2</v>
      </c>
      <c r="J1678">
        <v>0.91847082499999999</v>
      </c>
      <c r="P1678"/>
      <c r="V1678">
        <v>0.964474310869463</v>
      </c>
      <c r="W1678">
        <v>2</v>
      </c>
      <c r="X1678">
        <v>301335.88858400902</v>
      </c>
      <c r="Y1678">
        <v>4214</v>
      </c>
      <c r="Z1678">
        <v>2.89319870680005E-2</v>
      </c>
      <c r="AA1678">
        <v>50</v>
      </c>
    </row>
    <row r="1679" spans="1:27" x14ac:dyDescent="0.2">
      <c r="A1679">
        <v>20</v>
      </c>
      <c r="B1679">
        <v>2</v>
      </c>
      <c r="C1679">
        <v>0.2</v>
      </c>
      <c r="D1679">
        <v>100</v>
      </c>
      <c r="E1679">
        <v>0.87979543137406302</v>
      </c>
      <c r="F1679">
        <v>2</v>
      </c>
      <c r="G1679">
        <v>29.710759759999998</v>
      </c>
      <c r="H1679">
        <v>0.82397752720302997</v>
      </c>
      <c r="I1679">
        <v>2</v>
      </c>
      <c r="J1679">
        <v>0.88137242900000001</v>
      </c>
      <c r="P1679"/>
      <c r="V1679">
        <v>0.82935596988182503</v>
      </c>
      <c r="W1679">
        <v>2</v>
      </c>
      <c r="X1679">
        <v>302321.63945690199</v>
      </c>
      <c r="Y1679">
        <v>2294</v>
      </c>
      <c r="Z1679">
        <v>8.6668603376226699E-2</v>
      </c>
      <c r="AA1679">
        <v>50</v>
      </c>
    </row>
    <row r="1680" spans="1:27" x14ac:dyDescent="0.2">
      <c r="A1680">
        <v>20</v>
      </c>
      <c r="B1680">
        <v>2</v>
      </c>
      <c r="C1680">
        <v>0.3</v>
      </c>
      <c r="D1680">
        <v>100</v>
      </c>
      <c r="E1680">
        <v>0.52332173572861096</v>
      </c>
      <c r="F1680">
        <v>2</v>
      </c>
      <c r="G1680">
        <v>29.205491726000002</v>
      </c>
      <c r="H1680">
        <v>0.21451748290091099</v>
      </c>
      <c r="I1680">
        <v>2</v>
      </c>
      <c r="J1680">
        <v>0.56484016599999998</v>
      </c>
      <c r="P1680"/>
      <c r="V1680">
        <v>0.20888412472345699</v>
      </c>
      <c r="W1680">
        <v>2</v>
      </c>
      <c r="X1680">
        <v>296957.433398386</v>
      </c>
      <c r="Y1680">
        <v>2358</v>
      </c>
      <c r="Z1680">
        <v>0.38287235073333098</v>
      </c>
      <c r="AA1680">
        <v>50</v>
      </c>
    </row>
    <row r="1681" spans="1:27" x14ac:dyDescent="0.2">
      <c r="A1681">
        <v>20</v>
      </c>
      <c r="B1681">
        <v>2</v>
      </c>
      <c r="C1681">
        <v>0.3</v>
      </c>
      <c r="D1681">
        <v>100</v>
      </c>
      <c r="E1681">
        <v>0.22374849725297799</v>
      </c>
      <c r="F1681">
        <v>2</v>
      </c>
      <c r="G1681">
        <v>38.350765639000002</v>
      </c>
      <c r="H1681">
        <v>5.4323432593782903E-2</v>
      </c>
      <c r="I1681">
        <v>2</v>
      </c>
      <c r="J1681">
        <v>0.63822143399999998</v>
      </c>
      <c r="P1681"/>
      <c r="V1681">
        <v>5.0169721795059199E-2</v>
      </c>
      <c r="W1681">
        <v>2</v>
      </c>
      <c r="X1681">
        <v>296087.75380892801</v>
      </c>
      <c r="Y1681">
        <v>3197</v>
      </c>
      <c r="Z1681">
        <v>0.240231102490884</v>
      </c>
      <c r="AA1681">
        <v>50</v>
      </c>
    </row>
    <row r="1682" spans="1:27" x14ac:dyDescent="0.2">
      <c r="A1682">
        <v>20</v>
      </c>
      <c r="B1682">
        <v>2</v>
      </c>
      <c r="C1682">
        <v>0.1</v>
      </c>
      <c r="D1682">
        <v>100</v>
      </c>
      <c r="E1682">
        <v>0.93805161376111901</v>
      </c>
      <c r="F1682">
        <v>2</v>
      </c>
      <c r="G1682">
        <v>33.330406936000003</v>
      </c>
      <c r="H1682">
        <v>1.0070459361692601</v>
      </c>
      <c r="I1682">
        <v>2</v>
      </c>
      <c r="J1682">
        <v>0.95882114699999998</v>
      </c>
      <c r="P1682"/>
      <c r="V1682">
        <v>1.1728186292101399</v>
      </c>
      <c r="W1682">
        <v>2</v>
      </c>
      <c r="X1682">
        <v>298499.98911001999</v>
      </c>
      <c r="Y1682">
        <v>14200</v>
      </c>
      <c r="Z1682">
        <v>1.4979923995528199E-3</v>
      </c>
      <c r="AA1682">
        <v>50</v>
      </c>
    </row>
    <row r="1683" spans="1:27" x14ac:dyDescent="0.2">
      <c r="A1683">
        <v>20</v>
      </c>
      <c r="B1683">
        <v>2</v>
      </c>
      <c r="C1683">
        <v>0.1</v>
      </c>
      <c r="D1683">
        <v>100</v>
      </c>
      <c r="E1683">
        <v>1.31922224506329</v>
      </c>
      <c r="F1683">
        <v>2</v>
      </c>
      <c r="G1683">
        <v>28.825866565999998</v>
      </c>
      <c r="H1683">
        <v>1.0703309865074</v>
      </c>
      <c r="I1683">
        <v>2</v>
      </c>
      <c r="J1683">
        <v>0.83628652699999995</v>
      </c>
      <c r="P1683"/>
      <c r="V1683">
        <v>1.07075458553114</v>
      </c>
      <c r="W1683">
        <v>2</v>
      </c>
      <c r="X1683">
        <v>3704.9913737000002</v>
      </c>
      <c r="Y1683">
        <v>3339</v>
      </c>
      <c r="Z1683">
        <v>8.6690005136915698E-3</v>
      </c>
      <c r="AA1683">
        <v>1</v>
      </c>
    </row>
    <row r="1684" spans="1:27" x14ac:dyDescent="0.2">
      <c r="A1684">
        <v>20</v>
      </c>
      <c r="B1684">
        <v>2</v>
      </c>
      <c r="C1684">
        <v>0.2</v>
      </c>
      <c r="D1684">
        <v>100</v>
      </c>
      <c r="E1684">
        <v>0.96432494152094705</v>
      </c>
      <c r="F1684">
        <v>2</v>
      </c>
      <c r="G1684">
        <v>30.833616116999998</v>
      </c>
      <c r="H1684">
        <v>0.82493715043929094</v>
      </c>
      <c r="I1684">
        <v>2</v>
      </c>
      <c r="J1684">
        <v>0.92925892799999998</v>
      </c>
      <c r="P1684"/>
      <c r="V1684">
        <v>0.84244765255620402</v>
      </c>
      <c r="W1684">
        <v>2</v>
      </c>
      <c r="X1684">
        <v>302931.07454388501</v>
      </c>
      <c r="Y1684">
        <v>2441</v>
      </c>
      <c r="Z1684">
        <v>0.16420929196036499</v>
      </c>
      <c r="AA1684">
        <v>50</v>
      </c>
    </row>
    <row r="1685" spans="1:27" x14ac:dyDescent="0.2">
      <c r="A1685">
        <v>20</v>
      </c>
      <c r="B1685">
        <v>2</v>
      </c>
      <c r="C1685">
        <v>0.1</v>
      </c>
      <c r="D1685">
        <v>100</v>
      </c>
      <c r="E1685">
        <v>1.1708795131046199</v>
      </c>
      <c r="F1685">
        <v>2</v>
      </c>
      <c r="G1685">
        <v>26.301347517</v>
      </c>
      <c r="H1685">
        <v>1.0829305807123899</v>
      </c>
      <c r="I1685">
        <v>2</v>
      </c>
      <c r="J1685">
        <v>0.73783750100000001</v>
      </c>
      <c r="P1685"/>
      <c r="V1685">
        <v>1.16786273753573</v>
      </c>
      <c r="W1685">
        <v>2</v>
      </c>
      <c r="X1685">
        <v>308027.54546092602</v>
      </c>
      <c r="Y1685">
        <v>7386</v>
      </c>
      <c r="Z1685">
        <v>5.3076369279237397E-3</v>
      </c>
      <c r="AA1685">
        <v>50</v>
      </c>
    </row>
    <row r="1686" spans="1:27" x14ac:dyDescent="0.2">
      <c r="A1686">
        <v>20</v>
      </c>
      <c r="B1686">
        <v>2</v>
      </c>
      <c r="C1686">
        <v>0.3</v>
      </c>
      <c r="D1686">
        <v>100</v>
      </c>
      <c r="E1686">
        <v>0.29588326901920797</v>
      </c>
      <c r="F1686">
        <v>2</v>
      </c>
      <c r="G1686">
        <v>29.283531631999999</v>
      </c>
      <c r="H1686">
        <v>9.6589415558535896E-2</v>
      </c>
      <c r="I1686">
        <v>2</v>
      </c>
      <c r="J1686">
        <v>0.48808969299999999</v>
      </c>
      <c r="P1686"/>
      <c r="V1686">
        <v>8.5924387547301903E-2</v>
      </c>
      <c r="W1686">
        <v>2</v>
      </c>
      <c r="X1686">
        <v>298149.45102646702</v>
      </c>
      <c r="Y1686">
        <v>2388</v>
      </c>
      <c r="Z1686">
        <v>0.192932724886413</v>
      </c>
      <c r="AA1686">
        <v>50</v>
      </c>
    </row>
    <row r="1687" spans="1:27" x14ac:dyDescent="0.2">
      <c r="A1687">
        <v>20</v>
      </c>
      <c r="B1687">
        <v>2</v>
      </c>
      <c r="C1687">
        <v>0.1</v>
      </c>
      <c r="D1687">
        <v>100</v>
      </c>
      <c r="E1687">
        <v>1.1161591277771601</v>
      </c>
      <c r="F1687">
        <v>2</v>
      </c>
      <c r="G1687">
        <v>29.807440159999999</v>
      </c>
      <c r="H1687">
        <v>0.94141433404999797</v>
      </c>
      <c r="I1687">
        <v>2</v>
      </c>
      <c r="J1687">
        <v>0.85621892499999996</v>
      </c>
      <c r="P1687"/>
      <c r="V1687">
        <v>0.94204212115657504</v>
      </c>
      <c r="W1687">
        <v>2</v>
      </c>
      <c r="X1687">
        <v>310100.113784544</v>
      </c>
      <c r="Y1687">
        <v>17652</v>
      </c>
      <c r="Z1687">
        <v>4.5831393809398603E-3</v>
      </c>
      <c r="AA1687">
        <v>50</v>
      </c>
    </row>
    <row r="1688" spans="1:27" x14ac:dyDescent="0.2">
      <c r="A1688">
        <v>20</v>
      </c>
      <c r="B1688">
        <v>2</v>
      </c>
      <c r="C1688">
        <v>0.1</v>
      </c>
      <c r="D1688">
        <v>100</v>
      </c>
      <c r="E1688">
        <v>1.02876399777422</v>
      </c>
      <c r="F1688">
        <v>2</v>
      </c>
      <c r="G1688">
        <v>28.877042018000001</v>
      </c>
      <c r="H1688">
        <v>0.94370199220298301</v>
      </c>
      <c r="I1688">
        <v>2</v>
      </c>
      <c r="J1688">
        <v>0.86643936899999996</v>
      </c>
      <c r="P1688"/>
      <c r="V1688">
        <v>0.98856360324515702</v>
      </c>
      <c r="W1688">
        <v>2</v>
      </c>
      <c r="X1688">
        <v>300953.40573688498</v>
      </c>
      <c r="Y1688">
        <v>3669</v>
      </c>
      <c r="Z1688">
        <v>1.4276896353692999E-3</v>
      </c>
      <c r="AA1688">
        <v>50</v>
      </c>
    </row>
    <row r="1689" spans="1:27" x14ac:dyDescent="0.2">
      <c r="A1689">
        <v>20</v>
      </c>
      <c r="B1689">
        <v>2</v>
      </c>
      <c r="C1689">
        <v>0.3</v>
      </c>
      <c r="D1689">
        <v>100</v>
      </c>
      <c r="E1689">
        <v>0.40120557150309499</v>
      </c>
      <c r="F1689">
        <v>2</v>
      </c>
      <c r="G1689">
        <v>32.486457025999997</v>
      </c>
      <c r="H1689">
        <v>0.10727545272266201</v>
      </c>
      <c r="I1689">
        <v>2</v>
      </c>
      <c r="J1689">
        <v>0.41410343799999999</v>
      </c>
      <c r="P1689"/>
      <c r="V1689">
        <v>0.100107796441415</v>
      </c>
      <c r="W1689">
        <v>2</v>
      </c>
      <c r="X1689">
        <v>304167.46418051899</v>
      </c>
      <c r="Y1689">
        <v>1964</v>
      </c>
      <c r="Z1689">
        <v>0.27088390042166199</v>
      </c>
      <c r="AA1689">
        <v>50</v>
      </c>
    </row>
    <row r="1690" spans="1:27" x14ac:dyDescent="0.2">
      <c r="A1690">
        <v>50</v>
      </c>
      <c r="B1690">
        <v>3</v>
      </c>
      <c r="C1690">
        <v>0.1</v>
      </c>
      <c r="D1690">
        <v>100</v>
      </c>
      <c r="E1690">
        <v>0.90120436392046199</v>
      </c>
      <c r="F1690">
        <v>3</v>
      </c>
      <c r="G1690">
        <v>29.612867655999999</v>
      </c>
      <c r="H1690">
        <v>0.87377653879719497</v>
      </c>
      <c r="I1690">
        <v>3</v>
      </c>
      <c r="J1690">
        <v>3.5460560700000001</v>
      </c>
      <c r="P1690"/>
      <c r="V1690">
        <v>0.87714113649535297</v>
      </c>
      <c r="W1690">
        <v>3</v>
      </c>
      <c r="X1690">
        <v>307276.05493512802</v>
      </c>
      <c r="Y1690">
        <v>0</v>
      </c>
      <c r="Z1690">
        <v>2.3798797164072298</v>
      </c>
      <c r="AA1690">
        <v>50</v>
      </c>
    </row>
    <row r="1691" spans="1:27" x14ac:dyDescent="0.2">
      <c r="A1691">
        <v>50</v>
      </c>
      <c r="B1691">
        <v>3</v>
      </c>
      <c r="C1691">
        <v>0.1</v>
      </c>
      <c r="D1691">
        <v>100</v>
      </c>
      <c r="E1691">
        <v>0.87924744029784996</v>
      </c>
      <c r="F1691">
        <v>3</v>
      </c>
      <c r="G1691">
        <v>30.741675060999999</v>
      </c>
      <c r="H1691">
        <v>0.84644602117249101</v>
      </c>
      <c r="I1691">
        <v>3</v>
      </c>
      <c r="J1691">
        <v>3.3836589510000001</v>
      </c>
      <c r="P1691"/>
      <c r="V1691">
        <v>0.85130534179058703</v>
      </c>
      <c r="W1691">
        <v>3</v>
      </c>
      <c r="X1691">
        <v>315148.54297024198</v>
      </c>
      <c r="Y1691">
        <v>0</v>
      </c>
      <c r="Z1691">
        <v>4.2332104302840801</v>
      </c>
      <c r="AA1691">
        <v>50</v>
      </c>
    </row>
    <row r="1692" spans="1:27" x14ac:dyDescent="0.2">
      <c r="A1692">
        <v>50</v>
      </c>
      <c r="B1692">
        <v>3</v>
      </c>
      <c r="C1692">
        <v>0.1</v>
      </c>
      <c r="D1692">
        <v>100</v>
      </c>
      <c r="E1692">
        <v>0.78938617881401096</v>
      </c>
      <c r="F1692">
        <v>3</v>
      </c>
      <c r="G1692">
        <v>30.368407946000001</v>
      </c>
      <c r="H1692">
        <v>0.72988426187293598</v>
      </c>
      <c r="I1692">
        <v>3</v>
      </c>
      <c r="J1692">
        <v>3.4413057249999999</v>
      </c>
      <c r="P1692"/>
      <c r="V1692">
        <v>0.73087500485274903</v>
      </c>
      <c r="W1692">
        <v>3</v>
      </c>
      <c r="X1692">
        <v>306779.65139711602</v>
      </c>
      <c r="Y1692">
        <v>0</v>
      </c>
      <c r="Z1692">
        <v>2.5504664292129702</v>
      </c>
      <c r="AA1692">
        <v>50</v>
      </c>
    </row>
    <row r="1693" spans="1:27" x14ac:dyDescent="0.2">
      <c r="A1693">
        <v>50</v>
      </c>
      <c r="B1693">
        <v>3</v>
      </c>
      <c r="C1693">
        <v>0.1</v>
      </c>
      <c r="D1693">
        <v>100</v>
      </c>
      <c r="E1693">
        <v>0.90648871184475199</v>
      </c>
      <c r="F1693">
        <v>3</v>
      </c>
      <c r="G1693">
        <v>29.593037911</v>
      </c>
      <c r="H1693">
        <v>0.848535815062891</v>
      </c>
      <c r="I1693">
        <v>3</v>
      </c>
      <c r="J1693">
        <v>3.339556864</v>
      </c>
      <c r="P1693"/>
      <c r="V1693">
        <v>0.85128892930370104</v>
      </c>
      <c r="W1693">
        <v>3</v>
      </c>
      <c r="X1693">
        <v>315169.29018354102</v>
      </c>
      <c r="Y1693">
        <v>0</v>
      </c>
      <c r="Z1693">
        <v>2.09401373408036</v>
      </c>
      <c r="AA1693">
        <v>50</v>
      </c>
    </row>
    <row r="1694" spans="1:27" x14ac:dyDescent="0.2">
      <c r="A1694">
        <v>50</v>
      </c>
      <c r="B1694">
        <v>3</v>
      </c>
      <c r="C1694">
        <v>0.1</v>
      </c>
      <c r="D1694">
        <v>100</v>
      </c>
      <c r="E1694">
        <v>1.0961260400127699</v>
      </c>
      <c r="F1694">
        <v>3</v>
      </c>
      <c r="G1694">
        <v>29.898760675999998</v>
      </c>
      <c r="H1694">
        <v>1.0120765886253</v>
      </c>
      <c r="I1694">
        <v>3</v>
      </c>
      <c r="J1694">
        <v>3.399520995</v>
      </c>
      <c r="P1694"/>
      <c r="V1694">
        <v>1.0174479603623501</v>
      </c>
      <c r="W1694">
        <v>3</v>
      </c>
      <c r="X1694">
        <v>312572.52495181101</v>
      </c>
      <c r="Y1694">
        <v>0</v>
      </c>
      <c r="Z1694">
        <v>1.9416535144209699</v>
      </c>
      <c r="AA1694">
        <v>50</v>
      </c>
    </row>
    <row r="1695" spans="1:27" x14ac:dyDescent="0.2">
      <c r="A1695">
        <v>50</v>
      </c>
      <c r="B1695">
        <v>3</v>
      </c>
      <c r="C1695">
        <v>0.1</v>
      </c>
      <c r="D1695">
        <v>100</v>
      </c>
      <c r="E1695">
        <v>0.86441517023138104</v>
      </c>
      <c r="F1695">
        <v>3</v>
      </c>
      <c r="G1695">
        <v>29.626701489999999</v>
      </c>
      <c r="H1695">
        <v>0.87772241340586399</v>
      </c>
      <c r="I1695">
        <v>3</v>
      </c>
      <c r="J1695">
        <v>3.2343350630000001</v>
      </c>
      <c r="P1695"/>
      <c r="V1695">
        <v>0.88022515614032504</v>
      </c>
      <c r="W1695">
        <v>3</v>
      </c>
      <c r="X1695">
        <v>315069.297817841</v>
      </c>
      <c r="Y1695">
        <v>0</v>
      </c>
      <c r="Z1695">
        <v>3.05996317913741</v>
      </c>
      <c r="AA1695">
        <v>50</v>
      </c>
    </row>
    <row r="1696" spans="1:27" x14ac:dyDescent="0.2">
      <c r="A1696">
        <v>50</v>
      </c>
      <c r="B1696">
        <v>3</v>
      </c>
      <c r="C1696">
        <v>0.1</v>
      </c>
      <c r="D1696">
        <v>100</v>
      </c>
      <c r="E1696">
        <v>1.0125419384510399</v>
      </c>
      <c r="F1696">
        <v>3</v>
      </c>
      <c r="G1696">
        <v>30.036100945000001</v>
      </c>
      <c r="H1696">
        <v>0.92059229580336699</v>
      </c>
      <c r="I1696">
        <v>3</v>
      </c>
      <c r="J1696">
        <v>3.5028616270000001</v>
      </c>
      <c r="P1696"/>
      <c r="V1696">
        <v>0.92368027987622403</v>
      </c>
      <c r="W1696">
        <v>3</v>
      </c>
      <c r="X1696">
        <v>315073.01954405801</v>
      </c>
      <c r="Y1696">
        <v>0</v>
      </c>
      <c r="Z1696">
        <v>3.5325678811168402</v>
      </c>
      <c r="AA1696">
        <v>50</v>
      </c>
    </row>
    <row r="1697" spans="1:27" x14ac:dyDescent="0.2">
      <c r="A1697">
        <v>20</v>
      </c>
      <c r="B1697">
        <v>2</v>
      </c>
      <c r="C1697">
        <v>0.1</v>
      </c>
      <c r="D1697">
        <v>100</v>
      </c>
      <c r="E1697">
        <v>0.92832154414493995</v>
      </c>
      <c r="F1697">
        <v>2</v>
      </c>
      <c r="G1697">
        <v>30.160380587999999</v>
      </c>
      <c r="H1697">
        <v>0.92860413539156095</v>
      </c>
      <c r="I1697">
        <v>2</v>
      </c>
      <c r="J1697">
        <v>0.43986247899999997</v>
      </c>
      <c r="P1697"/>
      <c r="V1697">
        <v>0.92913489790366899</v>
      </c>
      <c r="W1697">
        <v>2</v>
      </c>
      <c r="X1697">
        <v>3732.9732977489998</v>
      </c>
      <c r="Y1697">
        <v>4197</v>
      </c>
      <c r="Z1697">
        <v>3.9434910358977504E-3</v>
      </c>
      <c r="AA1697">
        <v>1</v>
      </c>
    </row>
    <row r="1698" spans="1:27" x14ac:dyDescent="0.2">
      <c r="A1698">
        <v>20</v>
      </c>
      <c r="B1698">
        <v>2</v>
      </c>
      <c r="C1698">
        <v>0.1</v>
      </c>
      <c r="D1698">
        <v>100</v>
      </c>
      <c r="E1698">
        <v>1.3273877508427001</v>
      </c>
      <c r="F1698">
        <v>2</v>
      </c>
      <c r="G1698">
        <v>29.453888329000002</v>
      </c>
      <c r="H1698">
        <v>1.0237863637176301</v>
      </c>
      <c r="I1698">
        <v>2</v>
      </c>
      <c r="J1698">
        <v>0.86600460099999998</v>
      </c>
      <c r="P1698"/>
      <c r="V1698">
        <v>1.1115522008602401</v>
      </c>
      <c r="W1698">
        <v>2</v>
      </c>
      <c r="X1698">
        <v>288905.919069956</v>
      </c>
      <c r="Y1698">
        <v>22248</v>
      </c>
      <c r="Z1698">
        <v>7.8721443842708003E-3</v>
      </c>
      <c r="AA1698">
        <v>50</v>
      </c>
    </row>
    <row r="1699" spans="1:27" x14ac:dyDescent="0.2">
      <c r="A1699">
        <v>20</v>
      </c>
      <c r="B1699">
        <v>2</v>
      </c>
      <c r="C1699">
        <v>0.1</v>
      </c>
      <c r="D1699">
        <v>100</v>
      </c>
      <c r="E1699">
        <v>1.18277463731099</v>
      </c>
      <c r="F1699">
        <v>2</v>
      </c>
      <c r="G1699">
        <v>28.064051672000002</v>
      </c>
      <c r="H1699">
        <v>1.00514587533277</v>
      </c>
      <c r="I1699">
        <v>2</v>
      </c>
      <c r="J1699">
        <v>0.77874473099999997</v>
      </c>
      <c r="P1699"/>
      <c r="V1699">
        <v>1.0058676946564</v>
      </c>
      <c r="W1699">
        <v>2</v>
      </c>
      <c r="X1699">
        <v>3729.5041915329998</v>
      </c>
      <c r="Y1699">
        <v>4519</v>
      </c>
      <c r="Z1699">
        <v>6.9284495163077003E-3</v>
      </c>
      <c r="AA1699">
        <v>1</v>
      </c>
    </row>
    <row r="1700" spans="1:27" x14ac:dyDescent="0.2">
      <c r="A1700">
        <v>20</v>
      </c>
      <c r="B1700">
        <v>2</v>
      </c>
      <c r="C1700">
        <v>0.1</v>
      </c>
      <c r="D1700">
        <v>100</v>
      </c>
      <c r="E1700">
        <v>1.15840917808407</v>
      </c>
      <c r="F1700">
        <v>2</v>
      </c>
      <c r="G1700">
        <v>28.108814390999999</v>
      </c>
      <c r="H1700">
        <v>1.02816688243489</v>
      </c>
      <c r="I1700">
        <v>2</v>
      </c>
      <c r="J1700">
        <v>0.711954741</v>
      </c>
      <c r="P1700"/>
      <c r="V1700">
        <v>1.0294758756053</v>
      </c>
      <c r="W1700">
        <v>2</v>
      </c>
      <c r="X1700">
        <v>3726.4948513660001</v>
      </c>
      <c r="Y1700">
        <v>4838</v>
      </c>
      <c r="Z1700">
        <v>2.6257715526069102E-3</v>
      </c>
      <c r="AA1700">
        <v>1</v>
      </c>
    </row>
    <row r="1701" spans="1:27" x14ac:dyDescent="0.2">
      <c r="A1701">
        <v>20</v>
      </c>
      <c r="B1701">
        <v>2</v>
      </c>
      <c r="C1701">
        <v>0.2</v>
      </c>
      <c r="D1701">
        <v>100</v>
      </c>
      <c r="E1701">
        <v>0.66051191094996997</v>
      </c>
      <c r="F1701">
        <v>2</v>
      </c>
      <c r="G1701">
        <v>28.960480622999999</v>
      </c>
      <c r="H1701">
        <v>0.71718905405457201</v>
      </c>
      <c r="I1701">
        <v>2</v>
      </c>
      <c r="J1701">
        <v>0.90233654399999996</v>
      </c>
      <c r="P1701"/>
      <c r="V1701">
        <v>0.806109541755754</v>
      </c>
      <c r="W1701">
        <v>2</v>
      </c>
      <c r="X1701">
        <v>294796.94662391703</v>
      </c>
      <c r="Y1701">
        <v>2404</v>
      </c>
      <c r="Z1701">
        <v>0.17937990734702</v>
      </c>
      <c r="AA1701">
        <v>50</v>
      </c>
    </row>
    <row r="1702" spans="1:27" x14ac:dyDescent="0.2">
      <c r="A1702">
        <v>20</v>
      </c>
      <c r="B1702">
        <v>2</v>
      </c>
      <c r="C1702">
        <v>0.1</v>
      </c>
      <c r="D1702">
        <v>100</v>
      </c>
      <c r="E1702">
        <v>0.86795437079823801</v>
      </c>
      <c r="F1702">
        <v>2</v>
      </c>
      <c r="G1702">
        <v>28.709316467000001</v>
      </c>
      <c r="H1702">
        <v>0.87065805867337198</v>
      </c>
      <c r="I1702">
        <v>2</v>
      </c>
      <c r="J1702">
        <v>0.27834003099999999</v>
      </c>
      <c r="P1702"/>
      <c r="V1702">
        <v>0.94596173698453401</v>
      </c>
      <c r="W1702">
        <v>2</v>
      </c>
      <c r="X1702">
        <v>303359.87391347601</v>
      </c>
      <c r="Y1702">
        <v>2384</v>
      </c>
      <c r="Z1702">
        <v>7.7181593831945599E-3</v>
      </c>
      <c r="AA1702">
        <v>50</v>
      </c>
    </row>
    <row r="1703" spans="1:27" x14ac:dyDescent="0.2">
      <c r="A1703">
        <v>20</v>
      </c>
      <c r="B1703">
        <v>2</v>
      </c>
      <c r="C1703">
        <v>0.2</v>
      </c>
      <c r="D1703">
        <v>100</v>
      </c>
      <c r="E1703">
        <v>0.76036322005087997</v>
      </c>
      <c r="F1703">
        <v>2</v>
      </c>
      <c r="G1703">
        <v>29.346023162000002</v>
      </c>
      <c r="H1703">
        <v>0.439121118174777</v>
      </c>
      <c r="I1703">
        <v>2</v>
      </c>
      <c r="J1703">
        <v>0.85880799799999996</v>
      </c>
      <c r="P1703"/>
      <c r="V1703">
        <v>0.43895159800830202</v>
      </c>
      <c r="W1703">
        <v>2</v>
      </c>
      <c r="X1703">
        <v>301043.192361372</v>
      </c>
      <c r="Y1703">
        <v>2615</v>
      </c>
      <c r="Z1703">
        <v>9.3820954117915994E-2</v>
      </c>
      <c r="AA1703">
        <v>50</v>
      </c>
    </row>
    <row r="1704" spans="1:27" x14ac:dyDescent="0.2">
      <c r="A1704">
        <v>20</v>
      </c>
      <c r="B1704">
        <v>2</v>
      </c>
      <c r="C1704">
        <v>0.2</v>
      </c>
      <c r="D1704">
        <v>100</v>
      </c>
      <c r="E1704">
        <v>1.03115155866576</v>
      </c>
      <c r="F1704">
        <v>2</v>
      </c>
      <c r="G1704">
        <v>28.064214776</v>
      </c>
      <c r="H1704">
        <v>0.48389221189889398</v>
      </c>
      <c r="I1704">
        <v>2</v>
      </c>
      <c r="J1704">
        <v>0.76794662700000005</v>
      </c>
      <c r="P1704"/>
      <c r="V1704">
        <v>0.481648907118502</v>
      </c>
      <c r="W1704">
        <v>2</v>
      </c>
      <c r="X1704">
        <v>311018.64546654897</v>
      </c>
      <c r="Y1704">
        <v>2044</v>
      </c>
      <c r="Z1704">
        <v>2.99405584582478E-2</v>
      </c>
      <c r="AA1704">
        <v>50</v>
      </c>
    </row>
    <row r="1705" spans="1:27" x14ac:dyDescent="0.2">
      <c r="A1705">
        <v>20</v>
      </c>
      <c r="B1705">
        <v>2</v>
      </c>
      <c r="C1705">
        <v>0.2</v>
      </c>
      <c r="D1705">
        <v>100</v>
      </c>
      <c r="E1705">
        <v>0.68999883635057901</v>
      </c>
      <c r="F1705">
        <v>2</v>
      </c>
      <c r="G1705">
        <v>28.713748941999999</v>
      </c>
      <c r="H1705">
        <v>0.53149253086953097</v>
      </c>
      <c r="I1705">
        <v>2</v>
      </c>
      <c r="J1705">
        <v>0.79934291800000001</v>
      </c>
      <c r="P1705"/>
      <c r="V1705">
        <v>0.52625622263773997</v>
      </c>
      <c r="W1705">
        <v>2</v>
      </c>
      <c r="X1705">
        <v>307982.16717167798</v>
      </c>
      <c r="Y1705">
        <v>2452</v>
      </c>
      <c r="Z1705">
        <v>0.14604359983575399</v>
      </c>
      <c r="AA1705">
        <v>50</v>
      </c>
    </row>
    <row r="1706" spans="1:27" x14ac:dyDescent="0.2">
      <c r="A1706">
        <v>20</v>
      </c>
      <c r="B1706">
        <v>2</v>
      </c>
      <c r="C1706">
        <v>0.1</v>
      </c>
      <c r="D1706">
        <v>100</v>
      </c>
      <c r="E1706">
        <v>1.1284885014023001</v>
      </c>
      <c r="F1706">
        <v>2</v>
      </c>
      <c r="G1706">
        <v>29.129936001000001</v>
      </c>
      <c r="H1706">
        <v>1.0324802944390301</v>
      </c>
      <c r="I1706">
        <v>2</v>
      </c>
      <c r="J1706">
        <v>0.86079532999999997</v>
      </c>
      <c r="P1706"/>
      <c r="V1706">
        <v>1.03426028200723</v>
      </c>
      <c r="W1706">
        <v>2</v>
      </c>
      <c r="X1706">
        <v>3715.5756795060001</v>
      </c>
      <c r="Y1706">
        <v>3246</v>
      </c>
      <c r="Z1706">
        <v>2.81090243802432E-3</v>
      </c>
      <c r="AA1706">
        <v>1</v>
      </c>
    </row>
    <row r="1707" spans="1:27" x14ac:dyDescent="0.2">
      <c r="A1707">
        <v>20</v>
      </c>
      <c r="B1707">
        <v>2</v>
      </c>
      <c r="C1707">
        <v>0.1</v>
      </c>
      <c r="D1707">
        <v>100</v>
      </c>
      <c r="E1707">
        <v>1.44620992945742</v>
      </c>
      <c r="F1707">
        <v>2</v>
      </c>
      <c r="G1707">
        <v>29.676242559999999</v>
      </c>
      <c r="H1707">
        <v>0.94714710064236296</v>
      </c>
      <c r="I1707">
        <v>2</v>
      </c>
      <c r="J1707">
        <v>0.83576980199999995</v>
      </c>
      <c r="P1707"/>
      <c r="V1707">
        <v>0.94763446101525295</v>
      </c>
      <c r="W1707">
        <v>2</v>
      </c>
      <c r="X1707">
        <v>3740.362130904</v>
      </c>
      <c r="Y1707">
        <v>5708</v>
      </c>
      <c r="Z1707">
        <v>4.6409250498982103E-3</v>
      </c>
      <c r="AA1707">
        <v>1</v>
      </c>
    </row>
    <row r="1708" spans="1:27" x14ac:dyDescent="0.2">
      <c r="A1708">
        <v>20</v>
      </c>
      <c r="B1708">
        <v>2</v>
      </c>
      <c r="C1708">
        <v>0.1</v>
      </c>
      <c r="D1708">
        <v>100</v>
      </c>
      <c r="E1708">
        <v>1.24931890861173</v>
      </c>
      <c r="F1708">
        <v>2</v>
      </c>
      <c r="G1708">
        <v>29.553676824</v>
      </c>
      <c r="H1708">
        <v>1.0657689247350799</v>
      </c>
      <c r="I1708">
        <v>2</v>
      </c>
      <c r="J1708">
        <v>0.87658164199999999</v>
      </c>
      <c r="P1708"/>
      <c r="V1708">
        <v>1.0670317301144401</v>
      </c>
      <c r="W1708">
        <v>2</v>
      </c>
      <c r="X1708">
        <v>306546.64887546102</v>
      </c>
      <c r="Y1708">
        <v>20315</v>
      </c>
      <c r="Z1708">
        <v>6.9416039654458797E-3</v>
      </c>
      <c r="AA1708">
        <v>50</v>
      </c>
    </row>
    <row r="1709" spans="1:27" x14ac:dyDescent="0.2">
      <c r="A1709">
        <v>20</v>
      </c>
      <c r="B1709">
        <v>2</v>
      </c>
      <c r="C1709">
        <v>0.3</v>
      </c>
      <c r="D1709">
        <v>100</v>
      </c>
      <c r="E1709">
        <v>0.45292848661288698</v>
      </c>
      <c r="F1709">
        <v>2</v>
      </c>
      <c r="G1709">
        <v>28.718148163999999</v>
      </c>
      <c r="H1709">
        <v>0.190144819607204</v>
      </c>
      <c r="I1709">
        <v>2</v>
      </c>
      <c r="J1709">
        <v>0.43424820600000003</v>
      </c>
      <c r="P1709"/>
      <c r="V1709">
        <v>0.18503423278456901</v>
      </c>
      <c r="W1709">
        <v>2</v>
      </c>
      <c r="X1709">
        <v>311030.17412687</v>
      </c>
      <c r="Y1709">
        <v>2459</v>
      </c>
      <c r="Z1709">
        <v>0.117483955595207</v>
      </c>
      <c r="AA1709">
        <v>50</v>
      </c>
    </row>
    <row r="1710" spans="1:27" x14ac:dyDescent="0.2">
      <c r="A1710">
        <v>20</v>
      </c>
      <c r="B1710">
        <v>2</v>
      </c>
      <c r="C1710">
        <v>0.1</v>
      </c>
      <c r="D1710">
        <v>100</v>
      </c>
      <c r="E1710">
        <v>0.99229041908390503</v>
      </c>
      <c r="F1710">
        <v>2</v>
      </c>
      <c r="G1710">
        <v>29.245230082999999</v>
      </c>
      <c r="H1710">
        <v>0.95659190182305898</v>
      </c>
      <c r="I1710">
        <v>2</v>
      </c>
      <c r="J1710">
        <v>0.86970011999999997</v>
      </c>
      <c r="P1710"/>
      <c r="V1710">
        <v>0.84606570494548705</v>
      </c>
      <c r="W1710">
        <v>2</v>
      </c>
      <c r="X1710">
        <v>310069.97133588098</v>
      </c>
      <c r="Y1710">
        <v>10884</v>
      </c>
      <c r="Z1710">
        <v>7.2202116959097697E-3</v>
      </c>
      <c r="AA1710">
        <v>50</v>
      </c>
    </row>
    <row r="1711" spans="1:27" x14ac:dyDescent="0.2">
      <c r="A1711">
        <v>20</v>
      </c>
      <c r="B1711">
        <v>2</v>
      </c>
      <c r="C1711">
        <v>0.1</v>
      </c>
      <c r="D1711">
        <v>100</v>
      </c>
      <c r="E1711">
        <v>1.50748896303151</v>
      </c>
      <c r="F1711">
        <v>2</v>
      </c>
      <c r="G1711">
        <v>29.287931886999999</v>
      </c>
      <c r="H1711">
        <v>1.0024834920178201</v>
      </c>
      <c r="I1711">
        <v>2</v>
      </c>
      <c r="J1711">
        <v>0.840813492</v>
      </c>
      <c r="P1711"/>
      <c r="V1711">
        <v>1.20918016461219</v>
      </c>
      <c r="W1711">
        <v>2</v>
      </c>
      <c r="X1711">
        <v>296412.93866848102</v>
      </c>
      <c r="Y1711">
        <v>8106</v>
      </c>
      <c r="Z1711">
        <v>5.10655708601676E-3</v>
      </c>
      <c r="AA1711">
        <v>50</v>
      </c>
    </row>
    <row r="1712" spans="1:27" x14ac:dyDescent="0.2">
      <c r="A1712">
        <v>20</v>
      </c>
      <c r="B1712">
        <v>2</v>
      </c>
      <c r="C1712">
        <v>0.1</v>
      </c>
      <c r="D1712">
        <v>100</v>
      </c>
      <c r="E1712">
        <v>1.14850930847437</v>
      </c>
      <c r="F1712">
        <v>2</v>
      </c>
      <c r="G1712">
        <v>29.171330794999999</v>
      </c>
      <c r="H1712">
        <v>1.0394310462776</v>
      </c>
      <c r="I1712">
        <v>2</v>
      </c>
      <c r="J1712">
        <v>0.83078281899999995</v>
      </c>
      <c r="P1712"/>
      <c r="V1712">
        <v>1.03975323780033</v>
      </c>
      <c r="W1712">
        <v>2</v>
      </c>
      <c r="X1712">
        <v>3729.2208529939999</v>
      </c>
      <c r="Y1712">
        <v>3435</v>
      </c>
      <c r="Z1712">
        <v>7.68730982963461E-3</v>
      </c>
      <c r="AA1712">
        <v>1</v>
      </c>
    </row>
    <row r="1713" spans="1:27" x14ac:dyDescent="0.2">
      <c r="A1713">
        <v>20</v>
      </c>
      <c r="B1713">
        <v>2</v>
      </c>
      <c r="C1713">
        <v>0.2</v>
      </c>
      <c r="D1713">
        <v>100</v>
      </c>
      <c r="E1713">
        <v>0.59156798198952298</v>
      </c>
      <c r="F1713">
        <v>2</v>
      </c>
      <c r="G1713">
        <v>28.130632664</v>
      </c>
      <c r="H1713">
        <v>0.21216047528343901</v>
      </c>
      <c r="I1713">
        <v>2</v>
      </c>
      <c r="J1713">
        <v>0.80441703799999997</v>
      </c>
      <c r="P1713"/>
      <c r="V1713">
        <v>0.20910075746276699</v>
      </c>
      <c r="W1713">
        <v>2</v>
      </c>
      <c r="X1713">
        <v>309480.27709306398</v>
      </c>
      <c r="Y1713">
        <v>2659</v>
      </c>
      <c r="Z1713">
        <v>0.127383897918559</v>
      </c>
      <c r="AA1713">
        <v>50</v>
      </c>
    </row>
    <row r="1714" spans="1:27" x14ac:dyDescent="0.2">
      <c r="A1714">
        <v>20</v>
      </c>
      <c r="B1714">
        <v>2</v>
      </c>
      <c r="C1714">
        <v>0.2</v>
      </c>
      <c r="D1714">
        <v>100</v>
      </c>
      <c r="E1714">
        <v>0.51095611425843301</v>
      </c>
      <c r="F1714">
        <v>2</v>
      </c>
      <c r="G1714">
        <v>31.306428520000001</v>
      </c>
      <c r="H1714">
        <v>0.412904809830419</v>
      </c>
      <c r="I1714">
        <v>2</v>
      </c>
      <c r="J1714">
        <v>0.67417133200000001</v>
      </c>
      <c r="P1714"/>
      <c r="V1714">
        <v>0.40746682370800502</v>
      </c>
      <c r="W1714">
        <v>2</v>
      </c>
      <c r="X1714">
        <v>308270.44091988698</v>
      </c>
      <c r="Y1714">
        <v>3030</v>
      </c>
      <c r="Z1714">
        <v>8.1757972304099299E-2</v>
      </c>
      <c r="AA1714">
        <v>50</v>
      </c>
    </row>
    <row r="1715" spans="1:27" x14ac:dyDescent="0.2">
      <c r="A1715">
        <v>20</v>
      </c>
      <c r="B1715">
        <v>2</v>
      </c>
      <c r="C1715">
        <v>0.1</v>
      </c>
      <c r="D1715">
        <v>100</v>
      </c>
      <c r="E1715">
        <v>1.1275666896685601</v>
      </c>
      <c r="F1715">
        <v>2</v>
      </c>
      <c r="G1715">
        <v>22.315395235</v>
      </c>
      <c r="H1715">
        <v>1.0002914589894301</v>
      </c>
      <c r="I1715">
        <v>2</v>
      </c>
      <c r="J1715">
        <v>0.65107511699999998</v>
      </c>
      <c r="P1715"/>
      <c r="V1715">
        <v>1.0013886836849</v>
      </c>
      <c r="W1715">
        <v>2</v>
      </c>
      <c r="X1715">
        <v>311220.28876788501</v>
      </c>
      <c r="Y1715">
        <v>2093</v>
      </c>
      <c r="Z1715">
        <v>8.4677530156626393E-3</v>
      </c>
      <c r="AA1715">
        <v>50</v>
      </c>
    </row>
    <row r="1716" spans="1:27" x14ac:dyDescent="0.2">
      <c r="A1716">
        <v>20</v>
      </c>
      <c r="B1716">
        <v>2</v>
      </c>
      <c r="C1716">
        <v>0.1</v>
      </c>
      <c r="D1716">
        <v>100</v>
      </c>
      <c r="E1716">
        <v>1.0382147137697599</v>
      </c>
      <c r="F1716">
        <v>2</v>
      </c>
      <c r="G1716">
        <v>28.777319342999998</v>
      </c>
      <c r="H1716">
        <v>0.958023270858954</v>
      </c>
      <c r="I1716">
        <v>2</v>
      </c>
      <c r="J1716">
        <v>0.84978441299999996</v>
      </c>
      <c r="P1716"/>
      <c r="V1716">
        <v>0.95904216182828905</v>
      </c>
      <c r="W1716">
        <v>2</v>
      </c>
      <c r="X1716">
        <v>307962.40020780801</v>
      </c>
      <c r="Y1716">
        <v>9202</v>
      </c>
      <c r="Z1716">
        <v>2.2023279782620999E-2</v>
      </c>
      <c r="AA1716">
        <v>50</v>
      </c>
    </row>
    <row r="1717" spans="1:27" x14ac:dyDescent="0.2">
      <c r="A1717">
        <v>20</v>
      </c>
      <c r="B1717">
        <v>2</v>
      </c>
      <c r="C1717">
        <v>0.2</v>
      </c>
      <c r="D1717">
        <v>100</v>
      </c>
      <c r="E1717">
        <v>0.46856805351273301</v>
      </c>
      <c r="F1717">
        <v>2</v>
      </c>
      <c r="G1717">
        <v>28.333802990999999</v>
      </c>
      <c r="H1717">
        <v>0.30371007180544002</v>
      </c>
      <c r="I1717">
        <v>2</v>
      </c>
      <c r="J1717">
        <v>0.45942912299999999</v>
      </c>
      <c r="P1717"/>
      <c r="V1717">
        <v>0.30195032049885001</v>
      </c>
      <c r="W1717">
        <v>2</v>
      </c>
      <c r="X1717">
        <v>306779.831877905</v>
      </c>
      <c r="Y1717">
        <v>2385</v>
      </c>
      <c r="Z1717">
        <v>0.10284025049595</v>
      </c>
      <c r="AA1717">
        <v>50</v>
      </c>
    </row>
    <row r="1718" spans="1:27" x14ac:dyDescent="0.2">
      <c r="A1718">
        <v>20</v>
      </c>
      <c r="B1718">
        <v>2</v>
      </c>
      <c r="C1718">
        <v>0.3</v>
      </c>
      <c r="D1718">
        <v>100</v>
      </c>
      <c r="E1718">
        <v>0.54164714813014103</v>
      </c>
      <c r="F1718">
        <v>2</v>
      </c>
      <c r="G1718">
        <v>31.321027982</v>
      </c>
      <c r="H1718">
        <v>0.46126044405488897</v>
      </c>
      <c r="I1718">
        <v>2</v>
      </c>
      <c r="J1718">
        <v>0.38657813000000002</v>
      </c>
      <c r="P1718"/>
      <c r="V1718">
        <v>0.47480645501762803</v>
      </c>
      <c r="W1718">
        <v>2</v>
      </c>
      <c r="X1718">
        <v>309224.05878823798</v>
      </c>
      <c r="Y1718">
        <v>2385</v>
      </c>
      <c r="Z1718">
        <v>0.27359652205870599</v>
      </c>
      <c r="AA1718">
        <v>50</v>
      </c>
    </row>
    <row r="1719" spans="1:27" x14ac:dyDescent="0.2">
      <c r="A1719">
        <v>20</v>
      </c>
      <c r="B1719">
        <v>2</v>
      </c>
      <c r="C1719">
        <v>0.2</v>
      </c>
      <c r="D1719">
        <v>100</v>
      </c>
      <c r="E1719">
        <v>0.54661605866591101</v>
      </c>
      <c r="F1719">
        <v>2</v>
      </c>
      <c r="G1719">
        <v>27.671761368999999</v>
      </c>
      <c r="H1719">
        <v>0.45844160522069699</v>
      </c>
      <c r="I1719">
        <v>2</v>
      </c>
      <c r="J1719">
        <v>0.81311431700000003</v>
      </c>
      <c r="P1719"/>
      <c r="V1719">
        <v>0.43529806563358803</v>
      </c>
      <c r="W1719">
        <v>2</v>
      </c>
      <c r="X1719">
        <v>304989.95587911998</v>
      </c>
      <c r="Y1719">
        <v>3119</v>
      </c>
      <c r="Z1719">
        <v>0.13785167494474401</v>
      </c>
      <c r="AA1719">
        <v>50</v>
      </c>
    </row>
    <row r="1720" spans="1:27" x14ac:dyDescent="0.2">
      <c r="A1720">
        <v>50</v>
      </c>
      <c r="B1720">
        <v>2</v>
      </c>
      <c r="C1720">
        <v>0.1</v>
      </c>
      <c r="D1720">
        <v>20</v>
      </c>
      <c r="E1720">
        <v>0.510942320685145</v>
      </c>
      <c r="F1720">
        <v>2</v>
      </c>
      <c r="G1720">
        <v>24.624920738</v>
      </c>
      <c r="H1720">
        <v>0.40690855593558301</v>
      </c>
      <c r="I1720">
        <v>2</v>
      </c>
      <c r="J1720">
        <v>1.374090244</v>
      </c>
      <c r="P1720"/>
      <c r="V1720">
        <v>0.39570700372156398</v>
      </c>
      <c r="W1720">
        <v>2</v>
      </c>
      <c r="X1720">
        <v>307323.58796971501</v>
      </c>
      <c r="Y1720">
        <v>0</v>
      </c>
      <c r="Z1720">
        <v>12.6867031555648</v>
      </c>
      <c r="AA1720">
        <v>50</v>
      </c>
    </row>
    <row r="1721" spans="1:27" x14ac:dyDescent="0.2">
      <c r="A1721">
        <v>50</v>
      </c>
      <c r="B1721">
        <v>2</v>
      </c>
      <c r="C1721">
        <v>0.1</v>
      </c>
      <c r="D1721">
        <v>20</v>
      </c>
      <c r="E1721">
        <v>0.56754919863074804</v>
      </c>
      <c r="F1721">
        <v>2</v>
      </c>
      <c r="G1721">
        <v>23.119031369000002</v>
      </c>
      <c r="H1721">
        <v>0.51590146765545997</v>
      </c>
      <c r="I1721">
        <v>2</v>
      </c>
      <c r="J1721">
        <v>0.76646791199999997</v>
      </c>
      <c r="P1721"/>
      <c r="V1721">
        <v>0.501304373356112</v>
      </c>
      <c r="W1721">
        <v>2</v>
      </c>
      <c r="X1721">
        <v>313622.82411050698</v>
      </c>
      <c r="Y1721">
        <v>0</v>
      </c>
      <c r="Z1721">
        <v>7.48901592075162</v>
      </c>
      <c r="AA1721">
        <v>50</v>
      </c>
    </row>
    <row r="1722" spans="1:27" x14ac:dyDescent="0.2">
      <c r="A1722">
        <v>50</v>
      </c>
      <c r="B1722">
        <v>2</v>
      </c>
      <c r="C1722">
        <v>0.1</v>
      </c>
      <c r="D1722">
        <v>20</v>
      </c>
      <c r="E1722">
        <v>0.50341920543298302</v>
      </c>
      <c r="F1722">
        <v>2</v>
      </c>
      <c r="G1722">
        <v>32.505043835000002</v>
      </c>
      <c r="H1722">
        <v>0.31051325441206201</v>
      </c>
      <c r="I1722">
        <v>2</v>
      </c>
      <c r="J1722">
        <v>2.8873706449999998</v>
      </c>
      <c r="P1722"/>
      <c r="V1722">
        <v>0.29151471118871503</v>
      </c>
      <c r="W1722">
        <v>2</v>
      </c>
      <c r="X1722">
        <v>308848.03172012401</v>
      </c>
      <c r="Y1722">
        <v>0</v>
      </c>
      <c r="Z1722">
        <v>16.124466527733599</v>
      </c>
      <c r="AA1722">
        <v>50</v>
      </c>
    </row>
    <row r="1723" spans="1:27" x14ac:dyDescent="0.2">
      <c r="A1723">
        <v>50</v>
      </c>
      <c r="B1723">
        <v>2</v>
      </c>
      <c r="C1723">
        <v>0.1</v>
      </c>
      <c r="D1723">
        <v>20</v>
      </c>
      <c r="E1723">
        <v>0.591264800873879</v>
      </c>
      <c r="F1723">
        <v>2</v>
      </c>
      <c r="G1723">
        <v>31.560427576999999</v>
      </c>
      <c r="H1723">
        <v>0.382387288401912</v>
      </c>
      <c r="I1723">
        <v>2</v>
      </c>
      <c r="J1723">
        <v>2.1109213759999998</v>
      </c>
      <c r="P1723"/>
      <c r="V1723">
        <v>0.356768214056982</v>
      </c>
      <c r="W1723">
        <v>2</v>
      </c>
      <c r="X1723">
        <v>315276.50553373498</v>
      </c>
      <c r="Y1723">
        <v>0</v>
      </c>
      <c r="Z1723">
        <v>7.3147861903253197</v>
      </c>
      <c r="AA1723">
        <v>50</v>
      </c>
    </row>
    <row r="1724" spans="1:27" x14ac:dyDescent="0.2">
      <c r="A1724">
        <v>50</v>
      </c>
      <c r="B1724">
        <v>2</v>
      </c>
      <c r="C1724">
        <v>0.1</v>
      </c>
      <c r="D1724">
        <v>20</v>
      </c>
      <c r="E1724">
        <v>0.46101677029803101</v>
      </c>
      <c r="F1724">
        <v>2</v>
      </c>
      <c r="G1724">
        <v>28.972029335999999</v>
      </c>
      <c r="H1724">
        <v>0.36837678570226901</v>
      </c>
      <c r="I1724">
        <v>2</v>
      </c>
      <c r="J1724">
        <v>1.236755498</v>
      </c>
      <c r="P1724"/>
      <c r="V1724">
        <v>0.355119076886526</v>
      </c>
      <c r="W1724">
        <v>2</v>
      </c>
      <c r="X1724">
        <v>310104.81825451902</v>
      </c>
      <c r="Y1724">
        <v>0</v>
      </c>
      <c r="Z1724">
        <v>7.1750266590824996</v>
      </c>
      <c r="AA1724">
        <v>50</v>
      </c>
    </row>
    <row r="1725" spans="1:27" x14ac:dyDescent="0.2">
      <c r="A1725">
        <v>50</v>
      </c>
      <c r="B1725">
        <v>2</v>
      </c>
      <c r="C1725">
        <v>0.1</v>
      </c>
      <c r="D1725">
        <v>20</v>
      </c>
      <c r="E1725">
        <v>0.65286464807691102</v>
      </c>
      <c r="F1725">
        <v>2</v>
      </c>
      <c r="G1725">
        <v>29.200486906999998</v>
      </c>
      <c r="H1725">
        <v>0.50591870037086994</v>
      </c>
      <c r="I1725">
        <v>2</v>
      </c>
      <c r="J1725">
        <v>2.194870908</v>
      </c>
      <c r="P1725"/>
      <c r="V1725">
        <v>0.48493121481220802</v>
      </c>
      <c r="W1725">
        <v>2</v>
      </c>
      <c r="X1725">
        <v>312987.20137563499</v>
      </c>
      <c r="Y1725">
        <v>0</v>
      </c>
      <c r="Z1725">
        <v>10.5989424785711</v>
      </c>
      <c r="AA1725">
        <v>50</v>
      </c>
    </row>
    <row r="1726" spans="1:27" x14ac:dyDescent="0.2">
      <c r="A1726">
        <v>50</v>
      </c>
      <c r="B1726">
        <v>2</v>
      </c>
      <c r="C1726">
        <v>0.1</v>
      </c>
      <c r="D1726">
        <v>20</v>
      </c>
      <c r="E1726">
        <v>0.55768144713060697</v>
      </c>
      <c r="F1726">
        <v>2</v>
      </c>
      <c r="G1726">
        <v>30.310741433</v>
      </c>
      <c r="H1726">
        <v>0.433028115494548</v>
      </c>
      <c r="I1726">
        <v>2</v>
      </c>
      <c r="J1726">
        <v>1.667686448</v>
      </c>
      <c r="P1726"/>
      <c r="V1726">
        <v>0.42216953839851701</v>
      </c>
      <c r="W1726">
        <v>2</v>
      </c>
      <c r="X1726">
        <v>304944.783614691</v>
      </c>
      <c r="Y1726">
        <v>0</v>
      </c>
      <c r="Z1726">
        <v>9.2013657801216997</v>
      </c>
      <c r="AA1726">
        <v>50</v>
      </c>
    </row>
    <row r="1727" spans="1:27" x14ac:dyDescent="0.2">
      <c r="A1727">
        <v>50</v>
      </c>
      <c r="B1727">
        <v>2</v>
      </c>
      <c r="C1727">
        <v>0.1</v>
      </c>
      <c r="D1727">
        <v>20</v>
      </c>
      <c r="E1727">
        <v>0.56133244864538101</v>
      </c>
      <c r="F1727">
        <v>2</v>
      </c>
      <c r="G1727">
        <v>30.756180017999998</v>
      </c>
      <c r="H1727">
        <v>0.39092504223260799</v>
      </c>
      <c r="I1727">
        <v>2</v>
      </c>
      <c r="J1727">
        <v>1.9682379699999999</v>
      </c>
      <c r="P1727"/>
      <c r="V1727">
        <v>0.376140031855145</v>
      </c>
      <c r="W1727">
        <v>2</v>
      </c>
      <c r="X1727">
        <v>315126.30417662102</v>
      </c>
      <c r="Y1727">
        <v>0</v>
      </c>
      <c r="Z1727">
        <v>11.7355480529276</v>
      </c>
      <c r="AA1727">
        <v>50</v>
      </c>
    </row>
    <row r="1728" spans="1:27" x14ac:dyDescent="0.2">
      <c r="A1728">
        <v>50</v>
      </c>
      <c r="B1728">
        <v>2</v>
      </c>
      <c r="C1728">
        <v>0.1</v>
      </c>
      <c r="D1728">
        <v>20</v>
      </c>
      <c r="E1728">
        <v>0.60967381889037198</v>
      </c>
      <c r="F1728">
        <v>2</v>
      </c>
      <c r="G1728">
        <v>29.641084089</v>
      </c>
      <c r="H1728">
        <v>0.52622737218133597</v>
      </c>
      <c r="I1728">
        <v>2</v>
      </c>
      <c r="J1728">
        <v>1.7236764680000001</v>
      </c>
      <c r="P1728"/>
      <c r="V1728">
        <v>0.51648203254518699</v>
      </c>
      <c r="W1728">
        <v>2</v>
      </c>
      <c r="X1728">
        <v>303920.09092684102</v>
      </c>
      <c r="Y1728">
        <v>0</v>
      </c>
      <c r="Z1728">
        <v>4.5554763106229004</v>
      </c>
      <c r="AA1728">
        <v>50</v>
      </c>
    </row>
    <row r="1729" spans="1:27" x14ac:dyDescent="0.2">
      <c r="A1729">
        <v>50</v>
      </c>
      <c r="B1729">
        <v>2</v>
      </c>
      <c r="C1729">
        <v>0.1</v>
      </c>
      <c r="D1729">
        <v>20</v>
      </c>
      <c r="E1729">
        <v>0.68613468917664899</v>
      </c>
      <c r="F1729">
        <v>2</v>
      </c>
      <c r="G1729">
        <v>23.731115227</v>
      </c>
      <c r="H1729">
        <v>0.50684159562826803</v>
      </c>
      <c r="I1729">
        <v>2</v>
      </c>
      <c r="J1729">
        <v>1.3012888949999999</v>
      </c>
      <c r="P1729"/>
      <c r="V1729">
        <v>0.48909535674661803</v>
      </c>
      <c r="W1729">
        <v>2</v>
      </c>
      <c r="X1729">
        <v>314896.57890182</v>
      </c>
      <c r="Y1729">
        <v>0</v>
      </c>
      <c r="Z1729">
        <v>7.3374264604935799</v>
      </c>
      <c r="AA1729">
        <v>50</v>
      </c>
    </row>
    <row r="1730" spans="1:27" x14ac:dyDescent="0.2">
      <c r="A1730">
        <v>50</v>
      </c>
      <c r="B1730">
        <v>2</v>
      </c>
      <c r="C1730">
        <v>0.1</v>
      </c>
      <c r="D1730">
        <v>20</v>
      </c>
      <c r="E1730">
        <v>0.51680759085024397</v>
      </c>
      <c r="F1730">
        <v>2</v>
      </c>
      <c r="G1730">
        <v>30.339923393999999</v>
      </c>
      <c r="H1730">
        <v>0.34773446941085601</v>
      </c>
      <c r="I1730">
        <v>2</v>
      </c>
      <c r="J1730">
        <v>1.7858614399999999</v>
      </c>
      <c r="P1730"/>
      <c r="V1730">
        <v>0.33097830348954899</v>
      </c>
      <c r="W1730">
        <v>2</v>
      </c>
      <c r="X1730">
        <v>315274.88479240902</v>
      </c>
      <c r="Y1730">
        <v>0</v>
      </c>
      <c r="Z1730">
        <v>10.5729511379086</v>
      </c>
      <c r="AA1730">
        <v>50</v>
      </c>
    </row>
    <row r="1731" spans="1:27" x14ac:dyDescent="0.2">
      <c r="A1731">
        <v>50</v>
      </c>
      <c r="B1731">
        <v>2</v>
      </c>
      <c r="C1731">
        <v>0.1</v>
      </c>
      <c r="D1731">
        <v>20</v>
      </c>
      <c r="E1731">
        <v>0.53115885273442798</v>
      </c>
      <c r="F1731">
        <v>2</v>
      </c>
      <c r="G1731">
        <v>30.345954311</v>
      </c>
      <c r="H1731">
        <v>0.52719121333983199</v>
      </c>
      <c r="I1731">
        <v>2</v>
      </c>
      <c r="J1731">
        <v>2.1713062490000001</v>
      </c>
      <c r="P1731"/>
      <c r="V1731">
        <v>0.52709966679479203</v>
      </c>
      <c r="W1731">
        <v>2</v>
      </c>
      <c r="X1731">
        <v>312413.15841693099</v>
      </c>
      <c r="Y1731">
        <v>0</v>
      </c>
      <c r="Z1731">
        <v>7.6516699898838798</v>
      </c>
      <c r="AA1731">
        <v>50</v>
      </c>
    </row>
    <row r="1732" spans="1:27" x14ac:dyDescent="0.2">
      <c r="A1732">
        <v>50</v>
      </c>
      <c r="B1732">
        <v>2</v>
      </c>
      <c r="C1732">
        <v>0.1</v>
      </c>
      <c r="D1732">
        <v>20</v>
      </c>
      <c r="E1732">
        <v>0.56347069346359702</v>
      </c>
      <c r="F1732">
        <v>2</v>
      </c>
      <c r="G1732">
        <v>30.141082018999999</v>
      </c>
      <c r="H1732">
        <v>0.47698018863381803</v>
      </c>
      <c r="I1732">
        <v>2</v>
      </c>
      <c r="J1732">
        <v>0.89022747000000002</v>
      </c>
      <c r="P1732"/>
      <c r="V1732">
        <v>0.46192096025057999</v>
      </c>
      <c r="W1732">
        <v>2</v>
      </c>
      <c r="X1732">
        <v>310216.293412445</v>
      </c>
      <c r="Y1732">
        <v>0</v>
      </c>
      <c r="Z1732">
        <v>7.13499909381789</v>
      </c>
      <c r="AA1732">
        <v>50</v>
      </c>
    </row>
    <row r="1733" spans="1:27" x14ac:dyDescent="0.2">
      <c r="A1733">
        <v>50</v>
      </c>
      <c r="B1733">
        <v>2</v>
      </c>
      <c r="C1733">
        <v>0.1</v>
      </c>
      <c r="D1733">
        <v>20</v>
      </c>
      <c r="E1733">
        <v>0.54348468711669695</v>
      </c>
      <c r="F1733">
        <v>2</v>
      </c>
      <c r="G1733">
        <v>29.348175044000001</v>
      </c>
      <c r="H1733">
        <v>0.45903826060484498</v>
      </c>
      <c r="I1733">
        <v>2</v>
      </c>
      <c r="J1733">
        <v>1.7567751250000001</v>
      </c>
      <c r="P1733"/>
      <c r="V1733">
        <v>0.441957138338401</v>
      </c>
      <c r="W1733">
        <v>2</v>
      </c>
      <c r="X1733">
        <v>315224.36690897599</v>
      </c>
      <c r="Y1733">
        <v>0</v>
      </c>
      <c r="Z1733">
        <v>8.2235029032144595</v>
      </c>
      <c r="AA1733">
        <v>50</v>
      </c>
    </row>
    <row r="1734" spans="1:27" x14ac:dyDescent="0.2">
      <c r="A1734">
        <v>50</v>
      </c>
      <c r="B1734">
        <v>2</v>
      </c>
      <c r="C1734">
        <v>0.1</v>
      </c>
      <c r="D1734">
        <v>20</v>
      </c>
      <c r="E1734">
        <v>0.50455057375574697</v>
      </c>
      <c r="F1734">
        <v>2</v>
      </c>
      <c r="G1734">
        <v>29.675307355000001</v>
      </c>
      <c r="H1734">
        <v>0.43660051536282202</v>
      </c>
      <c r="I1734">
        <v>2</v>
      </c>
      <c r="J1734">
        <v>1.476452807</v>
      </c>
      <c r="P1734"/>
      <c r="V1734">
        <v>0.42720027674858702</v>
      </c>
      <c r="W1734">
        <v>2</v>
      </c>
      <c r="X1734">
        <v>315192.06703878503</v>
      </c>
      <c r="Y1734">
        <v>0</v>
      </c>
      <c r="Z1734">
        <v>7.8852092157212601</v>
      </c>
      <c r="AA1734">
        <v>50</v>
      </c>
    </row>
    <row r="1735" spans="1:27" x14ac:dyDescent="0.2">
      <c r="A1735">
        <v>50</v>
      </c>
      <c r="B1735">
        <v>2</v>
      </c>
      <c r="C1735">
        <v>0.1</v>
      </c>
      <c r="D1735">
        <v>20</v>
      </c>
      <c r="E1735">
        <v>0.43964653524679898</v>
      </c>
      <c r="F1735">
        <v>2</v>
      </c>
      <c r="G1735">
        <v>31.676132598999999</v>
      </c>
      <c r="H1735">
        <v>0.35275940354614899</v>
      </c>
      <c r="I1735">
        <v>2</v>
      </c>
      <c r="J1735">
        <v>1.314947029</v>
      </c>
      <c r="P1735"/>
      <c r="V1735">
        <v>0.34132129746767598</v>
      </c>
      <c r="W1735">
        <v>2</v>
      </c>
      <c r="X1735">
        <v>315146.08097224502</v>
      </c>
      <c r="Y1735">
        <v>0</v>
      </c>
      <c r="Z1735">
        <v>7.2415888591385702</v>
      </c>
      <c r="AA1735">
        <v>50</v>
      </c>
    </row>
    <row r="1736" spans="1:27" x14ac:dyDescent="0.2">
      <c r="A1736">
        <v>50</v>
      </c>
      <c r="B1736">
        <v>2</v>
      </c>
      <c r="C1736">
        <v>0.1</v>
      </c>
      <c r="D1736">
        <v>20</v>
      </c>
      <c r="E1736">
        <v>0.52409563145310401</v>
      </c>
      <c r="F1736">
        <v>2</v>
      </c>
      <c r="G1736">
        <v>31.215649838000001</v>
      </c>
      <c r="H1736">
        <v>0.37619836188761502</v>
      </c>
      <c r="I1736">
        <v>2</v>
      </c>
      <c r="J1736">
        <v>1.7675898000000001</v>
      </c>
      <c r="P1736"/>
      <c r="V1736">
        <v>0.36187903646189201</v>
      </c>
      <c r="W1736">
        <v>2</v>
      </c>
      <c r="X1736">
        <v>315271.587341898</v>
      </c>
      <c r="Y1736">
        <v>0</v>
      </c>
      <c r="Z1736">
        <v>6.69805356521828</v>
      </c>
      <c r="AA1736">
        <v>50</v>
      </c>
    </row>
    <row r="1737" spans="1:27" x14ac:dyDescent="0.2">
      <c r="A1737">
        <v>50</v>
      </c>
      <c r="B1737">
        <v>2</v>
      </c>
      <c r="C1737">
        <v>0.1</v>
      </c>
      <c r="D1737">
        <v>20</v>
      </c>
      <c r="E1737">
        <v>0.622575480515561</v>
      </c>
      <c r="F1737">
        <v>2</v>
      </c>
      <c r="G1737">
        <v>30.007637226</v>
      </c>
      <c r="H1737">
        <v>0.53428763459579698</v>
      </c>
      <c r="I1737">
        <v>2</v>
      </c>
      <c r="J1737">
        <v>2.6713816929999998</v>
      </c>
      <c r="P1737"/>
      <c r="V1737">
        <v>0.53049733474643501</v>
      </c>
      <c r="W1737">
        <v>2</v>
      </c>
      <c r="X1737">
        <v>315105.77837011201</v>
      </c>
      <c r="Y1737">
        <v>0</v>
      </c>
      <c r="Z1737">
        <v>6.9970942801191898</v>
      </c>
      <c r="AA1737">
        <v>50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6399E-BBFF-4F44-876C-95D1CC11F834}">
  <dimension ref="A1:Y119"/>
  <sheetViews>
    <sheetView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Q4" sqref="Q4"/>
    </sheetView>
  </sheetViews>
  <sheetFormatPr baseColWidth="10" defaultRowHeight="16" x14ac:dyDescent="0.2"/>
  <cols>
    <col min="4" max="4" width="34.1640625" bestFit="1" customWidth="1"/>
    <col min="6" max="6" width="10.83203125" style="2"/>
    <col min="7" max="7" width="11.6640625" style="3" bestFit="1" customWidth="1"/>
    <col min="8" max="8" width="10.83203125" style="3"/>
    <col min="9" max="9" width="12.1640625" style="2" bestFit="1" customWidth="1"/>
    <col min="10" max="12" width="10.83203125" style="3"/>
    <col min="14" max="14" width="10.83203125" style="2"/>
    <col min="15" max="16" width="10.83203125" style="3"/>
    <col min="17" max="17" width="19.33203125" style="2" customWidth="1"/>
    <col min="18" max="18" width="10.83203125" style="3"/>
    <col min="20" max="20" width="10.83203125" style="2"/>
    <col min="21" max="22" width="10.83203125" style="3"/>
    <col min="23" max="23" width="10.83203125" style="2"/>
  </cols>
  <sheetData>
    <row r="1" spans="1:25" x14ac:dyDescent="0.2">
      <c r="E1" t="s">
        <v>33</v>
      </c>
      <c r="N1" s="2" t="s">
        <v>24</v>
      </c>
    </row>
    <row r="2" spans="1:25" x14ac:dyDescent="0.2">
      <c r="A2" t="s">
        <v>2</v>
      </c>
      <c r="B2" t="s">
        <v>4</v>
      </c>
      <c r="C2" t="s">
        <v>3</v>
      </c>
      <c r="D2" t="s">
        <v>27</v>
      </c>
      <c r="L2" s="3" t="s">
        <v>37</v>
      </c>
      <c r="N2" s="2" t="s">
        <v>29</v>
      </c>
      <c r="O2" s="3" t="s">
        <v>28</v>
      </c>
      <c r="P2" s="3" t="s">
        <v>31</v>
      </c>
      <c r="Q2" s="2" t="s">
        <v>30</v>
      </c>
      <c r="R2" s="3" t="s">
        <v>32</v>
      </c>
      <c r="Y2" t="s">
        <v>34</v>
      </c>
    </row>
    <row r="4" spans="1:25" x14ac:dyDescent="0.2">
      <c r="A4">
        <v>10</v>
      </c>
      <c r="B4">
        <v>0.1</v>
      </c>
      <c r="C4">
        <v>1</v>
      </c>
      <c r="D4">
        <v>20</v>
      </c>
      <c r="E4">
        <f>MIN(20, COUNTIFS(benchmark_gurobi_vs_cuts_grbv2!A:A,proc_v2!A4,benchmark_gurobi_vs_cuts_grbv2!C:C,proc_v2!B4,benchmark_gurobi_vs_cuts_grbv2!B:B,proc_v2!C4,benchmark_gurobi_vs_cuts_grbv2!D:D,proc_v2!D4))</f>
        <v>20</v>
      </c>
      <c r="L4" s="2">
        <f>AVERAGEIFS(benchmark_gurobi_vs_cuts_grbv2!H:H,benchmark_gurobi_vs_cuts_grbv2!A:A,proc_v2!A4,benchmark_gurobi_vs_cuts_grbv2!C:C,proc_v2!B4,benchmark_gurobi_vs_cuts_grbv2!B:B,proc_v2!C4,benchmark_gurobi_vs_cuts_grbv2!D:D,proc_v2!D4)</f>
        <v>0.95522645880026946</v>
      </c>
      <c r="N4" s="2">
        <f>AVERAGEIFS(benchmark_gurobi_vs_cuts_grbv2!V:V,benchmark_gurobi_vs_cuts_grbv2!A:A,proc_v2!A4,benchmark_gurobi_vs_cuts_grbv2!C:C,proc_v2!B4,benchmark_gurobi_vs_cuts_grbv2!B:B,proc_v2!C4,benchmark_gurobi_vs_cuts_grbv2!D:D,proc_v2!D4)</f>
        <v>0.98934221902119623</v>
      </c>
      <c r="O4" s="3">
        <f>AVERAGEIFS(benchmark_gurobi_vs_cuts_grbv2!X:X,benchmark_gurobi_vs_cuts_grbv2!A:A,proc_v2!A4,benchmark_gurobi_vs_cuts_grbv2!C:C,proc_v2!B4,benchmark_gurobi_vs_cuts_grbv2!B:B,proc_v2!C4,benchmark_gurobi_vs_cuts_grbv2!D:D,proc_v2!D4)</f>
        <v>182.10622281112498</v>
      </c>
      <c r="P4" s="3">
        <f>AVERAGEIFS(benchmark_gurobi_vs_cuts_grbv2!Y:Y,benchmark_gurobi_vs_cuts_grbv2!A:A,proc_v2!A4,benchmark_gurobi_vs_cuts_grbv2!C:C,proc_v2!B4,benchmark_gurobi_vs_cuts_grbv2!B:B,proc_v2!C4,benchmark_gurobi_vs_cuts_grbv2!D:D,proc_v2!D4)</f>
        <v>9755.34375</v>
      </c>
      <c r="Q4" s="2">
        <f>AVERAGEIFS(benchmark_gurobi_vs_cuts_grbv2!Z:Z,benchmark_gurobi_vs_cuts_grbv2!A:A,proc_v2!A4,benchmark_gurobi_vs_cuts_grbv2!C:C,proc_v2!B4,benchmark_gurobi_vs_cuts_grbv2!B:B,proc_v2!C4,benchmark_gurobi_vs_cuts_grbv2!D:D,proc_v2!D4)</f>
        <v>5.4716511517872979E-4</v>
      </c>
      <c r="R4" s="3">
        <f>AVERAGEIFS(benchmark_gurobi_vs_cuts_grbv2!AA:AA,benchmark_gurobi_vs_cuts_grbv2!A:A,proc_v2!A4,benchmark_gurobi_vs_cuts_grbv2!C:C,proc_v2!B4,benchmark_gurobi_vs_cuts_grbv2!B:B,proc_v2!C4,benchmark_gurobi_vs_cuts_grbv2!D:D,proc_v2!D4)</f>
        <v>2.5625</v>
      </c>
      <c r="Y4" t="str">
        <f t="shared" ref="Y4:Y10" si="0">CONCATENATE("$", A4, "$ &amp; $", B4, "$ &amp; $", D4, "/p$ &amp; $", ROUND(U4,2), "$ &amp; $", ROUND(V4,0), "$ &amp; $", 100*ROUND(W4,4), "\%$ &amp; $", ROUND(G4,2), "$ &amp; $", ROUND(H4,0), "$ &amp; $", 100*ROUND(I4,4), "\%$ &amp; $", ROUND(J4,1), "$ &amp; $", ROUND(O4,2), "$ &amp; $", ROUND(P4,0), "$ &amp; $", 100*ROUND(Q4,4), "\%$ &amp; $", ROUND(R4,1), "$\\")</f>
        <v>$10$ &amp; $0.1$ &amp; $20/p$ &amp; $0$ &amp; $0$ &amp; $0\%$ &amp; $0$ &amp; $0$ &amp; $0\%$ &amp; $0$ &amp; $182.11$ &amp; $9755$ &amp; $0.05\%$ &amp; $2.6$\\</v>
      </c>
    </row>
    <row r="5" spans="1:25" x14ac:dyDescent="0.2">
      <c r="A5">
        <v>10</v>
      </c>
      <c r="B5">
        <v>0.2</v>
      </c>
      <c r="C5">
        <v>1</v>
      </c>
      <c r="D5">
        <v>20</v>
      </c>
      <c r="E5">
        <f>MIN(20, COUNTIFS(benchmark_gurobi_vs_cuts_grbv2!A:A,proc_v2!A5,benchmark_gurobi_vs_cuts_grbv2!C:C,proc_v2!B5,benchmark_gurobi_vs_cuts_grbv2!B:B,proc_v2!C5,benchmark_gurobi_vs_cuts_grbv2!D:D,proc_v2!D5))</f>
        <v>20</v>
      </c>
      <c r="L5" s="2">
        <f>AVERAGEIFS(benchmark_gurobi_vs_cuts_grbv2!H:H,benchmark_gurobi_vs_cuts_grbv2!A:A,proc_v2!A5,benchmark_gurobi_vs_cuts_grbv2!C:C,proc_v2!B5,benchmark_gurobi_vs_cuts_grbv2!B:B,proc_v2!C5,benchmark_gurobi_vs_cuts_grbv2!D:D,proc_v2!D5)</f>
        <v>0.53930786276291565</v>
      </c>
      <c r="N5" s="2">
        <f>AVERAGEIFS(benchmark_gurobi_vs_cuts_grbv2!V:V,benchmark_gurobi_vs_cuts_grbv2!A:A,proc_v2!A5,benchmark_gurobi_vs_cuts_grbv2!C:C,proc_v2!B5,benchmark_gurobi_vs_cuts_grbv2!B:B,proc_v2!C5,benchmark_gurobi_vs_cuts_grbv2!D:D,proc_v2!D5)</f>
        <v>0.58730304784618304</v>
      </c>
      <c r="O5" s="3">
        <f>AVERAGEIFS(benchmark_gurobi_vs_cuts_grbv2!X:X,benchmark_gurobi_vs_cuts_grbv2!A:A,proc_v2!A5,benchmark_gurobi_vs_cuts_grbv2!C:C,proc_v2!B5,benchmark_gurobi_vs_cuts_grbv2!B:B,proc_v2!C5,benchmark_gurobi_vs_cuts_grbv2!D:D,proc_v2!D5)</f>
        <v>3507.5841925593327</v>
      </c>
      <c r="P5" s="3">
        <f>AVERAGEIFS(benchmark_gurobi_vs_cuts_grbv2!Y:Y,benchmark_gurobi_vs_cuts_grbv2!A:A,proc_v2!A5,benchmark_gurobi_vs_cuts_grbv2!C:C,proc_v2!B5,benchmark_gurobi_vs_cuts_grbv2!B:B,proc_v2!C5,benchmark_gurobi_vs_cuts_grbv2!D:D,proc_v2!D5)</f>
        <v>21059.583333333332</v>
      </c>
      <c r="Q5" s="2">
        <f>AVERAGEIFS(benchmark_gurobi_vs_cuts_grbv2!Z:Z,benchmark_gurobi_vs_cuts_grbv2!A:A,proc_v2!A5,benchmark_gurobi_vs_cuts_grbv2!C:C,proc_v2!B5,benchmark_gurobi_vs_cuts_grbv2!B:B,proc_v2!C5,benchmark_gurobi_vs_cuts_grbv2!D:D,proc_v2!D5)</f>
        <v>2.5530305986371758E-3</v>
      </c>
      <c r="R5" s="3">
        <f>AVERAGEIFS(benchmark_gurobi_vs_cuts_grbv2!AA:AA,benchmark_gurobi_vs_cuts_grbv2!A:A,proc_v2!A5,benchmark_gurobi_vs_cuts_grbv2!C:C,proc_v2!B5,benchmark_gurobi_vs_cuts_grbv2!B:B,proc_v2!C5,benchmark_gurobi_vs_cuts_grbv2!D:D,proc_v2!D5)</f>
        <v>10.833333333333334</v>
      </c>
      <c r="Y5" t="str">
        <f t="shared" si="0"/>
        <v>$10$ &amp; $0.2$ &amp; $20/p$ &amp; $0$ &amp; $0$ &amp; $0\%$ &amp; $0$ &amp; $0$ &amp; $0\%$ &amp; $0$ &amp; $3507.58$ &amp; $21060$ &amp; $0.26\%$ &amp; $10.8$\\</v>
      </c>
    </row>
    <row r="6" spans="1:25" x14ac:dyDescent="0.2">
      <c r="A6">
        <v>10</v>
      </c>
      <c r="B6">
        <v>0.3</v>
      </c>
      <c r="C6">
        <v>1</v>
      </c>
      <c r="D6">
        <v>20</v>
      </c>
      <c r="E6">
        <f>MIN(20, COUNTIFS(benchmark_gurobi_vs_cuts_grbv2!A:A,proc_v2!A6,benchmark_gurobi_vs_cuts_grbv2!C:C,proc_v2!B6,benchmark_gurobi_vs_cuts_grbv2!B:B,proc_v2!C6,benchmark_gurobi_vs_cuts_grbv2!D:D,proc_v2!D6))</f>
        <v>20</v>
      </c>
      <c r="L6" s="2">
        <f>AVERAGEIFS(benchmark_gurobi_vs_cuts_grbv2!H:H,benchmark_gurobi_vs_cuts_grbv2!A:A,proc_v2!A6,benchmark_gurobi_vs_cuts_grbv2!C:C,proc_v2!B6,benchmark_gurobi_vs_cuts_grbv2!B:B,proc_v2!C6,benchmark_gurobi_vs_cuts_grbv2!D:D,proc_v2!D6)</f>
        <v>0.25484220754432779</v>
      </c>
      <c r="N6" s="2">
        <f>AVERAGEIFS(benchmark_gurobi_vs_cuts_grbv2!V:V,benchmark_gurobi_vs_cuts_grbv2!A:A,proc_v2!A6,benchmark_gurobi_vs_cuts_grbv2!C:C,proc_v2!B6,benchmark_gurobi_vs_cuts_grbv2!B:B,proc_v2!C6,benchmark_gurobi_vs_cuts_grbv2!D:D,proc_v2!D6)</f>
        <v>0.26008269986769256</v>
      </c>
      <c r="O6" s="3">
        <f>AVERAGEIFS(benchmark_gurobi_vs_cuts_grbv2!X:X,benchmark_gurobi_vs_cuts_grbv2!A:A,proc_v2!A6,benchmark_gurobi_vs_cuts_grbv2!C:C,proc_v2!B6,benchmark_gurobi_vs_cuts_grbv2!B:B,proc_v2!C6,benchmark_gurobi_vs_cuts_grbv2!D:D,proc_v2!D6)</f>
        <v>5488.1321586308459</v>
      </c>
      <c r="P6" s="3">
        <f>AVERAGEIFS(benchmark_gurobi_vs_cuts_grbv2!Y:Y,benchmark_gurobi_vs_cuts_grbv2!A:A,proc_v2!A6,benchmark_gurobi_vs_cuts_grbv2!C:C,proc_v2!B6,benchmark_gurobi_vs_cuts_grbv2!B:B,proc_v2!C6,benchmark_gurobi_vs_cuts_grbv2!D:D,proc_v2!D6)</f>
        <v>30967.076923076922</v>
      </c>
      <c r="Q6" s="2">
        <f>AVERAGEIFS(benchmark_gurobi_vs_cuts_grbv2!Z:Z,benchmark_gurobi_vs_cuts_grbv2!A:A,proc_v2!A6,benchmark_gurobi_vs_cuts_grbv2!C:C,proc_v2!B6,benchmark_gurobi_vs_cuts_grbv2!B:B,proc_v2!C6,benchmark_gurobi_vs_cuts_grbv2!D:D,proc_v2!D6)</f>
        <v>3.8699866307464192E-3</v>
      </c>
      <c r="R6" s="3">
        <f>AVERAGEIFS(benchmark_gurobi_vs_cuts_grbv2!AA:AA,benchmark_gurobi_vs_cuts_grbv2!A:A,proc_v2!A6,benchmark_gurobi_vs_cuts_grbv2!C:C,proc_v2!B6,benchmark_gurobi_vs_cuts_grbv2!B:B,proc_v2!C6,benchmark_gurobi_vs_cuts_grbv2!D:D,proc_v2!D6)</f>
        <v>13.115384615384615</v>
      </c>
      <c r="Y6" t="str">
        <f t="shared" si="0"/>
        <v>$10$ &amp; $0.3$ &amp; $20/p$ &amp; $0$ &amp; $0$ &amp; $0\%$ &amp; $0$ &amp; $0$ &amp; $0\%$ &amp; $0$ &amp; $5488.13$ &amp; $30967$ &amp; $0.39\%$ &amp; $13.1$\\</v>
      </c>
    </row>
    <row r="7" spans="1:25" x14ac:dyDescent="0.2">
      <c r="L7" s="2"/>
    </row>
    <row r="8" spans="1:25" x14ac:dyDescent="0.2">
      <c r="A8">
        <v>20</v>
      </c>
      <c r="B8">
        <v>0.1</v>
      </c>
      <c r="C8">
        <v>1</v>
      </c>
      <c r="D8">
        <v>20</v>
      </c>
      <c r="E8">
        <f>MIN(20, COUNTIFS(benchmark_gurobi_vs_cuts_grbv2!A:A,proc_v2!A8,benchmark_gurobi_vs_cuts_grbv2!C:C,proc_v2!B8,benchmark_gurobi_vs_cuts_grbv2!B:B,proc_v2!C8,benchmark_gurobi_vs_cuts_grbv2!D:D,proc_v2!D8))</f>
        <v>20</v>
      </c>
      <c r="L8" s="2">
        <f>AVERAGEIFS(benchmark_gurobi_vs_cuts_grbv2!H:H,benchmark_gurobi_vs_cuts_grbv2!A:A,proc_v2!A8,benchmark_gurobi_vs_cuts_grbv2!C:C,proc_v2!B8,benchmark_gurobi_vs_cuts_grbv2!B:B,proc_v2!C8,benchmark_gurobi_vs_cuts_grbv2!D:D,proc_v2!D8)</f>
        <v>0.63112688987974974</v>
      </c>
      <c r="N8" s="2">
        <f>AVERAGEIFS(benchmark_gurobi_vs_cuts_grbv2!V:V,benchmark_gurobi_vs_cuts_grbv2!A:A,proc_v2!A8,benchmark_gurobi_vs_cuts_grbv2!C:C,proc_v2!B8,benchmark_gurobi_vs_cuts_grbv2!B:B,proc_v2!C8,benchmark_gurobi_vs_cuts_grbv2!D:D,proc_v2!D8)</f>
        <v>0.71681250546821895</v>
      </c>
      <c r="O8" s="3">
        <f>AVERAGEIFS(benchmark_gurobi_vs_cuts_grbv2!X:X,benchmark_gurobi_vs_cuts_grbv2!A:A,proc_v2!A8,benchmark_gurobi_vs_cuts_grbv2!C:C,proc_v2!B8,benchmark_gurobi_vs_cuts_grbv2!B:B,proc_v2!C8,benchmark_gurobi_vs_cuts_grbv2!D:D,proc_v2!D8)</f>
        <v>2017.6416817309498</v>
      </c>
      <c r="P8" s="3">
        <f>AVERAGEIFS(benchmark_gurobi_vs_cuts_grbv2!Y:Y,benchmark_gurobi_vs_cuts_grbv2!A:A,proc_v2!A8,benchmark_gurobi_vs_cuts_grbv2!C:C,proc_v2!B8,benchmark_gurobi_vs_cuts_grbv2!B:B,proc_v2!C8,benchmark_gurobi_vs_cuts_grbv2!D:D,proc_v2!D8)</f>
        <v>4756</v>
      </c>
      <c r="Q8" s="2">
        <f>AVERAGEIFS(benchmark_gurobi_vs_cuts_grbv2!Z:Z,benchmark_gurobi_vs_cuts_grbv2!A:A,proc_v2!A8,benchmark_gurobi_vs_cuts_grbv2!C:C,proc_v2!B8,benchmark_gurobi_vs_cuts_grbv2!B:B,proc_v2!C8,benchmark_gurobi_vs_cuts_grbv2!D:D,proc_v2!D8)</f>
        <v>6.1170692037086872E-3</v>
      </c>
      <c r="R8" s="3">
        <f>AVERAGEIFS(benchmark_gurobi_vs_cuts_grbv2!AA:AA,benchmark_gurobi_vs_cuts_grbv2!A:A,proc_v2!A8,benchmark_gurobi_vs_cuts_grbv2!C:C,proc_v2!B8,benchmark_gurobi_vs_cuts_grbv2!B:B,proc_v2!C8,benchmark_gurobi_vs_cuts_grbv2!D:D,proc_v2!D8)</f>
        <v>8.1999999999999993</v>
      </c>
      <c r="Y8" t="str">
        <f t="shared" si="0"/>
        <v>$20$ &amp; $0.1$ &amp; $20/p$ &amp; $0$ &amp; $0$ &amp; $0\%$ &amp; $0$ &amp; $0$ &amp; $0\%$ &amp; $0$ &amp; $2017.64$ &amp; $4756$ &amp; $0.61\%$ &amp; $8.2$\\</v>
      </c>
    </row>
    <row r="9" spans="1:25" x14ac:dyDescent="0.2">
      <c r="A9">
        <v>20</v>
      </c>
      <c r="B9">
        <v>0.2</v>
      </c>
      <c r="C9">
        <v>1</v>
      </c>
      <c r="D9">
        <v>20</v>
      </c>
      <c r="E9">
        <f>MIN(20, COUNTIFS(benchmark_gurobi_vs_cuts_grbv2!A:A,proc_v2!A9,benchmark_gurobi_vs_cuts_grbv2!C:C,proc_v2!B9,benchmark_gurobi_vs_cuts_grbv2!B:B,proc_v2!C9,benchmark_gurobi_vs_cuts_grbv2!D:D,proc_v2!D9))</f>
        <v>20</v>
      </c>
      <c r="L9" s="2">
        <f>AVERAGEIFS(benchmark_gurobi_vs_cuts_grbv2!H:H,benchmark_gurobi_vs_cuts_grbv2!A:A,proc_v2!A9,benchmark_gurobi_vs_cuts_grbv2!C:C,proc_v2!B9,benchmark_gurobi_vs_cuts_grbv2!B:B,proc_v2!C9,benchmark_gurobi_vs_cuts_grbv2!D:D,proc_v2!D9)</f>
        <v>0.23294740239066533</v>
      </c>
      <c r="N9" s="2">
        <f>AVERAGEIFS(benchmark_gurobi_vs_cuts_grbv2!V:V,benchmark_gurobi_vs_cuts_grbv2!A:A,proc_v2!A9,benchmark_gurobi_vs_cuts_grbv2!C:C,proc_v2!B9,benchmark_gurobi_vs_cuts_grbv2!B:B,proc_v2!C9,benchmark_gurobi_vs_cuts_grbv2!D:D,proc_v2!D9)</f>
        <v>0.21049353391502218</v>
      </c>
      <c r="O9" s="3">
        <f>AVERAGEIFS(benchmark_gurobi_vs_cuts_grbv2!X:X,benchmark_gurobi_vs_cuts_grbv2!A:A,proc_v2!A9,benchmark_gurobi_vs_cuts_grbv2!C:C,proc_v2!B9,benchmark_gurobi_vs_cuts_grbv2!B:B,proc_v2!C9,benchmark_gurobi_vs_cuts_grbv2!D:D,proc_v2!D9)</f>
        <v>6368.5682652252508</v>
      </c>
      <c r="P9" s="3">
        <f>AVERAGEIFS(benchmark_gurobi_vs_cuts_grbv2!Y:Y,benchmark_gurobi_vs_cuts_grbv2!A:A,proc_v2!A9,benchmark_gurobi_vs_cuts_grbv2!C:C,proc_v2!B9,benchmark_gurobi_vs_cuts_grbv2!B:B,proc_v2!C9,benchmark_gurobi_vs_cuts_grbv2!D:D,proc_v2!D9)</f>
        <v>6635.7</v>
      </c>
      <c r="Q9" s="2">
        <f>AVERAGEIFS(benchmark_gurobi_vs_cuts_grbv2!Z:Z,benchmark_gurobi_vs_cuts_grbv2!A:A,proc_v2!A9,benchmark_gurobi_vs_cuts_grbv2!C:C,proc_v2!B9,benchmark_gurobi_vs_cuts_grbv2!B:B,proc_v2!C9,benchmark_gurobi_vs_cuts_grbv2!D:D,proc_v2!D9)</f>
        <v>1.3557321840258377E-2</v>
      </c>
      <c r="R9" s="3">
        <f>AVERAGEIFS(benchmark_gurobi_vs_cuts_grbv2!AA:AA,benchmark_gurobi_vs_cuts_grbv2!A:A,proc_v2!A9,benchmark_gurobi_vs_cuts_grbv2!C:C,proc_v2!B9,benchmark_gurobi_vs_cuts_grbv2!B:B,proc_v2!C9,benchmark_gurobi_vs_cuts_grbv2!D:D,proc_v2!D9)</f>
        <v>15</v>
      </c>
      <c r="Y9" t="str">
        <f t="shared" si="0"/>
        <v>$20$ &amp; $0.2$ &amp; $20/p$ &amp; $0$ &amp; $0$ &amp; $0\%$ &amp; $0$ &amp; $0$ &amp; $0\%$ &amp; $0$ &amp; $6368.57$ &amp; $6636$ &amp; $1.36\%$ &amp; $15$\\</v>
      </c>
    </row>
    <row r="10" spans="1:25" x14ac:dyDescent="0.2">
      <c r="A10">
        <v>20</v>
      </c>
      <c r="B10">
        <v>0.3</v>
      </c>
      <c r="C10">
        <v>1</v>
      </c>
      <c r="D10">
        <v>20</v>
      </c>
      <c r="E10">
        <f>MIN(20, COUNTIFS(benchmark_gurobi_vs_cuts_grbv2!A:A,proc_v2!A10,benchmark_gurobi_vs_cuts_grbv2!C:C,proc_v2!B10,benchmark_gurobi_vs_cuts_grbv2!B:B,proc_v2!C10,benchmark_gurobi_vs_cuts_grbv2!D:D,proc_v2!D10))</f>
        <v>20</v>
      </c>
      <c r="L10" s="2">
        <f>AVERAGEIFS(benchmark_gurobi_vs_cuts_grbv2!H:H,benchmark_gurobi_vs_cuts_grbv2!A:A,proc_v2!A10,benchmark_gurobi_vs_cuts_grbv2!C:C,proc_v2!B10,benchmark_gurobi_vs_cuts_grbv2!B:B,proc_v2!C10,benchmark_gurobi_vs_cuts_grbv2!D:D,proc_v2!D10)</f>
        <v>0.11351749160338707</v>
      </c>
      <c r="N10" s="2">
        <f>AVERAGEIFS(benchmark_gurobi_vs_cuts_grbv2!V:V,benchmark_gurobi_vs_cuts_grbv2!A:A,proc_v2!A10,benchmark_gurobi_vs_cuts_grbv2!C:C,proc_v2!B10,benchmark_gurobi_vs_cuts_grbv2!B:B,proc_v2!C10,benchmark_gurobi_vs_cuts_grbv2!D:D,proc_v2!D10)</f>
        <v>8.8178738535090076E-2</v>
      </c>
      <c r="O10" s="3">
        <f>AVERAGEIFS(benchmark_gurobi_vs_cuts_grbv2!X:X,benchmark_gurobi_vs_cuts_grbv2!A:A,proc_v2!A10,benchmark_gurobi_vs_cuts_grbv2!C:C,proc_v2!B10,benchmark_gurobi_vs_cuts_grbv2!B:B,proc_v2!C10,benchmark_gurobi_vs_cuts_grbv2!D:D,proc_v2!D10)</f>
        <v>6687.4719891819632</v>
      </c>
      <c r="P10" s="3">
        <f>AVERAGEIFS(benchmark_gurobi_vs_cuts_grbv2!Y:Y,benchmark_gurobi_vs_cuts_grbv2!A:A,proc_v2!A10,benchmark_gurobi_vs_cuts_grbv2!C:C,proc_v2!B10,benchmark_gurobi_vs_cuts_grbv2!B:B,proc_v2!C10,benchmark_gurobi_vs_cuts_grbv2!D:D,proc_v2!D10)</f>
        <v>4186.7692307692305</v>
      </c>
      <c r="Q10" s="2">
        <f>AVERAGEIFS(benchmark_gurobi_vs_cuts_grbv2!Z:Z,benchmark_gurobi_vs_cuts_grbv2!A:A,proc_v2!A10,benchmark_gurobi_vs_cuts_grbv2!C:C,proc_v2!B10,benchmark_gurobi_vs_cuts_grbv2!B:B,proc_v2!C10,benchmark_gurobi_vs_cuts_grbv2!D:D,proc_v2!D10)</f>
        <v>8.21457332724565E-3</v>
      </c>
      <c r="R10" s="3">
        <f>AVERAGEIFS(benchmark_gurobi_vs_cuts_grbv2!AA:AA,benchmark_gurobi_vs_cuts_grbv2!A:A,proc_v2!A10,benchmark_gurobi_vs_cuts_grbv2!C:C,proc_v2!B10,benchmark_gurobi_vs_cuts_grbv2!B:B,proc_v2!C10,benchmark_gurobi_vs_cuts_grbv2!D:D,proc_v2!D10)</f>
        <v>18.384615384615383</v>
      </c>
      <c r="Y10" t="str">
        <f t="shared" si="0"/>
        <v>$20$ &amp; $0.3$ &amp; $20/p$ &amp; $0$ &amp; $0$ &amp; $0\%$ &amp; $0$ &amp; $0$ &amp; $0\%$ &amp; $0$ &amp; $6687.47$ &amp; $4187$ &amp; $0.82\%$ &amp; $18.4$\\</v>
      </c>
    </row>
    <row r="11" spans="1:25" x14ac:dyDescent="0.2">
      <c r="L11" s="2"/>
    </row>
    <row r="12" spans="1:25" x14ac:dyDescent="0.2">
      <c r="A12">
        <v>30</v>
      </c>
      <c r="B12">
        <v>0.1</v>
      </c>
      <c r="C12">
        <v>1</v>
      </c>
      <c r="D12">
        <v>20</v>
      </c>
      <c r="E12">
        <f>MIN(20, COUNTIFS(benchmark_gurobi_vs_cuts_grbv2!A:A,proc_v2!A12,benchmark_gurobi_vs_cuts_grbv2!C:C,proc_v2!B12,benchmark_gurobi_vs_cuts_grbv2!B:B,proc_v2!C12,benchmark_gurobi_vs_cuts_grbv2!D:D,proc_v2!D12))</f>
        <v>20</v>
      </c>
      <c r="L12" s="2">
        <f>AVERAGEIFS(benchmark_gurobi_vs_cuts_grbv2!H:H,benchmark_gurobi_vs_cuts_grbv2!A:A,proc_v2!A12,benchmark_gurobi_vs_cuts_grbv2!C:C,proc_v2!B12,benchmark_gurobi_vs_cuts_grbv2!B:B,proc_v2!C12,benchmark_gurobi_vs_cuts_grbv2!D:D,proc_v2!D12)</f>
        <v>0.44135133770502755</v>
      </c>
      <c r="N12" s="2">
        <f>AVERAGEIFS(benchmark_gurobi_vs_cuts_grbv2!V:V,benchmark_gurobi_vs_cuts_grbv2!A:A,proc_v2!A12,benchmark_gurobi_vs_cuts_grbv2!C:C,proc_v2!B12,benchmark_gurobi_vs_cuts_grbv2!B:B,proc_v2!C12,benchmark_gurobi_vs_cuts_grbv2!D:D,proc_v2!D12)</f>
        <v>0.42530990763332754</v>
      </c>
      <c r="O12" s="3">
        <f>AVERAGEIFS(benchmark_gurobi_vs_cuts_grbv2!X:X,benchmark_gurobi_vs_cuts_grbv2!A:A,proc_v2!A12,benchmark_gurobi_vs_cuts_grbv2!C:C,proc_v2!B12,benchmark_gurobi_vs_cuts_grbv2!B:B,proc_v2!C12,benchmark_gurobi_vs_cuts_grbv2!D:D,proc_v2!D12)</f>
        <v>300253.59981377877</v>
      </c>
      <c r="P12" s="3">
        <f>AVERAGEIFS(benchmark_gurobi_vs_cuts_grbv2!Y:Y,benchmark_gurobi_vs_cuts_grbv2!A:A,proc_v2!A12,benchmark_gurobi_vs_cuts_grbv2!C:C,proc_v2!B12,benchmark_gurobi_vs_cuts_grbv2!B:B,proc_v2!C12,benchmark_gurobi_vs_cuts_grbv2!D:D,proc_v2!D12)</f>
        <v>2735.3</v>
      </c>
      <c r="Q12" s="2">
        <f>AVERAGEIFS(benchmark_gurobi_vs_cuts_grbv2!Z:Z,benchmark_gurobi_vs_cuts_grbv2!A:A,proc_v2!A12,benchmark_gurobi_vs_cuts_grbv2!C:C,proc_v2!B12,benchmark_gurobi_vs_cuts_grbv2!B:B,proc_v2!C12,benchmark_gurobi_vs_cuts_grbv2!D:D,proc_v2!D12)</f>
        <v>9.0487396803052164E-2</v>
      </c>
      <c r="R12" s="3">
        <f>AVERAGEIFS(benchmark_gurobi_vs_cuts_grbv2!AA:AA,benchmark_gurobi_vs_cuts_grbv2!A:A,proc_v2!A12,benchmark_gurobi_vs_cuts_grbv2!C:C,proc_v2!B12,benchmark_gurobi_vs_cuts_grbv2!B:B,proc_v2!C12,benchmark_gurobi_vs_cuts_grbv2!D:D,proc_v2!D12)</f>
        <v>50</v>
      </c>
      <c r="Y12" t="str">
        <f t="shared" ref="Y12:Y14" si="1">CONCATENATE("$", A12, "$ &amp; $", B12, "$ &amp; $", D12, "/p$ &amp; $", 100*ROUND(T12,4), "\%$ &amp; $", ROUND(U12,2), "$ &amp; $", ROUND(V12,0), "$ &amp; $", 100*ROUND(W12,4), "\%$ &amp; $", 100*ROUND(F12,4), "\%$ &amp; $", ROUND(G12,2), "$ &amp; $", ROUND(H12,0), "$ &amp; $", 100*ROUND(I12,4), "\%$ &amp; $", ROUND(J12,1), "$ &amp; $",100*ROUND(N12,4), "\%$ &amp; $", ROUND(O12,2), "$ &amp; $", ROUND(P12,0), "$ &amp; $", 100*ROUND(Q12,4), "\%$ &amp; $", ROUND(R12,1), "$\\")</f>
        <v>$30$ &amp; $0.1$ &amp; $20/p$ &amp; $0\%$ &amp; $0$ &amp; $0$ &amp; $0\%$ &amp; $0\%$ &amp; $0$ &amp; $0$ &amp; $0\%$ &amp; $0$ &amp; $42.53\%$ &amp; $300253.6$ &amp; $2735$ &amp; $9.05\%$ &amp; $50$\\</v>
      </c>
    </row>
    <row r="13" spans="1:25" x14ac:dyDescent="0.2">
      <c r="A13">
        <v>30</v>
      </c>
      <c r="B13">
        <v>0.2</v>
      </c>
      <c r="C13">
        <v>1</v>
      </c>
      <c r="D13">
        <v>20</v>
      </c>
      <c r="E13">
        <f>MIN(20, COUNTIFS(benchmark_gurobi_vs_cuts_grbv2!A:A,proc_v2!A13,benchmark_gurobi_vs_cuts_grbv2!C:C,proc_v2!B13,benchmark_gurobi_vs_cuts_grbv2!B:B,proc_v2!C13,benchmark_gurobi_vs_cuts_grbv2!D:D,proc_v2!D13))</f>
        <v>20</v>
      </c>
      <c r="L13" s="2">
        <f>AVERAGEIFS(benchmark_gurobi_vs_cuts_grbv2!H:H,benchmark_gurobi_vs_cuts_grbv2!A:A,proc_v2!A13,benchmark_gurobi_vs_cuts_grbv2!C:C,proc_v2!B13,benchmark_gurobi_vs_cuts_grbv2!B:B,proc_v2!C13,benchmark_gurobi_vs_cuts_grbv2!D:D,proc_v2!D13)</f>
        <v>0.19304928933704593</v>
      </c>
      <c r="N13" s="2">
        <f>AVERAGEIFS(benchmark_gurobi_vs_cuts_grbv2!V:V,benchmark_gurobi_vs_cuts_grbv2!A:A,proc_v2!A13,benchmark_gurobi_vs_cuts_grbv2!C:C,proc_v2!B13,benchmark_gurobi_vs_cuts_grbv2!B:B,proc_v2!C13,benchmark_gurobi_vs_cuts_grbv2!D:D,proc_v2!D13)</f>
        <v>0.17017916347760378</v>
      </c>
      <c r="O13" s="3">
        <f>AVERAGEIFS(benchmark_gurobi_vs_cuts_grbv2!X:X,benchmark_gurobi_vs_cuts_grbv2!A:A,proc_v2!A13,benchmark_gurobi_vs_cuts_grbv2!C:C,proc_v2!B13,benchmark_gurobi_vs_cuts_grbv2!B:B,proc_v2!C13,benchmark_gurobi_vs_cuts_grbv2!D:D,proc_v2!D13)</f>
        <v>298713.69301086094</v>
      </c>
      <c r="P13" s="3">
        <f>AVERAGEIFS(benchmark_gurobi_vs_cuts_grbv2!Y:Y,benchmark_gurobi_vs_cuts_grbv2!A:A,proc_v2!A13,benchmark_gurobi_vs_cuts_grbv2!C:C,proc_v2!B13,benchmark_gurobi_vs_cuts_grbv2!B:B,proc_v2!C13,benchmark_gurobi_vs_cuts_grbv2!D:D,proc_v2!D13)</f>
        <v>1511.2</v>
      </c>
      <c r="Q13" s="2">
        <f>AVERAGEIFS(benchmark_gurobi_vs_cuts_grbv2!Z:Z,benchmark_gurobi_vs_cuts_grbv2!A:A,proc_v2!A13,benchmark_gurobi_vs_cuts_grbv2!C:C,proc_v2!B13,benchmark_gurobi_vs_cuts_grbv2!B:B,proc_v2!C13,benchmark_gurobi_vs_cuts_grbv2!D:D,proc_v2!D13)</f>
        <v>0.13606388992388943</v>
      </c>
      <c r="R13" s="3">
        <f>AVERAGEIFS(benchmark_gurobi_vs_cuts_grbv2!AA:AA,benchmark_gurobi_vs_cuts_grbv2!A:A,proc_v2!A13,benchmark_gurobi_vs_cuts_grbv2!C:C,proc_v2!B13,benchmark_gurobi_vs_cuts_grbv2!B:B,proc_v2!C13,benchmark_gurobi_vs_cuts_grbv2!D:D,proc_v2!D13)</f>
        <v>50</v>
      </c>
      <c r="Y13" t="str">
        <f t="shared" si="1"/>
        <v>$30$ &amp; $0.2$ &amp; $20/p$ &amp; $0\%$ &amp; $0$ &amp; $0$ &amp; $0\%$ &amp; $0\%$ &amp; $0$ &amp; $0$ &amp; $0\%$ &amp; $0$ &amp; $17.02\%$ &amp; $298713.69$ &amp; $1511$ &amp; $13.61\%$ &amp; $50$\\</v>
      </c>
    </row>
    <row r="14" spans="1:25" x14ac:dyDescent="0.2">
      <c r="A14">
        <v>30</v>
      </c>
      <c r="B14">
        <v>0.3</v>
      </c>
      <c r="C14">
        <v>1</v>
      </c>
      <c r="D14">
        <v>20</v>
      </c>
      <c r="E14">
        <f>MIN(20, COUNTIFS(benchmark_gurobi_vs_cuts_grbv2!A:A,proc_v2!A14,benchmark_gurobi_vs_cuts_grbv2!C:C,proc_v2!B14,benchmark_gurobi_vs_cuts_grbv2!B:B,proc_v2!C14,benchmark_gurobi_vs_cuts_grbv2!D:D,proc_v2!D14))</f>
        <v>20</v>
      </c>
      <c r="L14" s="2">
        <f>AVERAGEIFS(benchmark_gurobi_vs_cuts_grbv2!H:H,benchmark_gurobi_vs_cuts_grbv2!A:A,proc_v2!A14,benchmark_gurobi_vs_cuts_grbv2!C:C,proc_v2!B14,benchmark_gurobi_vs_cuts_grbv2!B:B,proc_v2!C14,benchmark_gurobi_vs_cuts_grbv2!D:D,proc_v2!D14)</f>
        <v>0.10329721796893462</v>
      </c>
      <c r="N14" s="2">
        <f>AVERAGEIFS(benchmark_gurobi_vs_cuts_grbv2!V:V,benchmark_gurobi_vs_cuts_grbv2!A:A,proc_v2!A14,benchmark_gurobi_vs_cuts_grbv2!C:C,proc_v2!B14,benchmark_gurobi_vs_cuts_grbv2!B:B,proc_v2!C14,benchmark_gurobi_vs_cuts_grbv2!D:D,proc_v2!D14)</f>
        <v>7.9241341407825891E-2</v>
      </c>
      <c r="O14" s="3">
        <f>AVERAGEIFS(benchmark_gurobi_vs_cuts_grbv2!X:X,benchmark_gurobi_vs_cuts_grbv2!A:A,proc_v2!A14,benchmark_gurobi_vs_cuts_grbv2!C:C,proc_v2!B14,benchmark_gurobi_vs_cuts_grbv2!B:B,proc_v2!C14,benchmark_gurobi_vs_cuts_grbv2!D:D,proc_v2!D14)</f>
        <v>183763.89052898882</v>
      </c>
      <c r="P14" s="3">
        <f>AVERAGEIFS(benchmark_gurobi_vs_cuts_grbv2!Y:Y,benchmark_gurobi_vs_cuts_grbv2!A:A,proc_v2!A14,benchmark_gurobi_vs_cuts_grbv2!C:C,proc_v2!B14,benchmark_gurobi_vs_cuts_grbv2!B:B,proc_v2!C14,benchmark_gurobi_vs_cuts_grbv2!D:D,proc_v2!D14)</f>
        <v>1743.0714285714287</v>
      </c>
      <c r="Q14" s="2">
        <f>AVERAGEIFS(benchmark_gurobi_vs_cuts_grbv2!Z:Z,benchmark_gurobi_vs_cuts_grbv2!A:A,proc_v2!A14,benchmark_gurobi_vs_cuts_grbv2!C:C,proc_v2!B14,benchmark_gurobi_vs_cuts_grbv2!B:B,proc_v2!C14,benchmark_gurobi_vs_cuts_grbv2!D:D,proc_v2!D14)</f>
        <v>4.7583365892717666E-2</v>
      </c>
      <c r="R14" s="3">
        <f>AVERAGEIFS(benchmark_gurobi_vs_cuts_grbv2!AA:AA,benchmark_gurobi_vs_cuts_grbv2!A:A,proc_v2!A14,benchmark_gurobi_vs_cuts_grbv2!C:C,proc_v2!B14,benchmark_gurobi_vs_cuts_grbv2!B:B,proc_v2!C14,benchmark_gurobi_vs_cuts_grbv2!D:D,proc_v2!D14)</f>
        <v>36.857142857142854</v>
      </c>
      <c r="Y14" t="str">
        <f t="shared" si="1"/>
        <v>$30$ &amp; $0.3$ &amp; $20/p$ &amp; $0\%$ &amp; $0$ &amp; $0$ &amp; $0\%$ &amp; $0\%$ &amp; $0$ &amp; $0$ &amp; $0\%$ &amp; $0$ &amp; $7.92\%$ &amp; $183763.89$ &amp; $1743$ &amp; $4.76\%$ &amp; $36.9$\\</v>
      </c>
    </row>
    <row r="15" spans="1:25" x14ac:dyDescent="0.2">
      <c r="L15" s="2"/>
    </row>
    <row r="16" spans="1:25" x14ac:dyDescent="0.2">
      <c r="A16">
        <v>40</v>
      </c>
      <c r="B16">
        <v>0.1</v>
      </c>
      <c r="C16">
        <v>1</v>
      </c>
      <c r="D16">
        <v>20</v>
      </c>
      <c r="E16">
        <f>MIN(20, COUNTIFS(benchmark_gurobi_vs_cuts_grbv2!A:A,proc_v2!A16,benchmark_gurobi_vs_cuts_grbv2!C:C,proc_v2!B16,benchmark_gurobi_vs_cuts_grbv2!B:B,proc_v2!C16,benchmark_gurobi_vs_cuts_grbv2!D:D,proc_v2!D16))</f>
        <v>20</v>
      </c>
      <c r="L16" s="2">
        <f>AVERAGEIFS(benchmark_gurobi_vs_cuts_grbv2!H:H,benchmark_gurobi_vs_cuts_grbv2!A:A,proc_v2!A16,benchmark_gurobi_vs_cuts_grbv2!C:C,proc_v2!B16,benchmark_gurobi_vs_cuts_grbv2!B:B,proc_v2!C16,benchmark_gurobi_vs_cuts_grbv2!D:D,proc_v2!D16)</f>
        <v>0.33101879457315986</v>
      </c>
      <c r="N16" s="2">
        <f>AVERAGEIFS(benchmark_gurobi_vs_cuts_grbv2!V:V,benchmark_gurobi_vs_cuts_grbv2!A:A,proc_v2!A16,benchmark_gurobi_vs_cuts_grbv2!C:C,proc_v2!B16,benchmark_gurobi_vs_cuts_grbv2!B:B,proc_v2!C16,benchmark_gurobi_vs_cuts_grbv2!D:D,proc_v2!D16)</f>
        <v>0.30998928176356422</v>
      </c>
      <c r="O16" s="3">
        <f>AVERAGEIFS(benchmark_gurobi_vs_cuts_grbv2!X:X,benchmark_gurobi_vs_cuts_grbv2!A:A,proc_v2!A16,benchmark_gurobi_vs_cuts_grbv2!C:C,proc_v2!B16,benchmark_gurobi_vs_cuts_grbv2!B:B,proc_v2!C16,benchmark_gurobi_vs_cuts_grbv2!D:D,proc_v2!D16)</f>
        <v>153545.80440338113</v>
      </c>
      <c r="P16" s="3">
        <f>AVERAGEIFS(benchmark_gurobi_vs_cuts_grbv2!Y:Y,benchmark_gurobi_vs_cuts_grbv2!A:A,proc_v2!A16,benchmark_gurobi_vs_cuts_grbv2!C:C,proc_v2!B16,benchmark_gurobi_vs_cuts_grbv2!B:B,proc_v2!C16,benchmark_gurobi_vs_cuts_grbv2!D:D,proc_v2!D16)</f>
        <v>14998.6</v>
      </c>
      <c r="Q16" s="2">
        <f>AVERAGEIFS(benchmark_gurobi_vs_cuts_grbv2!Z:Z,benchmark_gurobi_vs_cuts_grbv2!A:A,proc_v2!A16,benchmark_gurobi_vs_cuts_grbv2!C:C,proc_v2!B16,benchmark_gurobi_vs_cuts_grbv2!B:B,proc_v2!C16,benchmark_gurobi_vs_cuts_grbv2!D:D,proc_v2!D16)</f>
        <v>0.111881698118851</v>
      </c>
      <c r="R16" s="3">
        <f>AVERAGEIFS(benchmark_gurobi_vs_cuts_grbv2!AA:AA,benchmark_gurobi_vs_cuts_grbv2!A:A,proc_v2!A16,benchmark_gurobi_vs_cuts_grbv2!C:C,proc_v2!B16,benchmark_gurobi_vs_cuts_grbv2!B:B,proc_v2!C16,benchmark_gurobi_vs_cuts_grbv2!D:D,proc_v2!D16)</f>
        <v>50</v>
      </c>
      <c r="Y16" t="str">
        <f t="shared" ref="Y16:Y17" si="2">CONCATENATE("$", A16, "$ &amp; $", B16, "$ &amp; $", D16, "/p$ &amp; $", 100*ROUND(T16,4), "\%$ &amp; $", ROUND(U16,2), "$ &amp; $", ROUND(V16,0), "$ &amp; $", 100*ROUND(W16,4), "\%$ &amp; $", 100*ROUND(F16,4), "\%$ &amp; $", ROUND(G16,2), "$ &amp; $", ROUND(H16,0), "$ &amp; $", 100*ROUND(I16,4), "\%$ &amp; $", ROUND(J16,1), "$ &amp; $",100*ROUND(N16,4), "\%$ &amp; $", ROUND(O16,2), "$ &amp; $", ROUND(P16,0), "$ &amp; $", 100*ROUND(Q16,4), "\%$ &amp; $", ROUND(R16,1), "$\\")</f>
        <v>$40$ &amp; $0.1$ &amp; $20/p$ &amp; $0\%$ &amp; $0$ &amp; $0$ &amp; $0\%$ &amp; $0\%$ &amp; $0$ &amp; $0$ &amp; $0\%$ &amp; $0$ &amp; $31\%$ &amp; $153545.8$ &amp; $14999$ &amp; $11.19\%$ &amp; $50$\\</v>
      </c>
    </row>
    <row r="17" spans="1:25" x14ac:dyDescent="0.2">
      <c r="A17">
        <v>50</v>
      </c>
      <c r="B17">
        <v>0.1</v>
      </c>
      <c r="C17">
        <v>1</v>
      </c>
      <c r="D17">
        <v>20</v>
      </c>
      <c r="E17">
        <f>MIN(20, COUNTIFS(benchmark_gurobi_vs_cuts_grbv2!A:A,proc_v2!A17,benchmark_gurobi_vs_cuts_grbv2!C:C,proc_v2!B17,benchmark_gurobi_vs_cuts_grbv2!B:B,proc_v2!C17,benchmark_gurobi_vs_cuts_grbv2!D:D,proc_v2!D17))</f>
        <v>20</v>
      </c>
      <c r="L17" s="2">
        <f>AVERAGEIFS(benchmark_gurobi_vs_cuts_grbv2!H:H,benchmark_gurobi_vs_cuts_grbv2!A:A,proc_v2!A17,benchmark_gurobi_vs_cuts_grbv2!C:C,proc_v2!B17,benchmark_gurobi_vs_cuts_grbv2!B:B,proc_v2!C17,benchmark_gurobi_vs_cuts_grbv2!D:D,proc_v2!D17)</f>
        <v>0.25502975029953229</v>
      </c>
      <c r="N17" s="2">
        <f>AVERAGEIFS(benchmark_gurobi_vs_cuts_grbv2!V:V,benchmark_gurobi_vs_cuts_grbv2!A:A,proc_v2!A17,benchmark_gurobi_vs_cuts_grbv2!C:C,proc_v2!B17,benchmark_gurobi_vs_cuts_grbv2!B:B,proc_v2!C17,benchmark_gurobi_vs_cuts_grbv2!D:D,proc_v2!D17)</f>
        <v>0.2314762211726227</v>
      </c>
      <c r="O17" s="3">
        <f>AVERAGEIFS(benchmark_gurobi_vs_cuts_grbv2!X:X,benchmark_gurobi_vs_cuts_grbv2!A:A,proc_v2!A17,benchmark_gurobi_vs_cuts_grbv2!C:C,proc_v2!B17,benchmark_gurobi_vs_cuts_grbv2!B:B,proc_v2!C17,benchmark_gurobi_vs_cuts_grbv2!D:D,proc_v2!D17)</f>
        <v>306114.18001516128</v>
      </c>
      <c r="P17" s="3">
        <f>AVERAGEIFS(benchmark_gurobi_vs_cuts_grbv2!Y:Y,benchmark_gurobi_vs_cuts_grbv2!A:A,proc_v2!A17,benchmark_gurobi_vs_cuts_grbv2!C:C,proc_v2!B17,benchmark_gurobi_vs_cuts_grbv2!B:B,proc_v2!C17,benchmark_gurobi_vs_cuts_grbv2!D:D,proc_v2!D17)</f>
        <v>75.318181818181813</v>
      </c>
      <c r="Q17" s="2">
        <f>AVERAGEIFS(benchmark_gurobi_vs_cuts_grbv2!Z:Z,benchmark_gurobi_vs_cuts_grbv2!A:A,proc_v2!A17,benchmark_gurobi_vs_cuts_grbv2!C:C,proc_v2!B17,benchmark_gurobi_vs_cuts_grbv2!B:B,proc_v2!C17,benchmark_gurobi_vs_cuts_grbv2!D:D,proc_v2!D17)</f>
        <v>0.35611962867042563</v>
      </c>
      <c r="R17" s="3">
        <f>AVERAGEIFS(benchmark_gurobi_vs_cuts_grbv2!AA:AA,benchmark_gurobi_vs_cuts_grbv2!A:A,proc_v2!A17,benchmark_gurobi_vs_cuts_grbv2!C:C,proc_v2!B17,benchmark_gurobi_vs_cuts_grbv2!B:B,proc_v2!C17,benchmark_gurobi_vs_cuts_grbv2!D:D,proc_v2!D17)</f>
        <v>50</v>
      </c>
      <c r="Y17" t="str">
        <f t="shared" si="2"/>
        <v>$50$ &amp; $0.1$ &amp; $20/p$ &amp; $0\%$ &amp; $0$ &amp; $0$ &amp; $0\%$ &amp; $0\%$ &amp; $0$ &amp; $0$ &amp; $0\%$ &amp; $0$ &amp; $23.15\%$ &amp; $306114.18$ &amp; $75$ &amp; $35.61\%$ &amp; $50$\\</v>
      </c>
    </row>
    <row r="18" spans="1:25" x14ac:dyDescent="0.2">
      <c r="L18" s="2"/>
    </row>
    <row r="19" spans="1:25" x14ac:dyDescent="0.2">
      <c r="L19" s="2"/>
    </row>
    <row r="20" spans="1:25" x14ac:dyDescent="0.2">
      <c r="L20" s="2"/>
    </row>
    <row r="21" spans="1:25" x14ac:dyDescent="0.2">
      <c r="A21">
        <v>10</v>
      </c>
      <c r="B21">
        <v>0.1</v>
      </c>
      <c r="C21">
        <v>1</v>
      </c>
      <c r="D21">
        <v>100</v>
      </c>
      <c r="E21">
        <f>MIN(20, COUNTIFS(benchmark_gurobi_vs_cuts_grbv2!A:A,proc_v2!A21,benchmark_gurobi_vs_cuts_grbv2!C:C,proc_v2!B21,benchmark_gurobi_vs_cuts_grbv2!B:B,proc_v2!C21,benchmark_gurobi_vs_cuts_grbv2!D:D,proc_v2!D21))</f>
        <v>20</v>
      </c>
      <c r="L21" s="2">
        <f>AVERAGEIFS(benchmark_gurobi_vs_cuts_grbv2!H:H,benchmark_gurobi_vs_cuts_grbv2!A:A,proc_v2!A21,benchmark_gurobi_vs_cuts_grbv2!C:C,proc_v2!B21,benchmark_gurobi_vs_cuts_grbv2!B:B,proc_v2!C21,benchmark_gurobi_vs_cuts_grbv2!D:D,proc_v2!D21)</f>
        <v>0.95003094854270442</v>
      </c>
      <c r="N21" s="2">
        <f>AVERAGEIFS(benchmark_gurobi_vs_cuts_grbv2!V:V,benchmark_gurobi_vs_cuts_grbv2!A:A,proc_v2!A21,benchmark_gurobi_vs_cuts_grbv2!C:C,proc_v2!B21,benchmark_gurobi_vs_cuts_grbv2!B:B,proc_v2!C21,benchmark_gurobi_vs_cuts_grbv2!D:D,proc_v2!D21)</f>
        <v>1.0072649017268003</v>
      </c>
      <c r="O21" s="3">
        <f>AVERAGEIFS(benchmark_gurobi_vs_cuts_grbv2!X:X,benchmark_gurobi_vs_cuts_grbv2!A:A,proc_v2!A21,benchmark_gurobi_vs_cuts_grbv2!C:C,proc_v2!B21,benchmark_gurobi_vs_cuts_grbv2!B:B,proc_v2!C21,benchmark_gurobi_vs_cuts_grbv2!D:D,proc_v2!D21)</f>
        <v>656.46479148999993</v>
      </c>
      <c r="P21" s="3">
        <f>AVERAGEIFS(benchmark_gurobi_vs_cuts_grbv2!Y:Y,benchmark_gurobi_vs_cuts_grbv2!A:A,proc_v2!A21,benchmark_gurobi_vs_cuts_grbv2!C:C,proc_v2!B21,benchmark_gurobi_vs_cuts_grbv2!B:B,proc_v2!C21,benchmark_gurobi_vs_cuts_grbv2!D:D,proc_v2!D21)</f>
        <v>28868.314285714285</v>
      </c>
      <c r="Q21" s="2">
        <f>AVERAGEIFS(benchmark_gurobi_vs_cuts_grbv2!Z:Z,benchmark_gurobi_vs_cuts_grbv2!A:A,proc_v2!A21,benchmark_gurobi_vs_cuts_grbv2!C:C,proc_v2!B21,benchmark_gurobi_vs_cuts_grbv2!B:B,proc_v2!C21,benchmark_gurobi_vs_cuts_grbv2!D:D,proc_v2!D21)</f>
        <v>1.0933999852742663E-4</v>
      </c>
      <c r="R21" s="3">
        <f>AVERAGEIFS(benchmark_gurobi_vs_cuts_grbv2!AA:AA,benchmark_gurobi_vs_cuts_grbv2!A:A,proc_v2!A21,benchmark_gurobi_vs_cuts_grbv2!C:C,proc_v2!B21,benchmark_gurobi_vs_cuts_grbv2!B:B,proc_v2!C21,benchmark_gurobi_vs_cuts_grbv2!D:D,proc_v2!D21)</f>
        <v>2.1428571428571428</v>
      </c>
      <c r="Y21" t="str">
        <f t="shared" ref="Y21:Y23" si="3">CONCATENATE("$", A21, "$ &amp; $", B21, "$ &amp; $", D21, "/p$ &amp; $", ROUND(U21,2), "$ &amp; $", ROUND(V21,0), "$ &amp; $", 100*ROUND(W21,4), "\%$ &amp; $", ROUND(G21,2), "$ &amp; $", ROUND(H21,0), "$ &amp; $", 100*ROUND(I21,4), "\%$ &amp; $", ROUND(J21,1), "$ &amp; $", ROUND(O21,2), "$ &amp; $", ROUND(P21,0), "$ &amp; $", 100*ROUND(Q21,4), "\%$ &amp; $", ROUND(R21,1), "$\\")</f>
        <v>$10$ &amp; $0.1$ &amp; $100/p$ &amp; $0$ &amp; $0$ &amp; $0\%$ &amp; $0$ &amp; $0$ &amp; $0\%$ &amp; $0$ &amp; $656.46$ &amp; $28868$ &amp; $0.01\%$ &amp; $2.1$\\</v>
      </c>
    </row>
    <row r="22" spans="1:25" x14ac:dyDescent="0.2">
      <c r="A22">
        <v>10</v>
      </c>
      <c r="B22">
        <v>0.2</v>
      </c>
      <c r="C22">
        <v>1</v>
      </c>
      <c r="D22">
        <v>100</v>
      </c>
      <c r="E22">
        <f>MIN(20, COUNTIFS(benchmark_gurobi_vs_cuts_grbv2!A:A,proc_v2!A22,benchmark_gurobi_vs_cuts_grbv2!C:C,proc_v2!B22,benchmark_gurobi_vs_cuts_grbv2!B:B,proc_v2!C22,benchmark_gurobi_vs_cuts_grbv2!D:D,proc_v2!D22))</f>
        <v>20</v>
      </c>
      <c r="L22" s="2">
        <f>AVERAGEIFS(benchmark_gurobi_vs_cuts_grbv2!H:H,benchmark_gurobi_vs_cuts_grbv2!A:A,proc_v2!A22,benchmark_gurobi_vs_cuts_grbv2!C:C,proc_v2!B22,benchmark_gurobi_vs_cuts_grbv2!B:B,proc_v2!C22,benchmark_gurobi_vs_cuts_grbv2!D:D,proc_v2!D22)</f>
        <v>0.56774054697953802</v>
      </c>
      <c r="N22" s="2">
        <f>AVERAGEIFS(benchmark_gurobi_vs_cuts_grbv2!V:V,benchmark_gurobi_vs_cuts_grbv2!A:A,proc_v2!A22,benchmark_gurobi_vs_cuts_grbv2!C:C,proc_v2!B22,benchmark_gurobi_vs_cuts_grbv2!B:B,proc_v2!C22,benchmark_gurobi_vs_cuts_grbv2!D:D,proc_v2!D22)</f>
        <v>0.61394494642039588</v>
      </c>
      <c r="O22" s="3">
        <f>AVERAGEIFS(benchmark_gurobi_vs_cuts_grbv2!X:X,benchmark_gurobi_vs_cuts_grbv2!A:A,proc_v2!A22,benchmark_gurobi_vs_cuts_grbv2!C:C,proc_v2!B22,benchmark_gurobi_vs_cuts_grbv2!B:B,proc_v2!C22,benchmark_gurobi_vs_cuts_grbv2!D:D,proc_v2!D22)</f>
        <v>1107.4838656392856</v>
      </c>
      <c r="P22" s="3">
        <f>AVERAGEIFS(benchmark_gurobi_vs_cuts_grbv2!Y:Y,benchmark_gurobi_vs_cuts_grbv2!A:A,proc_v2!A22,benchmark_gurobi_vs_cuts_grbv2!C:C,proc_v2!B22,benchmark_gurobi_vs_cuts_grbv2!B:B,proc_v2!C22,benchmark_gurobi_vs_cuts_grbv2!D:D,proc_v2!D22)</f>
        <v>10009.857142857143</v>
      </c>
      <c r="Q22" s="2">
        <f>AVERAGEIFS(benchmark_gurobi_vs_cuts_grbv2!Z:Z,benchmark_gurobi_vs_cuts_grbv2!A:A,proc_v2!A22,benchmark_gurobi_vs_cuts_grbv2!C:C,proc_v2!B22,benchmark_gurobi_vs_cuts_grbv2!B:B,proc_v2!C22,benchmark_gurobi_vs_cuts_grbv2!D:D,proc_v2!D22)</f>
        <v>9.4890206589569228E-4</v>
      </c>
      <c r="R22" s="3">
        <f>AVERAGEIFS(benchmark_gurobi_vs_cuts_grbv2!AA:AA,benchmark_gurobi_vs_cuts_grbv2!A:A,proc_v2!A22,benchmark_gurobi_vs_cuts_grbv2!C:C,proc_v2!B22,benchmark_gurobi_vs_cuts_grbv2!B:B,proc_v2!C22,benchmark_gurobi_vs_cuts_grbv2!D:D,proc_v2!D22)</f>
        <v>4.2857142857142856</v>
      </c>
      <c r="Y22" t="str">
        <f t="shared" si="3"/>
        <v>$10$ &amp; $0.2$ &amp; $100/p$ &amp; $0$ &amp; $0$ &amp; $0\%$ &amp; $0$ &amp; $0$ &amp; $0\%$ &amp; $0$ &amp; $1107.48$ &amp; $10010$ &amp; $0.09\%$ &amp; $4.3$\\</v>
      </c>
    </row>
    <row r="23" spans="1:25" x14ac:dyDescent="0.2">
      <c r="A23">
        <v>10</v>
      </c>
      <c r="B23">
        <v>0.3</v>
      </c>
      <c r="C23">
        <v>1</v>
      </c>
      <c r="D23">
        <v>100</v>
      </c>
      <c r="E23">
        <f>MIN(20, COUNTIFS(benchmark_gurobi_vs_cuts_grbv2!A:A,proc_v2!A23,benchmark_gurobi_vs_cuts_grbv2!C:C,proc_v2!B23,benchmark_gurobi_vs_cuts_grbv2!B:B,proc_v2!C23,benchmark_gurobi_vs_cuts_grbv2!D:D,proc_v2!D23))</f>
        <v>20</v>
      </c>
      <c r="L23" s="2">
        <f>AVERAGEIFS(benchmark_gurobi_vs_cuts_grbv2!H:H,benchmark_gurobi_vs_cuts_grbv2!A:A,proc_v2!A23,benchmark_gurobi_vs_cuts_grbv2!C:C,proc_v2!B23,benchmark_gurobi_vs_cuts_grbv2!B:B,proc_v2!C23,benchmark_gurobi_vs_cuts_grbv2!D:D,proc_v2!D23)</f>
        <v>0.24566378687245088</v>
      </c>
      <c r="N23" s="2">
        <f>AVERAGEIFS(benchmark_gurobi_vs_cuts_grbv2!V:V,benchmark_gurobi_vs_cuts_grbv2!A:A,proc_v2!A23,benchmark_gurobi_vs_cuts_grbv2!C:C,proc_v2!B23,benchmark_gurobi_vs_cuts_grbv2!B:B,proc_v2!C23,benchmark_gurobi_vs_cuts_grbv2!D:D,proc_v2!D23)</f>
        <v>0.2225681205216789</v>
      </c>
      <c r="O23" s="3">
        <f>AVERAGEIFS(benchmark_gurobi_vs_cuts_grbv2!X:X,benchmark_gurobi_vs_cuts_grbv2!A:A,proc_v2!A23,benchmark_gurobi_vs_cuts_grbv2!C:C,proc_v2!B23,benchmark_gurobi_vs_cuts_grbv2!B:B,proc_v2!C23,benchmark_gurobi_vs_cuts_grbv2!D:D,proc_v2!D23)</f>
        <v>3364.0276200632993</v>
      </c>
      <c r="P23" s="3">
        <f>AVERAGEIFS(benchmark_gurobi_vs_cuts_grbv2!Y:Y,benchmark_gurobi_vs_cuts_grbv2!A:A,proc_v2!A23,benchmark_gurobi_vs_cuts_grbv2!C:C,proc_v2!B23,benchmark_gurobi_vs_cuts_grbv2!B:B,proc_v2!C23,benchmark_gurobi_vs_cuts_grbv2!D:D,proc_v2!D23)</f>
        <v>48731.8</v>
      </c>
      <c r="Q23" s="2">
        <f>AVERAGEIFS(benchmark_gurobi_vs_cuts_grbv2!Z:Z,benchmark_gurobi_vs_cuts_grbv2!A:A,proc_v2!A23,benchmark_gurobi_vs_cuts_grbv2!C:C,proc_v2!B23,benchmark_gurobi_vs_cuts_grbv2!B:B,proc_v2!C23,benchmark_gurobi_vs_cuts_grbv2!D:D,proc_v2!D23)</f>
        <v>2.2240617200605583E-3</v>
      </c>
      <c r="R23" s="3">
        <f>AVERAGEIFS(benchmark_gurobi_vs_cuts_grbv2!AA:AA,benchmark_gurobi_vs_cuts_grbv2!A:A,proc_v2!A23,benchmark_gurobi_vs_cuts_grbv2!C:C,proc_v2!B23,benchmark_gurobi_vs_cuts_grbv2!B:B,proc_v2!C23,benchmark_gurobi_vs_cuts_grbv2!D:D,proc_v2!D23)</f>
        <v>6.3</v>
      </c>
      <c r="Y23" t="str">
        <f t="shared" si="3"/>
        <v>$10$ &amp; $0.3$ &amp; $100/p$ &amp; $0$ &amp; $0$ &amp; $0\%$ &amp; $0$ &amp; $0$ &amp; $0\%$ &amp; $0$ &amp; $3364.03$ &amp; $48732$ &amp; $0.22\%$ &amp; $6.3$\\</v>
      </c>
    </row>
    <row r="24" spans="1:25" x14ac:dyDescent="0.2">
      <c r="L24" s="2"/>
    </row>
    <row r="25" spans="1:25" x14ac:dyDescent="0.2">
      <c r="A25">
        <v>20</v>
      </c>
      <c r="B25">
        <v>0.1</v>
      </c>
      <c r="C25">
        <v>1</v>
      </c>
      <c r="D25">
        <v>100</v>
      </c>
      <c r="E25">
        <f>MIN(20, COUNTIFS(benchmark_gurobi_vs_cuts_grbv2!A:A,proc_v2!A25,benchmark_gurobi_vs_cuts_grbv2!C:C,proc_v2!B25,benchmark_gurobi_vs_cuts_grbv2!B:B,proc_v2!C25,benchmark_gurobi_vs_cuts_grbv2!D:D,proc_v2!D25))</f>
        <v>20</v>
      </c>
      <c r="L25" s="2">
        <f>AVERAGEIFS(benchmark_gurobi_vs_cuts_grbv2!H:H,benchmark_gurobi_vs_cuts_grbv2!A:A,proc_v2!A25,benchmark_gurobi_vs_cuts_grbv2!C:C,proc_v2!B25,benchmark_gurobi_vs_cuts_grbv2!B:B,proc_v2!C25,benchmark_gurobi_vs_cuts_grbv2!D:D,proc_v2!D25)</f>
        <v>0.60450099712730343</v>
      </c>
      <c r="N25" s="2">
        <f>AVERAGEIFS(benchmark_gurobi_vs_cuts_grbv2!V:V,benchmark_gurobi_vs_cuts_grbv2!A:A,proc_v2!A25,benchmark_gurobi_vs_cuts_grbv2!C:C,proc_v2!B25,benchmark_gurobi_vs_cuts_grbv2!B:B,proc_v2!C25,benchmark_gurobi_vs_cuts_grbv2!D:D,proc_v2!D25)</f>
        <v>0.67639911345654713</v>
      </c>
      <c r="O25" s="3">
        <f>AVERAGEIFS(benchmark_gurobi_vs_cuts_grbv2!X:X,benchmark_gurobi_vs_cuts_grbv2!A:A,proc_v2!A25,benchmark_gurobi_vs_cuts_grbv2!C:C,proc_v2!B25,benchmark_gurobi_vs_cuts_grbv2!B:B,proc_v2!C25,benchmark_gurobi_vs_cuts_grbv2!D:D,proc_v2!D25)</f>
        <v>1266.4073556367</v>
      </c>
      <c r="P25" s="3">
        <f>AVERAGEIFS(benchmark_gurobi_vs_cuts_grbv2!Y:Y,benchmark_gurobi_vs_cuts_grbv2!A:A,proc_v2!A25,benchmark_gurobi_vs_cuts_grbv2!C:C,proc_v2!B25,benchmark_gurobi_vs_cuts_grbv2!B:B,proc_v2!C25,benchmark_gurobi_vs_cuts_grbv2!D:D,proc_v2!D25)</f>
        <v>8792.4</v>
      </c>
      <c r="Q25" s="2">
        <f>AVERAGEIFS(benchmark_gurobi_vs_cuts_grbv2!Z:Z,benchmark_gurobi_vs_cuts_grbv2!A:A,proc_v2!A25,benchmark_gurobi_vs_cuts_grbv2!C:C,proc_v2!B25,benchmark_gurobi_vs_cuts_grbv2!B:B,proc_v2!C25,benchmark_gurobi_vs_cuts_grbv2!D:D,proc_v2!D25)</f>
        <v>8.734007633538491E-3</v>
      </c>
      <c r="R25" s="3">
        <f>AVERAGEIFS(benchmark_gurobi_vs_cuts_grbv2!AA:AA,benchmark_gurobi_vs_cuts_grbv2!A:A,proc_v2!A25,benchmark_gurobi_vs_cuts_grbv2!C:C,proc_v2!B25,benchmark_gurobi_vs_cuts_grbv2!B:B,proc_v2!C25,benchmark_gurobi_vs_cuts_grbv2!D:D,proc_v2!D25)</f>
        <v>8.35</v>
      </c>
      <c r="Y25" t="str">
        <f t="shared" ref="Y25:Y27" si="4">CONCATENATE("$", A25, "$ &amp; $", B25, "$ &amp; $", D25, "/p$ &amp; $", ROUND(U25,2), "$ &amp; $", ROUND(V25,0), "$ &amp; $", 100*ROUND(W25,4), "\%$ &amp; $", ROUND(G25,2), "$ &amp; $", ROUND(H25,0), "$ &amp; $", 100*ROUND(I25,4), "\%$ &amp; $", ROUND(J25,1), "$ &amp; $", ROUND(O25,2), "$ &amp; $", ROUND(P25,0), "$ &amp; $", 100*ROUND(Q25,4), "\%$ &amp; $", ROUND(R25,1), "$\\")</f>
        <v>$20$ &amp; $0.1$ &amp; $100/p$ &amp; $0$ &amp; $0$ &amp; $0\%$ &amp; $0$ &amp; $0$ &amp; $0\%$ &amp; $0$ &amp; $1266.41$ &amp; $8792$ &amp; $0.87\%$ &amp; $8.4$\\</v>
      </c>
    </row>
    <row r="26" spans="1:25" x14ac:dyDescent="0.2">
      <c r="A26">
        <v>20</v>
      </c>
      <c r="B26">
        <v>0.2</v>
      </c>
      <c r="C26">
        <v>1</v>
      </c>
      <c r="D26">
        <v>100</v>
      </c>
      <c r="E26">
        <f>MIN(20, COUNTIFS(benchmark_gurobi_vs_cuts_grbv2!A:A,proc_v2!A26,benchmark_gurobi_vs_cuts_grbv2!C:C,proc_v2!B26,benchmark_gurobi_vs_cuts_grbv2!B:B,proc_v2!C26,benchmark_gurobi_vs_cuts_grbv2!D:D,proc_v2!D26))</f>
        <v>20</v>
      </c>
      <c r="L26" s="2">
        <f>AVERAGEIFS(benchmark_gurobi_vs_cuts_grbv2!H:H,benchmark_gurobi_vs_cuts_grbv2!A:A,proc_v2!A26,benchmark_gurobi_vs_cuts_grbv2!C:C,proc_v2!B26,benchmark_gurobi_vs_cuts_grbv2!B:B,proc_v2!C26,benchmark_gurobi_vs_cuts_grbv2!D:D,proc_v2!D26)</f>
        <v>0.11504494857213943</v>
      </c>
      <c r="N26" s="2">
        <f>AVERAGEIFS(benchmark_gurobi_vs_cuts_grbv2!V:V,benchmark_gurobi_vs_cuts_grbv2!A:A,proc_v2!A26,benchmark_gurobi_vs_cuts_grbv2!C:C,proc_v2!B26,benchmark_gurobi_vs_cuts_grbv2!B:B,proc_v2!C26,benchmark_gurobi_vs_cuts_grbv2!D:D,proc_v2!D26)</f>
        <v>0.1208574679955093</v>
      </c>
      <c r="O26" s="3">
        <f>AVERAGEIFS(benchmark_gurobi_vs_cuts_grbv2!X:X,benchmark_gurobi_vs_cuts_grbv2!A:A,proc_v2!A26,benchmark_gurobi_vs_cuts_grbv2!C:C,proc_v2!B26,benchmark_gurobi_vs_cuts_grbv2!B:B,proc_v2!C26,benchmark_gurobi_vs_cuts_grbv2!D:D,proc_v2!D26)</f>
        <v>1219.5842862673999</v>
      </c>
      <c r="P26" s="3">
        <f>AVERAGEIFS(benchmark_gurobi_vs_cuts_grbv2!Y:Y,benchmark_gurobi_vs_cuts_grbv2!A:A,proc_v2!A26,benchmark_gurobi_vs_cuts_grbv2!C:C,proc_v2!B26,benchmark_gurobi_vs_cuts_grbv2!B:B,proc_v2!C26,benchmark_gurobi_vs_cuts_grbv2!D:D,proc_v2!D26)</f>
        <v>2710.3</v>
      </c>
      <c r="Q26" s="2">
        <f>AVERAGEIFS(benchmark_gurobi_vs_cuts_grbv2!Z:Z,benchmark_gurobi_vs_cuts_grbv2!A:A,proc_v2!A26,benchmark_gurobi_vs_cuts_grbv2!C:C,proc_v2!B26,benchmark_gurobi_vs_cuts_grbv2!B:B,proc_v2!C26,benchmark_gurobi_vs_cuts_grbv2!D:D,proc_v2!D26)</f>
        <v>1.0415723749066888E-2</v>
      </c>
      <c r="R26" s="3">
        <f>AVERAGEIFS(benchmark_gurobi_vs_cuts_grbv2!AA:AA,benchmark_gurobi_vs_cuts_grbv2!A:A,proc_v2!A26,benchmark_gurobi_vs_cuts_grbv2!C:C,proc_v2!B26,benchmark_gurobi_vs_cuts_grbv2!B:B,proc_v2!C26,benchmark_gurobi_vs_cuts_grbv2!D:D,proc_v2!D26)</f>
        <v>7.8</v>
      </c>
      <c r="Y26" t="str">
        <f t="shared" si="4"/>
        <v>$20$ &amp; $0.2$ &amp; $100/p$ &amp; $0$ &amp; $0$ &amp; $0\%$ &amp; $0$ &amp; $0$ &amp; $0\%$ &amp; $0$ &amp; $1219.58$ &amp; $2710$ &amp; $1.04\%$ &amp; $7.8$\\</v>
      </c>
    </row>
    <row r="27" spans="1:25" x14ac:dyDescent="0.2">
      <c r="A27">
        <v>20</v>
      </c>
      <c r="B27">
        <v>0.3</v>
      </c>
      <c r="C27">
        <v>1</v>
      </c>
      <c r="D27">
        <v>100</v>
      </c>
      <c r="E27">
        <f>MIN(20, COUNTIFS(benchmark_gurobi_vs_cuts_grbv2!A:A,proc_v2!A27,benchmark_gurobi_vs_cuts_grbv2!C:C,proc_v2!B27,benchmark_gurobi_vs_cuts_grbv2!B:B,proc_v2!C27,benchmark_gurobi_vs_cuts_grbv2!D:D,proc_v2!D27))</f>
        <v>20</v>
      </c>
      <c r="L27" s="2">
        <f>AVERAGEIFS(benchmark_gurobi_vs_cuts_grbv2!H:H,benchmark_gurobi_vs_cuts_grbv2!A:A,proc_v2!A27,benchmark_gurobi_vs_cuts_grbv2!C:C,proc_v2!B27,benchmark_gurobi_vs_cuts_grbv2!B:B,proc_v2!C27,benchmark_gurobi_vs_cuts_grbv2!D:D,proc_v2!D27)</f>
        <v>3.8776158006669816E-2</v>
      </c>
      <c r="N27" s="2">
        <f>AVERAGEIFS(benchmark_gurobi_vs_cuts_grbv2!V:V,benchmark_gurobi_vs_cuts_grbv2!A:A,proc_v2!A27,benchmark_gurobi_vs_cuts_grbv2!C:C,proc_v2!B27,benchmark_gurobi_vs_cuts_grbv2!B:B,proc_v2!C27,benchmark_gurobi_vs_cuts_grbv2!D:D,proc_v2!D27)</f>
        <v>3.2375543393165764E-2</v>
      </c>
      <c r="O27" s="3">
        <f>AVERAGEIFS(benchmark_gurobi_vs_cuts_grbv2!X:X,benchmark_gurobi_vs_cuts_grbv2!A:A,proc_v2!A27,benchmark_gurobi_vs_cuts_grbv2!C:C,proc_v2!B27,benchmark_gurobi_vs_cuts_grbv2!B:B,proc_v2!C27,benchmark_gurobi_vs_cuts_grbv2!D:D,proc_v2!D27)</f>
        <v>1272.3577268890479</v>
      </c>
      <c r="P27" s="3">
        <f>AVERAGEIFS(benchmark_gurobi_vs_cuts_grbv2!Y:Y,benchmark_gurobi_vs_cuts_grbv2!A:A,proc_v2!A27,benchmark_gurobi_vs_cuts_grbv2!C:C,proc_v2!B27,benchmark_gurobi_vs_cuts_grbv2!B:B,proc_v2!C27,benchmark_gurobi_vs_cuts_grbv2!D:D,proc_v2!D27)</f>
        <v>1837.1904761904761</v>
      </c>
      <c r="Q27" s="2">
        <f>AVERAGEIFS(benchmark_gurobi_vs_cuts_grbv2!Z:Z,benchmark_gurobi_vs_cuts_grbv2!A:A,proc_v2!A27,benchmark_gurobi_vs_cuts_grbv2!C:C,proc_v2!B27,benchmark_gurobi_vs_cuts_grbv2!B:B,proc_v2!C27,benchmark_gurobi_vs_cuts_grbv2!D:D,proc_v2!D27)</f>
        <v>6.448579460084993E-3</v>
      </c>
      <c r="R27" s="3">
        <f>AVERAGEIFS(benchmark_gurobi_vs_cuts_grbv2!AA:AA,benchmark_gurobi_vs_cuts_grbv2!A:A,proc_v2!A27,benchmark_gurobi_vs_cuts_grbv2!C:C,proc_v2!B27,benchmark_gurobi_vs_cuts_grbv2!B:B,proc_v2!C27,benchmark_gurobi_vs_cuts_grbv2!D:D,proc_v2!D27)</f>
        <v>3.1428571428571428</v>
      </c>
      <c r="Y27" t="str">
        <f t="shared" si="4"/>
        <v>$20$ &amp; $0.3$ &amp; $100/p$ &amp; $0$ &amp; $0$ &amp; $0\%$ &amp; $0$ &amp; $0$ &amp; $0\%$ &amp; $0$ &amp; $1272.36$ &amp; $1837$ &amp; $0.64\%$ &amp; $3.1$\\</v>
      </c>
    </row>
    <row r="28" spans="1:25" x14ac:dyDescent="0.2">
      <c r="L28" s="2"/>
    </row>
    <row r="29" spans="1:25" x14ac:dyDescent="0.2">
      <c r="A29">
        <v>30</v>
      </c>
      <c r="B29">
        <v>0.1</v>
      </c>
      <c r="C29">
        <v>1</v>
      </c>
      <c r="D29">
        <v>100</v>
      </c>
      <c r="E29">
        <f>MIN(20, COUNTIFS(benchmark_gurobi_vs_cuts_grbv2!A:A,proc_v2!A29,benchmark_gurobi_vs_cuts_grbv2!C:C,proc_v2!B29,benchmark_gurobi_vs_cuts_grbv2!B:B,proc_v2!C29,benchmark_gurobi_vs_cuts_grbv2!D:D,proc_v2!D29))</f>
        <v>20</v>
      </c>
      <c r="L29" s="2">
        <f>AVERAGEIFS(benchmark_gurobi_vs_cuts_grbv2!H:H,benchmark_gurobi_vs_cuts_grbv2!A:A,proc_v2!A29,benchmark_gurobi_vs_cuts_grbv2!C:C,proc_v2!B29,benchmark_gurobi_vs_cuts_grbv2!B:B,proc_v2!C29,benchmark_gurobi_vs_cuts_grbv2!D:D,proc_v2!D29)</f>
        <v>0.33941456959922217</v>
      </c>
      <c r="N29" s="2">
        <f>AVERAGEIFS(benchmark_gurobi_vs_cuts_grbv2!V:V,benchmark_gurobi_vs_cuts_grbv2!A:A,proc_v2!A29,benchmark_gurobi_vs_cuts_grbv2!C:C,proc_v2!B29,benchmark_gurobi_vs_cuts_grbv2!B:B,proc_v2!C29,benchmark_gurobi_vs_cuts_grbv2!D:D,proc_v2!D29)</f>
        <v>0.33080894676249545</v>
      </c>
      <c r="O29" s="3">
        <f>AVERAGEIFS(benchmark_gurobi_vs_cuts_grbv2!X:X,benchmark_gurobi_vs_cuts_grbv2!A:A,proc_v2!A29,benchmark_gurobi_vs_cuts_grbv2!C:C,proc_v2!B29,benchmark_gurobi_vs_cuts_grbv2!B:B,proc_v2!C29,benchmark_gurobi_vs_cuts_grbv2!D:D,proc_v2!D29)</f>
        <v>305625.09685718804</v>
      </c>
      <c r="P29" s="3">
        <f>AVERAGEIFS(benchmark_gurobi_vs_cuts_grbv2!Y:Y,benchmark_gurobi_vs_cuts_grbv2!A:A,proc_v2!A29,benchmark_gurobi_vs_cuts_grbv2!C:C,proc_v2!B29,benchmark_gurobi_vs_cuts_grbv2!B:B,proc_v2!C29,benchmark_gurobi_vs_cuts_grbv2!D:D,proc_v2!D29)</f>
        <v>2262.181818181818</v>
      </c>
      <c r="Q29" s="2">
        <f>AVERAGEIFS(benchmark_gurobi_vs_cuts_grbv2!Z:Z,benchmark_gurobi_vs_cuts_grbv2!A:A,proc_v2!A29,benchmark_gurobi_vs_cuts_grbv2!C:C,proc_v2!B29,benchmark_gurobi_vs_cuts_grbv2!B:B,proc_v2!C29,benchmark_gurobi_vs_cuts_grbv2!D:D,proc_v2!D29)</f>
        <v>2.7312284199426176E-2</v>
      </c>
      <c r="R29" s="3">
        <f>AVERAGEIFS(benchmark_gurobi_vs_cuts_grbv2!AA:AA,benchmark_gurobi_vs_cuts_grbv2!A:A,proc_v2!A29,benchmark_gurobi_vs_cuts_grbv2!C:C,proc_v2!B29,benchmark_gurobi_vs_cuts_grbv2!B:B,proc_v2!C29,benchmark_gurobi_vs_cuts_grbv2!D:D,proc_v2!D29)</f>
        <v>50</v>
      </c>
      <c r="Y29" t="str">
        <f t="shared" ref="Y29:Y31" si="5">CONCATENATE("$", A29, "$ &amp; $", B29, "$ &amp; $", D29, "/p$ &amp; $", 100*ROUND(T29,4), "\%$ &amp; $", ROUND(U29,2), "$ &amp; $", ROUND(V29,0), "$ &amp; $", 100*ROUND(W29,4), "\%$ &amp; $", 100*ROUND(F29,4), "\%$ &amp; $", ROUND(G29,2), "$ &amp; $", ROUND(H29,0), "$ &amp; $", 100*ROUND(I29,4), "\%$ &amp; $", ROUND(J29,1), "$ &amp; $",100*ROUND(N29,4), "\%$ &amp; $", ROUND(O29,2), "$ &amp; $", ROUND(P29,0), "$ &amp; $", 100*ROUND(Q29,4), "\%$ &amp; $", ROUND(R29,1), "$\\")</f>
        <v>$30$ &amp; $0.1$ &amp; $100/p$ &amp; $0\%$ &amp; $0$ &amp; $0$ &amp; $0\%$ &amp; $0\%$ &amp; $0$ &amp; $0$ &amp; $0\%$ &amp; $0$ &amp; $33.08\%$ &amp; $305625.1$ &amp; $2262$ &amp; $2.73\%$ &amp; $50$\\</v>
      </c>
    </row>
    <row r="30" spans="1:25" x14ac:dyDescent="0.2">
      <c r="A30">
        <v>30</v>
      </c>
      <c r="B30">
        <v>0.2</v>
      </c>
      <c r="C30">
        <v>1</v>
      </c>
      <c r="D30">
        <v>100</v>
      </c>
      <c r="E30">
        <f>MIN(20, COUNTIFS(benchmark_gurobi_vs_cuts_grbv2!A:A,proc_v2!A30,benchmark_gurobi_vs_cuts_grbv2!C:C,proc_v2!B30,benchmark_gurobi_vs_cuts_grbv2!B:B,proc_v2!C30,benchmark_gurobi_vs_cuts_grbv2!D:D,proc_v2!D30))</f>
        <v>20</v>
      </c>
      <c r="L30" s="2">
        <f>AVERAGEIFS(benchmark_gurobi_vs_cuts_grbv2!H:H,benchmark_gurobi_vs_cuts_grbv2!A:A,proc_v2!A30,benchmark_gurobi_vs_cuts_grbv2!C:C,proc_v2!B30,benchmark_gurobi_vs_cuts_grbv2!B:B,proc_v2!C30,benchmark_gurobi_vs_cuts_grbv2!D:D,proc_v2!D30)</f>
        <v>6.0397200542743563E-2</v>
      </c>
      <c r="N30" s="2">
        <f>AVERAGEIFS(benchmark_gurobi_vs_cuts_grbv2!V:V,benchmark_gurobi_vs_cuts_grbv2!A:A,proc_v2!A30,benchmark_gurobi_vs_cuts_grbv2!C:C,proc_v2!B30,benchmark_gurobi_vs_cuts_grbv2!B:B,proc_v2!C30,benchmark_gurobi_vs_cuts_grbv2!D:D,proc_v2!D30)</f>
        <v>5.3694987023561166E-2</v>
      </c>
      <c r="O30" s="3">
        <f>AVERAGEIFS(benchmark_gurobi_vs_cuts_grbv2!X:X,benchmark_gurobi_vs_cuts_grbv2!A:A,proc_v2!A30,benchmark_gurobi_vs_cuts_grbv2!C:C,proc_v2!B30,benchmark_gurobi_vs_cuts_grbv2!B:B,proc_v2!C30,benchmark_gurobi_vs_cuts_grbv2!D:D,proc_v2!D30)</f>
        <v>246259.04949256161</v>
      </c>
      <c r="P30" s="3">
        <f>AVERAGEIFS(benchmark_gurobi_vs_cuts_grbv2!Y:Y,benchmark_gurobi_vs_cuts_grbv2!A:A,proc_v2!A30,benchmark_gurobi_vs_cuts_grbv2!C:C,proc_v2!B30,benchmark_gurobi_vs_cuts_grbv2!B:B,proc_v2!C30,benchmark_gurobi_vs_cuts_grbv2!D:D,proc_v2!D30)</f>
        <v>3284.7307692307691</v>
      </c>
      <c r="Q30" s="2">
        <f>AVERAGEIFS(benchmark_gurobi_vs_cuts_grbv2!Z:Z,benchmark_gurobi_vs_cuts_grbv2!A:A,proc_v2!A30,benchmark_gurobi_vs_cuts_grbv2!C:C,proc_v2!B30,benchmark_gurobi_vs_cuts_grbv2!B:B,proc_v2!C30,benchmark_gurobi_vs_cuts_grbv2!D:D,proc_v2!D30)</f>
        <v>3.1497334998320345E-2</v>
      </c>
      <c r="R30" s="3">
        <f>AVERAGEIFS(benchmark_gurobi_vs_cuts_grbv2!AA:AA,benchmark_gurobi_vs_cuts_grbv2!A:A,proc_v2!A30,benchmark_gurobi_vs_cuts_grbv2!C:C,proc_v2!B30,benchmark_gurobi_vs_cuts_grbv2!B:B,proc_v2!C30,benchmark_gurobi_vs_cuts_grbv2!D:D,proc_v2!D30)</f>
        <v>43.57692307692308</v>
      </c>
      <c r="Y30" t="str">
        <f t="shared" si="5"/>
        <v>$30$ &amp; $0.2$ &amp; $100/p$ &amp; $0\%$ &amp; $0$ &amp; $0$ &amp; $0\%$ &amp; $0\%$ &amp; $0$ &amp; $0$ &amp; $0\%$ &amp; $0$ &amp; $5.37\%$ &amp; $246259.05$ &amp; $3285$ &amp; $3.15\%$ &amp; $43.6$\\</v>
      </c>
    </row>
    <row r="31" spans="1:25" x14ac:dyDescent="0.2">
      <c r="A31">
        <v>30</v>
      </c>
      <c r="B31">
        <v>0.3</v>
      </c>
      <c r="C31">
        <v>1</v>
      </c>
      <c r="D31">
        <v>100</v>
      </c>
      <c r="E31">
        <f>MIN(20, COUNTIFS(benchmark_gurobi_vs_cuts_grbv2!A:A,proc_v2!A31,benchmark_gurobi_vs_cuts_grbv2!C:C,proc_v2!B31,benchmark_gurobi_vs_cuts_grbv2!B:B,proc_v2!C31,benchmark_gurobi_vs_cuts_grbv2!D:D,proc_v2!D31))</f>
        <v>20</v>
      </c>
      <c r="L31" s="2">
        <f>AVERAGEIFS(benchmark_gurobi_vs_cuts_grbv2!H:H,benchmark_gurobi_vs_cuts_grbv2!A:A,proc_v2!A31,benchmark_gurobi_vs_cuts_grbv2!C:C,proc_v2!B31,benchmark_gurobi_vs_cuts_grbv2!B:B,proc_v2!C31,benchmark_gurobi_vs_cuts_grbv2!D:D,proc_v2!D31)</f>
        <v>2.3864373439142175E-2</v>
      </c>
      <c r="N31" s="2">
        <f>AVERAGEIFS(benchmark_gurobi_vs_cuts_grbv2!V:V,benchmark_gurobi_vs_cuts_grbv2!A:A,proc_v2!A31,benchmark_gurobi_vs_cuts_grbv2!C:C,proc_v2!B31,benchmark_gurobi_vs_cuts_grbv2!B:B,proc_v2!C31,benchmark_gurobi_vs_cuts_grbv2!D:D,proc_v2!D31)</f>
        <v>1.7709865173667037E-2</v>
      </c>
      <c r="O31" s="3">
        <f>AVERAGEIFS(benchmark_gurobi_vs_cuts_grbv2!X:X,benchmark_gurobi_vs_cuts_grbv2!A:A,proc_v2!A31,benchmark_gurobi_vs_cuts_grbv2!C:C,proc_v2!B31,benchmark_gurobi_vs_cuts_grbv2!B:B,proc_v2!C31,benchmark_gurobi_vs_cuts_grbv2!D:D,proc_v2!D31)</f>
        <v>25973.871871262359</v>
      </c>
      <c r="P31" s="3">
        <f>AVERAGEIFS(benchmark_gurobi_vs_cuts_grbv2!Y:Y,benchmark_gurobi_vs_cuts_grbv2!A:A,proc_v2!A31,benchmark_gurobi_vs_cuts_grbv2!C:C,proc_v2!B31,benchmark_gurobi_vs_cuts_grbv2!B:B,proc_v2!C31,benchmark_gurobi_vs_cuts_grbv2!D:D,proc_v2!D31)</f>
        <v>11022.181818181818</v>
      </c>
      <c r="Q31" s="2">
        <f>AVERAGEIFS(benchmark_gurobi_vs_cuts_grbv2!Z:Z,benchmark_gurobi_vs_cuts_grbv2!A:A,proc_v2!A31,benchmark_gurobi_vs_cuts_grbv2!C:C,proc_v2!B31,benchmark_gurobi_vs_cuts_grbv2!B:B,proc_v2!C31,benchmark_gurobi_vs_cuts_grbv2!D:D,proc_v2!D31)</f>
        <v>8.9488076226338902E-3</v>
      </c>
      <c r="R31" s="3">
        <f>AVERAGEIFS(benchmark_gurobi_vs_cuts_grbv2!AA:AA,benchmark_gurobi_vs_cuts_grbv2!A:A,proc_v2!A31,benchmark_gurobi_vs_cuts_grbv2!C:C,proc_v2!B31,benchmark_gurobi_vs_cuts_grbv2!B:B,proc_v2!C31,benchmark_gurobi_vs_cuts_grbv2!D:D,proc_v2!D31)</f>
        <v>17.136363636363637</v>
      </c>
      <c r="Y31" t="str">
        <f t="shared" si="5"/>
        <v>$30$ &amp; $0.3$ &amp; $100/p$ &amp; $0\%$ &amp; $0$ &amp; $0$ &amp; $0\%$ &amp; $0\%$ &amp; $0$ &amp; $0$ &amp; $0\%$ &amp; $0$ &amp; $1.77\%$ &amp; $25973.87$ &amp; $11022$ &amp; $0.89\%$ &amp; $17.1$\\</v>
      </c>
    </row>
    <row r="32" spans="1:25" x14ac:dyDescent="0.2">
      <c r="L32" s="2"/>
    </row>
    <row r="33" spans="1:25" x14ac:dyDescent="0.2">
      <c r="L33" s="2"/>
    </row>
    <row r="34" spans="1:25" x14ac:dyDescent="0.2">
      <c r="A34">
        <v>40</v>
      </c>
      <c r="B34">
        <v>0.1</v>
      </c>
      <c r="C34">
        <v>1</v>
      </c>
      <c r="D34">
        <v>100</v>
      </c>
      <c r="E34">
        <f>MIN(20, COUNTIFS(benchmark_gurobi_vs_cuts_grbv2!A:A,proc_v2!A34,benchmark_gurobi_vs_cuts_grbv2!C:C,proc_v2!B34,benchmark_gurobi_vs_cuts_grbv2!B:B,proc_v2!C34,benchmark_gurobi_vs_cuts_grbv2!D:D,proc_v2!D34))</f>
        <v>20</v>
      </c>
      <c r="L34" s="2">
        <f>AVERAGEIFS(benchmark_gurobi_vs_cuts_grbv2!H:H,benchmark_gurobi_vs_cuts_grbv2!A:A,proc_v2!A34,benchmark_gurobi_vs_cuts_grbv2!C:C,proc_v2!B34,benchmark_gurobi_vs_cuts_grbv2!B:B,proc_v2!C34,benchmark_gurobi_vs_cuts_grbv2!D:D,proc_v2!D34)</f>
        <v>0.21888078278972467</v>
      </c>
      <c r="N34" s="2">
        <f>AVERAGEIFS(benchmark_gurobi_vs_cuts_grbv2!V:V,benchmark_gurobi_vs_cuts_grbv2!A:A,proc_v2!A34,benchmark_gurobi_vs_cuts_grbv2!C:C,proc_v2!B34,benchmark_gurobi_vs_cuts_grbv2!B:B,proc_v2!C34,benchmark_gurobi_vs_cuts_grbv2!D:D,proc_v2!D34)</f>
        <v>0.21017440839929252</v>
      </c>
      <c r="O34" s="3">
        <f>AVERAGEIFS(benchmark_gurobi_vs_cuts_grbv2!X:X,benchmark_gurobi_vs_cuts_grbv2!A:A,proc_v2!A34,benchmark_gurobi_vs_cuts_grbv2!C:C,proc_v2!B34,benchmark_gurobi_vs_cuts_grbv2!B:B,proc_v2!C34,benchmark_gurobi_vs_cuts_grbv2!D:D,proc_v2!D34)</f>
        <v>261506.59216496546</v>
      </c>
      <c r="P34" s="3">
        <f>AVERAGEIFS(benchmark_gurobi_vs_cuts_grbv2!Y:Y,benchmark_gurobi_vs_cuts_grbv2!A:A,proc_v2!A34,benchmark_gurobi_vs_cuts_grbv2!C:C,proc_v2!B34,benchmark_gurobi_vs_cuts_grbv2!B:B,proc_v2!C34,benchmark_gurobi_vs_cuts_grbv2!D:D,proc_v2!D34)</f>
        <v>5794.5555555555557</v>
      </c>
      <c r="Q34" s="2">
        <f>AVERAGEIFS(benchmark_gurobi_vs_cuts_grbv2!Z:Z,benchmark_gurobi_vs_cuts_grbv2!A:A,proc_v2!A34,benchmark_gurobi_vs_cuts_grbv2!C:C,proc_v2!B34,benchmark_gurobi_vs_cuts_grbv2!B:B,proc_v2!C34,benchmark_gurobi_vs_cuts_grbv2!D:D,proc_v2!D34)</f>
        <v>5.1594497698206294E-2</v>
      </c>
      <c r="R34" s="3">
        <f>AVERAGEIFS(benchmark_gurobi_vs_cuts_grbv2!AA:AA,benchmark_gurobi_vs_cuts_grbv2!A:A,proc_v2!A34,benchmark_gurobi_vs_cuts_grbv2!C:C,proc_v2!B34,benchmark_gurobi_vs_cuts_grbv2!B:B,proc_v2!C34,benchmark_gurobi_vs_cuts_grbv2!D:D,proc_v2!D34)</f>
        <v>50</v>
      </c>
      <c r="Y34" t="str">
        <f t="shared" ref="Y34:Y35" si="6">CONCATENATE("$", A34, "$ &amp; $", B34, "$ &amp; $", D34, "/p$ &amp; $", 100*ROUND(T34,4), "\%$ &amp; $", ROUND(U34,2), "$ &amp; $", ROUND(V34,0), "$ &amp; $", 100*ROUND(W34,4), "\%$ &amp; $", 100*ROUND(F34,4), "\%$ &amp; $", ROUND(G34,2), "$ &amp; $", ROUND(H34,0), "$ &amp; $", 100*ROUND(I34,4), "\%$ &amp; $", ROUND(J34,1), "$ &amp; $",100*ROUND(N34,4), "\%$ &amp; $", ROUND(O34,2), "$ &amp; $", ROUND(P34,0), "$ &amp; $", 100*ROUND(Q34,4), "\%$ &amp; $", ROUND(R34,1), "$\\")</f>
        <v>$40$ &amp; $0.1$ &amp; $100/p$ &amp; $0\%$ &amp; $0$ &amp; $0$ &amp; $0\%$ &amp; $0\%$ &amp; $0$ &amp; $0$ &amp; $0\%$ &amp; $0$ &amp; $21.02\%$ &amp; $261506.59$ &amp; $5795$ &amp; $5.16\%$ &amp; $50$\\</v>
      </c>
    </row>
    <row r="35" spans="1:25" x14ac:dyDescent="0.2">
      <c r="A35">
        <v>50</v>
      </c>
      <c r="B35">
        <v>0.1</v>
      </c>
      <c r="C35">
        <v>1</v>
      </c>
      <c r="D35">
        <v>100</v>
      </c>
      <c r="E35">
        <f>MIN(20, COUNTIFS(benchmark_gurobi_vs_cuts_grbv2!A:A,proc_v2!A35,benchmark_gurobi_vs_cuts_grbv2!C:C,proc_v2!B35,benchmark_gurobi_vs_cuts_grbv2!B:B,proc_v2!C35,benchmark_gurobi_vs_cuts_grbv2!D:D,proc_v2!D35))</f>
        <v>20</v>
      </c>
      <c r="L35" s="2">
        <f>AVERAGEIFS(benchmark_gurobi_vs_cuts_grbv2!H:H,benchmark_gurobi_vs_cuts_grbv2!A:A,proc_v2!A35,benchmark_gurobi_vs_cuts_grbv2!C:C,proc_v2!B35,benchmark_gurobi_vs_cuts_grbv2!B:B,proc_v2!C35,benchmark_gurobi_vs_cuts_grbv2!D:D,proc_v2!D35)</f>
        <v>0.16743165134235855</v>
      </c>
      <c r="N35" s="2">
        <f>AVERAGEIFS(benchmark_gurobi_vs_cuts_grbv2!V:V,benchmark_gurobi_vs_cuts_grbv2!A:A,proc_v2!A35,benchmark_gurobi_vs_cuts_grbv2!C:C,proc_v2!B35,benchmark_gurobi_vs_cuts_grbv2!B:B,proc_v2!C35,benchmark_gurobi_vs_cuts_grbv2!D:D,proc_v2!D35)</f>
        <v>0.15931994360806592</v>
      </c>
      <c r="O35" s="3">
        <f>AVERAGEIFS(benchmark_gurobi_vs_cuts_grbv2!X:X,benchmark_gurobi_vs_cuts_grbv2!A:A,proc_v2!A35,benchmark_gurobi_vs_cuts_grbv2!C:C,proc_v2!B35,benchmark_gurobi_vs_cuts_grbv2!B:B,proc_v2!C35,benchmark_gurobi_vs_cuts_grbv2!D:D,proc_v2!D35)</f>
        <v>308128.62745088752</v>
      </c>
      <c r="P35" s="3">
        <f>AVERAGEIFS(benchmark_gurobi_vs_cuts_grbv2!Y:Y,benchmark_gurobi_vs_cuts_grbv2!A:A,proc_v2!A35,benchmark_gurobi_vs_cuts_grbv2!C:C,proc_v2!B35,benchmark_gurobi_vs_cuts_grbv2!B:B,proc_v2!C35,benchmark_gurobi_vs_cuts_grbv2!D:D,proc_v2!D35)</f>
        <v>50.9</v>
      </c>
      <c r="Q35" s="2">
        <f>AVERAGEIFS(benchmark_gurobi_vs_cuts_grbv2!Z:Z,benchmark_gurobi_vs_cuts_grbv2!A:A,proc_v2!A35,benchmark_gurobi_vs_cuts_grbv2!C:C,proc_v2!B35,benchmark_gurobi_vs_cuts_grbv2!B:B,proc_v2!C35,benchmark_gurobi_vs_cuts_grbv2!D:D,proc_v2!D35)</f>
        <v>0.14134704882899357</v>
      </c>
      <c r="R35" s="3">
        <f>AVERAGEIFS(benchmark_gurobi_vs_cuts_grbv2!AA:AA,benchmark_gurobi_vs_cuts_grbv2!A:A,proc_v2!A35,benchmark_gurobi_vs_cuts_grbv2!C:C,proc_v2!B35,benchmark_gurobi_vs_cuts_grbv2!B:B,proc_v2!C35,benchmark_gurobi_vs_cuts_grbv2!D:D,proc_v2!D35)</f>
        <v>50</v>
      </c>
      <c r="Y35" t="str">
        <f t="shared" si="6"/>
        <v>$50$ &amp; $0.1$ &amp; $100/p$ &amp; $0\%$ &amp; $0$ &amp; $0$ &amp; $0\%$ &amp; $0\%$ &amp; $0$ &amp; $0$ &amp; $0\%$ &amp; $0$ &amp; $15.93\%$ &amp; $308128.63$ &amp; $51$ &amp; $14.13\%$ &amp; $50$\\</v>
      </c>
    </row>
    <row r="36" spans="1:25" x14ac:dyDescent="0.2">
      <c r="L36" s="2"/>
    </row>
    <row r="37" spans="1:25" x14ac:dyDescent="0.2">
      <c r="A37" t="s">
        <v>35</v>
      </c>
      <c r="L37" s="2"/>
    </row>
    <row r="38" spans="1:25" x14ac:dyDescent="0.2">
      <c r="A38" s="4"/>
      <c r="B38" s="4"/>
      <c r="C38" s="4"/>
      <c r="D38" s="4"/>
      <c r="L38" s="2"/>
    </row>
    <row r="39" spans="1:25" x14ac:dyDescent="0.2">
      <c r="A39" s="4">
        <v>10</v>
      </c>
      <c r="B39" s="4">
        <v>0.1</v>
      </c>
      <c r="C39" s="4">
        <v>2</v>
      </c>
      <c r="D39" s="4">
        <v>20</v>
      </c>
      <c r="E39">
        <f>MIN(20, COUNTIFS(benchmark_gurobi_vs_cuts_grbv2!A:A,proc_v2!A39,benchmark_gurobi_vs_cuts_grbv2!C:C,proc_v2!B39,benchmark_gurobi_vs_cuts_grbv2!B:B,proc_v2!C39,benchmark_gurobi_vs_cuts_grbv2!D:D,proc_v2!D39))</f>
        <v>20</v>
      </c>
      <c r="L39" s="2">
        <f>AVERAGEIFS(benchmark_gurobi_vs_cuts_grbv2!H:H,benchmark_gurobi_vs_cuts_grbv2!A:A,proc_v2!A39,benchmark_gurobi_vs_cuts_grbv2!C:C,proc_v2!B39,benchmark_gurobi_vs_cuts_grbv2!B:B,proc_v2!C39,benchmark_gurobi_vs_cuts_grbv2!D:D,proc_v2!D39)</f>
        <v>0.96464616463442621</v>
      </c>
      <c r="N39" s="2">
        <f>AVERAGEIFS(benchmark_gurobi_vs_cuts_grbv2!V:V,benchmark_gurobi_vs_cuts_grbv2!A:A,proc_v2!A39,benchmark_gurobi_vs_cuts_grbv2!C:C,proc_v2!B39,benchmark_gurobi_vs_cuts_grbv2!B:B,proc_v2!C39,benchmark_gurobi_vs_cuts_grbv2!D:D,proc_v2!D39)</f>
        <v>0.98432693880381361</v>
      </c>
      <c r="O39" s="3">
        <f>AVERAGEIFS(benchmark_gurobi_vs_cuts_grbv2!X:X,benchmark_gurobi_vs_cuts_grbv2!A:A,proc_v2!A39,benchmark_gurobi_vs_cuts_grbv2!C:C,proc_v2!B39,benchmark_gurobi_vs_cuts_grbv2!B:B,proc_v2!C39,benchmark_gurobi_vs_cuts_grbv2!D:D,proc_v2!D39)</f>
        <v>24219.081222433593</v>
      </c>
      <c r="P39" s="3">
        <f>AVERAGEIFS(benchmark_gurobi_vs_cuts_grbv2!Y:Y,benchmark_gurobi_vs_cuts_grbv2!A:A,proc_v2!A39,benchmark_gurobi_vs_cuts_grbv2!C:C,proc_v2!B39,benchmark_gurobi_vs_cuts_grbv2!B:B,proc_v2!C39,benchmark_gurobi_vs_cuts_grbv2!D:D,proc_v2!D39)</f>
        <v>35668.814814814818</v>
      </c>
      <c r="Q39" s="2">
        <f>AVERAGEIFS(benchmark_gurobi_vs_cuts_grbv2!Z:Z,benchmark_gurobi_vs_cuts_grbv2!A:A,proc_v2!A39,benchmark_gurobi_vs_cuts_grbv2!C:C,proc_v2!B39,benchmark_gurobi_vs_cuts_grbv2!B:B,proc_v2!C39,benchmark_gurobi_vs_cuts_grbv2!D:D,proc_v2!D39)</f>
        <v>3.4025300248477154E-3</v>
      </c>
      <c r="R39" s="3">
        <f>AVERAGEIFS(benchmark_gurobi_vs_cuts_grbv2!AA:AA,benchmark_gurobi_vs_cuts_grbv2!A:A,proc_v2!A39,benchmark_gurobi_vs_cuts_grbv2!C:C,proc_v2!B39,benchmark_gurobi_vs_cuts_grbv2!B:B,proc_v2!C39,benchmark_gurobi_vs_cuts_grbv2!D:D,proc_v2!D39)</f>
        <v>5.7777777777777777</v>
      </c>
      <c r="Y39" t="str">
        <f t="shared" ref="Y39:Y41" si="7">CONCATENATE("$", A39, "$ &amp; $", B39, "$ &amp; $", D39, "/p$ &amp; $", 100*ROUND(T39,4), "\%$ &amp; $", ROUND(U39,2), "$ &amp; $", ROUND(V39,0), "$ &amp; $", 100*ROUND(W39,4), "\%$ &amp; $", 100*ROUND(F39,4), "\%$ &amp; $", ROUND(G39,2), "$ &amp; $", ROUND(H39,0), "$ &amp; $", 100*ROUND(I39,4), "\%$ &amp; $", ROUND(J39,1), "$ &amp; $",100*ROUND(N39,4), "\%$ &amp; $", ROUND(O39,2), "$ &amp; $", ROUND(P39,0), "$ &amp; $", 100*ROUND(Q39,4), "\%$ &amp; $", ROUND(R39,1), "$\\")</f>
        <v>$10$ &amp; $0.1$ &amp; $20/p$ &amp; $0\%$ &amp; $0$ &amp; $0$ &amp; $0\%$ &amp; $0\%$ &amp; $0$ &amp; $0$ &amp; $0\%$ &amp; $0$ &amp; $98.43\%$ &amp; $24219.08$ &amp; $35669$ &amp; $0.34\%$ &amp; $5.8$\\</v>
      </c>
    </row>
    <row r="40" spans="1:25" x14ac:dyDescent="0.2">
      <c r="A40" s="4">
        <v>10</v>
      </c>
      <c r="B40" s="4">
        <v>0.2</v>
      </c>
      <c r="C40" s="4">
        <v>2</v>
      </c>
      <c r="D40" s="4">
        <v>20</v>
      </c>
      <c r="E40">
        <f>MIN(20, COUNTIFS(benchmark_gurobi_vs_cuts_grbv2!A:A,proc_v2!A40,benchmark_gurobi_vs_cuts_grbv2!C:C,proc_v2!B40,benchmark_gurobi_vs_cuts_grbv2!B:B,proc_v2!C40,benchmark_gurobi_vs_cuts_grbv2!D:D,proc_v2!D40))</f>
        <v>20</v>
      </c>
      <c r="L40" s="2">
        <f>AVERAGEIFS(benchmark_gurobi_vs_cuts_grbv2!H:H,benchmark_gurobi_vs_cuts_grbv2!A:A,proc_v2!A40,benchmark_gurobi_vs_cuts_grbv2!C:C,proc_v2!B40,benchmark_gurobi_vs_cuts_grbv2!B:B,proc_v2!C40,benchmark_gurobi_vs_cuts_grbv2!D:D,proc_v2!D40)</f>
        <v>0.92387575395874766</v>
      </c>
      <c r="N40" s="2">
        <f>AVERAGEIFS(benchmark_gurobi_vs_cuts_grbv2!V:V,benchmark_gurobi_vs_cuts_grbv2!A:A,proc_v2!A40,benchmark_gurobi_vs_cuts_grbv2!C:C,proc_v2!B40,benchmark_gurobi_vs_cuts_grbv2!B:B,proc_v2!C40,benchmark_gurobi_vs_cuts_grbv2!D:D,proc_v2!D40)</f>
        <v>0.91916723243367149</v>
      </c>
      <c r="O40" s="3">
        <f>AVERAGEIFS(benchmark_gurobi_vs_cuts_grbv2!X:X,benchmark_gurobi_vs_cuts_grbv2!A:A,proc_v2!A40,benchmark_gurobi_vs_cuts_grbv2!C:C,proc_v2!B40,benchmark_gurobi_vs_cuts_grbv2!B:B,proc_v2!C40,benchmark_gurobi_vs_cuts_grbv2!D:D,proc_v2!D40)</f>
        <v>209880.51566282054</v>
      </c>
      <c r="P40" s="3">
        <f>AVERAGEIFS(benchmark_gurobi_vs_cuts_grbv2!Y:Y,benchmark_gurobi_vs_cuts_grbv2!A:A,proc_v2!A40,benchmark_gurobi_vs_cuts_grbv2!C:C,proc_v2!B40,benchmark_gurobi_vs_cuts_grbv2!B:B,proc_v2!C40,benchmark_gurobi_vs_cuts_grbv2!D:D,proc_v2!D40)</f>
        <v>107965.85</v>
      </c>
      <c r="Q40" s="2">
        <f>AVERAGEIFS(benchmark_gurobi_vs_cuts_grbv2!Z:Z,benchmark_gurobi_vs_cuts_grbv2!A:A,proc_v2!A40,benchmark_gurobi_vs_cuts_grbv2!C:C,proc_v2!B40,benchmark_gurobi_vs_cuts_grbv2!B:B,proc_v2!C40,benchmark_gurobi_vs_cuts_grbv2!D:D,proc_v2!D40)</f>
        <v>2.516434952221492E-2</v>
      </c>
      <c r="R40" s="3">
        <f>AVERAGEIFS(benchmark_gurobi_vs_cuts_grbv2!AA:AA,benchmark_gurobi_vs_cuts_grbv2!A:A,proc_v2!A40,benchmark_gurobi_vs_cuts_grbv2!C:C,proc_v2!B40,benchmark_gurobi_vs_cuts_grbv2!B:B,proc_v2!C40,benchmark_gurobi_vs_cuts_grbv2!D:D,proc_v2!D40)</f>
        <v>35.299999999999997</v>
      </c>
      <c r="Y40" t="str">
        <f t="shared" si="7"/>
        <v>$10$ &amp; $0.2$ &amp; $20/p$ &amp; $0\%$ &amp; $0$ &amp; $0$ &amp; $0\%$ &amp; $0\%$ &amp; $0$ &amp; $0$ &amp; $0\%$ &amp; $0$ &amp; $91.92\%$ &amp; $209880.52$ &amp; $107966$ &amp; $2.52\%$ &amp; $35.3$\\</v>
      </c>
    </row>
    <row r="41" spans="1:25" x14ac:dyDescent="0.2">
      <c r="A41" s="4">
        <v>10</v>
      </c>
      <c r="B41" s="4">
        <v>0.3</v>
      </c>
      <c r="C41" s="4">
        <v>2</v>
      </c>
      <c r="D41" s="4">
        <v>20</v>
      </c>
      <c r="E41">
        <f>MIN(20, COUNTIFS(benchmark_gurobi_vs_cuts_grbv2!A:A,proc_v2!A41,benchmark_gurobi_vs_cuts_grbv2!C:C,proc_v2!B41,benchmark_gurobi_vs_cuts_grbv2!B:B,proc_v2!C41,benchmark_gurobi_vs_cuts_grbv2!D:D,proc_v2!D41))</f>
        <v>20</v>
      </c>
      <c r="L41" s="2">
        <f>AVERAGEIFS(benchmark_gurobi_vs_cuts_grbv2!H:H,benchmark_gurobi_vs_cuts_grbv2!A:A,proc_v2!A41,benchmark_gurobi_vs_cuts_grbv2!C:C,proc_v2!B41,benchmark_gurobi_vs_cuts_grbv2!B:B,proc_v2!C41,benchmark_gurobi_vs_cuts_grbv2!D:D,proc_v2!D41)</f>
        <v>0.74440753562507367</v>
      </c>
      <c r="N41" s="2">
        <f>AVERAGEIFS(benchmark_gurobi_vs_cuts_grbv2!V:V,benchmark_gurobi_vs_cuts_grbv2!A:A,proc_v2!A41,benchmark_gurobi_vs_cuts_grbv2!C:C,proc_v2!B41,benchmark_gurobi_vs_cuts_grbv2!B:B,proc_v2!C41,benchmark_gurobi_vs_cuts_grbv2!D:D,proc_v2!D41)</f>
        <v>0.73939288755911359</v>
      </c>
      <c r="O41" s="3">
        <f>AVERAGEIFS(benchmark_gurobi_vs_cuts_grbv2!X:X,benchmark_gurobi_vs_cuts_grbv2!A:A,proc_v2!A41,benchmark_gurobi_vs_cuts_grbv2!C:C,proc_v2!B41,benchmark_gurobi_vs_cuts_grbv2!B:B,proc_v2!C41,benchmark_gurobi_vs_cuts_grbv2!D:D,proc_v2!D41)</f>
        <v>302220.8816165349</v>
      </c>
      <c r="P41" s="3">
        <f>AVERAGEIFS(benchmark_gurobi_vs_cuts_grbv2!Y:Y,benchmark_gurobi_vs_cuts_grbv2!A:A,proc_v2!A41,benchmark_gurobi_vs_cuts_grbv2!C:C,proc_v2!B41,benchmark_gurobi_vs_cuts_grbv2!B:B,proc_v2!C41,benchmark_gurobi_vs_cuts_grbv2!D:D,proc_v2!D41)</f>
        <v>70503.677419354834</v>
      </c>
      <c r="Q41" s="2">
        <f>AVERAGEIFS(benchmark_gurobi_vs_cuts_grbv2!Z:Z,benchmark_gurobi_vs_cuts_grbv2!A:A,proc_v2!A41,benchmark_gurobi_vs_cuts_grbv2!C:C,proc_v2!B41,benchmark_gurobi_vs_cuts_grbv2!B:B,proc_v2!C41,benchmark_gurobi_vs_cuts_grbv2!D:D,proc_v2!D41)</f>
        <v>8.6648351173141791E-2</v>
      </c>
      <c r="R41" s="3">
        <f>AVERAGEIFS(benchmark_gurobi_vs_cuts_grbv2!AA:AA,benchmark_gurobi_vs_cuts_grbv2!A:A,proc_v2!A41,benchmark_gurobi_vs_cuts_grbv2!C:C,proc_v2!B41,benchmark_gurobi_vs_cuts_grbv2!B:B,proc_v2!C41,benchmark_gurobi_vs_cuts_grbv2!D:D,proc_v2!D41)</f>
        <v>50</v>
      </c>
      <c r="Y41" t="str">
        <f t="shared" si="7"/>
        <v>$10$ &amp; $0.3$ &amp; $20/p$ &amp; $0\%$ &amp; $0$ &amp; $0$ &amp; $0\%$ &amp; $0\%$ &amp; $0$ &amp; $0$ &amp; $0\%$ &amp; $0$ &amp; $73.94\%$ &amp; $302220.88$ &amp; $70504$ &amp; $8.66\%$ &amp; $50$\\</v>
      </c>
    </row>
    <row r="42" spans="1:25" x14ac:dyDescent="0.2">
      <c r="A42" s="4"/>
      <c r="B42" s="4"/>
      <c r="C42" s="4"/>
      <c r="D42" s="4"/>
      <c r="L42" s="2"/>
    </row>
    <row r="43" spans="1:25" x14ac:dyDescent="0.2">
      <c r="A43" s="4">
        <v>20</v>
      </c>
      <c r="B43" s="4">
        <v>0.1</v>
      </c>
      <c r="C43" s="4">
        <v>2</v>
      </c>
      <c r="D43" s="4">
        <v>20</v>
      </c>
      <c r="E43">
        <f>MIN(20, COUNTIFS(benchmark_gurobi_vs_cuts_grbv2!A:A,proc_v2!A43,benchmark_gurobi_vs_cuts_grbv2!C:C,proc_v2!B43,benchmark_gurobi_vs_cuts_grbv2!B:B,proc_v2!C43,benchmark_gurobi_vs_cuts_grbv2!D:D,proc_v2!D43))</f>
        <v>20</v>
      </c>
      <c r="L43" s="2">
        <f>AVERAGEIFS(benchmark_gurobi_vs_cuts_grbv2!H:H,benchmark_gurobi_vs_cuts_grbv2!A:A,proc_v2!A43,benchmark_gurobi_vs_cuts_grbv2!C:C,proc_v2!B43,benchmark_gurobi_vs_cuts_grbv2!B:B,proc_v2!C43,benchmark_gurobi_vs_cuts_grbv2!D:D,proc_v2!D43)</f>
        <v>0.98580489599067633</v>
      </c>
      <c r="N43" s="2">
        <f>AVERAGEIFS(benchmark_gurobi_vs_cuts_grbv2!V:V,benchmark_gurobi_vs_cuts_grbv2!A:A,proc_v2!A43,benchmark_gurobi_vs_cuts_grbv2!C:C,proc_v2!B43,benchmark_gurobi_vs_cuts_grbv2!B:B,proc_v2!C43,benchmark_gurobi_vs_cuts_grbv2!D:D,proc_v2!D43)</f>
        <v>1.0132209424580361</v>
      </c>
      <c r="O43" s="3">
        <f>AVERAGEIFS(benchmark_gurobi_vs_cuts_grbv2!X:X,benchmark_gurobi_vs_cuts_grbv2!A:A,proc_v2!A43,benchmark_gurobi_vs_cuts_grbv2!C:C,proc_v2!B43,benchmark_gurobi_vs_cuts_grbv2!B:B,proc_v2!C43,benchmark_gurobi_vs_cuts_grbv2!D:D,proc_v2!D43)</f>
        <v>253930.15377947438</v>
      </c>
      <c r="P43" s="3">
        <f>AVERAGEIFS(benchmark_gurobi_vs_cuts_grbv2!Y:Y,benchmark_gurobi_vs_cuts_grbv2!A:A,proc_v2!A43,benchmark_gurobi_vs_cuts_grbv2!C:C,proc_v2!B43,benchmark_gurobi_vs_cuts_grbv2!B:B,proc_v2!C43,benchmark_gurobi_vs_cuts_grbv2!D:D,proc_v2!D43)</f>
        <v>8029.7307692307695</v>
      </c>
      <c r="Q43" s="2">
        <f>AVERAGEIFS(benchmark_gurobi_vs_cuts_grbv2!Z:Z,benchmark_gurobi_vs_cuts_grbv2!A:A,proc_v2!A43,benchmark_gurobi_vs_cuts_grbv2!C:C,proc_v2!B43,benchmark_gurobi_vs_cuts_grbv2!B:B,proc_v2!C43,benchmark_gurobi_vs_cuts_grbv2!D:D,proc_v2!D43)</f>
        <v>2.7894838224903816E-2</v>
      </c>
      <c r="R43" s="3">
        <f>AVERAGEIFS(benchmark_gurobi_vs_cuts_grbv2!AA:AA,benchmark_gurobi_vs_cuts_grbv2!A:A,proc_v2!A43,benchmark_gurobi_vs_cuts_grbv2!C:C,proc_v2!B43,benchmark_gurobi_vs_cuts_grbv2!B:B,proc_v2!C43,benchmark_gurobi_vs_cuts_grbv2!D:D,proc_v2!D43)</f>
        <v>42.692307692307693</v>
      </c>
      <c r="Y43" t="str">
        <f t="shared" ref="Y43:Y45" si="8">CONCATENATE("$", A43, "$ &amp; $", B43, "$ &amp; $", D43, "/p$ &amp; $", 100*ROUND(T43,4), "\%$ &amp; $", ROUND(U43,2), "$ &amp; $", ROUND(V43,0), "$ &amp; $", 100*ROUND(W43,4), "\%$ &amp; $", 100*ROUND(F43,4), "\%$ &amp; $", ROUND(G43,2), "$ &amp; $", ROUND(H43,0), "$ &amp; $", 100*ROUND(I43,4), "\%$ &amp; $", ROUND(J43,1), "$ &amp; $",100*ROUND(N43,4), "\%$ &amp; $", ROUND(O43,2), "$ &amp; $", ROUND(P43,0), "$ &amp; $", 100*ROUND(Q43,4), "\%$ &amp; $", ROUND(R43,1), "$\\")</f>
        <v>$20$ &amp; $0.1$ &amp; $20/p$ &amp; $0\%$ &amp; $0$ &amp; $0$ &amp; $0\%$ &amp; $0\%$ &amp; $0$ &amp; $0$ &amp; $0\%$ &amp; $0$ &amp; $101.32\%$ &amp; $253930.15$ &amp; $8030$ &amp; $2.79\%$ &amp; $42.7$\\</v>
      </c>
    </row>
    <row r="44" spans="1:25" x14ac:dyDescent="0.2">
      <c r="A44" s="4">
        <v>20</v>
      </c>
      <c r="B44" s="4">
        <v>0.2</v>
      </c>
      <c r="C44" s="4">
        <v>2</v>
      </c>
      <c r="D44" s="4">
        <v>20</v>
      </c>
      <c r="E44">
        <f>MIN(20, COUNTIFS(benchmark_gurobi_vs_cuts_grbv2!A:A,proc_v2!A44,benchmark_gurobi_vs_cuts_grbv2!C:C,proc_v2!B44,benchmark_gurobi_vs_cuts_grbv2!B:B,proc_v2!C44,benchmark_gurobi_vs_cuts_grbv2!D:D,proc_v2!D44))</f>
        <v>20</v>
      </c>
      <c r="L44" s="2">
        <f>AVERAGEIFS(benchmark_gurobi_vs_cuts_grbv2!H:H,benchmark_gurobi_vs_cuts_grbv2!A:A,proc_v2!A44,benchmark_gurobi_vs_cuts_grbv2!C:C,proc_v2!B44,benchmark_gurobi_vs_cuts_grbv2!B:B,proc_v2!C44,benchmark_gurobi_vs_cuts_grbv2!D:D,proc_v2!D44)</f>
        <v>0.63847702825171848</v>
      </c>
      <c r="N44" s="2">
        <f>AVERAGEIFS(benchmark_gurobi_vs_cuts_grbv2!V:V,benchmark_gurobi_vs_cuts_grbv2!A:A,proc_v2!A44,benchmark_gurobi_vs_cuts_grbv2!C:C,proc_v2!B44,benchmark_gurobi_vs_cuts_grbv2!B:B,proc_v2!C44,benchmark_gurobi_vs_cuts_grbv2!D:D,proc_v2!D44)</f>
        <v>0.63455985921826552</v>
      </c>
      <c r="O44" s="3">
        <f>AVERAGEIFS(benchmark_gurobi_vs_cuts_grbv2!X:X,benchmark_gurobi_vs_cuts_grbv2!A:A,proc_v2!A44,benchmark_gurobi_vs_cuts_grbv2!C:C,proc_v2!B44,benchmark_gurobi_vs_cuts_grbv2!B:B,proc_v2!C44,benchmark_gurobi_vs_cuts_grbv2!D:D,proc_v2!D44)</f>
        <v>298694.74088858219</v>
      </c>
      <c r="P44" s="3">
        <f>AVERAGEIFS(benchmark_gurobi_vs_cuts_grbv2!Y:Y,benchmark_gurobi_vs_cuts_grbv2!A:A,proc_v2!A44,benchmark_gurobi_vs_cuts_grbv2!C:C,proc_v2!B44,benchmark_gurobi_vs_cuts_grbv2!B:B,proc_v2!C44,benchmark_gurobi_vs_cuts_grbv2!D:D,proc_v2!D44)</f>
        <v>3341.65</v>
      </c>
      <c r="Q44" s="2">
        <f>AVERAGEIFS(benchmark_gurobi_vs_cuts_grbv2!Z:Z,benchmark_gurobi_vs_cuts_grbv2!A:A,proc_v2!A44,benchmark_gurobi_vs_cuts_grbv2!C:C,proc_v2!B44,benchmark_gurobi_vs_cuts_grbv2!B:B,proc_v2!C44,benchmark_gurobi_vs_cuts_grbv2!D:D,proc_v2!D44)</f>
        <v>0.54852997468448172</v>
      </c>
      <c r="R44" s="3">
        <f>AVERAGEIFS(benchmark_gurobi_vs_cuts_grbv2!AA:AA,benchmark_gurobi_vs_cuts_grbv2!A:A,proc_v2!A44,benchmark_gurobi_vs_cuts_grbv2!C:C,proc_v2!B44,benchmark_gurobi_vs_cuts_grbv2!B:B,proc_v2!C44,benchmark_gurobi_vs_cuts_grbv2!D:D,proc_v2!D44)</f>
        <v>50</v>
      </c>
      <c r="Y44" t="str">
        <f t="shared" si="8"/>
        <v>$20$ &amp; $0.2$ &amp; $20/p$ &amp; $0\%$ &amp; $0$ &amp; $0$ &amp; $0\%$ &amp; $0\%$ &amp; $0$ &amp; $0$ &amp; $0\%$ &amp; $0$ &amp; $63.46\%$ &amp; $298694.74$ &amp; $3342$ &amp; $54.85\%$ &amp; $50$\\</v>
      </c>
    </row>
    <row r="45" spans="1:25" x14ac:dyDescent="0.2">
      <c r="A45" s="4">
        <v>20</v>
      </c>
      <c r="B45" s="4">
        <v>0.3</v>
      </c>
      <c r="C45" s="4">
        <v>2</v>
      </c>
      <c r="D45" s="4">
        <v>20</v>
      </c>
      <c r="E45">
        <f>MIN(20, COUNTIFS(benchmark_gurobi_vs_cuts_grbv2!A:A,proc_v2!A45,benchmark_gurobi_vs_cuts_grbv2!C:C,proc_v2!B45,benchmark_gurobi_vs_cuts_grbv2!B:B,proc_v2!C45,benchmark_gurobi_vs_cuts_grbv2!D:D,proc_v2!D45))</f>
        <v>20</v>
      </c>
      <c r="L45" s="2">
        <f>AVERAGEIFS(benchmark_gurobi_vs_cuts_grbv2!H:H,benchmark_gurobi_vs_cuts_grbv2!A:A,proc_v2!A45,benchmark_gurobi_vs_cuts_grbv2!C:C,proc_v2!B45,benchmark_gurobi_vs_cuts_grbv2!B:B,proc_v2!C45,benchmark_gurobi_vs_cuts_grbv2!D:D,proc_v2!D45)</f>
        <v>0.29442269426256312</v>
      </c>
      <c r="N45" s="2">
        <f>AVERAGEIFS(benchmark_gurobi_vs_cuts_grbv2!V:V,benchmark_gurobi_vs_cuts_grbv2!A:A,proc_v2!A45,benchmark_gurobi_vs_cuts_grbv2!C:C,proc_v2!B45,benchmark_gurobi_vs_cuts_grbv2!B:B,proc_v2!C45,benchmark_gurobi_vs_cuts_grbv2!D:D,proc_v2!D45)</f>
        <v>0.2780398595265875</v>
      </c>
      <c r="O45" s="3">
        <f>AVERAGEIFS(benchmark_gurobi_vs_cuts_grbv2!X:X,benchmark_gurobi_vs_cuts_grbv2!A:A,proc_v2!A45,benchmark_gurobi_vs_cuts_grbv2!C:C,proc_v2!B45,benchmark_gurobi_vs_cuts_grbv2!B:B,proc_v2!C45,benchmark_gurobi_vs_cuts_grbv2!D:D,proc_v2!D45)</f>
        <v>296514.45647981798</v>
      </c>
      <c r="P45" s="3">
        <f>AVERAGEIFS(benchmark_gurobi_vs_cuts_grbv2!Y:Y,benchmark_gurobi_vs_cuts_grbv2!A:A,proc_v2!A45,benchmark_gurobi_vs_cuts_grbv2!C:C,proc_v2!B45,benchmark_gurobi_vs_cuts_grbv2!B:B,proc_v2!C45,benchmark_gurobi_vs_cuts_grbv2!D:D,proc_v2!D45)</f>
        <v>3174.9</v>
      </c>
      <c r="Q45" s="2">
        <f>AVERAGEIFS(benchmark_gurobi_vs_cuts_grbv2!Z:Z,benchmark_gurobi_vs_cuts_grbv2!A:A,proc_v2!A45,benchmark_gurobi_vs_cuts_grbv2!C:C,proc_v2!B45,benchmark_gurobi_vs_cuts_grbv2!B:B,proc_v2!C45,benchmark_gurobi_vs_cuts_grbv2!D:D,proc_v2!D45)</f>
        <v>1.1234543100695269</v>
      </c>
      <c r="R45" s="3">
        <f>AVERAGEIFS(benchmark_gurobi_vs_cuts_grbv2!AA:AA,benchmark_gurobi_vs_cuts_grbv2!A:A,proc_v2!A45,benchmark_gurobi_vs_cuts_grbv2!C:C,proc_v2!B45,benchmark_gurobi_vs_cuts_grbv2!B:B,proc_v2!C45,benchmark_gurobi_vs_cuts_grbv2!D:D,proc_v2!D45)</f>
        <v>50</v>
      </c>
      <c r="Y45" t="str">
        <f t="shared" si="8"/>
        <v>$20$ &amp; $0.3$ &amp; $20/p$ &amp; $0\%$ &amp; $0$ &amp; $0$ &amp; $0\%$ &amp; $0\%$ &amp; $0$ &amp; $0$ &amp; $0\%$ &amp; $0$ &amp; $27.8\%$ &amp; $296514.46$ &amp; $3175$ &amp; $112.35\%$ &amp; $50$\\</v>
      </c>
    </row>
    <row r="46" spans="1:25" x14ac:dyDescent="0.2">
      <c r="A46" s="4"/>
      <c r="B46" s="4"/>
      <c r="C46" s="4"/>
      <c r="D46" s="4"/>
      <c r="L46" s="2"/>
    </row>
    <row r="47" spans="1:25" x14ac:dyDescent="0.2">
      <c r="A47" s="4">
        <v>30</v>
      </c>
      <c r="B47" s="4">
        <v>0.1</v>
      </c>
      <c r="C47" s="4">
        <v>2</v>
      </c>
      <c r="D47" s="4">
        <v>20</v>
      </c>
      <c r="E47">
        <f>MIN(20, COUNTIFS(benchmark_gurobi_vs_cuts_grbv2!A:A,proc_v2!A47,benchmark_gurobi_vs_cuts_grbv2!C:C,proc_v2!B47,benchmark_gurobi_vs_cuts_grbv2!B:B,proc_v2!C47,benchmark_gurobi_vs_cuts_grbv2!D:D,proc_v2!D47))</f>
        <v>17</v>
      </c>
      <c r="L47" s="2">
        <f>AVERAGEIFS(benchmark_gurobi_vs_cuts_grbv2!H:H,benchmark_gurobi_vs_cuts_grbv2!A:A,proc_v2!A47,benchmark_gurobi_vs_cuts_grbv2!C:C,proc_v2!B47,benchmark_gurobi_vs_cuts_grbv2!B:B,proc_v2!C47,benchmark_gurobi_vs_cuts_grbv2!D:D,proc_v2!D47)</f>
        <v>0.88111983768942559</v>
      </c>
      <c r="N47" s="2">
        <f>AVERAGEIFS(benchmark_gurobi_vs_cuts_grbv2!V:V,benchmark_gurobi_vs_cuts_grbv2!A:A,proc_v2!A47,benchmark_gurobi_vs_cuts_grbv2!C:C,proc_v2!B47,benchmark_gurobi_vs_cuts_grbv2!B:B,proc_v2!C47,benchmark_gurobi_vs_cuts_grbv2!D:D,proc_v2!D47)</f>
        <v>0.89295083776498974</v>
      </c>
      <c r="O47" s="3">
        <f>AVERAGEIFS(benchmark_gurobi_vs_cuts_grbv2!X:X,benchmark_gurobi_vs_cuts_grbv2!A:A,proc_v2!A47,benchmark_gurobi_vs_cuts_grbv2!C:C,proc_v2!B47,benchmark_gurobi_vs_cuts_grbv2!B:B,proc_v2!C47,benchmark_gurobi_vs_cuts_grbv2!D:D,proc_v2!D47)</f>
        <v>304347.64824593125</v>
      </c>
      <c r="P47" s="3">
        <f>AVERAGEIFS(benchmark_gurobi_vs_cuts_grbv2!Y:Y,benchmark_gurobi_vs_cuts_grbv2!A:A,proc_v2!A47,benchmark_gurobi_vs_cuts_grbv2!C:C,proc_v2!B47,benchmark_gurobi_vs_cuts_grbv2!B:B,proc_v2!C47,benchmark_gurobi_vs_cuts_grbv2!D:D,proc_v2!D47)</f>
        <v>164</v>
      </c>
      <c r="Q47" s="2">
        <f>AVERAGEIFS(benchmark_gurobi_vs_cuts_grbv2!Z:Z,benchmark_gurobi_vs_cuts_grbv2!A:A,proc_v2!A47,benchmark_gurobi_vs_cuts_grbv2!C:C,proc_v2!B47,benchmark_gurobi_vs_cuts_grbv2!B:B,proc_v2!C47,benchmark_gurobi_vs_cuts_grbv2!D:D,proc_v2!D47)</f>
        <v>0.79015736122925029</v>
      </c>
      <c r="R47" s="3">
        <f>AVERAGEIFS(benchmark_gurobi_vs_cuts_grbv2!AA:AA,benchmark_gurobi_vs_cuts_grbv2!A:A,proc_v2!A47,benchmark_gurobi_vs_cuts_grbv2!C:C,proc_v2!B47,benchmark_gurobi_vs_cuts_grbv2!B:B,proc_v2!C47,benchmark_gurobi_vs_cuts_grbv2!D:D,proc_v2!D47)</f>
        <v>50</v>
      </c>
      <c r="Y47" t="str">
        <f t="shared" ref="Y47:Y49" si="9">CONCATENATE("$", A47, "$ &amp; $", B47, "$ &amp; $", D47, "/p$ &amp; $", 100*ROUND(T47,4), "\%$ &amp; $", ROUND(U47,2), "$ &amp; $", ROUND(V47,0), "$ &amp; $", 100*ROUND(W47,4), "\%$ &amp; $", 100*ROUND(F47,4), "\%$ &amp; $", ROUND(G47,2), "$ &amp; $", ROUND(H47,0), "$ &amp; $", 100*ROUND(I47,4), "\%$ &amp; $", ROUND(J47,1), "$ &amp; $",100*ROUND(N47,4), "\%$ &amp; $", ROUND(O47,2), "$ &amp; $", ROUND(P47,0), "$ &amp; $", 100*ROUND(Q47,4), "\%$ &amp; $", ROUND(R47,1), "$\\")</f>
        <v>$30$ &amp; $0.1$ &amp; $20/p$ &amp; $0\%$ &amp; $0$ &amp; $0$ &amp; $0\%$ &amp; $0\%$ &amp; $0$ &amp; $0$ &amp; $0\%$ &amp; $0$ &amp; $89.3\%$ &amp; $304347.65$ &amp; $164$ &amp; $79.02\%$ &amp; $50$\\</v>
      </c>
    </row>
    <row r="48" spans="1:25" x14ac:dyDescent="0.2">
      <c r="A48" s="4">
        <v>30</v>
      </c>
      <c r="B48" s="4">
        <v>0.2</v>
      </c>
      <c r="C48" s="4">
        <v>2</v>
      </c>
      <c r="D48" s="4">
        <v>20</v>
      </c>
      <c r="E48">
        <f>MIN(20, COUNTIFS(benchmark_gurobi_vs_cuts_grbv2!A:A,proc_v2!A48,benchmark_gurobi_vs_cuts_grbv2!C:C,proc_v2!B48,benchmark_gurobi_vs_cuts_grbv2!B:B,proc_v2!C48,benchmark_gurobi_vs_cuts_grbv2!D:D,proc_v2!D48))</f>
        <v>13</v>
      </c>
      <c r="L48" s="2">
        <f>AVERAGEIFS(benchmark_gurobi_vs_cuts_grbv2!H:H,benchmark_gurobi_vs_cuts_grbv2!A:A,proc_v2!A48,benchmark_gurobi_vs_cuts_grbv2!C:C,proc_v2!B48,benchmark_gurobi_vs_cuts_grbv2!B:B,proc_v2!C48,benchmark_gurobi_vs_cuts_grbv2!D:D,proc_v2!D48)</f>
        <v>0.31176623178209562</v>
      </c>
      <c r="N48" s="2">
        <f>AVERAGEIFS(benchmark_gurobi_vs_cuts_grbv2!V:V,benchmark_gurobi_vs_cuts_grbv2!A:A,proc_v2!A48,benchmark_gurobi_vs_cuts_grbv2!C:C,proc_v2!B48,benchmark_gurobi_vs_cuts_grbv2!B:B,proc_v2!C48,benchmark_gurobi_vs_cuts_grbv2!D:D,proc_v2!D48)</f>
        <v>0.29312671836635712</v>
      </c>
      <c r="O48" s="3">
        <f>AVERAGEIFS(benchmark_gurobi_vs_cuts_grbv2!X:X,benchmark_gurobi_vs_cuts_grbv2!A:A,proc_v2!A48,benchmark_gurobi_vs_cuts_grbv2!C:C,proc_v2!B48,benchmark_gurobi_vs_cuts_grbv2!B:B,proc_v2!C48,benchmark_gurobi_vs_cuts_grbv2!D:D,proc_v2!D48)</f>
        <v>301673.7706226841</v>
      </c>
      <c r="P48" s="3">
        <f>AVERAGEIFS(benchmark_gurobi_vs_cuts_grbv2!Y:Y,benchmark_gurobi_vs_cuts_grbv2!A:A,proc_v2!A48,benchmark_gurobi_vs_cuts_grbv2!C:C,proc_v2!B48,benchmark_gurobi_vs_cuts_grbv2!B:B,proc_v2!C48,benchmark_gurobi_vs_cuts_grbv2!D:D,proc_v2!D48)</f>
        <v>9.615384615384615</v>
      </c>
      <c r="Q48" s="2">
        <f>AVERAGEIFS(benchmark_gurobi_vs_cuts_grbv2!Z:Z,benchmark_gurobi_vs_cuts_grbv2!A:A,proc_v2!A48,benchmark_gurobi_vs_cuts_grbv2!C:C,proc_v2!B48,benchmark_gurobi_vs_cuts_grbv2!B:B,proc_v2!C48,benchmark_gurobi_vs_cuts_grbv2!D:D,proc_v2!D48)</f>
        <v>3.1053242831608654</v>
      </c>
      <c r="R48" s="3">
        <f>AVERAGEIFS(benchmark_gurobi_vs_cuts_grbv2!AA:AA,benchmark_gurobi_vs_cuts_grbv2!A:A,proc_v2!A48,benchmark_gurobi_vs_cuts_grbv2!C:C,proc_v2!B48,benchmark_gurobi_vs_cuts_grbv2!B:B,proc_v2!C48,benchmark_gurobi_vs_cuts_grbv2!D:D,proc_v2!D48)</f>
        <v>50</v>
      </c>
      <c r="Y48" t="str">
        <f t="shared" si="9"/>
        <v>$30$ &amp; $0.2$ &amp; $20/p$ &amp; $0\%$ &amp; $0$ &amp; $0$ &amp; $0\%$ &amp; $0\%$ &amp; $0$ &amp; $0$ &amp; $0\%$ &amp; $0$ &amp; $29.31\%$ &amp; $301673.77$ &amp; $10$ &amp; $310.53\%$ &amp; $50$\\</v>
      </c>
    </row>
    <row r="49" spans="1:25" x14ac:dyDescent="0.2">
      <c r="A49" s="4">
        <v>30</v>
      </c>
      <c r="B49" s="4">
        <v>0.3</v>
      </c>
      <c r="C49" s="4">
        <v>2</v>
      </c>
      <c r="D49" s="4">
        <v>20</v>
      </c>
      <c r="E49">
        <f>MIN(20, COUNTIFS(benchmark_gurobi_vs_cuts_grbv2!A:A,proc_v2!A49,benchmark_gurobi_vs_cuts_grbv2!C:C,proc_v2!B49,benchmark_gurobi_vs_cuts_grbv2!B:B,proc_v2!C49,benchmark_gurobi_vs_cuts_grbv2!D:D,proc_v2!D49))</f>
        <v>19</v>
      </c>
      <c r="L49" s="2">
        <f>AVERAGEIFS(benchmark_gurobi_vs_cuts_grbv2!H:H,benchmark_gurobi_vs_cuts_grbv2!A:A,proc_v2!A49,benchmark_gurobi_vs_cuts_grbv2!C:C,proc_v2!B49,benchmark_gurobi_vs_cuts_grbv2!B:B,proc_v2!C49,benchmark_gurobi_vs_cuts_grbv2!D:D,proc_v2!D49)</f>
        <v>0.1615401142113205</v>
      </c>
      <c r="N49" s="2">
        <f>AVERAGEIFS(benchmark_gurobi_vs_cuts_grbv2!V:V,benchmark_gurobi_vs_cuts_grbv2!A:A,proc_v2!A49,benchmark_gurobi_vs_cuts_grbv2!C:C,proc_v2!B49,benchmark_gurobi_vs_cuts_grbv2!B:B,proc_v2!C49,benchmark_gurobi_vs_cuts_grbv2!D:D,proc_v2!D49)</f>
        <v>0.13995554245203826</v>
      </c>
      <c r="O49" s="3">
        <f>AVERAGEIFS(benchmark_gurobi_vs_cuts_grbv2!X:X,benchmark_gurobi_vs_cuts_grbv2!A:A,proc_v2!A49,benchmark_gurobi_vs_cuts_grbv2!C:C,proc_v2!B49,benchmark_gurobi_vs_cuts_grbv2!B:B,proc_v2!C49,benchmark_gurobi_vs_cuts_grbv2!D:D,proc_v2!D49)</f>
        <v>303053.63360791694</v>
      </c>
      <c r="P49" s="3">
        <f>AVERAGEIFS(benchmark_gurobi_vs_cuts_grbv2!Y:Y,benchmark_gurobi_vs_cuts_grbv2!A:A,proc_v2!A49,benchmark_gurobi_vs_cuts_grbv2!C:C,proc_v2!B49,benchmark_gurobi_vs_cuts_grbv2!B:B,proc_v2!C49,benchmark_gurobi_vs_cuts_grbv2!D:D,proc_v2!D49)</f>
        <v>1.631578947368421</v>
      </c>
      <c r="Q49" s="2">
        <f>AVERAGEIFS(benchmark_gurobi_vs_cuts_grbv2!Z:Z,benchmark_gurobi_vs_cuts_grbv2!A:A,proc_v2!A49,benchmark_gurobi_vs_cuts_grbv2!C:C,proc_v2!B49,benchmark_gurobi_vs_cuts_grbv2!B:B,proc_v2!C49,benchmark_gurobi_vs_cuts_grbv2!D:D,proc_v2!D49)</f>
        <v>5.2319397379763721</v>
      </c>
      <c r="R49" s="3">
        <f>AVERAGEIFS(benchmark_gurobi_vs_cuts_grbv2!AA:AA,benchmark_gurobi_vs_cuts_grbv2!A:A,proc_v2!A49,benchmark_gurobi_vs_cuts_grbv2!C:C,proc_v2!B49,benchmark_gurobi_vs_cuts_grbv2!B:B,proc_v2!C49,benchmark_gurobi_vs_cuts_grbv2!D:D,proc_v2!D49)</f>
        <v>50</v>
      </c>
      <c r="Y49" t="str">
        <f t="shared" si="9"/>
        <v>$30$ &amp; $0.3$ &amp; $20/p$ &amp; $0\%$ &amp; $0$ &amp; $0$ &amp; $0\%$ &amp; $0\%$ &amp; $0$ &amp; $0$ &amp; $0\%$ &amp; $0$ &amp; $14\%$ &amp; $303053.63$ &amp; $2$ &amp; $523.19\%$ &amp; $50$\\</v>
      </c>
    </row>
    <row r="50" spans="1:25" x14ac:dyDescent="0.2">
      <c r="L50" s="2"/>
    </row>
    <row r="51" spans="1:25" x14ac:dyDescent="0.2">
      <c r="A51">
        <v>40</v>
      </c>
      <c r="B51">
        <v>0.1</v>
      </c>
      <c r="C51" s="4">
        <v>2</v>
      </c>
      <c r="D51" s="4">
        <v>20</v>
      </c>
      <c r="E51">
        <f>MIN(20, COUNTIFS(benchmark_gurobi_vs_cuts_grbv2!A:A,proc_v2!A51,benchmark_gurobi_vs_cuts_grbv2!C:C,proc_v2!B51,benchmark_gurobi_vs_cuts_grbv2!B:B,proc_v2!C51,benchmark_gurobi_vs_cuts_grbv2!D:D,proc_v2!D51))</f>
        <v>0</v>
      </c>
      <c r="F51" s="2" t="s">
        <v>44</v>
      </c>
      <c r="L51" s="2" t="e">
        <f>AVERAGEIFS(benchmark_gurobi_vs_cuts_grbv2!H:H,benchmark_gurobi_vs_cuts_grbv2!A:A,proc_v2!A51,benchmark_gurobi_vs_cuts_grbv2!C:C,proc_v2!B51,benchmark_gurobi_vs_cuts_grbv2!B:B,proc_v2!C51,benchmark_gurobi_vs_cuts_grbv2!D:D,proc_v2!D51)</f>
        <v>#DIV/0!</v>
      </c>
      <c r="N51" s="2" t="e">
        <f>AVERAGEIFS(benchmark_gurobi_vs_cuts_grbv2!V:V,benchmark_gurobi_vs_cuts_grbv2!A:A,proc_v2!A51,benchmark_gurobi_vs_cuts_grbv2!C:C,proc_v2!B51,benchmark_gurobi_vs_cuts_grbv2!B:B,proc_v2!C51,benchmark_gurobi_vs_cuts_grbv2!D:D,proc_v2!D51)</f>
        <v>#DIV/0!</v>
      </c>
      <c r="O51" s="3" t="e">
        <f>AVERAGEIFS(benchmark_gurobi_vs_cuts_grbv2!X:X,benchmark_gurobi_vs_cuts_grbv2!A:A,proc_v2!A51,benchmark_gurobi_vs_cuts_grbv2!C:C,proc_v2!B51,benchmark_gurobi_vs_cuts_grbv2!B:B,proc_v2!C51,benchmark_gurobi_vs_cuts_grbv2!D:D,proc_v2!D51)</f>
        <v>#DIV/0!</v>
      </c>
      <c r="P51" s="3" t="e">
        <f>AVERAGEIFS(benchmark_gurobi_vs_cuts_grbv2!Y:Y,benchmark_gurobi_vs_cuts_grbv2!A:A,proc_v2!A51,benchmark_gurobi_vs_cuts_grbv2!C:C,proc_v2!B51,benchmark_gurobi_vs_cuts_grbv2!B:B,proc_v2!C51,benchmark_gurobi_vs_cuts_grbv2!D:D,proc_v2!D51)</f>
        <v>#DIV/0!</v>
      </c>
      <c r="Q51" s="2" t="e">
        <f>AVERAGEIFS(benchmark_gurobi_vs_cuts_grbv2!Z:Z,benchmark_gurobi_vs_cuts_grbv2!A:A,proc_v2!A51,benchmark_gurobi_vs_cuts_grbv2!C:C,proc_v2!B51,benchmark_gurobi_vs_cuts_grbv2!B:B,proc_v2!C51,benchmark_gurobi_vs_cuts_grbv2!D:D,proc_v2!D51)</f>
        <v>#DIV/0!</v>
      </c>
      <c r="R51" s="3" t="e">
        <f>AVERAGEIFS(benchmark_gurobi_vs_cuts_grbv2!AA:AA,benchmark_gurobi_vs_cuts_grbv2!A:A,proc_v2!A51,benchmark_gurobi_vs_cuts_grbv2!C:C,proc_v2!B51,benchmark_gurobi_vs_cuts_grbv2!B:B,proc_v2!C51,benchmark_gurobi_vs_cuts_grbv2!D:D,proc_v2!D51)</f>
        <v>#DIV/0!</v>
      </c>
      <c r="Y51" t="e">
        <f t="shared" ref="Y51:Y52" si="10">CONCATENATE("$", A51, "$ &amp; $", B51, "$ &amp; $", D51, "/p$ &amp; $", 100*ROUND(T51,4), "\%$ &amp; $", ROUND(U51,2), "$ &amp; $", ROUND(V51,0), "$ &amp; $", 100*ROUND(W51,4), "\%$ &amp; $", 100*ROUND(F51,4), "\%$ &amp; $", ROUND(G51,2), "$ &amp; $", ROUND(H51,0), "$ &amp; $", 100*ROUND(I51,4), "\%$ &amp; $", ROUND(J51,1), "$ &amp; $",100*ROUND(N51,4), "\%$ &amp; $", ROUND(O51,2), "$ &amp; $", ROUND(P51,0), "$ &amp; $", 100*ROUND(Q51,4), "\%$ &amp; $", ROUND(R51,1), "$\\")</f>
        <v>#VALUE!</v>
      </c>
    </row>
    <row r="52" spans="1:25" x14ac:dyDescent="0.2">
      <c r="A52">
        <v>50</v>
      </c>
      <c r="B52">
        <v>0.1</v>
      </c>
      <c r="C52" s="4">
        <v>2</v>
      </c>
      <c r="D52" s="4">
        <v>20</v>
      </c>
      <c r="E52">
        <f>MIN(20, COUNTIFS(benchmark_gurobi_vs_cuts_grbv2!A:A,proc_v2!A52,benchmark_gurobi_vs_cuts_grbv2!C:C,proc_v2!B52,benchmark_gurobi_vs_cuts_grbv2!B:B,proc_v2!C52,benchmark_gurobi_vs_cuts_grbv2!D:D,proc_v2!D52))</f>
        <v>18</v>
      </c>
      <c r="F52" s="2" t="s">
        <v>43</v>
      </c>
      <c r="L52" s="2">
        <f>AVERAGEIFS(benchmark_gurobi_vs_cuts_grbv2!H:H,benchmark_gurobi_vs_cuts_grbv2!A:A,proc_v2!A52,benchmark_gurobi_vs_cuts_grbv2!C:C,proc_v2!B52,benchmark_gurobi_vs_cuts_grbv2!B:B,proc_v2!C52,benchmark_gurobi_vs_cuts_grbv2!D:D,proc_v2!D52)</f>
        <v>0.43654545696648062</v>
      </c>
      <c r="N52" s="2">
        <f>AVERAGEIFS(benchmark_gurobi_vs_cuts_grbv2!V:V,benchmark_gurobi_vs_cuts_grbv2!A:A,proc_v2!A52,benchmark_gurobi_vs_cuts_grbv2!C:C,proc_v2!B52,benchmark_gurobi_vs_cuts_grbv2!B:B,proc_v2!C52,benchmark_gurobi_vs_cuts_grbv2!D:D,proc_v2!D52)</f>
        <v>0.4228936426591936</v>
      </c>
      <c r="O52" s="3">
        <f>AVERAGEIFS(benchmark_gurobi_vs_cuts_grbv2!X:X,benchmark_gurobi_vs_cuts_grbv2!A:A,proc_v2!A52,benchmark_gurobi_vs_cuts_grbv2!C:C,proc_v2!B52,benchmark_gurobi_vs_cuts_grbv2!B:B,proc_v2!C52,benchmark_gurobi_vs_cuts_grbv2!D:D,proc_v2!D52)</f>
        <v>312271.94132433383</v>
      </c>
      <c r="P52" s="3">
        <f>AVERAGEIFS(benchmark_gurobi_vs_cuts_grbv2!Y:Y,benchmark_gurobi_vs_cuts_grbv2!A:A,proc_v2!A52,benchmark_gurobi_vs_cuts_grbv2!C:C,proc_v2!B52,benchmark_gurobi_vs_cuts_grbv2!B:B,proc_v2!C52,benchmark_gurobi_vs_cuts_grbv2!D:D,proc_v2!D52)</f>
        <v>0</v>
      </c>
      <c r="Q52" s="2">
        <f>AVERAGEIFS(benchmark_gurobi_vs_cuts_grbv2!Z:Z,benchmark_gurobi_vs_cuts_grbv2!A:A,proc_v2!A52,benchmark_gurobi_vs_cuts_grbv2!C:C,proc_v2!B52,benchmark_gurobi_vs_cuts_grbv2!B:B,proc_v2!C52,benchmark_gurobi_vs_cuts_grbv2!D:D,proc_v2!D52)</f>
        <v>8.701323698956493</v>
      </c>
      <c r="R52" s="3">
        <f>AVERAGEIFS(benchmark_gurobi_vs_cuts_grbv2!AA:AA,benchmark_gurobi_vs_cuts_grbv2!A:A,proc_v2!A52,benchmark_gurobi_vs_cuts_grbv2!C:C,proc_v2!B52,benchmark_gurobi_vs_cuts_grbv2!B:B,proc_v2!C52,benchmark_gurobi_vs_cuts_grbv2!D:D,proc_v2!D52)</f>
        <v>50</v>
      </c>
      <c r="Y52" t="e">
        <f t="shared" si="10"/>
        <v>#VALUE!</v>
      </c>
    </row>
    <row r="53" spans="1:25" x14ac:dyDescent="0.2">
      <c r="L53" s="2"/>
    </row>
    <row r="54" spans="1:25" x14ac:dyDescent="0.2">
      <c r="A54" s="4">
        <v>10</v>
      </c>
      <c r="B54" s="4">
        <v>0.1</v>
      </c>
      <c r="C54" s="4">
        <v>2</v>
      </c>
      <c r="D54" s="4">
        <v>100</v>
      </c>
      <c r="E54">
        <f>MIN(20, COUNTIFS(benchmark_gurobi_vs_cuts_grbv2!A:A,proc_v2!A54,benchmark_gurobi_vs_cuts_grbv2!C:C,proc_v2!B54,benchmark_gurobi_vs_cuts_grbv2!B:B,proc_v2!C54,benchmark_gurobi_vs_cuts_grbv2!D:D,proc_v2!D54))</f>
        <v>20</v>
      </c>
      <c r="L54" s="2">
        <f>AVERAGEIFS(benchmark_gurobi_vs_cuts_grbv2!H:H,benchmark_gurobi_vs_cuts_grbv2!A:A,proc_v2!A54,benchmark_gurobi_vs_cuts_grbv2!C:C,proc_v2!B54,benchmark_gurobi_vs_cuts_grbv2!B:B,proc_v2!C54,benchmark_gurobi_vs_cuts_grbv2!D:D,proc_v2!D54)</f>
        <v>0.97352377211648145</v>
      </c>
      <c r="N54" s="2">
        <f>AVERAGEIFS(benchmark_gurobi_vs_cuts_grbv2!V:V,benchmark_gurobi_vs_cuts_grbv2!A:A,proc_v2!A54,benchmark_gurobi_vs_cuts_grbv2!C:C,proc_v2!B54,benchmark_gurobi_vs_cuts_grbv2!B:B,proc_v2!C54,benchmark_gurobi_vs_cuts_grbv2!D:D,proc_v2!D54)</f>
        <v>0.97181139793679039</v>
      </c>
      <c r="O54" s="3">
        <f>AVERAGEIFS(benchmark_gurobi_vs_cuts_grbv2!X:X,benchmark_gurobi_vs_cuts_grbv2!A:A,proc_v2!A54,benchmark_gurobi_vs_cuts_grbv2!C:C,proc_v2!B54,benchmark_gurobi_vs_cuts_grbv2!B:B,proc_v2!C54,benchmark_gurobi_vs_cuts_grbv2!D:D,proc_v2!D54)</f>
        <v>676.06168745301477</v>
      </c>
      <c r="P54" s="3">
        <f>AVERAGEIFS(benchmark_gurobi_vs_cuts_grbv2!Y:Y,benchmark_gurobi_vs_cuts_grbv2!A:A,proc_v2!A54,benchmark_gurobi_vs_cuts_grbv2!C:C,proc_v2!B54,benchmark_gurobi_vs_cuts_grbv2!B:B,proc_v2!C54,benchmark_gurobi_vs_cuts_grbv2!D:D,proc_v2!D54)</f>
        <v>25493.144927536232</v>
      </c>
      <c r="Q54" s="2">
        <f>AVERAGEIFS(benchmark_gurobi_vs_cuts_grbv2!Z:Z,benchmark_gurobi_vs_cuts_grbv2!A:A,proc_v2!A54,benchmark_gurobi_vs_cuts_grbv2!C:C,proc_v2!B54,benchmark_gurobi_vs_cuts_grbv2!B:B,proc_v2!C54,benchmark_gurobi_vs_cuts_grbv2!D:D,proc_v2!D54)</f>
        <v>9.4224453596604158E-4</v>
      </c>
      <c r="R54" s="3">
        <f>AVERAGEIFS(benchmark_gurobi_vs_cuts_grbv2!AA:AA,benchmark_gurobi_vs_cuts_grbv2!A:A,proc_v2!A54,benchmark_gurobi_vs_cuts_grbv2!C:C,proc_v2!B54,benchmark_gurobi_vs_cuts_grbv2!B:B,proc_v2!C54,benchmark_gurobi_vs_cuts_grbv2!D:D,proc_v2!D54)</f>
        <v>1.826086956521739</v>
      </c>
      <c r="Y54" t="str">
        <f>CONCATENATE("$", A54, "$ &amp; $", B54, "$ &amp; $", D54, "/p$ &amp; $", 100*ROUND(T54,4), "\%$ &amp; $", ROUND(U54,2), "$ &amp; $", ROUND(V54,0), "$ &amp; $", 100*ROUND(W54,4), "\%$ &amp; $", 100*ROUND(F54,4), "\%$ &amp; $", ROUND(G54,2), "$ &amp; $", ROUND(H54,0), "$ &amp; $", 100*ROUND(I54,4), "\%$ &amp; $", ROUND(J54,1), "$ &amp; $",100*ROUND(N54,4), "\%$ &amp; $", ROUND(O54,2), "$ &amp; $", ROUND(P54,0), "$ &amp; $", 100*ROUND(Q54,4), "\%$ &amp; $", ROUND(R54,1), "$\\")</f>
        <v>$10$ &amp; $0.1$ &amp; $100/p$ &amp; $0\%$ &amp; $0$ &amp; $0$ &amp; $0\%$ &amp; $0\%$ &amp; $0$ &amp; $0$ &amp; $0\%$ &amp; $0$ &amp; $97.18\%$ &amp; $676.06$ &amp; $25493$ &amp; $0.09\%$ &amp; $1.8$\\</v>
      </c>
    </row>
    <row r="55" spans="1:25" x14ac:dyDescent="0.2">
      <c r="A55" s="4">
        <v>10</v>
      </c>
      <c r="B55" s="4">
        <v>0.2</v>
      </c>
      <c r="C55" s="4">
        <v>2</v>
      </c>
      <c r="D55" s="4">
        <v>100</v>
      </c>
      <c r="E55">
        <f>MIN(20, COUNTIFS(benchmark_gurobi_vs_cuts_grbv2!A:A,proc_v2!A55,benchmark_gurobi_vs_cuts_grbv2!C:C,proc_v2!B55,benchmark_gurobi_vs_cuts_grbv2!B:B,proc_v2!C55,benchmark_gurobi_vs_cuts_grbv2!D:D,proc_v2!D55))</f>
        <v>20</v>
      </c>
      <c r="L55" s="2">
        <f>AVERAGEIFS(benchmark_gurobi_vs_cuts_grbv2!H:H,benchmark_gurobi_vs_cuts_grbv2!A:A,proc_v2!A55,benchmark_gurobi_vs_cuts_grbv2!C:C,proc_v2!B55,benchmark_gurobi_vs_cuts_grbv2!B:B,proc_v2!C55,benchmark_gurobi_vs_cuts_grbv2!D:D,proc_v2!D55)</f>
        <v>0.92191769047017313</v>
      </c>
      <c r="N55" s="2">
        <f>AVERAGEIFS(benchmark_gurobi_vs_cuts_grbv2!V:V,benchmark_gurobi_vs_cuts_grbv2!A:A,proc_v2!A55,benchmark_gurobi_vs_cuts_grbv2!C:C,proc_v2!B55,benchmark_gurobi_vs_cuts_grbv2!B:B,proc_v2!C55,benchmark_gurobi_vs_cuts_grbv2!D:D,proc_v2!D55)</f>
        <v>0.89971486377225662</v>
      </c>
      <c r="O55" s="3">
        <f>AVERAGEIFS(benchmark_gurobi_vs_cuts_grbv2!X:X,benchmark_gurobi_vs_cuts_grbv2!A:A,proc_v2!A55,benchmark_gurobi_vs_cuts_grbv2!C:C,proc_v2!B55,benchmark_gurobi_vs_cuts_grbv2!B:B,proc_v2!C55,benchmark_gurobi_vs_cuts_grbv2!D:D,proc_v2!D55)</f>
        <v>2064.7463072301957</v>
      </c>
      <c r="P55" s="3">
        <f>AVERAGEIFS(benchmark_gurobi_vs_cuts_grbv2!Y:Y,benchmark_gurobi_vs_cuts_grbv2!A:A,proc_v2!A55,benchmark_gurobi_vs_cuts_grbv2!C:C,proc_v2!B55,benchmark_gurobi_vs_cuts_grbv2!B:B,proc_v2!C55,benchmark_gurobi_vs_cuts_grbv2!D:D,proc_v2!D55)</f>
        <v>42493.487804878052</v>
      </c>
      <c r="Q55" s="2">
        <f>AVERAGEIFS(benchmark_gurobi_vs_cuts_grbv2!Z:Z,benchmark_gurobi_vs_cuts_grbv2!A:A,proc_v2!A55,benchmark_gurobi_vs_cuts_grbv2!C:C,proc_v2!B55,benchmark_gurobi_vs_cuts_grbv2!B:B,proc_v2!C55,benchmark_gurobi_vs_cuts_grbv2!D:D,proc_v2!D55)</f>
        <v>1.9323103751232198E-3</v>
      </c>
      <c r="R55" s="3">
        <f>AVERAGEIFS(benchmark_gurobi_vs_cuts_grbv2!AA:AA,benchmark_gurobi_vs_cuts_grbv2!A:A,proc_v2!A55,benchmark_gurobi_vs_cuts_grbv2!C:C,proc_v2!B55,benchmark_gurobi_vs_cuts_grbv2!B:B,proc_v2!C55,benchmark_gurobi_vs_cuts_grbv2!D:D,proc_v2!D55)</f>
        <v>5.6097560975609753</v>
      </c>
      <c r="Y55" t="str">
        <f t="shared" ref="Y55:Y67" si="11">CONCATENATE("$", A55, "$ &amp; $", B55, "$ &amp; $", D55, "/p$ &amp; $", 100*ROUND(T55,4), "\%$ &amp; $", ROUND(U55,2), "$ &amp; $", ROUND(V55,0), "$ &amp; $", 100*ROUND(W55,4), "\%$ &amp; $", 100*ROUND(F55,4), "\%$ &amp; $", ROUND(G55,2), "$ &amp; $", ROUND(H55,0), "$ &amp; $", 100*ROUND(I55,4), "\%$ &amp; $", ROUND(J55,1), "$ &amp; $",100*ROUND(N55,4), "\%$ &amp; $", ROUND(O55,2), "$ &amp; $", ROUND(P55,0), "$ &amp; $", 100*ROUND(Q55,4), "\%$ &amp; $", ROUND(R55,1), "$\\")</f>
        <v>$10$ &amp; $0.2$ &amp; $100/p$ &amp; $0\%$ &amp; $0$ &amp; $0$ &amp; $0\%$ &amp; $0\%$ &amp; $0$ &amp; $0$ &amp; $0\%$ &amp; $0$ &amp; $89.97\%$ &amp; $2064.75$ &amp; $42493$ &amp; $0.19\%$ &amp; $5.6$\\</v>
      </c>
    </row>
    <row r="56" spans="1:25" x14ac:dyDescent="0.2">
      <c r="A56" s="4">
        <v>10</v>
      </c>
      <c r="B56" s="4">
        <v>0.3</v>
      </c>
      <c r="C56" s="4">
        <v>2</v>
      </c>
      <c r="D56" s="4">
        <v>100</v>
      </c>
      <c r="E56">
        <f>MIN(20, COUNTIFS(benchmark_gurobi_vs_cuts_grbv2!A:A,proc_v2!A56,benchmark_gurobi_vs_cuts_grbv2!C:C,proc_v2!B56,benchmark_gurobi_vs_cuts_grbv2!B:B,proc_v2!C56,benchmark_gurobi_vs_cuts_grbv2!D:D,proc_v2!D56))</f>
        <v>18</v>
      </c>
      <c r="L56" s="2">
        <f>AVERAGEIFS(benchmark_gurobi_vs_cuts_grbv2!H:H,benchmark_gurobi_vs_cuts_grbv2!A:A,proc_v2!A56,benchmark_gurobi_vs_cuts_grbv2!C:C,proc_v2!B56,benchmark_gurobi_vs_cuts_grbv2!B:B,proc_v2!C56,benchmark_gurobi_vs_cuts_grbv2!D:D,proc_v2!D56)</f>
        <v>0.73046279587573981</v>
      </c>
      <c r="N56" s="2">
        <f>AVERAGEIFS(benchmark_gurobi_vs_cuts_grbv2!V:V,benchmark_gurobi_vs_cuts_grbv2!A:A,proc_v2!A56,benchmark_gurobi_vs_cuts_grbv2!C:C,proc_v2!B56,benchmark_gurobi_vs_cuts_grbv2!B:B,proc_v2!C56,benchmark_gurobi_vs_cuts_grbv2!D:D,proc_v2!D56)</f>
        <v>0.75467036063625748</v>
      </c>
      <c r="O56" s="3">
        <f>AVERAGEIFS(benchmark_gurobi_vs_cuts_grbv2!X:X,benchmark_gurobi_vs_cuts_grbv2!A:A,proc_v2!A56,benchmark_gurobi_vs_cuts_grbv2!C:C,proc_v2!B56,benchmark_gurobi_vs_cuts_grbv2!B:B,proc_v2!C56,benchmark_gurobi_vs_cuts_grbv2!D:D,proc_v2!D56)</f>
        <v>272274.43220055156</v>
      </c>
      <c r="P56" s="3">
        <f>AVERAGEIFS(benchmark_gurobi_vs_cuts_grbv2!Y:Y,benchmark_gurobi_vs_cuts_grbv2!A:A,proc_v2!A56,benchmark_gurobi_vs_cuts_grbv2!C:C,proc_v2!B56,benchmark_gurobi_vs_cuts_grbv2!B:B,proc_v2!C56,benchmark_gurobi_vs_cuts_grbv2!D:D,proc_v2!D56)</f>
        <v>33146.388888888891</v>
      </c>
      <c r="Q56" s="2">
        <f>AVERAGEIFS(benchmark_gurobi_vs_cuts_grbv2!Z:Z,benchmark_gurobi_vs_cuts_grbv2!A:A,proc_v2!A56,benchmark_gurobi_vs_cuts_grbv2!C:C,proc_v2!B56,benchmark_gurobi_vs_cuts_grbv2!B:B,proc_v2!C56,benchmark_gurobi_vs_cuts_grbv2!D:D,proc_v2!D56)</f>
        <v>1.9459907548921299E-2</v>
      </c>
      <c r="R56" s="3">
        <f>AVERAGEIFS(benchmark_gurobi_vs_cuts_grbv2!AA:AA,benchmark_gurobi_vs_cuts_grbv2!A:A,proc_v2!A56,benchmark_gurobi_vs_cuts_grbv2!C:C,proc_v2!B56,benchmark_gurobi_vs_cuts_grbv2!B:B,proc_v2!C56,benchmark_gurobi_vs_cuts_grbv2!D:D,proc_v2!D56)</f>
        <v>44.722222222222221</v>
      </c>
      <c r="Y56" t="str">
        <f t="shared" si="11"/>
        <v>$10$ &amp; $0.3$ &amp; $100/p$ &amp; $0\%$ &amp; $0$ &amp; $0$ &amp; $0\%$ &amp; $0\%$ &amp; $0$ &amp; $0$ &amp; $0\%$ &amp; $0$ &amp; $75.47\%$ &amp; $272274.43$ &amp; $33146$ &amp; $1.95\%$ &amp; $44.7$\\</v>
      </c>
    </row>
    <row r="57" spans="1:25" x14ac:dyDescent="0.2">
      <c r="A57" s="4"/>
      <c r="B57" s="4"/>
      <c r="C57" s="4"/>
      <c r="D57" s="4"/>
      <c r="L57" s="2"/>
    </row>
    <row r="58" spans="1:25" x14ac:dyDescent="0.2">
      <c r="A58" s="4">
        <v>20</v>
      </c>
      <c r="B58" s="4">
        <v>0.1</v>
      </c>
      <c r="C58" s="4">
        <v>2</v>
      </c>
      <c r="D58" s="4">
        <v>100</v>
      </c>
      <c r="E58">
        <f>MIN(20, COUNTIFS(benchmark_gurobi_vs_cuts_grbv2!A:A,proc_v2!A58,benchmark_gurobi_vs_cuts_grbv2!C:C,proc_v2!B58,benchmark_gurobi_vs_cuts_grbv2!B:B,proc_v2!C58,benchmark_gurobi_vs_cuts_grbv2!D:D,proc_v2!D58))</f>
        <v>20</v>
      </c>
      <c r="L58" s="2">
        <f>AVERAGEIFS(benchmark_gurobi_vs_cuts_grbv2!H:H,benchmark_gurobi_vs_cuts_grbv2!A:A,proc_v2!A58,benchmark_gurobi_vs_cuts_grbv2!C:C,proc_v2!B58,benchmark_gurobi_vs_cuts_grbv2!B:B,proc_v2!C58,benchmark_gurobi_vs_cuts_grbv2!D:D,proc_v2!D58)</f>
        <v>0.99405404673183151</v>
      </c>
      <c r="N58" s="2">
        <f>AVERAGEIFS(benchmark_gurobi_vs_cuts_grbv2!V:V,benchmark_gurobi_vs_cuts_grbv2!A:A,proc_v2!A58,benchmark_gurobi_vs_cuts_grbv2!C:C,proc_v2!B58,benchmark_gurobi_vs_cuts_grbv2!B:B,proc_v2!C58,benchmark_gurobi_vs_cuts_grbv2!D:D,proc_v2!D58)</f>
        <v>1.0342716790179223</v>
      </c>
      <c r="O58" s="3">
        <f>AVERAGEIFS(benchmark_gurobi_vs_cuts_grbv2!X:X,benchmark_gurobi_vs_cuts_grbv2!A:A,proc_v2!A58,benchmark_gurobi_vs_cuts_grbv2!C:C,proc_v2!B58,benchmark_gurobi_vs_cuts_grbv2!B:B,proc_v2!C58,benchmark_gurobi_vs_cuts_grbv2!D:D,proc_v2!D58)</f>
        <v>211640.86444713961</v>
      </c>
      <c r="P58" s="3">
        <f>AVERAGEIFS(benchmark_gurobi_vs_cuts_grbv2!Y:Y,benchmark_gurobi_vs_cuts_grbv2!A:A,proc_v2!A58,benchmark_gurobi_vs_cuts_grbv2!C:C,proc_v2!B58,benchmark_gurobi_vs_cuts_grbv2!B:B,proc_v2!C58,benchmark_gurobi_vs_cuts_grbv2!D:D,proc_v2!D58)</f>
        <v>6859.212121212121</v>
      </c>
      <c r="Q58" s="2">
        <f>AVERAGEIFS(benchmark_gurobi_vs_cuts_grbv2!Z:Z,benchmark_gurobi_vs_cuts_grbv2!A:A,proc_v2!A58,benchmark_gurobi_vs_cuts_grbv2!C:C,proc_v2!B58,benchmark_gurobi_vs_cuts_grbv2!B:B,proc_v2!C58,benchmark_gurobi_vs_cuts_grbv2!D:D,proc_v2!D58)</f>
        <v>7.2914960902270808E-3</v>
      </c>
      <c r="R58" s="3">
        <f>AVERAGEIFS(benchmark_gurobi_vs_cuts_grbv2!AA:AA,benchmark_gurobi_vs_cuts_grbv2!A:A,proc_v2!A58,benchmark_gurobi_vs_cuts_grbv2!C:C,proc_v2!B58,benchmark_gurobi_vs_cuts_grbv2!B:B,proc_v2!C58,benchmark_gurobi_vs_cuts_grbv2!D:D,proc_v2!D58)</f>
        <v>35.242424242424242</v>
      </c>
      <c r="Y58" t="str">
        <f t="shared" si="11"/>
        <v>$20$ &amp; $0.1$ &amp; $100/p$ &amp; $0\%$ &amp; $0$ &amp; $0$ &amp; $0\%$ &amp; $0\%$ &amp; $0$ &amp; $0$ &amp; $0\%$ &amp; $0$ &amp; $103.43\%$ &amp; $211640.86$ &amp; $6859$ &amp; $0.73\%$ &amp; $35.2$\\</v>
      </c>
    </row>
    <row r="59" spans="1:25" x14ac:dyDescent="0.2">
      <c r="A59" s="4">
        <v>20</v>
      </c>
      <c r="B59" s="4">
        <v>0.2</v>
      </c>
      <c r="C59" s="4">
        <v>2</v>
      </c>
      <c r="D59" s="4">
        <v>100</v>
      </c>
      <c r="E59">
        <f>MIN(20, COUNTIFS(benchmark_gurobi_vs_cuts_grbv2!A:A,proc_v2!A59,benchmark_gurobi_vs_cuts_grbv2!C:C,proc_v2!B59,benchmark_gurobi_vs_cuts_grbv2!B:B,proc_v2!C59,benchmark_gurobi_vs_cuts_grbv2!D:D,proc_v2!D59))</f>
        <v>20</v>
      </c>
      <c r="L59" s="2">
        <f>AVERAGEIFS(benchmark_gurobi_vs_cuts_grbv2!H:H,benchmark_gurobi_vs_cuts_grbv2!A:A,proc_v2!A59,benchmark_gurobi_vs_cuts_grbv2!C:C,proc_v2!B59,benchmark_gurobi_vs_cuts_grbv2!B:B,proc_v2!C59,benchmark_gurobi_vs_cuts_grbv2!D:D,proc_v2!D59)</f>
        <v>0.58874130045981965</v>
      </c>
      <c r="N59" s="2">
        <f>AVERAGEIFS(benchmark_gurobi_vs_cuts_grbv2!V:V,benchmark_gurobi_vs_cuts_grbv2!A:A,proc_v2!A59,benchmark_gurobi_vs_cuts_grbv2!C:C,proc_v2!B59,benchmark_gurobi_vs_cuts_grbv2!B:B,proc_v2!C59,benchmark_gurobi_vs_cuts_grbv2!D:D,proc_v2!D59)</f>
        <v>0.59346309549031817</v>
      </c>
      <c r="O59" s="3">
        <f>AVERAGEIFS(benchmark_gurobi_vs_cuts_grbv2!X:X,benchmark_gurobi_vs_cuts_grbv2!A:A,proc_v2!A59,benchmark_gurobi_vs_cuts_grbv2!C:C,proc_v2!B59,benchmark_gurobi_vs_cuts_grbv2!B:B,proc_v2!C59,benchmark_gurobi_vs_cuts_grbv2!D:D,proc_v2!D59)</f>
        <v>302762.97170283861</v>
      </c>
      <c r="P59" s="3">
        <f>AVERAGEIFS(benchmark_gurobi_vs_cuts_grbv2!Y:Y,benchmark_gurobi_vs_cuts_grbv2!A:A,proc_v2!A59,benchmark_gurobi_vs_cuts_grbv2!C:C,proc_v2!B59,benchmark_gurobi_vs_cuts_grbv2!B:B,proc_v2!C59,benchmark_gurobi_vs_cuts_grbv2!D:D,proc_v2!D59)</f>
        <v>2426.909090909091</v>
      </c>
      <c r="Q59" s="2">
        <f>AVERAGEIFS(benchmark_gurobi_vs_cuts_grbv2!Z:Z,benchmark_gurobi_vs_cuts_grbv2!A:A,proc_v2!A59,benchmark_gurobi_vs_cuts_grbv2!C:C,proc_v2!B59,benchmark_gurobi_vs_cuts_grbv2!B:B,proc_v2!C59,benchmark_gurobi_vs_cuts_grbv2!D:D,proc_v2!D59)</f>
        <v>0.12310876535744679</v>
      </c>
      <c r="R59" s="3">
        <f>AVERAGEIFS(benchmark_gurobi_vs_cuts_grbv2!AA:AA,benchmark_gurobi_vs_cuts_grbv2!A:A,proc_v2!A59,benchmark_gurobi_vs_cuts_grbv2!C:C,proc_v2!B59,benchmark_gurobi_vs_cuts_grbv2!B:B,proc_v2!C59,benchmark_gurobi_vs_cuts_grbv2!D:D,proc_v2!D59)</f>
        <v>50</v>
      </c>
      <c r="Y59" t="str">
        <f t="shared" si="11"/>
        <v>$20$ &amp; $0.2$ &amp; $100/p$ &amp; $0\%$ &amp; $0$ &amp; $0$ &amp; $0\%$ &amp; $0\%$ &amp; $0$ &amp; $0$ &amp; $0\%$ &amp; $0$ &amp; $59.35\%$ &amp; $302762.97$ &amp; $2427$ &amp; $12.31\%$ &amp; $50$\\</v>
      </c>
    </row>
    <row r="60" spans="1:25" x14ac:dyDescent="0.2">
      <c r="A60" s="4">
        <v>20</v>
      </c>
      <c r="B60" s="4">
        <v>0.3</v>
      </c>
      <c r="C60" s="4">
        <v>2</v>
      </c>
      <c r="D60" s="4">
        <v>100</v>
      </c>
      <c r="E60">
        <f>MIN(20, COUNTIFS(benchmark_gurobi_vs_cuts_grbv2!A:A,proc_v2!A60,benchmark_gurobi_vs_cuts_grbv2!C:C,proc_v2!B60,benchmark_gurobi_vs_cuts_grbv2!B:B,proc_v2!C60,benchmark_gurobi_vs_cuts_grbv2!D:D,proc_v2!D60))</f>
        <v>20</v>
      </c>
      <c r="L60" s="2">
        <f>AVERAGEIFS(benchmark_gurobi_vs_cuts_grbv2!H:H,benchmark_gurobi_vs_cuts_grbv2!A:A,proc_v2!A60,benchmark_gurobi_vs_cuts_grbv2!C:C,proc_v2!B60,benchmark_gurobi_vs_cuts_grbv2!B:B,proc_v2!C60,benchmark_gurobi_vs_cuts_grbv2!D:D,proc_v2!D60)</f>
        <v>0.16219819115549267</v>
      </c>
      <c r="N60" s="2">
        <f>AVERAGEIFS(benchmark_gurobi_vs_cuts_grbv2!V:V,benchmark_gurobi_vs_cuts_grbv2!A:A,proc_v2!A60,benchmark_gurobi_vs_cuts_grbv2!C:C,proc_v2!B60,benchmark_gurobi_vs_cuts_grbv2!B:B,proc_v2!C60,benchmark_gurobi_vs_cuts_grbv2!D:D,proc_v2!D60)</f>
        <v>0.15325233258878421</v>
      </c>
      <c r="O60" s="3">
        <f>AVERAGEIFS(benchmark_gurobi_vs_cuts_grbv2!X:X,benchmark_gurobi_vs_cuts_grbv2!A:A,proc_v2!A60,benchmark_gurobi_vs_cuts_grbv2!C:C,proc_v2!B60,benchmark_gurobi_vs_cuts_grbv2!B:B,proc_v2!C60,benchmark_gurobi_vs_cuts_grbv2!D:D,proc_v2!D60)</f>
        <v>299094.56919192075</v>
      </c>
      <c r="P60" s="3">
        <f>AVERAGEIFS(benchmark_gurobi_vs_cuts_grbv2!Y:Y,benchmark_gurobi_vs_cuts_grbv2!A:A,proc_v2!A60,benchmark_gurobi_vs_cuts_grbv2!C:C,proc_v2!B60,benchmark_gurobi_vs_cuts_grbv2!B:B,proc_v2!C60,benchmark_gurobi_vs_cuts_grbv2!D:D,proc_v2!D60)</f>
        <v>2518.7272727272725</v>
      </c>
      <c r="Q60" s="2">
        <f>AVERAGEIFS(benchmark_gurobi_vs_cuts_grbv2!Z:Z,benchmark_gurobi_vs_cuts_grbv2!A:A,proc_v2!A60,benchmark_gurobi_vs_cuts_grbv2!C:C,proc_v2!B60,benchmark_gurobi_vs_cuts_grbv2!B:B,proc_v2!C60,benchmark_gurobi_vs_cuts_grbv2!D:D,proc_v2!D60)</f>
        <v>0.26339198619752913</v>
      </c>
      <c r="R60" s="3">
        <f>AVERAGEIFS(benchmark_gurobi_vs_cuts_grbv2!AA:AA,benchmark_gurobi_vs_cuts_grbv2!A:A,proc_v2!A60,benchmark_gurobi_vs_cuts_grbv2!C:C,proc_v2!B60,benchmark_gurobi_vs_cuts_grbv2!B:B,proc_v2!C60,benchmark_gurobi_vs_cuts_grbv2!D:D,proc_v2!D60)</f>
        <v>50</v>
      </c>
      <c r="Y60" t="str">
        <f t="shared" si="11"/>
        <v>$20$ &amp; $0.3$ &amp; $100/p$ &amp; $0\%$ &amp; $0$ &amp; $0$ &amp; $0\%$ &amp; $0\%$ &amp; $0$ &amp; $0$ &amp; $0\%$ &amp; $0$ &amp; $15.33\%$ &amp; $299094.57$ &amp; $2519$ &amp; $26.34\%$ &amp; $50$\\</v>
      </c>
    </row>
    <row r="61" spans="1:25" x14ac:dyDescent="0.2">
      <c r="A61" s="4"/>
      <c r="B61" s="4"/>
      <c r="C61" s="4"/>
      <c r="D61" s="4"/>
      <c r="L61" s="2"/>
    </row>
    <row r="62" spans="1:25" x14ac:dyDescent="0.2">
      <c r="A62" s="4">
        <v>30</v>
      </c>
      <c r="B62" s="4">
        <v>0.1</v>
      </c>
      <c r="C62" s="4">
        <v>2</v>
      </c>
      <c r="D62" s="4">
        <v>100</v>
      </c>
      <c r="E62">
        <f>MIN(20, COUNTIFS(benchmark_gurobi_vs_cuts_grbv2!A:A,proc_v2!A62,benchmark_gurobi_vs_cuts_grbv2!C:C,proc_v2!B62,benchmark_gurobi_vs_cuts_grbv2!B:B,proc_v2!C62,benchmark_gurobi_vs_cuts_grbv2!D:D,proc_v2!D62))</f>
        <v>20</v>
      </c>
      <c r="L62" s="2">
        <f>AVERAGEIFS(benchmark_gurobi_vs_cuts_grbv2!H:H,benchmark_gurobi_vs_cuts_grbv2!A:A,proc_v2!A62,benchmark_gurobi_vs_cuts_grbv2!C:C,proc_v2!B62,benchmark_gurobi_vs_cuts_grbv2!B:B,proc_v2!C62,benchmark_gurobi_vs_cuts_grbv2!D:D,proc_v2!D62)</f>
        <v>0.91576679858087351</v>
      </c>
      <c r="N62" s="2">
        <f>AVERAGEIFS(benchmark_gurobi_vs_cuts_grbv2!V:V,benchmark_gurobi_vs_cuts_grbv2!A:A,proc_v2!A62,benchmark_gurobi_vs_cuts_grbv2!C:C,proc_v2!B62,benchmark_gurobi_vs_cuts_grbv2!B:B,proc_v2!C62,benchmark_gurobi_vs_cuts_grbv2!D:D,proc_v2!D62)</f>
        <v>0.92809446046137845</v>
      </c>
      <c r="O62" s="3">
        <f>AVERAGEIFS(benchmark_gurobi_vs_cuts_grbv2!X:X,benchmark_gurobi_vs_cuts_grbv2!A:A,proc_v2!A62,benchmark_gurobi_vs_cuts_grbv2!C:C,proc_v2!B62,benchmark_gurobi_vs_cuts_grbv2!B:B,proc_v2!C62,benchmark_gurobi_vs_cuts_grbv2!D:D,proc_v2!D62)</f>
        <v>302811.73112208518</v>
      </c>
      <c r="P62" s="3">
        <f>AVERAGEIFS(benchmark_gurobi_vs_cuts_grbv2!Y:Y,benchmark_gurobi_vs_cuts_grbv2!A:A,proc_v2!A62,benchmark_gurobi_vs_cuts_grbv2!C:C,proc_v2!B62,benchmark_gurobi_vs_cuts_grbv2!B:B,proc_v2!C62,benchmark_gurobi_vs_cuts_grbv2!D:D,proc_v2!D62)</f>
        <v>97.4</v>
      </c>
      <c r="Q62" s="2">
        <f>AVERAGEIFS(benchmark_gurobi_vs_cuts_grbv2!Z:Z,benchmark_gurobi_vs_cuts_grbv2!A:A,proc_v2!A62,benchmark_gurobi_vs_cuts_grbv2!C:C,proc_v2!B62,benchmark_gurobi_vs_cuts_grbv2!B:B,proc_v2!C62,benchmark_gurobi_vs_cuts_grbv2!D:D,proc_v2!D62)</f>
        <v>9.7300149753498114E-2</v>
      </c>
      <c r="R62" s="3">
        <f>AVERAGEIFS(benchmark_gurobi_vs_cuts_grbv2!AA:AA,benchmark_gurobi_vs_cuts_grbv2!A:A,proc_v2!A62,benchmark_gurobi_vs_cuts_grbv2!C:C,proc_v2!B62,benchmark_gurobi_vs_cuts_grbv2!B:B,proc_v2!C62,benchmark_gurobi_vs_cuts_grbv2!D:D,proc_v2!D62)</f>
        <v>50</v>
      </c>
      <c r="Y62" t="str">
        <f t="shared" si="11"/>
        <v>$30$ &amp; $0.1$ &amp; $100/p$ &amp; $0\%$ &amp; $0$ &amp; $0$ &amp; $0\%$ &amp; $0\%$ &amp; $0$ &amp; $0$ &amp; $0\%$ &amp; $0$ &amp; $92.81\%$ &amp; $302811.73$ &amp; $97$ &amp; $9.73\%$ &amp; $50$\\</v>
      </c>
    </row>
    <row r="63" spans="1:25" x14ac:dyDescent="0.2">
      <c r="A63" s="4">
        <v>30</v>
      </c>
      <c r="B63" s="4">
        <v>0.2</v>
      </c>
      <c r="C63" s="4">
        <v>2</v>
      </c>
      <c r="D63" s="4">
        <v>100</v>
      </c>
      <c r="E63">
        <f>MIN(20, COUNTIFS(benchmark_gurobi_vs_cuts_grbv2!A:A,proc_v2!A63,benchmark_gurobi_vs_cuts_grbv2!C:C,proc_v2!B63,benchmark_gurobi_vs_cuts_grbv2!B:B,proc_v2!C63,benchmark_gurobi_vs_cuts_grbv2!D:D,proc_v2!D63))</f>
        <v>20</v>
      </c>
      <c r="L63" s="2">
        <f>AVERAGEIFS(benchmark_gurobi_vs_cuts_grbv2!H:H,benchmark_gurobi_vs_cuts_grbv2!A:A,proc_v2!A63,benchmark_gurobi_vs_cuts_grbv2!C:C,proc_v2!B63,benchmark_gurobi_vs_cuts_grbv2!B:B,proc_v2!C63,benchmark_gurobi_vs_cuts_grbv2!D:D,proc_v2!D63)</f>
        <v>0.16242747995543608</v>
      </c>
      <c r="N63" s="2">
        <f>AVERAGEIFS(benchmark_gurobi_vs_cuts_grbv2!V:V,benchmark_gurobi_vs_cuts_grbv2!A:A,proc_v2!A63,benchmark_gurobi_vs_cuts_grbv2!C:C,proc_v2!B63,benchmark_gurobi_vs_cuts_grbv2!B:B,proc_v2!C63,benchmark_gurobi_vs_cuts_grbv2!D:D,proc_v2!D63)</f>
        <v>0.15229311056554012</v>
      </c>
      <c r="O63" s="3">
        <f>AVERAGEIFS(benchmark_gurobi_vs_cuts_grbv2!X:X,benchmark_gurobi_vs_cuts_grbv2!A:A,proc_v2!A63,benchmark_gurobi_vs_cuts_grbv2!C:C,proc_v2!B63,benchmark_gurobi_vs_cuts_grbv2!B:B,proc_v2!C63,benchmark_gurobi_vs_cuts_grbv2!D:D,proc_v2!D63)</f>
        <v>304492.62696205743</v>
      </c>
      <c r="P63" s="3">
        <f>AVERAGEIFS(benchmark_gurobi_vs_cuts_grbv2!Y:Y,benchmark_gurobi_vs_cuts_grbv2!A:A,proc_v2!A63,benchmark_gurobi_vs_cuts_grbv2!C:C,proc_v2!B63,benchmark_gurobi_vs_cuts_grbv2!B:B,proc_v2!C63,benchmark_gurobi_vs_cuts_grbv2!D:D,proc_v2!D63)</f>
        <v>6.166666666666667</v>
      </c>
      <c r="Q63" s="2">
        <f>AVERAGEIFS(benchmark_gurobi_vs_cuts_grbv2!Z:Z,benchmark_gurobi_vs_cuts_grbv2!A:A,proc_v2!A63,benchmark_gurobi_vs_cuts_grbv2!C:C,proc_v2!B63,benchmark_gurobi_vs_cuts_grbv2!B:B,proc_v2!C63,benchmark_gurobi_vs_cuts_grbv2!D:D,proc_v2!D63)</f>
        <v>0.69708908903571298</v>
      </c>
      <c r="R63" s="3">
        <f>AVERAGEIFS(benchmark_gurobi_vs_cuts_grbv2!AA:AA,benchmark_gurobi_vs_cuts_grbv2!A:A,proc_v2!A63,benchmark_gurobi_vs_cuts_grbv2!C:C,proc_v2!B63,benchmark_gurobi_vs_cuts_grbv2!B:B,proc_v2!C63,benchmark_gurobi_vs_cuts_grbv2!D:D,proc_v2!D63)</f>
        <v>50</v>
      </c>
      <c r="Y63" t="str">
        <f t="shared" si="11"/>
        <v>$30$ &amp; $0.2$ &amp; $100/p$ &amp; $0\%$ &amp; $0$ &amp; $0$ &amp; $0\%$ &amp; $0\%$ &amp; $0$ &amp; $0$ &amp; $0\%$ &amp; $0$ &amp; $15.23\%$ &amp; $304492.63$ &amp; $6$ &amp; $69.71\%$ &amp; $50$\\</v>
      </c>
    </row>
    <row r="64" spans="1:25" x14ac:dyDescent="0.2">
      <c r="A64" s="4">
        <v>30</v>
      </c>
      <c r="B64" s="4">
        <v>0.3</v>
      </c>
      <c r="C64" s="4">
        <v>2</v>
      </c>
      <c r="D64" s="4">
        <v>100</v>
      </c>
      <c r="E64">
        <f>MIN(20, COUNTIFS(benchmark_gurobi_vs_cuts_grbv2!A:A,proc_v2!A64,benchmark_gurobi_vs_cuts_grbv2!C:C,proc_v2!B64,benchmark_gurobi_vs_cuts_grbv2!B:B,proc_v2!C64,benchmark_gurobi_vs_cuts_grbv2!D:D,proc_v2!D64))</f>
        <v>20</v>
      </c>
      <c r="L64" s="2">
        <f>AVERAGEIFS(benchmark_gurobi_vs_cuts_grbv2!H:H,benchmark_gurobi_vs_cuts_grbv2!A:A,proc_v2!A64,benchmark_gurobi_vs_cuts_grbv2!C:C,proc_v2!B64,benchmark_gurobi_vs_cuts_grbv2!B:B,proc_v2!C64,benchmark_gurobi_vs_cuts_grbv2!D:D,proc_v2!D64)</f>
        <v>6.0798161719033857E-2</v>
      </c>
      <c r="N64" s="2">
        <f>AVERAGEIFS(benchmark_gurobi_vs_cuts_grbv2!V:V,benchmark_gurobi_vs_cuts_grbv2!A:A,proc_v2!A64,benchmark_gurobi_vs_cuts_grbv2!C:C,proc_v2!B64,benchmark_gurobi_vs_cuts_grbv2!B:B,proc_v2!C64,benchmark_gurobi_vs_cuts_grbv2!D:D,proc_v2!D64)</f>
        <v>5.4153922289589963E-2</v>
      </c>
      <c r="O64" s="3">
        <f>AVERAGEIFS(benchmark_gurobi_vs_cuts_grbv2!X:X,benchmark_gurobi_vs_cuts_grbv2!A:A,proc_v2!A64,benchmark_gurobi_vs_cuts_grbv2!C:C,proc_v2!B64,benchmark_gurobi_vs_cuts_grbv2!B:B,proc_v2!C64,benchmark_gurobi_vs_cuts_grbv2!D:D,proc_v2!D64)</f>
        <v>304094.41762005066</v>
      </c>
      <c r="P64" s="3">
        <f>AVERAGEIFS(benchmark_gurobi_vs_cuts_grbv2!Y:Y,benchmark_gurobi_vs_cuts_grbv2!A:A,proc_v2!A64,benchmark_gurobi_vs_cuts_grbv2!C:C,proc_v2!B64,benchmark_gurobi_vs_cuts_grbv2!B:B,proc_v2!C64,benchmark_gurobi_vs_cuts_grbv2!D:D,proc_v2!D64)</f>
        <v>1</v>
      </c>
      <c r="Q64" s="2">
        <f>AVERAGEIFS(benchmark_gurobi_vs_cuts_grbv2!Z:Z,benchmark_gurobi_vs_cuts_grbv2!A:A,proc_v2!A64,benchmark_gurobi_vs_cuts_grbv2!C:C,proc_v2!B64,benchmark_gurobi_vs_cuts_grbv2!B:B,proc_v2!C64,benchmark_gurobi_vs_cuts_grbv2!D:D,proc_v2!D64)</f>
        <v>0.92302205045681585</v>
      </c>
      <c r="R64" s="3">
        <f>AVERAGEIFS(benchmark_gurobi_vs_cuts_grbv2!AA:AA,benchmark_gurobi_vs_cuts_grbv2!A:A,proc_v2!A64,benchmark_gurobi_vs_cuts_grbv2!C:C,proc_v2!B64,benchmark_gurobi_vs_cuts_grbv2!B:B,proc_v2!C64,benchmark_gurobi_vs_cuts_grbv2!D:D,proc_v2!D64)</f>
        <v>50</v>
      </c>
      <c r="Y64" t="str">
        <f t="shared" si="11"/>
        <v>$30$ &amp; $0.3$ &amp; $100/p$ &amp; $0\%$ &amp; $0$ &amp; $0$ &amp; $0\%$ &amp; $0\%$ &amp; $0$ &amp; $0$ &amp; $0\%$ &amp; $0$ &amp; $5.42\%$ &amp; $304094.42$ &amp; $1$ &amp; $92.3\%$ &amp; $50$\\</v>
      </c>
    </row>
    <row r="65" spans="1:25" x14ac:dyDescent="0.2">
      <c r="A65" s="4"/>
      <c r="B65" s="4"/>
      <c r="C65" s="4"/>
      <c r="D65" s="4"/>
      <c r="L65" s="2"/>
    </row>
    <row r="66" spans="1:25" x14ac:dyDescent="0.2">
      <c r="A66">
        <v>40</v>
      </c>
      <c r="B66">
        <v>0.1</v>
      </c>
      <c r="C66" s="4">
        <v>2</v>
      </c>
      <c r="D66" s="4">
        <v>100</v>
      </c>
      <c r="E66">
        <f>MIN(20, COUNTIFS(benchmark_gurobi_vs_cuts_grbv2!A:A,proc_v2!A66,benchmark_gurobi_vs_cuts_grbv2!C:C,proc_v2!B66,benchmark_gurobi_vs_cuts_grbv2!B:B,proc_v2!C66,benchmark_gurobi_vs_cuts_grbv2!D:D,proc_v2!D66))</f>
        <v>0</v>
      </c>
      <c r="F66" s="2" t="s">
        <v>41</v>
      </c>
      <c r="L66" s="2" t="e">
        <f>AVERAGEIFS(benchmark_gurobi_vs_cuts_grbv2!H:H,benchmark_gurobi_vs_cuts_grbv2!A:A,proc_v2!A66,benchmark_gurobi_vs_cuts_grbv2!C:C,proc_v2!B66,benchmark_gurobi_vs_cuts_grbv2!B:B,proc_v2!C66,benchmark_gurobi_vs_cuts_grbv2!D:D,proc_v2!D66)</f>
        <v>#DIV/0!</v>
      </c>
      <c r="N66" s="2" t="e">
        <f>AVERAGEIFS(benchmark_gurobi_vs_cuts_grbv2!V:V,benchmark_gurobi_vs_cuts_grbv2!A:A,proc_v2!A66,benchmark_gurobi_vs_cuts_grbv2!C:C,proc_v2!B66,benchmark_gurobi_vs_cuts_grbv2!B:B,proc_v2!C66,benchmark_gurobi_vs_cuts_grbv2!D:D,proc_v2!D66)</f>
        <v>#DIV/0!</v>
      </c>
      <c r="O66" s="3" t="e">
        <f>AVERAGEIFS(benchmark_gurobi_vs_cuts_grbv2!X:X,benchmark_gurobi_vs_cuts_grbv2!A:A,proc_v2!A66,benchmark_gurobi_vs_cuts_grbv2!C:C,proc_v2!B66,benchmark_gurobi_vs_cuts_grbv2!B:B,proc_v2!C66,benchmark_gurobi_vs_cuts_grbv2!D:D,proc_v2!D66)</f>
        <v>#DIV/0!</v>
      </c>
      <c r="P66" s="3" t="e">
        <f>AVERAGEIFS(benchmark_gurobi_vs_cuts_grbv2!Y:Y,benchmark_gurobi_vs_cuts_grbv2!A:A,proc_v2!A66,benchmark_gurobi_vs_cuts_grbv2!C:C,proc_v2!B66,benchmark_gurobi_vs_cuts_grbv2!B:B,proc_v2!C66,benchmark_gurobi_vs_cuts_grbv2!D:D,proc_v2!D66)</f>
        <v>#DIV/0!</v>
      </c>
      <c r="Q66" s="2" t="e">
        <f>AVERAGEIFS(benchmark_gurobi_vs_cuts_grbv2!Z:Z,benchmark_gurobi_vs_cuts_grbv2!A:A,proc_v2!A66,benchmark_gurobi_vs_cuts_grbv2!C:C,proc_v2!B66,benchmark_gurobi_vs_cuts_grbv2!B:B,proc_v2!C66,benchmark_gurobi_vs_cuts_grbv2!D:D,proc_v2!D66)</f>
        <v>#DIV/0!</v>
      </c>
      <c r="R66" s="3" t="e">
        <f>AVERAGEIFS(benchmark_gurobi_vs_cuts_grbv2!AA:AA,benchmark_gurobi_vs_cuts_grbv2!A:A,proc_v2!A66,benchmark_gurobi_vs_cuts_grbv2!C:C,proc_v2!B66,benchmark_gurobi_vs_cuts_grbv2!B:B,proc_v2!C66,benchmark_gurobi_vs_cuts_grbv2!D:D,proc_v2!D66)</f>
        <v>#DIV/0!</v>
      </c>
      <c r="Y66" t="e">
        <f t="shared" si="11"/>
        <v>#VALUE!</v>
      </c>
    </row>
    <row r="67" spans="1:25" x14ac:dyDescent="0.2">
      <c r="A67">
        <v>50</v>
      </c>
      <c r="B67">
        <v>0.1</v>
      </c>
      <c r="C67" s="4">
        <v>2</v>
      </c>
      <c r="D67" s="4">
        <v>100</v>
      </c>
      <c r="E67">
        <f>MIN(20, COUNTIFS(benchmark_gurobi_vs_cuts_grbv2!A:A,proc_v2!A67,benchmark_gurobi_vs_cuts_grbv2!C:C,proc_v2!B67,benchmark_gurobi_vs_cuts_grbv2!B:B,proc_v2!C67,benchmark_gurobi_vs_cuts_grbv2!D:D,proc_v2!D67))</f>
        <v>0</v>
      </c>
      <c r="L67" s="2" t="e">
        <f>AVERAGEIFS(benchmark_gurobi_vs_cuts_grbv2!H:H,benchmark_gurobi_vs_cuts_grbv2!A:A,proc_v2!A67,benchmark_gurobi_vs_cuts_grbv2!C:C,proc_v2!B67,benchmark_gurobi_vs_cuts_grbv2!B:B,proc_v2!C67,benchmark_gurobi_vs_cuts_grbv2!D:D,proc_v2!D67)</f>
        <v>#DIV/0!</v>
      </c>
      <c r="N67" s="2" t="e">
        <f>AVERAGEIFS(benchmark_gurobi_vs_cuts_grbv2!V:V,benchmark_gurobi_vs_cuts_grbv2!A:A,proc_v2!A67,benchmark_gurobi_vs_cuts_grbv2!C:C,proc_v2!B67,benchmark_gurobi_vs_cuts_grbv2!B:B,proc_v2!C67,benchmark_gurobi_vs_cuts_grbv2!D:D,proc_v2!D67)</f>
        <v>#DIV/0!</v>
      </c>
      <c r="O67" s="3" t="e">
        <f>AVERAGEIFS(benchmark_gurobi_vs_cuts_grbv2!X:X,benchmark_gurobi_vs_cuts_grbv2!A:A,proc_v2!A67,benchmark_gurobi_vs_cuts_grbv2!C:C,proc_v2!B67,benchmark_gurobi_vs_cuts_grbv2!B:B,proc_v2!C67,benchmark_gurobi_vs_cuts_grbv2!D:D,proc_v2!D67)</f>
        <v>#DIV/0!</v>
      </c>
      <c r="P67" s="3" t="e">
        <f>AVERAGEIFS(benchmark_gurobi_vs_cuts_grbv2!Y:Y,benchmark_gurobi_vs_cuts_grbv2!A:A,proc_v2!A67,benchmark_gurobi_vs_cuts_grbv2!C:C,proc_v2!B67,benchmark_gurobi_vs_cuts_grbv2!B:B,proc_v2!C67,benchmark_gurobi_vs_cuts_grbv2!D:D,proc_v2!D67)</f>
        <v>#DIV/0!</v>
      </c>
      <c r="Q67" s="2" t="e">
        <f>AVERAGEIFS(benchmark_gurobi_vs_cuts_grbv2!Z:Z,benchmark_gurobi_vs_cuts_grbv2!A:A,proc_v2!A67,benchmark_gurobi_vs_cuts_grbv2!C:C,proc_v2!B67,benchmark_gurobi_vs_cuts_grbv2!B:B,proc_v2!C67,benchmark_gurobi_vs_cuts_grbv2!D:D,proc_v2!D67)</f>
        <v>#DIV/0!</v>
      </c>
      <c r="R67" s="3" t="e">
        <f>AVERAGEIFS(benchmark_gurobi_vs_cuts_grbv2!AA:AA,benchmark_gurobi_vs_cuts_grbv2!A:A,proc_v2!A67,benchmark_gurobi_vs_cuts_grbv2!C:C,proc_v2!B67,benchmark_gurobi_vs_cuts_grbv2!B:B,proc_v2!C67,benchmark_gurobi_vs_cuts_grbv2!D:D,proc_v2!D67)</f>
        <v>#DIV/0!</v>
      </c>
      <c r="Y67" t="e">
        <f t="shared" si="11"/>
        <v>#DIV/0!</v>
      </c>
    </row>
    <row r="68" spans="1:25" x14ac:dyDescent="0.2">
      <c r="L68" s="2"/>
    </row>
    <row r="69" spans="1:25" x14ac:dyDescent="0.2">
      <c r="L69" s="2"/>
    </row>
    <row r="70" spans="1:25" x14ac:dyDescent="0.2">
      <c r="A70" t="s">
        <v>36</v>
      </c>
      <c r="L70" s="2"/>
    </row>
    <row r="71" spans="1:25" x14ac:dyDescent="0.2">
      <c r="A71" s="4"/>
      <c r="B71" s="4"/>
      <c r="C71" s="4"/>
      <c r="D71" s="4"/>
      <c r="L71" s="2"/>
    </row>
    <row r="72" spans="1:25" x14ac:dyDescent="0.2">
      <c r="A72" s="4">
        <v>10</v>
      </c>
      <c r="B72" s="4">
        <v>0.1</v>
      </c>
      <c r="C72" s="4">
        <v>3</v>
      </c>
      <c r="D72" s="4">
        <v>20</v>
      </c>
      <c r="E72">
        <f>MIN(20, COUNTIFS(benchmark_gurobi_vs_cuts_grbv2!A:A,proc_v2!A72,benchmark_gurobi_vs_cuts_grbv2!C:C,proc_v2!B72,benchmark_gurobi_vs_cuts_grbv2!B:B,proc_v2!C72,benchmark_gurobi_vs_cuts_grbv2!D:D,proc_v2!D72))</f>
        <v>20</v>
      </c>
      <c r="L72" s="2">
        <f>AVERAGEIFS(benchmark_gurobi_vs_cuts_grbv2!H:H,benchmark_gurobi_vs_cuts_grbv2!A:A,proc_v2!A72,benchmark_gurobi_vs_cuts_grbv2!C:C,proc_v2!B72,benchmark_gurobi_vs_cuts_grbv2!B:B,proc_v2!C72,benchmark_gurobi_vs_cuts_grbv2!D:D,proc_v2!D72)</f>
        <v>0.9662416418250287</v>
      </c>
      <c r="N72" s="2">
        <f>AVERAGEIFS(benchmark_gurobi_vs_cuts_grbv2!V:V,benchmark_gurobi_vs_cuts_grbv2!A:A,proc_v2!A72,benchmark_gurobi_vs_cuts_grbv2!C:C,proc_v2!B72,benchmark_gurobi_vs_cuts_grbv2!B:B,proc_v2!C72,benchmark_gurobi_vs_cuts_grbv2!D:D,proc_v2!D72)</f>
        <v>0.97282123965013712</v>
      </c>
      <c r="O72" s="3">
        <f>AVERAGEIFS(benchmark_gurobi_vs_cuts_grbv2!X:X,benchmark_gurobi_vs_cuts_grbv2!A:A,proc_v2!A72,benchmark_gurobi_vs_cuts_grbv2!C:C,proc_v2!B72,benchmark_gurobi_vs_cuts_grbv2!B:B,proc_v2!C72,benchmark_gurobi_vs_cuts_grbv2!D:D,proc_v2!D72)</f>
        <v>37780.345764179619</v>
      </c>
      <c r="P72" s="3">
        <f>AVERAGEIFS(benchmark_gurobi_vs_cuts_grbv2!Y:Y,benchmark_gurobi_vs_cuts_grbv2!A:A,proc_v2!A72,benchmark_gurobi_vs_cuts_grbv2!C:C,proc_v2!B72,benchmark_gurobi_vs_cuts_grbv2!B:B,proc_v2!C72,benchmark_gurobi_vs_cuts_grbv2!D:D,proc_v2!D72)</f>
        <v>39869.591549295772</v>
      </c>
      <c r="Q72" s="2">
        <f>AVERAGEIFS(benchmark_gurobi_vs_cuts_grbv2!Z:Z,benchmark_gurobi_vs_cuts_grbv2!A:A,proc_v2!A72,benchmark_gurobi_vs_cuts_grbv2!C:C,proc_v2!B72,benchmark_gurobi_vs_cuts_grbv2!B:B,proc_v2!C72,benchmark_gurobi_vs_cuts_grbv2!D:D,proc_v2!D72)</f>
        <v>7.0654065616990629E-3</v>
      </c>
      <c r="R72" s="3">
        <f>AVERAGEIFS(benchmark_gurobi_vs_cuts_grbv2!AA:AA,benchmark_gurobi_vs_cuts_grbv2!A:A,proc_v2!A72,benchmark_gurobi_vs_cuts_grbv2!C:C,proc_v2!B72,benchmark_gurobi_vs_cuts_grbv2!B:B,proc_v2!C72,benchmark_gurobi_vs_cuts_grbv2!D:D,proc_v2!D72)</f>
        <v>9.28169014084507</v>
      </c>
      <c r="Y72" t="str">
        <f t="shared" ref="Y72:Y74" si="12">CONCATENATE("$", A72, "$ &amp; $", B72, "$ &amp; $", D72, "/p$ &amp; $", 100*ROUND(T72,4), "\%$ &amp; $", ROUND(U72,2), "$ &amp; $", ROUND(V72,0), "$ &amp; $", 100*ROUND(W72,4), "\%$ &amp; $", 100*ROUND(F72,4), "\%$ &amp; $", ROUND(G72,2), "$ &amp; $", ROUND(H72,0), "$ &amp; $", 100*ROUND(I72,4), "\%$ &amp; $", ROUND(J72,1), "$ &amp; $",100*ROUND(N72,4), "\%$ &amp; $", ROUND(O72,2), "$ &amp; $", ROUND(P72,0), "$ &amp; $", 100*ROUND(Q72,4), "\%$ &amp; $", ROUND(R72,1), "$\\")</f>
        <v>$10$ &amp; $0.1$ &amp; $20/p$ &amp; $0\%$ &amp; $0$ &amp; $0$ &amp; $0\%$ &amp; $0\%$ &amp; $0$ &amp; $0$ &amp; $0\%$ &amp; $0$ &amp; $97.28\%$ &amp; $37780.35$ &amp; $39870$ &amp; $0.71\%$ &amp; $9.3$\\</v>
      </c>
    </row>
    <row r="73" spans="1:25" x14ac:dyDescent="0.2">
      <c r="A73" s="4">
        <v>10</v>
      </c>
      <c r="B73" s="4">
        <v>0.2</v>
      </c>
      <c r="C73" s="4">
        <v>3</v>
      </c>
      <c r="D73" s="4">
        <v>20</v>
      </c>
      <c r="E73">
        <f>MIN(20, COUNTIFS(benchmark_gurobi_vs_cuts_grbv2!A:A,proc_v2!A73,benchmark_gurobi_vs_cuts_grbv2!C:C,proc_v2!B73,benchmark_gurobi_vs_cuts_grbv2!B:B,proc_v2!C73,benchmark_gurobi_vs_cuts_grbv2!D:D,proc_v2!D73))</f>
        <v>20</v>
      </c>
      <c r="L73" s="2">
        <f>AVERAGEIFS(benchmark_gurobi_vs_cuts_grbv2!H:H,benchmark_gurobi_vs_cuts_grbv2!A:A,proc_v2!A73,benchmark_gurobi_vs_cuts_grbv2!C:C,proc_v2!B73,benchmark_gurobi_vs_cuts_grbv2!B:B,proc_v2!C73,benchmark_gurobi_vs_cuts_grbv2!D:D,proc_v2!D73)</f>
        <v>0.93372296032105129</v>
      </c>
      <c r="N73" s="2">
        <f>AVERAGEIFS(benchmark_gurobi_vs_cuts_grbv2!V:V,benchmark_gurobi_vs_cuts_grbv2!A:A,proc_v2!A73,benchmark_gurobi_vs_cuts_grbv2!C:C,proc_v2!B73,benchmark_gurobi_vs_cuts_grbv2!B:B,proc_v2!C73,benchmark_gurobi_vs_cuts_grbv2!D:D,proc_v2!D73)</f>
        <v>0.93568343696223633</v>
      </c>
      <c r="O73" s="3">
        <f>AVERAGEIFS(benchmark_gurobi_vs_cuts_grbv2!X:X,benchmark_gurobi_vs_cuts_grbv2!A:A,proc_v2!A73,benchmark_gurobi_vs_cuts_grbv2!C:C,proc_v2!B73,benchmark_gurobi_vs_cuts_grbv2!B:B,proc_v2!C73,benchmark_gurobi_vs_cuts_grbv2!D:D,proc_v2!D73)</f>
        <v>135263.00248650834</v>
      </c>
      <c r="P73" s="3">
        <f>AVERAGEIFS(benchmark_gurobi_vs_cuts_grbv2!Y:Y,benchmark_gurobi_vs_cuts_grbv2!A:A,proc_v2!A73,benchmark_gurobi_vs_cuts_grbv2!C:C,proc_v2!B73,benchmark_gurobi_vs_cuts_grbv2!B:B,proc_v2!C73,benchmark_gurobi_vs_cuts_grbv2!D:D,proc_v2!D73)</f>
        <v>35870.434782608696</v>
      </c>
      <c r="Q73" s="2">
        <f>AVERAGEIFS(benchmark_gurobi_vs_cuts_grbv2!Z:Z,benchmark_gurobi_vs_cuts_grbv2!A:A,proc_v2!A73,benchmark_gurobi_vs_cuts_grbv2!C:C,proc_v2!B73,benchmark_gurobi_vs_cuts_grbv2!B:B,proc_v2!C73,benchmark_gurobi_vs_cuts_grbv2!D:D,proc_v2!D73)</f>
        <v>3.3052031179218996E-2</v>
      </c>
      <c r="R73" s="3">
        <f>AVERAGEIFS(benchmark_gurobi_vs_cuts_grbv2!AA:AA,benchmark_gurobi_vs_cuts_grbv2!A:A,proc_v2!A73,benchmark_gurobi_vs_cuts_grbv2!C:C,proc_v2!B73,benchmark_gurobi_vs_cuts_grbv2!B:B,proc_v2!C73,benchmark_gurobi_vs_cuts_grbv2!D:D,proc_v2!D73)</f>
        <v>26.217391304347824</v>
      </c>
      <c r="Y73" t="str">
        <f t="shared" si="12"/>
        <v>$10$ &amp; $0.2$ &amp; $20/p$ &amp; $0\%$ &amp; $0$ &amp; $0$ &amp; $0\%$ &amp; $0\%$ &amp; $0$ &amp; $0$ &amp; $0\%$ &amp; $0$ &amp; $93.57\%$ &amp; $135263$ &amp; $35870$ &amp; $3.31\%$ &amp; $26.2$\\</v>
      </c>
    </row>
    <row r="74" spans="1:25" x14ac:dyDescent="0.2">
      <c r="A74" s="4">
        <v>10</v>
      </c>
      <c r="B74" s="4">
        <v>0.3</v>
      </c>
      <c r="C74" s="4">
        <v>3</v>
      </c>
      <c r="D74" s="4">
        <v>20</v>
      </c>
      <c r="E74">
        <f>MIN(20, COUNTIFS(benchmark_gurobi_vs_cuts_grbv2!A:A,proc_v2!A74,benchmark_gurobi_vs_cuts_grbv2!C:C,proc_v2!B74,benchmark_gurobi_vs_cuts_grbv2!B:B,proc_v2!C74,benchmark_gurobi_vs_cuts_grbv2!D:D,proc_v2!D74))</f>
        <v>20</v>
      </c>
      <c r="L74" s="2">
        <f>AVERAGEIFS(benchmark_gurobi_vs_cuts_grbv2!H:H,benchmark_gurobi_vs_cuts_grbv2!A:A,proc_v2!A74,benchmark_gurobi_vs_cuts_grbv2!C:C,proc_v2!B74,benchmark_gurobi_vs_cuts_grbv2!B:B,proc_v2!C74,benchmark_gurobi_vs_cuts_grbv2!D:D,proc_v2!D74)</f>
        <v>0.86517147203373423</v>
      </c>
      <c r="N74" s="2">
        <f>AVERAGEIFS(benchmark_gurobi_vs_cuts_grbv2!V:V,benchmark_gurobi_vs_cuts_grbv2!A:A,proc_v2!A74,benchmark_gurobi_vs_cuts_grbv2!C:C,proc_v2!B74,benchmark_gurobi_vs_cuts_grbv2!B:B,proc_v2!C74,benchmark_gurobi_vs_cuts_grbv2!D:D,proc_v2!D74)</f>
        <v>0.86762084922362726</v>
      </c>
      <c r="O74" s="3">
        <f>AVERAGEIFS(benchmark_gurobi_vs_cuts_grbv2!X:X,benchmark_gurobi_vs_cuts_grbv2!A:A,proc_v2!A74,benchmark_gurobi_vs_cuts_grbv2!C:C,proc_v2!B74,benchmark_gurobi_vs_cuts_grbv2!B:B,proc_v2!C74,benchmark_gurobi_vs_cuts_grbv2!D:D,proc_v2!D74)</f>
        <v>302058.10219294403</v>
      </c>
      <c r="P74" s="3">
        <f>AVERAGEIFS(benchmark_gurobi_vs_cuts_grbv2!Y:Y,benchmark_gurobi_vs_cuts_grbv2!A:A,proc_v2!A74,benchmark_gurobi_vs_cuts_grbv2!C:C,proc_v2!B74,benchmark_gurobi_vs_cuts_grbv2!B:B,proc_v2!C74,benchmark_gurobi_vs_cuts_grbv2!D:D,proc_v2!D74)</f>
        <v>31865.25</v>
      </c>
      <c r="Q74" s="2">
        <f>AVERAGEIFS(benchmark_gurobi_vs_cuts_grbv2!Z:Z,benchmark_gurobi_vs_cuts_grbv2!A:A,proc_v2!A74,benchmark_gurobi_vs_cuts_grbv2!C:C,proc_v2!B74,benchmark_gurobi_vs_cuts_grbv2!B:B,proc_v2!C74,benchmark_gurobi_vs_cuts_grbv2!D:D,proc_v2!D74)</f>
        <v>0.19739931014507256</v>
      </c>
      <c r="R74" s="3">
        <f>AVERAGEIFS(benchmark_gurobi_vs_cuts_grbv2!AA:AA,benchmark_gurobi_vs_cuts_grbv2!A:A,proc_v2!A74,benchmark_gurobi_vs_cuts_grbv2!C:C,proc_v2!B74,benchmark_gurobi_vs_cuts_grbv2!B:B,proc_v2!C74,benchmark_gurobi_vs_cuts_grbv2!D:D,proc_v2!D74)</f>
        <v>50</v>
      </c>
      <c r="Y74" t="str">
        <f t="shared" si="12"/>
        <v>$10$ &amp; $0.3$ &amp; $20/p$ &amp; $0\%$ &amp; $0$ &amp; $0$ &amp; $0\%$ &amp; $0\%$ &amp; $0$ &amp; $0$ &amp; $0\%$ &amp; $0$ &amp; $86.76\%$ &amp; $302058.1$ &amp; $31865$ &amp; $19.74\%$ &amp; $50$\\</v>
      </c>
    </row>
    <row r="75" spans="1:25" x14ac:dyDescent="0.2">
      <c r="A75" s="4"/>
      <c r="B75" s="4"/>
      <c r="C75" s="4"/>
      <c r="D75" s="4"/>
      <c r="L75" s="2"/>
    </row>
    <row r="76" spans="1:25" x14ac:dyDescent="0.2">
      <c r="A76" s="4">
        <v>20</v>
      </c>
      <c r="B76" s="4">
        <v>0.1</v>
      </c>
      <c r="C76" s="4">
        <v>3</v>
      </c>
      <c r="D76" s="4">
        <v>20</v>
      </c>
      <c r="E76">
        <f>MIN(20, COUNTIFS(benchmark_gurobi_vs_cuts_grbv2!A:A,proc_v2!A76,benchmark_gurobi_vs_cuts_grbv2!C:C,proc_v2!B76,benchmark_gurobi_vs_cuts_grbv2!B:B,proc_v2!C76,benchmark_gurobi_vs_cuts_grbv2!D:D,proc_v2!D76))</f>
        <v>20</v>
      </c>
      <c r="L76" s="2">
        <f>AVERAGEIFS(benchmark_gurobi_vs_cuts_grbv2!H:H,benchmark_gurobi_vs_cuts_grbv2!A:A,proc_v2!A76,benchmark_gurobi_vs_cuts_grbv2!C:C,proc_v2!B76,benchmark_gurobi_vs_cuts_grbv2!B:B,proc_v2!C76,benchmark_gurobi_vs_cuts_grbv2!D:D,proc_v2!D76)</f>
        <v>0.97916801883130877</v>
      </c>
      <c r="N76" s="2">
        <f>AVERAGEIFS(benchmark_gurobi_vs_cuts_grbv2!V:V,benchmark_gurobi_vs_cuts_grbv2!A:A,proc_v2!A76,benchmark_gurobi_vs_cuts_grbv2!C:C,proc_v2!B76,benchmark_gurobi_vs_cuts_grbv2!B:B,proc_v2!C76,benchmark_gurobi_vs_cuts_grbv2!D:D,proc_v2!D76)</f>
        <v>1.0052001214172526</v>
      </c>
      <c r="O76" s="3">
        <f>AVERAGEIFS(benchmark_gurobi_vs_cuts_grbv2!X:X,benchmark_gurobi_vs_cuts_grbv2!A:A,proc_v2!A76,benchmark_gurobi_vs_cuts_grbv2!C:C,proc_v2!B76,benchmark_gurobi_vs_cuts_grbv2!B:B,proc_v2!C76,benchmark_gurobi_vs_cuts_grbv2!D:D,proc_v2!D76)</f>
        <v>255374.7192800685</v>
      </c>
      <c r="P76" s="3">
        <f>AVERAGEIFS(benchmark_gurobi_vs_cuts_grbv2!Y:Y,benchmark_gurobi_vs_cuts_grbv2!A:A,proc_v2!A76,benchmark_gurobi_vs_cuts_grbv2!C:C,proc_v2!B76,benchmark_gurobi_vs_cuts_grbv2!B:B,proc_v2!C76,benchmark_gurobi_vs_cuts_grbv2!D:D,proc_v2!D76)</f>
        <v>3015.037037037037</v>
      </c>
      <c r="Q76" s="2">
        <f>AVERAGEIFS(benchmark_gurobi_vs_cuts_grbv2!Z:Z,benchmark_gurobi_vs_cuts_grbv2!A:A,proc_v2!A76,benchmark_gurobi_vs_cuts_grbv2!C:C,proc_v2!B76,benchmark_gurobi_vs_cuts_grbv2!B:B,proc_v2!C76,benchmark_gurobi_vs_cuts_grbv2!D:D,proc_v2!D76)</f>
        <v>3.0860698740286126E-2</v>
      </c>
      <c r="R76" s="3">
        <f>AVERAGEIFS(benchmark_gurobi_vs_cuts_grbv2!AA:AA,benchmark_gurobi_vs_cuts_grbv2!A:A,proc_v2!A76,benchmark_gurobi_vs_cuts_grbv2!C:C,proc_v2!B76,benchmark_gurobi_vs_cuts_grbv2!B:B,proc_v2!C76,benchmark_gurobi_vs_cuts_grbv2!D:D,proc_v2!D76)</f>
        <v>43.185185185185183</v>
      </c>
      <c r="Y76" t="str">
        <f t="shared" ref="Y76:Y78" si="13">CONCATENATE("$", A76, "$ &amp; $", B76, "$ &amp; $", D76, "/p$ &amp; $", 100*ROUND(T76,4), "\%$ &amp; $", ROUND(U76,2), "$ &amp; $", ROUND(V76,0), "$ &amp; $", 100*ROUND(W76,4), "\%$ &amp; $", 100*ROUND(F76,4), "\%$ &amp; $", ROUND(G76,2), "$ &amp; $", ROUND(H76,0), "$ &amp; $", 100*ROUND(I76,4), "\%$ &amp; $", ROUND(J76,1), "$ &amp; $",100*ROUND(N76,4), "\%$ &amp; $", ROUND(O76,2), "$ &amp; $", ROUND(P76,0), "$ &amp; $", 100*ROUND(Q76,4), "\%$ &amp; $", ROUND(R76,1), "$\\")</f>
        <v>$20$ &amp; $0.1$ &amp; $20/p$ &amp; $0\%$ &amp; $0$ &amp; $0$ &amp; $0\%$ &amp; $0\%$ &amp; $0$ &amp; $0$ &amp; $0\%$ &amp; $0$ &amp; $100.52\%$ &amp; $255374.72$ &amp; $3015$ &amp; $3.09\%$ &amp; $43.2$\\</v>
      </c>
    </row>
    <row r="77" spans="1:25" x14ac:dyDescent="0.2">
      <c r="A77" s="4">
        <v>20</v>
      </c>
      <c r="B77" s="4">
        <v>0.2</v>
      </c>
      <c r="C77" s="4">
        <v>3</v>
      </c>
      <c r="D77" s="4">
        <v>20</v>
      </c>
      <c r="E77">
        <f>MIN(20, COUNTIFS(benchmark_gurobi_vs_cuts_grbv2!A:A,proc_v2!A77,benchmark_gurobi_vs_cuts_grbv2!C:C,proc_v2!B77,benchmark_gurobi_vs_cuts_grbv2!B:B,proc_v2!C77,benchmark_gurobi_vs_cuts_grbv2!D:D,proc_v2!D77))</f>
        <v>17</v>
      </c>
      <c r="L77" s="2">
        <f>AVERAGEIFS(benchmark_gurobi_vs_cuts_grbv2!H:H,benchmark_gurobi_vs_cuts_grbv2!A:A,proc_v2!A77,benchmark_gurobi_vs_cuts_grbv2!C:C,proc_v2!B77,benchmark_gurobi_vs_cuts_grbv2!B:B,proc_v2!C77,benchmark_gurobi_vs_cuts_grbv2!D:D,proc_v2!D77)</f>
        <v>0.85649894958092332</v>
      </c>
      <c r="N77" s="2">
        <f>AVERAGEIFS(benchmark_gurobi_vs_cuts_grbv2!V:V,benchmark_gurobi_vs_cuts_grbv2!A:A,proc_v2!A77,benchmark_gurobi_vs_cuts_grbv2!C:C,proc_v2!B77,benchmark_gurobi_vs_cuts_grbv2!B:B,proc_v2!C77,benchmark_gurobi_vs_cuts_grbv2!D:D,proc_v2!D77)</f>
        <v>0.86098421220822996</v>
      </c>
      <c r="O77" s="3">
        <f>AVERAGEIFS(benchmark_gurobi_vs_cuts_grbv2!X:X,benchmark_gurobi_vs_cuts_grbv2!A:A,proc_v2!A77,benchmark_gurobi_vs_cuts_grbv2!C:C,proc_v2!B77,benchmark_gurobi_vs_cuts_grbv2!B:B,proc_v2!C77,benchmark_gurobi_vs_cuts_grbv2!D:D,proc_v2!D77)</f>
        <v>295475.15289148723</v>
      </c>
      <c r="P77" s="3">
        <f>AVERAGEIFS(benchmark_gurobi_vs_cuts_grbv2!Y:Y,benchmark_gurobi_vs_cuts_grbv2!A:A,proc_v2!A77,benchmark_gurobi_vs_cuts_grbv2!C:C,proc_v2!B77,benchmark_gurobi_vs_cuts_grbv2!B:B,proc_v2!C77,benchmark_gurobi_vs_cuts_grbv2!D:D,proc_v2!D77)</f>
        <v>236.47058823529412</v>
      </c>
      <c r="Q77" s="2">
        <f>AVERAGEIFS(benchmark_gurobi_vs_cuts_grbv2!Z:Z,benchmark_gurobi_vs_cuts_grbv2!A:A,proc_v2!A77,benchmark_gurobi_vs_cuts_grbv2!C:C,proc_v2!B77,benchmark_gurobi_vs_cuts_grbv2!B:B,proc_v2!C77,benchmark_gurobi_vs_cuts_grbv2!D:D,proc_v2!D77)</f>
        <v>0.8789288653554066</v>
      </c>
      <c r="R77" s="3">
        <f>AVERAGEIFS(benchmark_gurobi_vs_cuts_grbv2!AA:AA,benchmark_gurobi_vs_cuts_grbv2!A:A,proc_v2!A77,benchmark_gurobi_vs_cuts_grbv2!C:C,proc_v2!B77,benchmark_gurobi_vs_cuts_grbv2!B:B,proc_v2!C77,benchmark_gurobi_vs_cuts_grbv2!D:D,proc_v2!D77)</f>
        <v>50</v>
      </c>
      <c r="Y77" t="str">
        <f t="shared" si="13"/>
        <v>$20$ &amp; $0.2$ &amp; $20/p$ &amp; $0\%$ &amp; $0$ &amp; $0$ &amp; $0\%$ &amp; $0\%$ &amp; $0$ &amp; $0$ &amp; $0\%$ &amp; $0$ &amp; $86.1\%$ &amp; $295475.15$ &amp; $236$ &amp; $87.89\%$ &amp; $50$\\</v>
      </c>
    </row>
    <row r="78" spans="1:25" x14ac:dyDescent="0.2">
      <c r="A78" s="4">
        <v>20</v>
      </c>
      <c r="B78" s="4">
        <v>0.3</v>
      </c>
      <c r="C78" s="4">
        <v>3</v>
      </c>
      <c r="D78" s="4">
        <v>20</v>
      </c>
      <c r="E78">
        <f>MIN(20, COUNTIFS(benchmark_gurobi_vs_cuts_grbv2!A:A,proc_v2!A78,benchmark_gurobi_vs_cuts_grbv2!C:C,proc_v2!B78,benchmark_gurobi_vs_cuts_grbv2!B:B,proc_v2!C78,benchmark_gurobi_vs_cuts_grbv2!D:D,proc_v2!D78))</f>
        <v>20</v>
      </c>
      <c r="L78" s="2">
        <f>AVERAGEIFS(benchmark_gurobi_vs_cuts_grbv2!H:H,benchmark_gurobi_vs_cuts_grbv2!A:A,proc_v2!A78,benchmark_gurobi_vs_cuts_grbv2!C:C,proc_v2!B78,benchmark_gurobi_vs_cuts_grbv2!B:B,proc_v2!C78,benchmark_gurobi_vs_cuts_grbv2!D:D,proc_v2!D78)</f>
        <v>0.50711354715863199</v>
      </c>
      <c r="N78" s="2">
        <f>AVERAGEIFS(benchmark_gurobi_vs_cuts_grbv2!V:V,benchmark_gurobi_vs_cuts_grbv2!A:A,proc_v2!A78,benchmark_gurobi_vs_cuts_grbv2!C:C,proc_v2!B78,benchmark_gurobi_vs_cuts_grbv2!B:B,proc_v2!C78,benchmark_gurobi_vs_cuts_grbv2!D:D,proc_v2!D78)</f>
        <v>0.500805288642028</v>
      </c>
      <c r="O78" s="3">
        <f>AVERAGEIFS(benchmark_gurobi_vs_cuts_grbv2!X:X,benchmark_gurobi_vs_cuts_grbv2!A:A,proc_v2!A78,benchmark_gurobi_vs_cuts_grbv2!C:C,proc_v2!B78,benchmark_gurobi_vs_cuts_grbv2!B:B,proc_v2!C78,benchmark_gurobi_vs_cuts_grbv2!D:D,proc_v2!D78)</f>
        <v>291122.49833150272</v>
      </c>
      <c r="P78" s="3">
        <f>AVERAGEIFS(benchmark_gurobi_vs_cuts_grbv2!Y:Y,benchmark_gurobi_vs_cuts_grbv2!A:A,proc_v2!A78,benchmark_gurobi_vs_cuts_grbv2!C:C,proc_v2!B78,benchmark_gurobi_vs_cuts_grbv2!B:B,proc_v2!C78,benchmark_gurobi_vs_cuts_grbv2!D:D,proc_v2!D78)</f>
        <v>41.347826086956523</v>
      </c>
      <c r="Q78" s="2">
        <f>AVERAGEIFS(benchmark_gurobi_vs_cuts_grbv2!Z:Z,benchmark_gurobi_vs_cuts_grbv2!A:A,proc_v2!A78,benchmark_gurobi_vs_cuts_grbv2!C:C,proc_v2!B78,benchmark_gurobi_vs_cuts_grbv2!B:B,proc_v2!C78,benchmark_gurobi_vs_cuts_grbv2!D:D,proc_v2!D78)</f>
        <v>2.1463685505912227</v>
      </c>
      <c r="R78" s="3">
        <f>AVERAGEIFS(benchmark_gurobi_vs_cuts_grbv2!AA:AA,benchmark_gurobi_vs_cuts_grbv2!A:A,proc_v2!A78,benchmark_gurobi_vs_cuts_grbv2!C:C,proc_v2!B78,benchmark_gurobi_vs_cuts_grbv2!B:B,proc_v2!C78,benchmark_gurobi_vs_cuts_grbv2!D:D,proc_v2!D78)</f>
        <v>50</v>
      </c>
      <c r="Y78" t="str">
        <f t="shared" si="13"/>
        <v>$20$ &amp; $0.3$ &amp; $20/p$ &amp; $0\%$ &amp; $0$ &amp; $0$ &amp; $0\%$ &amp; $0\%$ &amp; $0$ &amp; $0$ &amp; $0\%$ &amp; $0$ &amp; $50.08\%$ &amp; $291122.5$ &amp; $41$ &amp; $214.64\%$ &amp; $50$\\</v>
      </c>
    </row>
    <row r="79" spans="1:25" x14ac:dyDescent="0.2">
      <c r="A79" s="4"/>
      <c r="B79" s="4"/>
      <c r="C79" s="4"/>
      <c r="D79" s="4"/>
      <c r="L79" s="2"/>
    </row>
    <row r="80" spans="1:25" x14ac:dyDescent="0.2">
      <c r="A80" s="4">
        <v>30</v>
      </c>
      <c r="B80" s="4">
        <v>0.1</v>
      </c>
      <c r="C80" s="4">
        <v>3</v>
      </c>
      <c r="D80" s="4">
        <v>20</v>
      </c>
      <c r="E80">
        <f>MIN(20, COUNTIFS(benchmark_gurobi_vs_cuts_grbv2!A:A,proc_v2!A80,benchmark_gurobi_vs_cuts_grbv2!C:C,proc_v2!B80,benchmark_gurobi_vs_cuts_grbv2!B:B,proc_v2!C80,benchmark_gurobi_vs_cuts_grbv2!D:D,proc_v2!D80))</f>
        <v>20</v>
      </c>
      <c r="L80" s="2">
        <f>AVERAGEIFS(benchmark_gurobi_vs_cuts_grbv2!H:H,benchmark_gurobi_vs_cuts_grbv2!A:A,proc_v2!A80,benchmark_gurobi_vs_cuts_grbv2!C:C,proc_v2!B80,benchmark_gurobi_vs_cuts_grbv2!B:B,proc_v2!C80,benchmark_gurobi_vs_cuts_grbv2!D:D,proc_v2!D80)</f>
        <v>0.98419204899887947</v>
      </c>
      <c r="N80" s="2">
        <f>AVERAGEIFS(benchmark_gurobi_vs_cuts_grbv2!V:V,benchmark_gurobi_vs_cuts_grbv2!A:A,proc_v2!A80,benchmark_gurobi_vs_cuts_grbv2!C:C,proc_v2!B80,benchmark_gurobi_vs_cuts_grbv2!B:B,proc_v2!C80,benchmark_gurobi_vs_cuts_grbv2!D:D,proc_v2!D80)</f>
        <v>0.98755386225467701</v>
      </c>
      <c r="O80" s="3">
        <f>AVERAGEIFS(benchmark_gurobi_vs_cuts_grbv2!X:X,benchmark_gurobi_vs_cuts_grbv2!A:A,proc_v2!A80,benchmark_gurobi_vs_cuts_grbv2!C:C,proc_v2!B80,benchmark_gurobi_vs_cuts_grbv2!B:B,proc_v2!C80,benchmark_gurobi_vs_cuts_grbv2!D:D,proc_v2!D80)</f>
        <v>303058.09477945929</v>
      </c>
      <c r="P80" s="3">
        <f>AVERAGEIFS(benchmark_gurobi_vs_cuts_grbv2!Y:Y,benchmark_gurobi_vs_cuts_grbv2!A:A,proc_v2!A80,benchmark_gurobi_vs_cuts_grbv2!C:C,proc_v2!B80,benchmark_gurobi_vs_cuts_grbv2!B:B,proc_v2!C80,benchmark_gurobi_vs_cuts_grbv2!D:D,proc_v2!D80)</f>
        <v>1.1000000000000001</v>
      </c>
      <c r="Q80" s="2">
        <f>AVERAGEIFS(benchmark_gurobi_vs_cuts_grbv2!Z:Z,benchmark_gurobi_vs_cuts_grbv2!A:A,proc_v2!A80,benchmark_gurobi_vs_cuts_grbv2!C:C,proc_v2!B80,benchmark_gurobi_vs_cuts_grbv2!B:B,proc_v2!C80,benchmark_gurobi_vs_cuts_grbv2!D:D,proc_v2!D80)</f>
        <v>0.365208771197232</v>
      </c>
      <c r="R80" s="3">
        <f>AVERAGEIFS(benchmark_gurobi_vs_cuts_grbv2!AA:AA,benchmark_gurobi_vs_cuts_grbv2!A:A,proc_v2!A80,benchmark_gurobi_vs_cuts_grbv2!C:C,proc_v2!B80,benchmark_gurobi_vs_cuts_grbv2!B:B,proc_v2!C80,benchmark_gurobi_vs_cuts_grbv2!D:D,proc_v2!D80)</f>
        <v>50</v>
      </c>
      <c r="Y80" t="str">
        <f t="shared" ref="Y80:Y82" si="14">CONCATENATE("$", A80, "$ &amp; $", B80, "$ &amp; $", D80, "/p$ &amp; $", 100*ROUND(T80,4), "\%$ &amp; $", ROUND(U80,2), "$ &amp; $", ROUND(V80,0), "$ &amp; $", 100*ROUND(W80,4), "\%$ &amp; $", 100*ROUND(F80,4), "\%$ &amp; $", ROUND(G80,2), "$ &amp; $", ROUND(H80,0), "$ &amp; $", 100*ROUND(I80,4), "\%$ &amp; $", ROUND(J80,1), "$ &amp; $",100*ROUND(N80,4), "\%$ &amp; $", ROUND(O80,2), "$ &amp; $", ROUND(P80,0), "$ &amp; $", 100*ROUND(Q80,4), "\%$ &amp; $", ROUND(R80,1), "$\\")</f>
        <v>$30$ &amp; $0.1$ &amp; $20/p$ &amp; $0\%$ &amp; $0$ &amp; $0$ &amp; $0\%$ &amp; $0\%$ &amp; $0$ &amp; $0$ &amp; $0\%$ &amp; $0$ &amp; $98.76\%$ &amp; $303058.09$ &amp; $1$ &amp; $36.52\%$ &amp; $50$\\</v>
      </c>
    </row>
    <row r="81" spans="1:25" x14ac:dyDescent="0.2">
      <c r="A81" s="4">
        <v>30</v>
      </c>
      <c r="B81" s="4">
        <v>0.2</v>
      </c>
      <c r="C81" s="4">
        <v>3</v>
      </c>
      <c r="D81" s="4">
        <v>20</v>
      </c>
      <c r="E81">
        <f>MIN(20, COUNTIFS(benchmark_gurobi_vs_cuts_grbv2!A:A,proc_v2!A81,benchmark_gurobi_vs_cuts_grbv2!C:C,proc_v2!B81,benchmark_gurobi_vs_cuts_grbv2!B:B,proc_v2!C81,benchmark_gurobi_vs_cuts_grbv2!D:D,proc_v2!D81))</f>
        <v>20</v>
      </c>
      <c r="L81" s="2">
        <f>AVERAGEIFS(benchmark_gurobi_vs_cuts_grbv2!H:H,benchmark_gurobi_vs_cuts_grbv2!A:A,proc_v2!A81,benchmark_gurobi_vs_cuts_grbv2!C:C,proc_v2!B81,benchmark_gurobi_vs_cuts_grbv2!B:B,proc_v2!C81,benchmark_gurobi_vs_cuts_grbv2!D:D,proc_v2!D81)</f>
        <v>0.52250096345953079</v>
      </c>
      <c r="N81" s="2">
        <f>AVERAGEIFS(benchmark_gurobi_vs_cuts_grbv2!V:V,benchmark_gurobi_vs_cuts_grbv2!A:A,proc_v2!A81,benchmark_gurobi_vs_cuts_grbv2!C:C,proc_v2!B81,benchmark_gurobi_vs_cuts_grbv2!B:B,proc_v2!C81,benchmark_gurobi_vs_cuts_grbv2!D:D,proc_v2!D81)</f>
        <v>0.51775069712426847</v>
      </c>
      <c r="O81" s="3">
        <f>AVERAGEIFS(benchmark_gurobi_vs_cuts_grbv2!X:X,benchmark_gurobi_vs_cuts_grbv2!A:A,proc_v2!A81,benchmark_gurobi_vs_cuts_grbv2!C:C,proc_v2!B81,benchmark_gurobi_vs_cuts_grbv2!B:B,proc_v2!C81,benchmark_gurobi_vs_cuts_grbv2!D:D,proc_v2!D81)</f>
        <v>302604.77220764424</v>
      </c>
      <c r="P81" s="3">
        <f>AVERAGEIFS(benchmark_gurobi_vs_cuts_grbv2!Y:Y,benchmark_gurobi_vs_cuts_grbv2!A:A,proc_v2!A81,benchmark_gurobi_vs_cuts_grbv2!C:C,proc_v2!B81,benchmark_gurobi_vs_cuts_grbv2!B:B,proc_v2!C81,benchmark_gurobi_vs_cuts_grbv2!D:D,proc_v2!D81)</f>
        <v>1</v>
      </c>
      <c r="Q81" s="2">
        <f>AVERAGEIFS(benchmark_gurobi_vs_cuts_grbv2!Z:Z,benchmark_gurobi_vs_cuts_grbv2!A:A,proc_v2!A81,benchmark_gurobi_vs_cuts_grbv2!C:C,proc_v2!B81,benchmark_gurobi_vs_cuts_grbv2!B:B,proc_v2!C81,benchmark_gurobi_vs_cuts_grbv2!D:D,proc_v2!D81)</f>
        <v>5.5813972233854736</v>
      </c>
      <c r="R81" s="3">
        <f>AVERAGEIFS(benchmark_gurobi_vs_cuts_grbv2!AA:AA,benchmark_gurobi_vs_cuts_grbv2!A:A,proc_v2!A81,benchmark_gurobi_vs_cuts_grbv2!C:C,proc_v2!B81,benchmark_gurobi_vs_cuts_grbv2!B:B,proc_v2!C81,benchmark_gurobi_vs_cuts_grbv2!D:D,proc_v2!D81)</f>
        <v>50</v>
      </c>
      <c r="Y81" t="str">
        <f t="shared" si="14"/>
        <v>$30$ &amp; $0.2$ &amp; $20/p$ &amp; $0\%$ &amp; $0$ &amp; $0$ &amp; $0\%$ &amp; $0\%$ &amp; $0$ &amp; $0$ &amp; $0\%$ &amp; $0$ &amp; $51.78\%$ &amp; $302604.77$ &amp; $1$ &amp; $558.14\%$ &amp; $50$\\</v>
      </c>
    </row>
    <row r="82" spans="1:25" x14ac:dyDescent="0.2">
      <c r="A82" s="4">
        <v>30</v>
      </c>
      <c r="B82" s="4">
        <v>0.3</v>
      </c>
      <c r="C82" s="4">
        <v>3</v>
      </c>
      <c r="D82" s="4">
        <v>20</v>
      </c>
      <c r="E82">
        <f>MIN(20, COUNTIFS(benchmark_gurobi_vs_cuts_grbv2!A:A,proc_v2!A82,benchmark_gurobi_vs_cuts_grbv2!C:C,proc_v2!B82,benchmark_gurobi_vs_cuts_grbv2!B:B,proc_v2!C82,benchmark_gurobi_vs_cuts_grbv2!D:D,proc_v2!D82))</f>
        <v>20</v>
      </c>
      <c r="L82" s="2">
        <f>AVERAGEIFS(benchmark_gurobi_vs_cuts_grbv2!H:H,benchmark_gurobi_vs_cuts_grbv2!A:A,proc_v2!A82,benchmark_gurobi_vs_cuts_grbv2!C:C,proc_v2!B82,benchmark_gurobi_vs_cuts_grbv2!B:B,proc_v2!C82,benchmark_gurobi_vs_cuts_grbv2!D:D,proc_v2!D82)</f>
        <v>0.23644561913738463</v>
      </c>
      <c r="N82" s="2">
        <f>AVERAGEIFS(benchmark_gurobi_vs_cuts_grbv2!V:V,benchmark_gurobi_vs_cuts_grbv2!A:A,proc_v2!A82,benchmark_gurobi_vs_cuts_grbv2!C:C,proc_v2!B82,benchmark_gurobi_vs_cuts_grbv2!B:B,proc_v2!C82,benchmark_gurobi_vs_cuts_grbv2!D:D,proc_v2!D82)</f>
        <v>0.2148799345525822</v>
      </c>
      <c r="O82" s="3">
        <f>AVERAGEIFS(benchmark_gurobi_vs_cuts_grbv2!X:X,benchmark_gurobi_vs_cuts_grbv2!A:A,proc_v2!A82,benchmark_gurobi_vs_cuts_grbv2!C:C,proc_v2!B82,benchmark_gurobi_vs_cuts_grbv2!B:B,proc_v2!C82,benchmark_gurobi_vs_cuts_grbv2!D:D,proc_v2!D82)</f>
        <v>304987.67329299869</v>
      </c>
      <c r="P82" s="3">
        <f>AVERAGEIFS(benchmark_gurobi_vs_cuts_grbv2!Y:Y,benchmark_gurobi_vs_cuts_grbv2!A:A,proc_v2!A82,benchmark_gurobi_vs_cuts_grbv2!C:C,proc_v2!B82,benchmark_gurobi_vs_cuts_grbv2!B:B,proc_v2!C82,benchmark_gurobi_vs_cuts_grbv2!D:D,proc_v2!D82)</f>
        <v>0.7</v>
      </c>
      <c r="Q82" s="2">
        <f>AVERAGEIFS(benchmark_gurobi_vs_cuts_grbv2!Z:Z,benchmark_gurobi_vs_cuts_grbv2!A:A,proc_v2!A82,benchmark_gurobi_vs_cuts_grbv2!C:C,proc_v2!B82,benchmark_gurobi_vs_cuts_grbv2!B:B,proc_v2!C82,benchmark_gurobi_vs_cuts_grbv2!D:D,proc_v2!D82)</f>
        <v>14.594706971222248</v>
      </c>
      <c r="R82" s="3">
        <f>AVERAGEIFS(benchmark_gurobi_vs_cuts_grbv2!AA:AA,benchmark_gurobi_vs_cuts_grbv2!A:A,proc_v2!A82,benchmark_gurobi_vs_cuts_grbv2!C:C,proc_v2!B82,benchmark_gurobi_vs_cuts_grbv2!B:B,proc_v2!C82,benchmark_gurobi_vs_cuts_grbv2!D:D,proc_v2!D82)</f>
        <v>50</v>
      </c>
      <c r="Y82" t="str">
        <f t="shared" si="14"/>
        <v>$30$ &amp; $0.3$ &amp; $20/p$ &amp; $0\%$ &amp; $0$ &amp; $0$ &amp; $0\%$ &amp; $0\%$ &amp; $0$ &amp; $0$ &amp; $0\%$ &amp; $0$ &amp; $21.49\%$ &amp; $304987.67$ &amp; $1$ &amp; $1459.47\%$ &amp; $50$\\</v>
      </c>
    </row>
    <row r="83" spans="1:25" x14ac:dyDescent="0.2">
      <c r="L83" s="2"/>
    </row>
    <row r="84" spans="1:25" x14ac:dyDescent="0.2">
      <c r="A84">
        <v>40</v>
      </c>
      <c r="B84">
        <v>0.1</v>
      </c>
      <c r="C84" s="4">
        <v>3</v>
      </c>
      <c r="D84" s="4">
        <v>20</v>
      </c>
      <c r="E84">
        <f>MIN(20, COUNTIFS(benchmark_gurobi_vs_cuts_grbv2!A:A,proc_v2!A84,benchmark_gurobi_vs_cuts_grbv2!C:C,proc_v2!B84,benchmark_gurobi_vs_cuts_grbv2!B:B,proc_v2!C84,benchmark_gurobi_vs_cuts_grbv2!D:D,proc_v2!D84))</f>
        <v>0</v>
      </c>
      <c r="L84" s="2" t="e">
        <f>AVERAGEIFS(benchmark_gurobi_vs_cuts_grbv2!H:H,benchmark_gurobi_vs_cuts_grbv2!A:A,proc_v2!A84,benchmark_gurobi_vs_cuts_grbv2!C:C,proc_v2!B84,benchmark_gurobi_vs_cuts_grbv2!B:B,proc_v2!C84,benchmark_gurobi_vs_cuts_grbv2!D:D,proc_v2!D84)</f>
        <v>#DIV/0!</v>
      </c>
      <c r="N84" s="2" t="e">
        <f>AVERAGEIFS(benchmark_gurobi_vs_cuts_grbv2!V:V,benchmark_gurobi_vs_cuts_grbv2!A:A,proc_v2!A84,benchmark_gurobi_vs_cuts_grbv2!C:C,proc_v2!B84,benchmark_gurobi_vs_cuts_grbv2!B:B,proc_v2!C84,benchmark_gurobi_vs_cuts_grbv2!D:D,proc_v2!D84)</f>
        <v>#DIV/0!</v>
      </c>
      <c r="O84" s="3" t="e">
        <f>AVERAGEIFS(benchmark_gurobi_vs_cuts_grbv2!X:X,benchmark_gurobi_vs_cuts_grbv2!A:A,proc_v2!A84,benchmark_gurobi_vs_cuts_grbv2!C:C,proc_v2!B84,benchmark_gurobi_vs_cuts_grbv2!B:B,proc_v2!C84,benchmark_gurobi_vs_cuts_grbv2!D:D,proc_v2!D84)</f>
        <v>#DIV/0!</v>
      </c>
      <c r="P84" s="3" t="e">
        <f>AVERAGEIFS(benchmark_gurobi_vs_cuts_grbv2!Y:Y,benchmark_gurobi_vs_cuts_grbv2!A:A,proc_v2!A84,benchmark_gurobi_vs_cuts_grbv2!C:C,proc_v2!B84,benchmark_gurobi_vs_cuts_grbv2!B:B,proc_v2!C84,benchmark_gurobi_vs_cuts_grbv2!D:D,proc_v2!D84)</f>
        <v>#DIV/0!</v>
      </c>
      <c r="Q84" s="2" t="e">
        <f>AVERAGEIFS(benchmark_gurobi_vs_cuts_grbv2!Z:Z,benchmark_gurobi_vs_cuts_grbv2!A:A,proc_v2!A84,benchmark_gurobi_vs_cuts_grbv2!C:C,proc_v2!B84,benchmark_gurobi_vs_cuts_grbv2!B:B,proc_v2!C84,benchmark_gurobi_vs_cuts_grbv2!D:D,proc_v2!D84)</f>
        <v>#DIV/0!</v>
      </c>
      <c r="R84" s="3" t="e">
        <f>AVERAGEIFS(benchmark_gurobi_vs_cuts_grbv2!AA:AA,benchmark_gurobi_vs_cuts_grbv2!A:A,proc_v2!A84,benchmark_gurobi_vs_cuts_grbv2!C:C,proc_v2!B84,benchmark_gurobi_vs_cuts_grbv2!B:B,proc_v2!C84,benchmark_gurobi_vs_cuts_grbv2!D:D,proc_v2!D84)</f>
        <v>#DIV/0!</v>
      </c>
      <c r="Y84" t="e">
        <f t="shared" ref="Y84:Y85" si="15">CONCATENATE("$", A84, "$ &amp; $", B84, "$ &amp; $", D84, "/p$ &amp; $", 100*ROUND(T84,4), "\%$ &amp; $", ROUND(U84,2), "$ &amp; $", ROUND(V84,0), "$ &amp; $", 100*ROUND(W84,4), "\%$ &amp; $", 100*ROUND(F84,4), "\%$ &amp; $", ROUND(G84,2), "$ &amp; $", ROUND(H84,0), "$ &amp; $", 100*ROUND(I84,4), "\%$ &amp; $", ROUND(J84,1), "$ &amp; $",100*ROUND(N84,4), "\%$ &amp; $", ROUND(O84,2), "$ &amp; $", ROUND(P84,0), "$ &amp; $", 100*ROUND(Q84,4), "\%$ &amp; $", ROUND(R84,1), "$\\")</f>
        <v>#DIV/0!</v>
      </c>
    </row>
    <row r="85" spans="1:25" x14ac:dyDescent="0.2">
      <c r="A85">
        <v>50</v>
      </c>
      <c r="B85">
        <v>0.1</v>
      </c>
      <c r="C85" s="4">
        <v>3</v>
      </c>
      <c r="D85" s="4">
        <v>20</v>
      </c>
      <c r="E85">
        <f>MIN(20, COUNTIFS(benchmark_gurobi_vs_cuts_grbv2!A:A,proc_v2!A85,benchmark_gurobi_vs_cuts_grbv2!C:C,proc_v2!B85,benchmark_gurobi_vs_cuts_grbv2!B:B,proc_v2!C85,benchmark_gurobi_vs_cuts_grbv2!D:D,proc_v2!D85))</f>
        <v>0</v>
      </c>
      <c r="L85" s="2" t="e">
        <f>AVERAGEIFS(benchmark_gurobi_vs_cuts_grbv2!H:H,benchmark_gurobi_vs_cuts_grbv2!A:A,proc_v2!A85,benchmark_gurobi_vs_cuts_grbv2!C:C,proc_v2!B85,benchmark_gurobi_vs_cuts_grbv2!B:B,proc_v2!C85,benchmark_gurobi_vs_cuts_grbv2!D:D,proc_v2!D85)</f>
        <v>#DIV/0!</v>
      </c>
      <c r="N85" s="2" t="e">
        <f>AVERAGEIFS(benchmark_gurobi_vs_cuts_grbv2!V:V,benchmark_gurobi_vs_cuts_grbv2!A:A,proc_v2!A85,benchmark_gurobi_vs_cuts_grbv2!C:C,proc_v2!B85,benchmark_gurobi_vs_cuts_grbv2!B:B,proc_v2!C85,benchmark_gurobi_vs_cuts_grbv2!D:D,proc_v2!D85)</f>
        <v>#DIV/0!</v>
      </c>
      <c r="O85" s="3" t="e">
        <f>AVERAGEIFS(benchmark_gurobi_vs_cuts_grbv2!X:X,benchmark_gurobi_vs_cuts_grbv2!A:A,proc_v2!A85,benchmark_gurobi_vs_cuts_grbv2!C:C,proc_v2!B85,benchmark_gurobi_vs_cuts_grbv2!B:B,proc_v2!C85,benchmark_gurobi_vs_cuts_grbv2!D:D,proc_v2!D85)</f>
        <v>#DIV/0!</v>
      </c>
      <c r="P85" s="3" t="e">
        <f>AVERAGEIFS(benchmark_gurobi_vs_cuts_grbv2!Y:Y,benchmark_gurobi_vs_cuts_grbv2!A:A,proc_v2!A85,benchmark_gurobi_vs_cuts_grbv2!C:C,proc_v2!B85,benchmark_gurobi_vs_cuts_grbv2!B:B,proc_v2!C85,benchmark_gurobi_vs_cuts_grbv2!D:D,proc_v2!D85)</f>
        <v>#DIV/0!</v>
      </c>
      <c r="Q85" s="2" t="e">
        <f>AVERAGEIFS(benchmark_gurobi_vs_cuts_grbv2!Z:Z,benchmark_gurobi_vs_cuts_grbv2!A:A,proc_v2!A85,benchmark_gurobi_vs_cuts_grbv2!C:C,proc_v2!B85,benchmark_gurobi_vs_cuts_grbv2!B:B,proc_v2!C85,benchmark_gurobi_vs_cuts_grbv2!D:D,proc_v2!D85)</f>
        <v>#DIV/0!</v>
      </c>
      <c r="R85" s="3" t="e">
        <f>AVERAGEIFS(benchmark_gurobi_vs_cuts_grbv2!AA:AA,benchmark_gurobi_vs_cuts_grbv2!A:A,proc_v2!A85,benchmark_gurobi_vs_cuts_grbv2!C:C,proc_v2!B85,benchmark_gurobi_vs_cuts_grbv2!B:B,proc_v2!C85,benchmark_gurobi_vs_cuts_grbv2!D:D,proc_v2!D85)</f>
        <v>#DIV/0!</v>
      </c>
      <c r="Y85" t="e">
        <f t="shared" si="15"/>
        <v>#DIV/0!</v>
      </c>
    </row>
    <row r="86" spans="1:25" x14ac:dyDescent="0.2">
      <c r="L86" s="2"/>
    </row>
    <row r="87" spans="1:25" x14ac:dyDescent="0.2">
      <c r="A87" s="4">
        <v>10</v>
      </c>
      <c r="B87" s="4">
        <v>0.1</v>
      </c>
      <c r="C87" s="4">
        <v>3</v>
      </c>
      <c r="D87" s="4">
        <v>100</v>
      </c>
      <c r="E87">
        <f>MIN(20, COUNTIFS(benchmark_gurobi_vs_cuts_grbv2!A:A,proc_v2!A87,benchmark_gurobi_vs_cuts_grbv2!C:C,proc_v2!B87,benchmark_gurobi_vs_cuts_grbv2!B:B,proc_v2!C87,benchmark_gurobi_vs_cuts_grbv2!D:D,proc_v2!D87))</f>
        <v>20</v>
      </c>
      <c r="L87" s="2">
        <f>AVERAGEIFS(benchmark_gurobi_vs_cuts_grbv2!H:H,benchmark_gurobi_vs_cuts_grbv2!A:A,proc_v2!A87,benchmark_gurobi_vs_cuts_grbv2!C:C,proc_v2!B87,benchmark_gurobi_vs_cuts_grbv2!B:B,proc_v2!C87,benchmark_gurobi_vs_cuts_grbv2!D:D,proc_v2!D87)</f>
        <v>0.96710453600059165</v>
      </c>
      <c r="N87" s="2">
        <f>AVERAGEIFS(benchmark_gurobi_vs_cuts_grbv2!V:V,benchmark_gurobi_vs_cuts_grbv2!A:A,proc_v2!A87,benchmark_gurobi_vs_cuts_grbv2!C:C,proc_v2!B87,benchmark_gurobi_vs_cuts_grbv2!B:B,proc_v2!C87,benchmark_gurobi_vs_cuts_grbv2!D:D,proc_v2!D87)</f>
        <v>0.97912381987491437</v>
      </c>
      <c r="O87" s="3">
        <f>AVERAGEIFS(benchmark_gurobi_vs_cuts_grbv2!X:X,benchmark_gurobi_vs_cuts_grbv2!A:A,proc_v2!A87,benchmark_gurobi_vs_cuts_grbv2!C:C,proc_v2!B87,benchmark_gurobi_vs_cuts_grbv2!B:B,proc_v2!C87,benchmark_gurobi_vs_cuts_grbv2!D:D,proc_v2!D87)</f>
        <v>842.66896078242428</v>
      </c>
      <c r="P87" s="3">
        <f>AVERAGEIFS(benchmark_gurobi_vs_cuts_grbv2!Y:Y,benchmark_gurobi_vs_cuts_grbv2!A:A,proc_v2!A87,benchmark_gurobi_vs_cuts_grbv2!C:C,proc_v2!B87,benchmark_gurobi_vs_cuts_grbv2!B:B,proc_v2!C87,benchmark_gurobi_vs_cuts_grbv2!D:D,proc_v2!D87)</f>
        <v>20695.060606060608</v>
      </c>
      <c r="Q87" s="2">
        <f>AVERAGEIFS(benchmark_gurobi_vs_cuts_grbv2!Z:Z,benchmark_gurobi_vs_cuts_grbv2!A:A,proc_v2!A87,benchmark_gurobi_vs_cuts_grbv2!C:C,proc_v2!B87,benchmark_gurobi_vs_cuts_grbv2!B:B,proc_v2!C87,benchmark_gurobi_vs_cuts_grbv2!D:D,proc_v2!D87)</f>
        <v>2.3721998106918901E-3</v>
      </c>
      <c r="R87" s="3">
        <f>AVERAGEIFS(benchmark_gurobi_vs_cuts_grbv2!AA:AA,benchmark_gurobi_vs_cuts_grbv2!A:A,proc_v2!A87,benchmark_gurobi_vs_cuts_grbv2!C:C,proc_v2!B87,benchmark_gurobi_vs_cuts_grbv2!B:B,proc_v2!C87,benchmark_gurobi_vs_cuts_grbv2!D:D,proc_v2!D87)</f>
        <v>1.7878787878787878</v>
      </c>
      <c r="Y87" t="str">
        <f>CONCATENATE("$", A87, "$ &amp; $", B87, "$ &amp; $", D87, "/p$ &amp; $", 100*ROUND(T87,4), "\%$ &amp; $", ROUND(U87,2), "$ &amp; $", ROUND(V87,0), "$ &amp; $", 100*ROUND(W87,4), "\%$ &amp; $", 100*ROUND(F87,4), "\%$ &amp; $", ROUND(G87,2), "$ &amp; $", ROUND(H87,0), "$ &amp; $", 100*ROUND(I87,4), "\%$ &amp; $", ROUND(J87,1), "$ &amp; $",100*ROUND(N87,4), "\%$ &amp; $", ROUND(O87,2), "$ &amp; $", ROUND(P87,0), "$ &amp; $", 100*ROUND(Q87,4), "\%$ &amp; $", ROUND(R87,1), "$\\")</f>
        <v>$10$ &amp; $0.1$ &amp; $100/p$ &amp; $0\%$ &amp; $0$ &amp; $0$ &amp; $0\%$ &amp; $0\%$ &amp; $0$ &amp; $0$ &amp; $0\%$ &amp; $0$ &amp; $97.91\%$ &amp; $842.67$ &amp; $20695$ &amp; $0.24\%$ &amp; $1.8$\\</v>
      </c>
    </row>
    <row r="88" spans="1:25" x14ac:dyDescent="0.2">
      <c r="A88" s="4">
        <v>10</v>
      </c>
      <c r="B88" s="4">
        <v>0.2</v>
      </c>
      <c r="C88" s="4">
        <v>3</v>
      </c>
      <c r="D88" s="4">
        <v>100</v>
      </c>
      <c r="E88">
        <f>MIN(20, COUNTIFS(benchmark_gurobi_vs_cuts_grbv2!A:A,proc_v2!A88,benchmark_gurobi_vs_cuts_grbv2!C:C,proc_v2!B88,benchmark_gurobi_vs_cuts_grbv2!B:B,proc_v2!C88,benchmark_gurobi_vs_cuts_grbv2!D:D,proc_v2!D88))</f>
        <v>20</v>
      </c>
      <c r="L88" s="2">
        <f>AVERAGEIFS(benchmark_gurobi_vs_cuts_grbv2!H:H,benchmark_gurobi_vs_cuts_grbv2!A:A,proc_v2!A88,benchmark_gurobi_vs_cuts_grbv2!C:C,proc_v2!B88,benchmark_gurobi_vs_cuts_grbv2!B:B,proc_v2!C88,benchmark_gurobi_vs_cuts_grbv2!D:D,proc_v2!D88)</f>
        <v>0.93601997561754668</v>
      </c>
      <c r="N88" s="2">
        <f>AVERAGEIFS(benchmark_gurobi_vs_cuts_grbv2!V:V,benchmark_gurobi_vs_cuts_grbv2!A:A,proc_v2!A88,benchmark_gurobi_vs_cuts_grbv2!C:C,proc_v2!B88,benchmark_gurobi_vs_cuts_grbv2!B:B,proc_v2!C88,benchmark_gurobi_vs_cuts_grbv2!D:D,proc_v2!D88)</f>
        <v>0.94726405953284942</v>
      </c>
      <c r="O88" s="3">
        <f>AVERAGEIFS(benchmark_gurobi_vs_cuts_grbv2!X:X,benchmark_gurobi_vs_cuts_grbv2!A:A,proc_v2!A88,benchmark_gurobi_vs_cuts_grbv2!C:C,proc_v2!B88,benchmark_gurobi_vs_cuts_grbv2!B:B,proc_v2!C88,benchmark_gurobi_vs_cuts_grbv2!D:D,proc_v2!D88)</f>
        <v>57531.950250760696</v>
      </c>
      <c r="P88" s="3">
        <f>AVERAGEIFS(benchmark_gurobi_vs_cuts_grbv2!Y:Y,benchmark_gurobi_vs_cuts_grbv2!A:A,proc_v2!A88,benchmark_gurobi_vs_cuts_grbv2!C:C,proc_v2!B88,benchmark_gurobi_vs_cuts_grbv2!B:B,proc_v2!C88,benchmark_gurobi_vs_cuts_grbv2!D:D,proc_v2!D88)</f>
        <v>36911.34375</v>
      </c>
      <c r="Q88" s="2">
        <f>AVERAGEIFS(benchmark_gurobi_vs_cuts_grbv2!Z:Z,benchmark_gurobi_vs_cuts_grbv2!A:A,proc_v2!A88,benchmark_gurobi_vs_cuts_grbv2!C:C,proc_v2!B88,benchmark_gurobi_vs_cuts_grbv2!B:B,proc_v2!C88,benchmark_gurobi_vs_cuts_grbv2!D:D,proc_v2!D88)</f>
        <v>1.2423824081714472E-2</v>
      </c>
      <c r="R88" s="3">
        <f>AVERAGEIFS(benchmark_gurobi_vs_cuts_grbv2!AA:AA,benchmark_gurobi_vs_cuts_grbv2!A:A,proc_v2!A88,benchmark_gurobi_vs_cuts_grbv2!C:C,proc_v2!B88,benchmark_gurobi_vs_cuts_grbv2!B:B,proc_v2!C88,benchmark_gurobi_vs_cuts_grbv2!D:D,proc_v2!D88)</f>
        <v>10.71875</v>
      </c>
      <c r="Y88" t="str">
        <f t="shared" ref="Y88:Y89" si="16">CONCATENATE("$", A88, "$ &amp; $", B88, "$ &amp; $", D88, "/p$ &amp; $", 100*ROUND(T88,4), "\%$ &amp; $", ROUND(U88,2), "$ &amp; $", ROUND(V88,0), "$ &amp; $", 100*ROUND(W88,4), "\%$ &amp; $", 100*ROUND(F88,4), "\%$ &amp; $", ROUND(G88,2), "$ &amp; $", ROUND(H88,0), "$ &amp; $", 100*ROUND(I88,4), "\%$ &amp; $", ROUND(J88,1), "$ &amp; $",100*ROUND(N88,4), "\%$ &amp; $", ROUND(O88,2), "$ &amp; $", ROUND(P88,0), "$ &amp; $", 100*ROUND(Q88,4), "\%$ &amp; $", ROUND(R88,1), "$\\")</f>
        <v>$10$ &amp; $0.2$ &amp; $100/p$ &amp; $0\%$ &amp; $0$ &amp; $0$ &amp; $0\%$ &amp; $0\%$ &amp; $0$ &amp; $0$ &amp; $0\%$ &amp; $0$ &amp; $94.73\%$ &amp; $57531.95$ &amp; $36911$ &amp; $1.24\%$ &amp; $10.7$\\</v>
      </c>
    </row>
    <row r="89" spans="1:25" x14ac:dyDescent="0.2">
      <c r="A89" s="4">
        <v>10</v>
      </c>
      <c r="B89" s="4">
        <v>0.3</v>
      </c>
      <c r="C89" s="4">
        <v>3</v>
      </c>
      <c r="D89" s="4">
        <v>100</v>
      </c>
      <c r="E89">
        <f>MIN(20, COUNTIFS(benchmark_gurobi_vs_cuts_grbv2!A:A,proc_v2!A89,benchmark_gurobi_vs_cuts_grbv2!C:C,proc_v2!B89,benchmark_gurobi_vs_cuts_grbv2!B:B,proc_v2!C89,benchmark_gurobi_vs_cuts_grbv2!D:D,proc_v2!D89))</f>
        <v>20</v>
      </c>
      <c r="L89" s="2">
        <f>AVERAGEIFS(benchmark_gurobi_vs_cuts_grbv2!H:H,benchmark_gurobi_vs_cuts_grbv2!A:A,proc_v2!A89,benchmark_gurobi_vs_cuts_grbv2!C:C,proc_v2!B89,benchmark_gurobi_vs_cuts_grbv2!B:B,proc_v2!C89,benchmark_gurobi_vs_cuts_grbv2!D:D,proc_v2!D89)</f>
        <v>0.84652911765531347</v>
      </c>
      <c r="N89" s="2">
        <f>AVERAGEIFS(benchmark_gurobi_vs_cuts_grbv2!V:V,benchmark_gurobi_vs_cuts_grbv2!A:A,proc_v2!A89,benchmark_gurobi_vs_cuts_grbv2!C:C,proc_v2!B89,benchmark_gurobi_vs_cuts_grbv2!B:B,proc_v2!C89,benchmark_gurobi_vs_cuts_grbv2!D:D,proc_v2!D89)</f>
        <v>0.84709194503741114</v>
      </c>
      <c r="O89" s="3">
        <f>AVERAGEIFS(benchmark_gurobi_vs_cuts_grbv2!X:X,benchmark_gurobi_vs_cuts_grbv2!A:A,proc_v2!A89,benchmark_gurobi_vs_cuts_grbv2!C:C,proc_v2!B89,benchmark_gurobi_vs_cuts_grbv2!B:B,proc_v2!C89,benchmark_gurobi_vs_cuts_grbv2!D:D,proc_v2!D89)</f>
        <v>249732.03079478975</v>
      </c>
      <c r="P89" s="3">
        <f>AVERAGEIFS(benchmark_gurobi_vs_cuts_grbv2!Y:Y,benchmark_gurobi_vs_cuts_grbv2!A:A,proc_v2!A89,benchmark_gurobi_vs_cuts_grbv2!C:C,proc_v2!B89,benchmark_gurobi_vs_cuts_grbv2!B:B,proc_v2!C89,benchmark_gurobi_vs_cuts_grbv2!D:D,proc_v2!D89)</f>
        <v>35535.78787878788</v>
      </c>
      <c r="Q89" s="2">
        <f>AVERAGEIFS(benchmark_gurobi_vs_cuts_grbv2!Z:Z,benchmark_gurobi_vs_cuts_grbv2!A:A,proc_v2!A89,benchmark_gurobi_vs_cuts_grbv2!C:C,proc_v2!B89,benchmark_gurobi_vs_cuts_grbv2!B:B,proc_v2!C89,benchmark_gurobi_vs_cuts_grbv2!D:D,proc_v2!D89)</f>
        <v>4.9901364000061219E-2</v>
      </c>
      <c r="R89" s="3">
        <f>AVERAGEIFS(benchmark_gurobi_vs_cuts_grbv2!AA:AA,benchmark_gurobi_vs_cuts_grbv2!A:A,proc_v2!A89,benchmark_gurobi_vs_cuts_grbv2!C:C,proc_v2!B89,benchmark_gurobi_vs_cuts_grbv2!B:B,proc_v2!C89,benchmark_gurobi_vs_cuts_grbv2!D:D,proc_v2!D89)</f>
        <v>42.242424242424242</v>
      </c>
      <c r="Y89" t="str">
        <f t="shared" si="16"/>
        <v>$10$ &amp; $0.3$ &amp; $100/p$ &amp; $0\%$ &amp; $0$ &amp; $0$ &amp; $0\%$ &amp; $0\%$ &amp; $0$ &amp; $0$ &amp; $0\%$ &amp; $0$ &amp; $84.71\%$ &amp; $249732.03$ &amp; $35536$ &amp; $4.99\%$ &amp; $42.2$\\</v>
      </c>
    </row>
    <row r="90" spans="1:25" x14ac:dyDescent="0.2">
      <c r="A90" s="4"/>
      <c r="B90" s="4"/>
      <c r="C90" s="4"/>
      <c r="D90" s="4"/>
      <c r="L90" s="2"/>
    </row>
    <row r="91" spans="1:25" x14ac:dyDescent="0.2">
      <c r="A91" s="4">
        <v>20</v>
      </c>
      <c r="B91" s="4">
        <v>0.1</v>
      </c>
      <c r="C91" s="4">
        <v>3</v>
      </c>
      <c r="D91" s="4">
        <v>100</v>
      </c>
      <c r="E91">
        <f>MIN(20, COUNTIFS(benchmark_gurobi_vs_cuts_grbv2!A:A,proc_v2!A91,benchmark_gurobi_vs_cuts_grbv2!C:C,proc_v2!B91,benchmark_gurobi_vs_cuts_grbv2!B:B,proc_v2!C91,benchmark_gurobi_vs_cuts_grbv2!D:D,proc_v2!D91))</f>
        <v>20</v>
      </c>
      <c r="L91" s="2">
        <f>AVERAGEIFS(benchmark_gurobi_vs_cuts_grbv2!H:H,benchmark_gurobi_vs_cuts_grbv2!A:A,proc_v2!A91,benchmark_gurobi_vs_cuts_grbv2!C:C,proc_v2!B91,benchmark_gurobi_vs_cuts_grbv2!B:B,proc_v2!C91,benchmark_gurobi_vs_cuts_grbv2!D:D,proc_v2!D91)</f>
        <v>0.98769769147890918</v>
      </c>
      <c r="N91" s="2">
        <f>AVERAGEIFS(benchmark_gurobi_vs_cuts_grbv2!V:V,benchmark_gurobi_vs_cuts_grbv2!A:A,proc_v2!A91,benchmark_gurobi_vs_cuts_grbv2!C:C,proc_v2!B91,benchmark_gurobi_vs_cuts_grbv2!B:B,proc_v2!C91,benchmark_gurobi_vs_cuts_grbv2!D:D,proc_v2!D91)</f>
        <v>1.0008224471107505</v>
      </c>
      <c r="O91" s="3">
        <f>AVERAGEIFS(benchmark_gurobi_vs_cuts_grbv2!X:X,benchmark_gurobi_vs_cuts_grbv2!A:A,proc_v2!A91,benchmark_gurobi_vs_cuts_grbv2!C:C,proc_v2!B91,benchmark_gurobi_vs_cuts_grbv2!B:B,proc_v2!C91,benchmark_gurobi_vs_cuts_grbv2!D:D,proc_v2!D91)</f>
        <v>171863.5855507018</v>
      </c>
      <c r="P91" s="3">
        <f>AVERAGEIFS(benchmark_gurobi_vs_cuts_grbv2!Y:Y,benchmark_gurobi_vs_cuts_grbv2!A:A,proc_v2!A91,benchmark_gurobi_vs_cuts_grbv2!C:C,proc_v2!B91,benchmark_gurobi_vs_cuts_grbv2!B:B,proc_v2!C91,benchmark_gurobi_vs_cuts_grbv2!D:D,proc_v2!D91)</f>
        <v>2347.7142857142858</v>
      </c>
      <c r="Q91" s="2">
        <f>AVERAGEIFS(benchmark_gurobi_vs_cuts_grbv2!Z:Z,benchmark_gurobi_vs_cuts_grbv2!A:A,proc_v2!A91,benchmark_gurobi_vs_cuts_grbv2!C:C,proc_v2!B91,benchmark_gurobi_vs_cuts_grbv2!B:B,proc_v2!C91,benchmark_gurobi_vs_cuts_grbv2!D:D,proc_v2!D91)</f>
        <v>1.3131544843467508E-2</v>
      </c>
      <c r="R91" s="3">
        <f>AVERAGEIFS(benchmark_gurobi_vs_cuts_grbv2!AA:AA,benchmark_gurobi_vs_cuts_grbv2!A:A,proc_v2!A91,benchmark_gurobi_vs_cuts_grbv2!C:C,proc_v2!B91,benchmark_gurobi_vs_cuts_grbv2!B:B,proc_v2!C91,benchmark_gurobi_vs_cuts_grbv2!D:D,proc_v2!D91)</f>
        <v>29.761904761904763</v>
      </c>
      <c r="Y91" t="str">
        <f t="shared" ref="Y91:Y93" si="17">CONCATENATE("$", A91, "$ &amp; $", B91, "$ &amp; $", D91, "/p$ &amp; $", 100*ROUND(T91,4), "\%$ &amp; $", ROUND(U91,2), "$ &amp; $", ROUND(V91,0), "$ &amp; $", 100*ROUND(W91,4), "\%$ &amp; $", 100*ROUND(F91,4), "\%$ &amp; $", ROUND(G91,2), "$ &amp; $", ROUND(H91,0), "$ &amp; $", 100*ROUND(I91,4), "\%$ &amp; $", ROUND(J91,1), "$ &amp; $",100*ROUND(N91,4), "\%$ &amp; $", ROUND(O91,2), "$ &amp; $", ROUND(P91,0), "$ &amp; $", 100*ROUND(Q91,4), "\%$ &amp; $", ROUND(R91,1), "$\\")</f>
        <v>$20$ &amp; $0.1$ &amp; $100/p$ &amp; $0\%$ &amp; $0$ &amp; $0$ &amp; $0\%$ &amp; $0\%$ &amp; $0$ &amp; $0$ &amp; $0\%$ &amp; $0$ &amp; $100.08\%$ &amp; $171863.59$ &amp; $2348$ &amp; $1.31\%$ &amp; $29.8$\\</v>
      </c>
    </row>
    <row r="92" spans="1:25" x14ac:dyDescent="0.2">
      <c r="A92" s="4">
        <v>20</v>
      </c>
      <c r="B92" s="4">
        <v>0.2</v>
      </c>
      <c r="C92" s="4">
        <v>3</v>
      </c>
      <c r="D92" s="4">
        <v>100</v>
      </c>
      <c r="E92">
        <f>MIN(20, COUNTIFS(benchmark_gurobi_vs_cuts_grbv2!A:A,proc_v2!A92,benchmark_gurobi_vs_cuts_grbv2!C:C,proc_v2!B92,benchmark_gurobi_vs_cuts_grbv2!B:B,proc_v2!C92,benchmark_gurobi_vs_cuts_grbv2!D:D,proc_v2!D92))</f>
        <v>12</v>
      </c>
      <c r="L92" s="2">
        <f>AVERAGEIFS(benchmark_gurobi_vs_cuts_grbv2!H:H,benchmark_gurobi_vs_cuts_grbv2!A:A,proc_v2!A92,benchmark_gurobi_vs_cuts_grbv2!C:C,proc_v2!B92,benchmark_gurobi_vs_cuts_grbv2!B:B,proc_v2!C92,benchmark_gurobi_vs_cuts_grbv2!D:D,proc_v2!D92)</f>
        <v>0.91955858651422651</v>
      </c>
      <c r="N92" s="2">
        <f>AVERAGEIFS(benchmark_gurobi_vs_cuts_grbv2!V:V,benchmark_gurobi_vs_cuts_grbv2!A:A,proc_v2!A92,benchmark_gurobi_vs_cuts_grbv2!C:C,proc_v2!B92,benchmark_gurobi_vs_cuts_grbv2!B:B,proc_v2!C92,benchmark_gurobi_vs_cuts_grbv2!D:D,proc_v2!D92)</f>
        <v>0.92176148538614566</v>
      </c>
      <c r="O92" s="3">
        <f>AVERAGEIFS(benchmark_gurobi_vs_cuts_grbv2!X:X,benchmark_gurobi_vs_cuts_grbv2!A:A,proc_v2!A92,benchmark_gurobi_vs_cuts_grbv2!C:C,proc_v2!B92,benchmark_gurobi_vs_cuts_grbv2!B:B,proc_v2!C92,benchmark_gurobi_vs_cuts_grbv2!D:D,proc_v2!D92)</f>
        <v>298777.02742112259</v>
      </c>
      <c r="P92" s="3">
        <f>AVERAGEIFS(benchmark_gurobi_vs_cuts_grbv2!Y:Y,benchmark_gurobi_vs_cuts_grbv2!A:A,proc_v2!A92,benchmark_gurobi_vs_cuts_grbv2!C:C,proc_v2!B92,benchmark_gurobi_vs_cuts_grbv2!B:B,proc_v2!C92,benchmark_gurobi_vs_cuts_grbv2!D:D,proc_v2!D92)</f>
        <v>221.41666666666666</v>
      </c>
      <c r="Q92" s="2">
        <f>AVERAGEIFS(benchmark_gurobi_vs_cuts_grbv2!Z:Z,benchmark_gurobi_vs_cuts_grbv2!A:A,proc_v2!A92,benchmark_gurobi_vs_cuts_grbv2!C:C,proc_v2!B92,benchmark_gurobi_vs_cuts_grbv2!B:B,proc_v2!C92,benchmark_gurobi_vs_cuts_grbv2!D:D,proc_v2!D92)</f>
        <v>0.12279741674573831</v>
      </c>
      <c r="R92" s="3">
        <f>AVERAGEIFS(benchmark_gurobi_vs_cuts_grbv2!AA:AA,benchmark_gurobi_vs_cuts_grbv2!A:A,proc_v2!A92,benchmark_gurobi_vs_cuts_grbv2!C:C,proc_v2!B92,benchmark_gurobi_vs_cuts_grbv2!B:B,proc_v2!C92,benchmark_gurobi_vs_cuts_grbv2!D:D,proc_v2!D92)</f>
        <v>50</v>
      </c>
      <c r="Y92" t="str">
        <f t="shared" si="17"/>
        <v>$20$ &amp; $0.2$ &amp; $100/p$ &amp; $0\%$ &amp; $0$ &amp; $0$ &amp; $0\%$ &amp; $0\%$ &amp; $0$ &amp; $0$ &amp; $0\%$ &amp; $0$ &amp; $92.18\%$ &amp; $298777.03$ &amp; $221$ &amp; $12.28\%$ &amp; $50$\\</v>
      </c>
    </row>
    <row r="93" spans="1:25" x14ac:dyDescent="0.2">
      <c r="A93" s="4">
        <v>20</v>
      </c>
      <c r="B93" s="4">
        <v>0.3</v>
      </c>
      <c r="C93" s="4">
        <v>3</v>
      </c>
      <c r="D93" s="4">
        <v>100</v>
      </c>
      <c r="E93">
        <f>MIN(20, COUNTIFS(benchmark_gurobi_vs_cuts_grbv2!A:A,proc_v2!A93,benchmark_gurobi_vs_cuts_grbv2!C:C,proc_v2!B93,benchmark_gurobi_vs_cuts_grbv2!B:B,proc_v2!C93,benchmark_gurobi_vs_cuts_grbv2!D:D,proc_v2!D93))</f>
        <v>13</v>
      </c>
      <c r="L93" s="2">
        <f>AVERAGEIFS(benchmark_gurobi_vs_cuts_grbv2!H:H,benchmark_gurobi_vs_cuts_grbv2!A:A,proc_v2!A93,benchmark_gurobi_vs_cuts_grbv2!C:C,proc_v2!B93,benchmark_gurobi_vs_cuts_grbv2!B:B,proc_v2!C93,benchmark_gurobi_vs_cuts_grbv2!D:D,proc_v2!D93)</f>
        <v>0.48280369234069009</v>
      </c>
      <c r="N93" s="2">
        <f>AVERAGEIFS(benchmark_gurobi_vs_cuts_grbv2!V:V,benchmark_gurobi_vs_cuts_grbv2!A:A,proc_v2!A93,benchmark_gurobi_vs_cuts_grbv2!C:C,proc_v2!B93,benchmark_gurobi_vs_cuts_grbv2!B:B,proc_v2!C93,benchmark_gurobi_vs_cuts_grbv2!D:D,proc_v2!D93)</f>
        <v>0.48569816460559551</v>
      </c>
      <c r="O93" s="3">
        <f>AVERAGEIFS(benchmark_gurobi_vs_cuts_grbv2!X:X,benchmark_gurobi_vs_cuts_grbv2!A:A,proc_v2!A93,benchmark_gurobi_vs_cuts_grbv2!C:C,proc_v2!B93,benchmark_gurobi_vs_cuts_grbv2!B:B,proc_v2!C93,benchmark_gurobi_vs_cuts_grbv2!D:D,proc_v2!D93)</f>
        <v>293517.38103060832</v>
      </c>
      <c r="P93" s="3">
        <f>AVERAGEIFS(benchmark_gurobi_vs_cuts_grbv2!Y:Y,benchmark_gurobi_vs_cuts_grbv2!A:A,proc_v2!A93,benchmark_gurobi_vs_cuts_grbv2!C:C,proc_v2!B93,benchmark_gurobi_vs_cuts_grbv2!B:B,proc_v2!C93,benchmark_gurobi_vs_cuts_grbv2!D:D,proc_v2!D93)</f>
        <v>43</v>
      </c>
      <c r="Q93" s="2">
        <f>AVERAGEIFS(benchmark_gurobi_vs_cuts_grbv2!Z:Z,benchmark_gurobi_vs_cuts_grbv2!A:A,proc_v2!A93,benchmark_gurobi_vs_cuts_grbv2!C:C,proc_v2!B93,benchmark_gurobi_vs_cuts_grbv2!B:B,proc_v2!C93,benchmark_gurobi_vs_cuts_grbv2!D:D,proc_v2!D93)</f>
        <v>0.65917618798542676</v>
      </c>
      <c r="R93" s="3">
        <f>AVERAGEIFS(benchmark_gurobi_vs_cuts_grbv2!AA:AA,benchmark_gurobi_vs_cuts_grbv2!A:A,proc_v2!A93,benchmark_gurobi_vs_cuts_grbv2!C:C,proc_v2!B93,benchmark_gurobi_vs_cuts_grbv2!B:B,proc_v2!C93,benchmark_gurobi_vs_cuts_grbv2!D:D,proc_v2!D93)</f>
        <v>50</v>
      </c>
      <c r="Y93" t="str">
        <f t="shared" si="17"/>
        <v>$20$ &amp; $0.3$ &amp; $100/p$ &amp; $0\%$ &amp; $0$ &amp; $0$ &amp; $0\%$ &amp; $0\%$ &amp; $0$ &amp; $0$ &amp; $0\%$ &amp; $0$ &amp; $48.57\%$ &amp; $293517.38$ &amp; $43$ &amp; $65.92\%$ &amp; $50$\\</v>
      </c>
    </row>
    <row r="94" spans="1:25" x14ac:dyDescent="0.2">
      <c r="A94" s="4"/>
      <c r="B94" s="4"/>
      <c r="C94" s="4"/>
      <c r="D94" s="4"/>
      <c r="L94" s="2"/>
    </row>
    <row r="95" spans="1:25" x14ac:dyDescent="0.2">
      <c r="A95" s="4">
        <v>30</v>
      </c>
      <c r="B95" s="4">
        <v>0.1</v>
      </c>
      <c r="C95" s="4">
        <v>3</v>
      </c>
      <c r="D95" s="4">
        <v>100</v>
      </c>
      <c r="E95">
        <f>MIN(20, COUNTIFS(benchmark_gurobi_vs_cuts_grbv2!A:A,proc_v2!A95,benchmark_gurobi_vs_cuts_grbv2!C:C,proc_v2!B95,benchmark_gurobi_vs_cuts_grbv2!B:B,proc_v2!C95,benchmark_gurobi_vs_cuts_grbv2!D:D,proc_v2!D95))</f>
        <v>20</v>
      </c>
      <c r="L95" s="2">
        <f>AVERAGEIFS(benchmark_gurobi_vs_cuts_grbv2!H:H,benchmark_gurobi_vs_cuts_grbv2!A:A,proc_v2!A95,benchmark_gurobi_vs_cuts_grbv2!C:C,proc_v2!B95,benchmark_gurobi_vs_cuts_grbv2!B:B,proc_v2!C95,benchmark_gurobi_vs_cuts_grbv2!D:D,proc_v2!D95)</f>
        <v>0.99514099241963261</v>
      </c>
      <c r="N95" s="2">
        <f>AVERAGEIFS(benchmark_gurobi_vs_cuts_grbv2!V:V,benchmark_gurobi_vs_cuts_grbv2!A:A,proc_v2!A95,benchmark_gurobi_vs_cuts_grbv2!C:C,proc_v2!B95,benchmark_gurobi_vs_cuts_grbv2!B:B,proc_v2!C95,benchmark_gurobi_vs_cuts_grbv2!D:D,proc_v2!D95)</f>
        <v>0.99582936055561666</v>
      </c>
      <c r="O95" s="3">
        <f>AVERAGEIFS(benchmark_gurobi_vs_cuts_grbv2!X:X,benchmark_gurobi_vs_cuts_grbv2!A:A,proc_v2!A95,benchmark_gurobi_vs_cuts_grbv2!C:C,proc_v2!B95,benchmark_gurobi_vs_cuts_grbv2!B:B,proc_v2!C95,benchmark_gurobi_vs_cuts_grbv2!D:D,proc_v2!D95)</f>
        <v>305034.86821483303</v>
      </c>
      <c r="P95" s="3">
        <f>AVERAGEIFS(benchmark_gurobi_vs_cuts_grbv2!Y:Y,benchmark_gurobi_vs_cuts_grbv2!A:A,proc_v2!A95,benchmark_gurobi_vs_cuts_grbv2!C:C,proc_v2!B95,benchmark_gurobi_vs_cuts_grbv2!B:B,proc_v2!C95,benchmark_gurobi_vs_cuts_grbv2!D:D,proc_v2!D95)</f>
        <v>1.9</v>
      </c>
      <c r="Q95" s="2">
        <f>AVERAGEIFS(benchmark_gurobi_vs_cuts_grbv2!Z:Z,benchmark_gurobi_vs_cuts_grbv2!A:A,proc_v2!A95,benchmark_gurobi_vs_cuts_grbv2!C:C,proc_v2!B95,benchmark_gurobi_vs_cuts_grbv2!B:B,proc_v2!C95,benchmark_gurobi_vs_cuts_grbv2!D:D,proc_v2!D95)</f>
        <v>9.6669816659900473E-2</v>
      </c>
      <c r="R95" s="3">
        <f>AVERAGEIFS(benchmark_gurobi_vs_cuts_grbv2!AA:AA,benchmark_gurobi_vs_cuts_grbv2!A:A,proc_v2!A95,benchmark_gurobi_vs_cuts_grbv2!C:C,proc_v2!B95,benchmark_gurobi_vs_cuts_grbv2!B:B,proc_v2!C95,benchmark_gurobi_vs_cuts_grbv2!D:D,proc_v2!D95)</f>
        <v>50</v>
      </c>
      <c r="Y95" t="str">
        <f t="shared" ref="Y95:Y97" si="18">CONCATENATE("$", A95, "$ &amp; $", B95, "$ &amp; $", D95, "/p$ &amp; $", 100*ROUND(T95,4), "\%$ &amp; $", ROUND(U95,2), "$ &amp; $", ROUND(V95,0), "$ &amp; $", 100*ROUND(W95,4), "\%$ &amp; $", 100*ROUND(F95,4), "\%$ &amp; $", ROUND(G95,2), "$ &amp; $", ROUND(H95,0), "$ &amp; $", 100*ROUND(I95,4), "\%$ &amp; $", ROUND(J95,1), "$ &amp; $",100*ROUND(N95,4), "\%$ &amp; $", ROUND(O95,2), "$ &amp; $", ROUND(P95,0), "$ &amp; $", 100*ROUND(Q95,4), "\%$ &amp; $", ROUND(R95,1), "$\\")</f>
        <v>$30$ &amp; $0.1$ &amp; $100/p$ &amp; $0\%$ &amp; $0$ &amp; $0$ &amp; $0\%$ &amp; $0\%$ &amp; $0$ &amp; $0$ &amp; $0\%$ &amp; $0$ &amp; $99.58\%$ &amp; $305034.87$ &amp; $2$ &amp; $9.67\%$ &amp; $50$\\</v>
      </c>
    </row>
    <row r="96" spans="1:25" x14ac:dyDescent="0.2">
      <c r="A96" s="4">
        <v>30</v>
      </c>
      <c r="B96" s="4">
        <v>0.2</v>
      </c>
      <c r="C96" s="4">
        <v>3</v>
      </c>
      <c r="D96" s="4">
        <v>100</v>
      </c>
      <c r="E96">
        <f>MIN(20, COUNTIFS(benchmark_gurobi_vs_cuts_grbv2!A:A,proc_v2!A96,benchmark_gurobi_vs_cuts_grbv2!C:C,proc_v2!B96,benchmark_gurobi_vs_cuts_grbv2!B:B,proc_v2!C96,benchmark_gurobi_vs_cuts_grbv2!D:D,proc_v2!D96))</f>
        <v>20</v>
      </c>
      <c r="L96" s="2">
        <f>AVERAGEIFS(benchmark_gurobi_vs_cuts_grbv2!H:H,benchmark_gurobi_vs_cuts_grbv2!A:A,proc_v2!A96,benchmark_gurobi_vs_cuts_grbv2!C:C,proc_v2!B96,benchmark_gurobi_vs_cuts_grbv2!B:B,proc_v2!C96,benchmark_gurobi_vs_cuts_grbv2!D:D,proc_v2!D96)</f>
        <v>0.462811371641073</v>
      </c>
      <c r="N96" s="2">
        <f>AVERAGEIFS(benchmark_gurobi_vs_cuts_grbv2!V:V,benchmark_gurobi_vs_cuts_grbv2!A:A,proc_v2!A96,benchmark_gurobi_vs_cuts_grbv2!C:C,proc_v2!B96,benchmark_gurobi_vs_cuts_grbv2!B:B,proc_v2!C96,benchmark_gurobi_vs_cuts_grbv2!D:D,proc_v2!D96)</f>
        <v>0.46194227222758344</v>
      </c>
      <c r="O96" s="3">
        <f>AVERAGEIFS(benchmark_gurobi_vs_cuts_grbv2!X:X,benchmark_gurobi_vs_cuts_grbv2!A:A,proc_v2!A96,benchmark_gurobi_vs_cuts_grbv2!C:C,proc_v2!B96,benchmark_gurobi_vs_cuts_grbv2!B:B,proc_v2!C96,benchmark_gurobi_vs_cuts_grbv2!D:D,proc_v2!D96)</f>
        <v>302610.56531898514</v>
      </c>
      <c r="P96" s="3">
        <f>AVERAGEIFS(benchmark_gurobi_vs_cuts_grbv2!Y:Y,benchmark_gurobi_vs_cuts_grbv2!A:A,proc_v2!A96,benchmark_gurobi_vs_cuts_grbv2!C:C,proc_v2!B96,benchmark_gurobi_vs_cuts_grbv2!B:B,proc_v2!C96,benchmark_gurobi_vs_cuts_grbv2!D:D,proc_v2!D96)</f>
        <v>1</v>
      </c>
      <c r="Q96" s="2">
        <f>AVERAGEIFS(benchmark_gurobi_vs_cuts_grbv2!Z:Z,benchmark_gurobi_vs_cuts_grbv2!A:A,proc_v2!A96,benchmark_gurobi_vs_cuts_grbv2!C:C,proc_v2!B96,benchmark_gurobi_vs_cuts_grbv2!B:B,proc_v2!C96,benchmark_gurobi_vs_cuts_grbv2!D:D,proc_v2!D96)</f>
        <v>1.4185657537339382</v>
      </c>
      <c r="R96" s="3">
        <f>AVERAGEIFS(benchmark_gurobi_vs_cuts_grbv2!AA:AA,benchmark_gurobi_vs_cuts_grbv2!A:A,proc_v2!A96,benchmark_gurobi_vs_cuts_grbv2!C:C,proc_v2!B96,benchmark_gurobi_vs_cuts_grbv2!B:B,proc_v2!C96,benchmark_gurobi_vs_cuts_grbv2!D:D,proc_v2!D96)</f>
        <v>50</v>
      </c>
      <c r="Y96" t="str">
        <f t="shared" si="18"/>
        <v>$30$ &amp; $0.2$ &amp; $100/p$ &amp; $0\%$ &amp; $0$ &amp; $0$ &amp; $0\%$ &amp; $0\%$ &amp; $0$ &amp; $0$ &amp; $0\%$ &amp; $0$ &amp; $46.19\%$ &amp; $302610.57$ &amp; $1$ &amp; $141.86\%$ &amp; $50$\\</v>
      </c>
    </row>
    <row r="97" spans="1:25" x14ac:dyDescent="0.2">
      <c r="A97" s="4">
        <v>30</v>
      </c>
      <c r="B97" s="4">
        <v>0.3</v>
      </c>
      <c r="C97" s="4">
        <v>3</v>
      </c>
      <c r="D97" s="4">
        <v>100</v>
      </c>
      <c r="E97">
        <f>MIN(20, COUNTIFS(benchmark_gurobi_vs_cuts_grbv2!A:A,proc_v2!A97,benchmark_gurobi_vs_cuts_grbv2!C:C,proc_v2!B97,benchmark_gurobi_vs_cuts_grbv2!B:B,proc_v2!C97,benchmark_gurobi_vs_cuts_grbv2!D:D,proc_v2!D97))</f>
        <v>20</v>
      </c>
      <c r="L97" s="2">
        <f>AVERAGEIFS(benchmark_gurobi_vs_cuts_grbv2!H:H,benchmark_gurobi_vs_cuts_grbv2!A:A,proc_v2!A97,benchmark_gurobi_vs_cuts_grbv2!C:C,proc_v2!B97,benchmark_gurobi_vs_cuts_grbv2!B:B,proc_v2!C97,benchmark_gurobi_vs_cuts_grbv2!D:D,proc_v2!D97)</f>
        <v>0.11546027534379294</v>
      </c>
      <c r="N97" s="2">
        <f>AVERAGEIFS(benchmark_gurobi_vs_cuts_grbv2!V:V,benchmark_gurobi_vs_cuts_grbv2!A:A,proc_v2!A97,benchmark_gurobi_vs_cuts_grbv2!C:C,proc_v2!B97,benchmark_gurobi_vs_cuts_grbv2!B:B,proc_v2!C97,benchmark_gurobi_vs_cuts_grbv2!D:D,proc_v2!D97)</f>
        <v>0.10846438881069856</v>
      </c>
      <c r="O97" s="3">
        <f>AVERAGEIFS(benchmark_gurobi_vs_cuts_grbv2!X:X,benchmark_gurobi_vs_cuts_grbv2!A:A,proc_v2!A97,benchmark_gurobi_vs_cuts_grbv2!C:C,proc_v2!B97,benchmark_gurobi_vs_cuts_grbv2!B:B,proc_v2!C97,benchmark_gurobi_vs_cuts_grbv2!D:D,proc_v2!D97)</f>
        <v>304664.97869606683</v>
      </c>
      <c r="P97" s="3">
        <f>AVERAGEIFS(benchmark_gurobi_vs_cuts_grbv2!Y:Y,benchmark_gurobi_vs_cuts_grbv2!A:A,proc_v2!A97,benchmark_gurobi_vs_cuts_grbv2!C:C,proc_v2!B97,benchmark_gurobi_vs_cuts_grbv2!B:B,proc_v2!C97,benchmark_gurobi_vs_cuts_grbv2!D:D,proc_v2!D97)</f>
        <v>1</v>
      </c>
      <c r="Q97" s="2">
        <f>AVERAGEIFS(benchmark_gurobi_vs_cuts_grbv2!Z:Z,benchmark_gurobi_vs_cuts_grbv2!A:A,proc_v2!A97,benchmark_gurobi_vs_cuts_grbv2!C:C,proc_v2!B97,benchmark_gurobi_vs_cuts_grbv2!B:B,proc_v2!C97,benchmark_gurobi_vs_cuts_grbv2!D:D,proc_v2!D97)</f>
        <v>3.2209233459098985</v>
      </c>
      <c r="R97" s="3">
        <f>AVERAGEIFS(benchmark_gurobi_vs_cuts_grbv2!AA:AA,benchmark_gurobi_vs_cuts_grbv2!A:A,proc_v2!A97,benchmark_gurobi_vs_cuts_grbv2!C:C,proc_v2!B97,benchmark_gurobi_vs_cuts_grbv2!B:B,proc_v2!C97,benchmark_gurobi_vs_cuts_grbv2!D:D,proc_v2!D97)</f>
        <v>50</v>
      </c>
      <c r="Y97" t="str">
        <f t="shared" si="18"/>
        <v>$30$ &amp; $0.3$ &amp; $100/p$ &amp; $0\%$ &amp; $0$ &amp; $0$ &amp; $0\%$ &amp; $0\%$ &amp; $0$ &amp; $0$ &amp; $0\%$ &amp; $0$ &amp; $10.85\%$ &amp; $304664.98$ &amp; $1$ &amp; $322.09\%$ &amp; $50$\\</v>
      </c>
    </row>
    <row r="98" spans="1:25" x14ac:dyDescent="0.2">
      <c r="A98" s="4"/>
      <c r="B98" s="4"/>
      <c r="C98" s="4"/>
      <c r="D98" s="4"/>
      <c r="L98" s="2"/>
    </row>
    <row r="99" spans="1:25" x14ac:dyDescent="0.2">
      <c r="A99">
        <v>40</v>
      </c>
      <c r="B99">
        <v>0.1</v>
      </c>
      <c r="C99" s="4">
        <v>3</v>
      </c>
      <c r="D99" s="4">
        <v>100</v>
      </c>
      <c r="E99">
        <f>MIN(20, COUNTIFS(benchmark_gurobi_vs_cuts_grbv2!A:A,proc_v2!A99,benchmark_gurobi_vs_cuts_grbv2!C:C,proc_v2!B99,benchmark_gurobi_vs_cuts_grbv2!B:B,proc_v2!C99,benchmark_gurobi_vs_cuts_grbv2!D:D,proc_v2!D99))</f>
        <v>0</v>
      </c>
      <c r="L99" s="2" t="e">
        <f>AVERAGEIFS(benchmark_gurobi_vs_cuts_grbv2!H:H,benchmark_gurobi_vs_cuts_grbv2!A:A,proc_v2!A99,benchmark_gurobi_vs_cuts_grbv2!C:C,proc_v2!B99,benchmark_gurobi_vs_cuts_grbv2!B:B,proc_v2!C99,benchmark_gurobi_vs_cuts_grbv2!D:D,proc_v2!D99)</f>
        <v>#DIV/0!</v>
      </c>
      <c r="N99" s="2" t="e">
        <f>AVERAGEIFS(benchmark_gurobi_vs_cuts_grbv2!V:V,benchmark_gurobi_vs_cuts_grbv2!A:A,proc_v2!A99,benchmark_gurobi_vs_cuts_grbv2!C:C,proc_v2!B99,benchmark_gurobi_vs_cuts_grbv2!B:B,proc_v2!C99,benchmark_gurobi_vs_cuts_grbv2!D:D,proc_v2!D99)</f>
        <v>#DIV/0!</v>
      </c>
      <c r="O99" s="3" t="e">
        <f>AVERAGEIFS(benchmark_gurobi_vs_cuts_grbv2!X:X,benchmark_gurobi_vs_cuts_grbv2!A:A,proc_v2!A99,benchmark_gurobi_vs_cuts_grbv2!C:C,proc_v2!B99,benchmark_gurobi_vs_cuts_grbv2!B:B,proc_v2!C99,benchmark_gurobi_vs_cuts_grbv2!D:D,proc_v2!D99)</f>
        <v>#DIV/0!</v>
      </c>
      <c r="P99" s="3" t="e">
        <f>AVERAGEIFS(benchmark_gurobi_vs_cuts_grbv2!Y:Y,benchmark_gurobi_vs_cuts_grbv2!A:A,proc_v2!A99,benchmark_gurobi_vs_cuts_grbv2!C:C,proc_v2!B99,benchmark_gurobi_vs_cuts_grbv2!B:B,proc_v2!C99,benchmark_gurobi_vs_cuts_grbv2!D:D,proc_v2!D99)</f>
        <v>#DIV/0!</v>
      </c>
      <c r="Q99" s="2" t="e">
        <f>AVERAGEIFS(benchmark_gurobi_vs_cuts_grbv2!Z:Z,benchmark_gurobi_vs_cuts_grbv2!A:A,proc_v2!A99,benchmark_gurobi_vs_cuts_grbv2!C:C,proc_v2!B99,benchmark_gurobi_vs_cuts_grbv2!B:B,proc_v2!C99,benchmark_gurobi_vs_cuts_grbv2!D:D,proc_v2!D99)</f>
        <v>#DIV/0!</v>
      </c>
      <c r="R99" s="3" t="e">
        <f>AVERAGEIFS(benchmark_gurobi_vs_cuts_grbv2!AA:AA,benchmark_gurobi_vs_cuts_grbv2!A:A,proc_v2!A99,benchmark_gurobi_vs_cuts_grbv2!C:C,proc_v2!B99,benchmark_gurobi_vs_cuts_grbv2!B:B,proc_v2!C99,benchmark_gurobi_vs_cuts_grbv2!D:D,proc_v2!D99)</f>
        <v>#DIV/0!</v>
      </c>
      <c r="Y99" t="e">
        <f t="shared" ref="Y99:Y100" si="19">CONCATENATE("$", A99, "$ &amp; $", B99, "$ &amp; $", D99, "/p$ &amp; $", 100*ROUND(T99,4), "\%$ &amp; $", ROUND(U99,2), "$ &amp; $", ROUND(V99,0), "$ &amp; $", 100*ROUND(W99,4), "\%$ &amp; $", 100*ROUND(F99,4), "\%$ &amp; $", ROUND(G99,2), "$ &amp; $", ROUND(H99,0), "$ &amp; $", 100*ROUND(I99,4), "\%$ &amp; $", ROUND(J99,1), "$ &amp; $",100*ROUND(N99,4), "\%$ &amp; $", ROUND(O99,2), "$ &amp; $", ROUND(P99,0), "$ &amp; $", 100*ROUND(Q99,4), "\%$ &amp; $", ROUND(R99,1), "$\\")</f>
        <v>#DIV/0!</v>
      </c>
    </row>
    <row r="100" spans="1:25" x14ac:dyDescent="0.2">
      <c r="A100">
        <v>50</v>
      </c>
      <c r="B100">
        <v>0.1</v>
      </c>
      <c r="C100" s="4">
        <v>3</v>
      </c>
      <c r="D100" s="4">
        <v>100</v>
      </c>
      <c r="E100">
        <f>MIN(20, COUNTIFS(benchmark_gurobi_vs_cuts_grbv2!A:A,proc_v2!A100,benchmark_gurobi_vs_cuts_grbv2!C:C,proc_v2!B100,benchmark_gurobi_vs_cuts_grbv2!B:B,proc_v2!C100,benchmark_gurobi_vs_cuts_grbv2!D:D,proc_v2!D100))</f>
        <v>7</v>
      </c>
      <c r="F100" s="2" t="s">
        <v>42</v>
      </c>
      <c r="L100" s="2">
        <f>AVERAGEIFS(benchmark_gurobi_vs_cuts_grbv2!H:H,benchmark_gurobi_vs_cuts_grbv2!A:A,proc_v2!A100,benchmark_gurobi_vs_cuts_grbv2!C:C,proc_v2!B100,benchmark_gurobi_vs_cuts_grbv2!B:B,proc_v2!C100,benchmark_gurobi_vs_cuts_grbv2!D:D,proc_v2!D100)</f>
        <v>0.87271913353429187</v>
      </c>
      <c r="N100" s="2">
        <f>AVERAGEIFS(benchmark_gurobi_vs_cuts_grbv2!V:V,benchmark_gurobi_vs_cuts_grbv2!A:A,proc_v2!A100,benchmark_gurobi_vs_cuts_grbv2!C:C,proc_v2!B100,benchmark_gurobi_vs_cuts_grbv2!B:B,proc_v2!C100,benchmark_gurobi_vs_cuts_grbv2!D:D,proc_v2!D100)</f>
        <v>0.87599482983161281</v>
      </c>
      <c r="O100" s="3">
        <f>AVERAGEIFS(benchmark_gurobi_vs_cuts_grbv2!X:X,benchmark_gurobi_vs_cuts_grbv2!A:A,proc_v2!A100,benchmark_gurobi_vs_cuts_grbv2!C:C,proc_v2!B100,benchmark_gurobi_vs_cuts_grbv2!B:B,proc_v2!C100,benchmark_gurobi_vs_cuts_grbv2!D:D,proc_v2!D100)</f>
        <v>312441.1973999624</v>
      </c>
      <c r="P100" s="3">
        <f>AVERAGEIFS(benchmark_gurobi_vs_cuts_grbv2!Y:Y,benchmark_gurobi_vs_cuts_grbv2!A:A,proc_v2!A100,benchmark_gurobi_vs_cuts_grbv2!C:C,proc_v2!B100,benchmark_gurobi_vs_cuts_grbv2!B:B,proc_v2!C100,benchmark_gurobi_vs_cuts_grbv2!D:D,proc_v2!D100)</f>
        <v>0</v>
      </c>
      <c r="Q100" s="2">
        <f>AVERAGEIFS(benchmark_gurobi_vs_cuts_grbv2!Z:Z,benchmark_gurobi_vs_cuts_grbv2!A:A,proc_v2!A100,benchmark_gurobi_vs_cuts_grbv2!C:C,proc_v2!B100,benchmark_gurobi_vs_cuts_grbv2!B:B,proc_v2!C100,benchmark_gurobi_vs_cuts_grbv2!D:D,proc_v2!D100)</f>
        <v>2.8273935549514086</v>
      </c>
      <c r="R100" s="3">
        <f>AVERAGEIFS(benchmark_gurobi_vs_cuts_grbv2!AA:AA,benchmark_gurobi_vs_cuts_grbv2!A:A,proc_v2!A100,benchmark_gurobi_vs_cuts_grbv2!C:C,proc_v2!B100,benchmark_gurobi_vs_cuts_grbv2!B:B,proc_v2!C100,benchmark_gurobi_vs_cuts_grbv2!D:D,proc_v2!D100)</f>
        <v>50</v>
      </c>
      <c r="Y100" t="e">
        <f t="shared" si="19"/>
        <v>#VALUE!</v>
      </c>
    </row>
    <row r="103" spans="1:25" x14ac:dyDescent="0.2">
      <c r="D103" t="s">
        <v>38</v>
      </c>
      <c r="E103" s="2">
        <f>SUM(E4:E100)/(20*3*2*4*3+20*4*2*2)</f>
        <v>0.65568181818181814</v>
      </c>
    </row>
    <row r="107" spans="1:25" x14ac:dyDescent="0.2">
      <c r="D107" s="9"/>
    </row>
    <row r="108" spans="1:25" x14ac:dyDescent="0.2">
      <c r="D108" s="9" t="s">
        <v>40</v>
      </c>
      <c r="E108" t="s">
        <v>40</v>
      </c>
      <c r="G108" s="12"/>
      <c r="Q108" s="10"/>
    </row>
    <row r="109" spans="1:25" x14ac:dyDescent="0.2">
      <c r="D109" s="9" t="s">
        <v>40</v>
      </c>
      <c r="E109" t="s">
        <v>40</v>
      </c>
      <c r="G109" s="12"/>
      <c r="Q109" s="10"/>
    </row>
    <row r="110" spans="1:25" x14ac:dyDescent="0.2">
      <c r="D110" s="9" t="s">
        <v>40</v>
      </c>
      <c r="E110" t="s">
        <v>40</v>
      </c>
      <c r="G110" s="12"/>
      <c r="Q110" s="10"/>
    </row>
    <row r="111" spans="1:25" x14ac:dyDescent="0.2">
      <c r="D111" s="9" t="s">
        <v>40</v>
      </c>
      <c r="E111" t="s">
        <v>40</v>
      </c>
      <c r="G111" s="12"/>
      <c r="Q111" s="10"/>
    </row>
    <row r="112" spans="1:25" x14ac:dyDescent="0.2">
      <c r="D112" s="9" t="s">
        <v>40</v>
      </c>
      <c r="E112" t="s">
        <v>40</v>
      </c>
      <c r="G112" s="12"/>
      <c r="Q112" s="10"/>
    </row>
    <row r="113" spans="4:17" x14ac:dyDescent="0.2">
      <c r="D113" s="9" t="s">
        <v>40</v>
      </c>
      <c r="E113" t="s">
        <v>40</v>
      </c>
      <c r="G113" s="12"/>
      <c r="Q113" s="10"/>
    </row>
    <row r="114" spans="4:17" x14ac:dyDescent="0.2">
      <c r="D114" s="9" t="s">
        <v>40</v>
      </c>
      <c r="E114" t="s">
        <v>40</v>
      </c>
      <c r="G114" s="12"/>
      <c r="Q114" s="10"/>
    </row>
    <row r="115" spans="4:17" x14ac:dyDescent="0.2">
      <c r="D115" s="9" t="s">
        <v>40</v>
      </c>
      <c r="E115" t="s">
        <v>40</v>
      </c>
      <c r="G115" s="12"/>
      <c r="Q115" s="10"/>
    </row>
    <row r="116" spans="4:17" x14ac:dyDescent="0.2">
      <c r="D116" s="9" t="s">
        <v>40</v>
      </c>
      <c r="E116" t="s">
        <v>40</v>
      </c>
      <c r="G116" s="12"/>
      <c r="Q116" s="10"/>
    </row>
    <row r="117" spans="4:17" x14ac:dyDescent="0.2">
      <c r="D117" s="9" t="s">
        <v>40</v>
      </c>
      <c r="E117" t="s">
        <v>40</v>
      </c>
      <c r="G117" s="12"/>
      <c r="Q117" s="10"/>
    </row>
    <row r="118" spans="4:17" x14ac:dyDescent="0.2">
      <c r="D118" s="9" t="s">
        <v>40</v>
      </c>
      <c r="E118" t="s">
        <v>40</v>
      </c>
      <c r="G118" s="12"/>
      <c r="Q118" s="10"/>
    </row>
    <row r="119" spans="4:17" x14ac:dyDescent="0.2">
      <c r="D119" s="9" t="s">
        <v>40</v>
      </c>
      <c r="E119" t="s">
        <v>40</v>
      </c>
      <c r="G119" s="12"/>
      <c r="Q119" s="10"/>
    </row>
  </sheetData>
  <conditionalFormatting sqref="E12:E15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6:E100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:E100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E4C79-ACC6-5A43-93D5-39EA8742E3AC}">
  <dimension ref="A1:AA97"/>
  <sheetViews>
    <sheetView topLeftCell="A46" workbookViewId="0">
      <selection activeCell="A66" sqref="A66:XFD87"/>
    </sheetView>
  </sheetViews>
  <sheetFormatPr baseColWidth="10" defaultRowHeight="16" x14ac:dyDescent="0.2"/>
  <sheetData>
    <row r="1" spans="1:27" x14ac:dyDescent="0.2">
      <c r="P1" s="5" t="s">
        <v>0</v>
      </c>
      <c r="V1" s="5" t="s">
        <v>1</v>
      </c>
    </row>
    <row r="2" spans="1:27" x14ac:dyDescent="0.2">
      <c r="A2" t="s">
        <v>2</v>
      </c>
      <c r="B2" t="s">
        <v>3</v>
      </c>
      <c r="C2" t="s">
        <v>4</v>
      </c>
      <c r="D2" t="s">
        <v>26</v>
      </c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t="s">
        <v>12</v>
      </c>
      <c r="M2" t="s">
        <v>13</v>
      </c>
      <c r="N2" t="s">
        <v>14</v>
      </c>
      <c r="O2" t="s">
        <v>15</v>
      </c>
      <c r="P2" s="5" t="s">
        <v>16</v>
      </c>
      <c r="Q2" t="s">
        <v>17</v>
      </c>
      <c r="R2" t="s">
        <v>18</v>
      </c>
      <c r="S2" t="s">
        <v>19</v>
      </c>
      <c r="T2" t="s">
        <v>20</v>
      </c>
      <c r="U2" t="s">
        <v>21</v>
      </c>
      <c r="V2" s="5" t="s">
        <v>16</v>
      </c>
      <c r="W2" t="s">
        <v>17</v>
      </c>
      <c r="X2" t="s">
        <v>18</v>
      </c>
      <c r="Y2" t="s">
        <v>22</v>
      </c>
      <c r="Z2" t="s">
        <v>20</v>
      </c>
      <c r="AA2" t="s">
        <v>21</v>
      </c>
    </row>
    <row r="3" spans="1:27" x14ac:dyDescent="0.2">
      <c r="A3">
        <v>10</v>
      </c>
      <c r="B3">
        <v>1</v>
      </c>
      <c r="C3">
        <v>0.1</v>
      </c>
      <c r="D3">
        <v>20</v>
      </c>
      <c r="E3">
        <v>0.87377349677715699</v>
      </c>
      <c r="F3">
        <v>1</v>
      </c>
      <c r="G3">
        <v>34.259682671</v>
      </c>
      <c r="H3">
        <v>0.83903450249392397</v>
      </c>
      <c r="I3">
        <v>1</v>
      </c>
      <c r="J3">
        <v>0.23634266700000001</v>
      </c>
      <c r="V3">
        <v>1.0334372822001501</v>
      </c>
      <c r="W3">
        <v>1</v>
      </c>
      <c r="X3">
        <v>94.245577449999999</v>
      </c>
      <c r="Y3">
        <v>9045</v>
      </c>
      <c r="Z3">
        <v>6.6311827023191302E-3</v>
      </c>
      <c r="AA3">
        <v>3</v>
      </c>
    </row>
    <row r="4" spans="1:27" x14ac:dyDescent="0.2">
      <c r="A4">
        <v>10</v>
      </c>
      <c r="B4">
        <v>1</v>
      </c>
      <c r="C4">
        <v>0.1</v>
      </c>
      <c r="D4">
        <v>20</v>
      </c>
      <c r="E4">
        <v>0.99033463455849902</v>
      </c>
      <c r="F4">
        <v>1</v>
      </c>
      <c r="G4">
        <v>35.234016445999998</v>
      </c>
      <c r="H4">
        <v>0.99022766237284499</v>
      </c>
      <c r="I4">
        <v>1</v>
      </c>
      <c r="J4">
        <v>4.2001759E-2</v>
      </c>
      <c r="V4">
        <v>1.0088737464954001</v>
      </c>
      <c r="W4">
        <v>1</v>
      </c>
      <c r="X4">
        <v>885.64255087799995</v>
      </c>
      <c r="Y4">
        <v>30401</v>
      </c>
      <c r="Z4">
        <v>9.4213350191448397E-3</v>
      </c>
      <c r="AA4">
        <v>11</v>
      </c>
    </row>
    <row r="5" spans="1:27" x14ac:dyDescent="0.2">
      <c r="A5">
        <v>10</v>
      </c>
      <c r="B5">
        <v>1</v>
      </c>
      <c r="C5">
        <v>0.1</v>
      </c>
      <c r="D5">
        <v>20</v>
      </c>
      <c r="E5">
        <v>0.96214940190579901</v>
      </c>
      <c r="F5">
        <v>1</v>
      </c>
      <c r="G5">
        <v>33.994745365</v>
      </c>
      <c r="H5">
        <v>0.96171886179147403</v>
      </c>
      <c r="I5">
        <v>1</v>
      </c>
      <c r="J5">
        <v>6.5669457000000001E-2</v>
      </c>
      <c r="V5">
        <v>0.98850552144705806</v>
      </c>
      <c r="W5">
        <v>1</v>
      </c>
      <c r="X5">
        <v>785.37353200500002</v>
      </c>
      <c r="Y5">
        <v>40268</v>
      </c>
      <c r="Z5">
        <v>9.1143254705927292E-3</v>
      </c>
      <c r="AA5">
        <v>10</v>
      </c>
    </row>
    <row r="6" spans="1:27" x14ac:dyDescent="0.2">
      <c r="A6">
        <v>10</v>
      </c>
      <c r="B6">
        <v>1</v>
      </c>
      <c r="C6">
        <v>0.4</v>
      </c>
      <c r="D6">
        <v>20</v>
      </c>
      <c r="E6">
        <v>0.510157655950357</v>
      </c>
      <c r="F6">
        <v>1</v>
      </c>
      <c r="G6">
        <v>34.331314226000003</v>
      </c>
      <c r="H6">
        <v>0.51142358913956698</v>
      </c>
      <c r="I6">
        <v>1</v>
      </c>
      <c r="J6">
        <v>9.1978117999999998E-2</v>
      </c>
      <c r="V6">
        <v>0.51022134464287205</v>
      </c>
      <c r="W6">
        <v>1</v>
      </c>
      <c r="X6">
        <v>1332.9995301230001</v>
      </c>
      <c r="Y6">
        <v>27931</v>
      </c>
      <c r="Z6">
        <v>3.45345490037934E-3</v>
      </c>
      <c r="AA6">
        <v>11</v>
      </c>
    </row>
    <row r="7" spans="1:27" x14ac:dyDescent="0.2">
      <c r="A7">
        <v>10</v>
      </c>
      <c r="B7">
        <v>1</v>
      </c>
      <c r="C7">
        <v>0.1</v>
      </c>
      <c r="D7">
        <v>20</v>
      </c>
      <c r="E7">
        <v>0.89439368339134795</v>
      </c>
      <c r="F7">
        <v>1</v>
      </c>
      <c r="G7">
        <v>34.612106373000003</v>
      </c>
      <c r="H7">
        <v>0.89307150476827402</v>
      </c>
      <c r="I7">
        <v>1</v>
      </c>
      <c r="J7">
        <v>7.2976612999999996E-2</v>
      </c>
      <c r="V7">
        <v>0.82333885786110095</v>
      </c>
      <c r="W7">
        <v>1</v>
      </c>
      <c r="X7">
        <v>694.81689374300004</v>
      </c>
      <c r="Y7">
        <v>45085</v>
      </c>
      <c r="Z7">
        <v>8.0365018121709396E-3</v>
      </c>
      <c r="AA7">
        <v>9</v>
      </c>
    </row>
    <row r="8" spans="1:27" x14ac:dyDescent="0.2">
      <c r="A8">
        <v>10</v>
      </c>
      <c r="B8">
        <v>1</v>
      </c>
      <c r="C8">
        <v>0.1</v>
      </c>
      <c r="D8">
        <v>20</v>
      </c>
      <c r="E8">
        <v>0.93303709301650395</v>
      </c>
      <c r="F8">
        <v>1</v>
      </c>
      <c r="G8">
        <v>34.695120355</v>
      </c>
      <c r="H8">
        <v>0.90498538942745899</v>
      </c>
      <c r="I8">
        <v>1</v>
      </c>
      <c r="J8">
        <v>0.20652403599999999</v>
      </c>
      <c r="V8">
        <v>0.839584264307077</v>
      </c>
      <c r="W8">
        <v>1</v>
      </c>
      <c r="X8">
        <v>2871.9714138149998</v>
      </c>
      <c r="Y8">
        <v>49337</v>
      </c>
      <c r="Z8">
        <v>2.3504780247455498E-3</v>
      </c>
      <c r="AA8">
        <v>20</v>
      </c>
    </row>
    <row r="9" spans="1:27" x14ac:dyDescent="0.2">
      <c r="A9">
        <v>10</v>
      </c>
      <c r="B9">
        <v>1</v>
      </c>
      <c r="C9">
        <v>0.3</v>
      </c>
      <c r="D9">
        <v>20</v>
      </c>
      <c r="E9">
        <v>0.37938381282058498</v>
      </c>
      <c r="F9">
        <v>1</v>
      </c>
      <c r="G9">
        <v>34.309612069000003</v>
      </c>
      <c r="H9">
        <v>0.34067579299774498</v>
      </c>
      <c r="I9">
        <v>1</v>
      </c>
      <c r="J9">
        <v>0.15168341900000001</v>
      </c>
      <c r="V9">
        <v>0.46427561491215302</v>
      </c>
      <c r="W9">
        <v>1</v>
      </c>
      <c r="X9">
        <v>2688.5556382770001</v>
      </c>
      <c r="Y9">
        <v>18797</v>
      </c>
      <c r="Z9">
        <v>0.47502953668322301</v>
      </c>
      <c r="AA9">
        <v>20</v>
      </c>
    </row>
    <row r="10" spans="1:27" x14ac:dyDescent="0.2">
      <c r="A10">
        <v>10</v>
      </c>
      <c r="B10">
        <v>1</v>
      </c>
      <c r="C10">
        <v>0.2</v>
      </c>
      <c r="D10">
        <v>20</v>
      </c>
      <c r="E10">
        <v>0.55420925874576499</v>
      </c>
      <c r="F10">
        <v>1</v>
      </c>
      <c r="G10">
        <v>33.709322833999998</v>
      </c>
      <c r="H10">
        <v>0.43464252333881798</v>
      </c>
      <c r="I10">
        <v>1</v>
      </c>
      <c r="J10">
        <v>0.14331812799999999</v>
      </c>
      <c r="V10">
        <v>0.46332656147069601</v>
      </c>
      <c r="W10">
        <v>1</v>
      </c>
      <c r="X10">
        <v>2857.3175567019998</v>
      </c>
      <c r="Y10">
        <v>31306</v>
      </c>
      <c r="Z10">
        <v>5.35076316786538E-2</v>
      </c>
      <c r="AA10">
        <v>20</v>
      </c>
    </row>
    <row r="11" spans="1:27" x14ac:dyDescent="0.2">
      <c r="A11">
        <v>10</v>
      </c>
      <c r="B11">
        <v>1</v>
      </c>
      <c r="C11">
        <v>0.3</v>
      </c>
      <c r="D11">
        <v>20</v>
      </c>
      <c r="E11">
        <v>0.29544209683980899</v>
      </c>
      <c r="F11">
        <v>1</v>
      </c>
      <c r="G11">
        <v>33.701174662</v>
      </c>
      <c r="H11">
        <v>0.204269779366239</v>
      </c>
      <c r="I11">
        <v>1</v>
      </c>
      <c r="J11">
        <v>0.13275464300000001</v>
      </c>
      <c r="V11">
        <v>0.18469200584312701</v>
      </c>
      <c r="W11">
        <v>1</v>
      </c>
      <c r="X11">
        <v>2867.5465160570002</v>
      </c>
      <c r="Y11">
        <v>18822</v>
      </c>
      <c r="Z11">
        <v>0.94019106068527702</v>
      </c>
      <c r="AA11">
        <v>20</v>
      </c>
    </row>
    <row r="12" spans="1:27" x14ac:dyDescent="0.2">
      <c r="A12">
        <v>10</v>
      </c>
      <c r="B12">
        <v>1</v>
      </c>
      <c r="C12">
        <v>0.4</v>
      </c>
      <c r="D12">
        <v>20</v>
      </c>
      <c r="E12">
        <v>0.29292012882159602</v>
      </c>
      <c r="F12">
        <v>1</v>
      </c>
      <c r="G12">
        <v>32.952573673000003</v>
      </c>
      <c r="H12">
        <v>0.28136858488066802</v>
      </c>
      <c r="I12">
        <v>1</v>
      </c>
      <c r="J12">
        <v>9.8315048000000002E-2</v>
      </c>
      <c r="V12">
        <v>0.213104616019062</v>
      </c>
      <c r="W12">
        <v>1</v>
      </c>
      <c r="X12">
        <v>2937.5583210640002</v>
      </c>
      <c r="Y12">
        <v>16388</v>
      </c>
      <c r="Z12">
        <v>1.1573104732519699</v>
      </c>
      <c r="AA12">
        <v>20</v>
      </c>
    </row>
    <row r="13" spans="1:27" x14ac:dyDescent="0.2">
      <c r="A13">
        <v>10</v>
      </c>
      <c r="B13">
        <v>1</v>
      </c>
      <c r="C13">
        <v>0.3</v>
      </c>
      <c r="D13">
        <v>20</v>
      </c>
      <c r="E13">
        <v>0.39514459901500598</v>
      </c>
      <c r="F13">
        <v>1</v>
      </c>
      <c r="G13">
        <v>33.549706583999999</v>
      </c>
      <c r="H13">
        <v>0.267860297403968</v>
      </c>
      <c r="I13">
        <v>1</v>
      </c>
      <c r="J13">
        <v>0.213790483</v>
      </c>
      <c r="V13">
        <v>0.26190494696220001</v>
      </c>
      <c r="W13">
        <v>1</v>
      </c>
      <c r="X13">
        <v>2956.466011903</v>
      </c>
      <c r="Y13">
        <v>15036</v>
      </c>
      <c r="Z13">
        <v>1.2519287241836199</v>
      </c>
      <c r="AA13">
        <v>20</v>
      </c>
    </row>
    <row r="14" spans="1:27" x14ac:dyDescent="0.2">
      <c r="A14">
        <v>10</v>
      </c>
      <c r="B14">
        <v>1</v>
      </c>
      <c r="C14">
        <v>0.4</v>
      </c>
      <c r="D14">
        <v>20</v>
      </c>
      <c r="E14">
        <v>0.40513947920131099</v>
      </c>
      <c r="F14">
        <v>1</v>
      </c>
      <c r="G14">
        <v>34.776137632999998</v>
      </c>
      <c r="H14">
        <v>0.32560922778950302</v>
      </c>
      <c r="I14">
        <v>1</v>
      </c>
      <c r="J14">
        <v>0.21744519000000001</v>
      </c>
      <c r="V14">
        <v>0.28972872676780598</v>
      </c>
      <c r="W14">
        <v>1</v>
      </c>
      <c r="X14">
        <v>3157.404237229</v>
      </c>
      <c r="Y14">
        <v>12659</v>
      </c>
      <c r="Z14">
        <v>1.35343038260756</v>
      </c>
      <c r="AA14">
        <v>20</v>
      </c>
    </row>
    <row r="15" spans="1:27" x14ac:dyDescent="0.2">
      <c r="A15">
        <v>10</v>
      </c>
      <c r="B15">
        <v>1</v>
      </c>
      <c r="C15">
        <v>0.2</v>
      </c>
      <c r="D15">
        <v>20</v>
      </c>
      <c r="E15">
        <v>0.56510178199514705</v>
      </c>
      <c r="F15">
        <v>1</v>
      </c>
      <c r="G15">
        <v>34.347910403</v>
      </c>
      <c r="H15">
        <v>0.40624419627022901</v>
      </c>
      <c r="I15">
        <v>1</v>
      </c>
      <c r="J15">
        <v>0.36391161100000002</v>
      </c>
      <c r="V15">
        <v>0.42570522809806099</v>
      </c>
      <c r="W15">
        <v>1</v>
      </c>
      <c r="X15">
        <v>3187.6675770940001</v>
      </c>
      <c r="Y15">
        <v>24984</v>
      </c>
      <c r="Z15">
        <v>0.32102355312777298</v>
      </c>
      <c r="AA15">
        <v>20</v>
      </c>
    </row>
    <row r="16" spans="1:27" x14ac:dyDescent="0.2">
      <c r="A16">
        <v>10</v>
      </c>
      <c r="B16">
        <v>1</v>
      </c>
      <c r="C16">
        <v>0.4</v>
      </c>
      <c r="D16">
        <v>20</v>
      </c>
      <c r="E16">
        <v>0.42141015009171601</v>
      </c>
      <c r="F16">
        <v>1</v>
      </c>
      <c r="G16">
        <v>35.556472145999997</v>
      </c>
      <c r="H16">
        <v>0.37502813707920601</v>
      </c>
      <c r="I16">
        <v>1</v>
      </c>
      <c r="J16">
        <v>0.11443236499999999</v>
      </c>
      <c r="V16">
        <v>0.33720835293923401</v>
      </c>
      <c r="W16">
        <v>1</v>
      </c>
      <c r="X16">
        <v>3068.6265209150001</v>
      </c>
      <c r="Y16">
        <v>12973</v>
      </c>
      <c r="Z16">
        <v>0.35591271681122499</v>
      </c>
      <c r="AA16">
        <v>20</v>
      </c>
    </row>
    <row r="17" spans="1:27" x14ac:dyDescent="0.2">
      <c r="A17">
        <v>10</v>
      </c>
      <c r="B17">
        <v>1</v>
      </c>
      <c r="C17">
        <v>0.1</v>
      </c>
      <c r="D17">
        <v>20</v>
      </c>
      <c r="E17">
        <v>0.86048959071234798</v>
      </c>
      <c r="F17">
        <v>1</v>
      </c>
      <c r="G17">
        <v>34.652572642999999</v>
      </c>
      <c r="H17">
        <v>0.80959384878173102</v>
      </c>
      <c r="I17">
        <v>1</v>
      </c>
      <c r="J17">
        <v>4.1608562000000002E-2</v>
      </c>
      <c r="V17">
        <v>0.84139184800153299</v>
      </c>
      <c r="W17">
        <v>1</v>
      </c>
      <c r="X17">
        <v>3126.066531893</v>
      </c>
      <c r="Y17">
        <v>25643</v>
      </c>
      <c r="Z17">
        <v>3.4017009759043301E-2</v>
      </c>
      <c r="AA17">
        <v>20</v>
      </c>
    </row>
    <row r="18" spans="1:27" x14ac:dyDescent="0.2">
      <c r="A18">
        <v>10</v>
      </c>
      <c r="B18">
        <v>1</v>
      </c>
      <c r="C18">
        <v>0.2</v>
      </c>
      <c r="D18">
        <v>20</v>
      </c>
      <c r="E18">
        <v>0.58968825864174002</v>
      </c>
      <c r="F18">
        <v>1</v>
      </c>
      <c r="G18">
        <v>34.492486145999997</v>
      </c>
      <c r="H18">
        <v>0.44384250856964702</v>
      </c>
      <c r="I18">
        <v>1</v>
      </c>
      <c r="J18">
        <v>0.11462896</v>
      </c>
      <c r="V18">
        <v>0.431449347803401</v>
      </c>
      <c r="W18">
        <v>1</v>
      </c>
      <c r="X18">
        <v>3348.648052861</v>
      </c>
      <c r="Y18">
        <v>16514</v>
      </c>
      <c r="Z18">
        <v>0.78183547091220895</v>
      </c>
      <c r="AA18">
        <v>20</v>
      </c>
    </row>
    <row r="19" spans="1:27" x14ac:dyDescent="0.2">
      <c r="A19">
        <v>10</v>
      </c>
      <c r="B19">
        <v>1</v>
      </c>
      <c r="C19">
        <v>0.3</v>
      </c>
      <c r="D19">
        <v>20</v>
      </c>
      <c r="E19">
        <v>0.58046590639250495</v>
      </c>
      <c r="F19">
        <v>1</v>
      </c>
      <c r="G19">
        <v>34.836231034000001</v>
      </c>
      <c r="H19">
        <v>0.326708382735654</v>
      </c>
      <c r="I19">
        <v>1</v>
      </c>
      <c r="J19">
        <v>0.15306756899999999</v>
      </c>
      <c r="V19">
        <v>0.429787784076338</v>
      </c>
      <c r="W19">
        <v>1</v>
      </c>
      <c r="X19">
        <v>3360.3306881970002</v>
      </c>
      <c r="Y19">
        <v>9510</v>
      </c>
      <c r="Z19">
        <v>0.39556785760604501</v>
      </c>
      <c r="AA19">
        <v>20</v>
      </c>
    </row>
    <row r="20" spans="1:27" x14ac:dyDescent="0.2">
      <c r="A20">
        <v>10</v>
      </c>
      <c r="B20">
        <v>1</v>
      </c>
      <c r="C20">
        <v>0.2</v>
      </c>
      <c r="D20">
        <v>20</v>
      </c>
      <c r="E20">
        <v>0.46620225587291703</v>
      </c>
      <c r="F20">
        <v>1</v>
      </c>
      <c r="G20">
        <v>34.611669896000002</v>
      </c>
      <c r="H20">
        <v>0.42271663297421302</v>
      </c>
      <c r="I20">
        <v>1</v>
      </c>
      <c r="J20">
        <v>0.166141123</v>
      </c>
      <c r="V20">
        <v>0.419276926587968</v>
      </c>
      <c r="W20">
        <v>1</v>
      </c>
      <c r="X20">
        <v>3179.1568783829998</v>
      </c>
      <c r="Y20">
        <v>26455</v>
      </c>
      <c r="Z20">
        <v>0.74307281738542996</v>
      </c>
      <c r="AA20">
        <v>20</v>
      </c>
    </row>
    <row r="21" spans="1:27" x14ac:dyDescent="0.2">
      <c r="A21">
        <v>10</v>
      </c>
      <c r="B21">
        <v>1</v>
      </c>
      <c r="C21">
        <v>0.2</v>
      </c>
      <c r="D21">
        <v>20</v>
      </c>
      <c r="E21">
        <v>0.77207522452833</v>
      </c>
      <c r="F21">
        <v>1</v>
      </c>
      <c r="G21">
        <v>35.340679006000002</v>
      </c>
      <c r="H21">
        <v>0.71521586480424304</v>
      </c>
      <c r="I21">
        <v>1</v>
      </c>
      <c r="J21">
        <v>0.11963636599999999</v>
      </c>
      <c r="V21">
        <v>0.90175790896824604</v>
      </c>
      <c r="W21">
        <v>1</v>
      </c>
      <c r="X21">
        <v>3380.2063338480002</v>
      </c>
      <c r="Y21">
        <v>20550</v>
      </c>
      <c r="Z21">
        <v>0.21983695139635201</v>
      </c>
      <c r="AA21">
        <v>20</v>
      </c>
    </row>
    <row r="22" spans="1:27" x14ac:dyDescent="0.2">
      <c r="A22">
        <v>10</v>
      </c>
      <c r="B22">
        <v>1</v>
      </c>
      <c r="C22">
        <v>0.3</v>
      </c>
      <c r="D22">
        <v>20</v>
      </c>
      <c r="E22">
        <v>0.30959068639707998</v>
      </c>
      <c r="F22">
        <v>1</v>
      </c>
      <c r="G22">
        <v>34.496627011999998</v>
      </c>
      <c r="H22">
        <v>0.23372417253436101</v>
      </c>
      <c r="I22">
        <v>1</v>
      </c>
      <c r="J22">
        <v>0.11549377</v>
      </c>
      <c r="V22">
        <v>0.188282089878475</v>
      </c>
      <c r="W22">
        <v>1</v>
      </c>
      <c r="X22">
        <v>3409.1568025780002</v>
      </c>
      <c r="Y22">
        <v>10748</v>
      </c>
      <c r="Z22">
        <v>0.58876075936859695</v>
      </c>
      <c r="AA22">
        <v>20</v>
      </c>
    </row>
    <row r="23" spans="1:27" x14ac:dyDescent="0.2">
      <c r="A23">
        <v>10</v>
      </c>
      <c r="B23">
        <v>1</v>
      </c>
      <c r="C23">
        <v>0.1</v>
      </c>
      <c r="D23">
        <v>20</v>
      </c>
      <c r="E23">
        <v>0.92979191893526303</v>
      </c>
      <c r="F23">
        <v>1</v>
      </c>
      <c r="G23">
        <v>34.875175579</v>
      </c>
      <c r="H23">
        <v>0.89324517113316104</v>
      </c>
      <c r="I23">
        <v>1</v>
      </c>
      <c r="J23">
        <v>0.134348145</v>
      </c>
      <c r="V23">
        <v>0.94148228635207198</v>
      </c>
      <c r="W23">
        <v>1</v>
      </c>
      <c r="X23">
        <v>2437.8395147189999</v>
      </c>
      <c r="Y23">
        <v>41036</v>
      </c>
      <c r="Z23">
        <v>2.1439897834758401E-2</v>
      </c>
      <c r="AA23">
        <v>20</v>
      </c>
    </row>
    <row r="24" spans="1:27" x14ac:dyDescent="0.2">
      <c r="A24">
        <v>10</v>
      </c>
      <c r="B24">
        <v>1</v>
      </c>
      <c r="C24">
        <v>0.1</v>
      </c>
      <c r="D24">
        <v>20</v>
      </c>
      <c r="E24">
        <v>0.85396636168193596</v>
      </c>
      <c r="F24">
        <v>1</v>
      </c>
      <c r="G24">
        <v>34.499794133999998</v>
      </c>
      <c r="H24">
        <v>0.85397657156198603</v>
      </c>
      <c r="I24">
        <v>1</v>
      </c>
      <c r="J24">
        <v>3.8592693999999997E-2</v>
      </c>
      <c r="V24">
        <v>0.94940200638820305</v>
      </c>
      <c r="W24">
        <v>1</v>
      </c>
      <c r="X24">
        <v>190.59040618700001</v>
      </c>
      <c r="Y24">
        <v>20137</v>
      </c>
      <c r="Z24">
        <v>2.5754780726725901E-3</v>
      </c>
      <c r="AA24">
        <v>4</v>
      </c>
    </row>
    <row r="25" spans="1:27" x14ac:dyDescent="0.2">
      <c r="A25">
        <v>10</v>
      </c>
      <c r="B25">
        <v>1</v>
      </c>
      <c r="C25">
        <v>0.4</v>
      </c>
      <c r="D25">
        <v>20</v>
      </c>
      <c r="E25">
        <v>0.26079703788701902</v>
      </c>
      <c r="F25">
        <v>1</v>
      </c>
      <c r="G25">
        <v>34.607610268999998</v>
      </c>
      <c r="H25">
        <v>0.13050927275895099</v>
      </c>
      <c r="I25">
        <v>1</v>
      </c>
      <c r="J25">
        <v>0.11640862</v>
      </c>
      <c r="V25">
        <v>0.12015914654044201</v>
      </c>
      <c r="W25">
        <v>1</v>
      </c>
      <c r="X25">
        <v>3357.6537915650001</v>
      </c>
      <c r="Y25">
        <v>15914</v>
      </c>
      <c r="Z25">
        <v>2.03161803722907</v>
      </c>
      <c r="AA25">
        <v>20</v>
      </c>
    </row>
    <row r="26" spans="1:27" x14ac:dyDescent="0.2">
      <c r="A26">
        <v>10</v>
      </c>
      <c r="B26">
        <v>1</v>
      </c>
      <c r="C26">
        <v>0.1</v>
      </c>
      <c r="D26">
        <v>20</v>
      </c>
      <c r="E26">
        <v>0.96617416449944904</v>
      </c>
      <c r="F26">
        <v>1</v>
      </c>
      <c r="G26">
        <v>34.026690203999998</v>
      </c>
      <c r="H26">
        <v>0.96489898244313899</v>
      </c>
      <c r="I26">
        <v>1</v>
      </c>
      <c r="J26">
        <v>5.9562906999999998E-2</v>
      </c>
      <c r="V26">
        <v>1.0353352717854301</v>
      </c>
      <c r="W26">
        <v>1</v>
      </c>
      <c r="X26">
        <v>2806.6933136600001</v>
      </c>
      <c r="Y26">
        <v>21622</v>
      </c>
      <c r="Z26">
        <v>3.8769796883702003E-2</v>
      </c>
      <c r="AA26">
        <v>20</v>
      </c>
    </row>
    <row r="27" spans="1:27" x14ac:dyDescent="0.2">
      <c r="A27">
        <v>10</v>
      </c>
      <c r="B27">
        <v>1</v>
      </c>
      <c r="C27">
        <v>0.3</v>
      </c>
      <c r="D27">
        <v>20</v>
      </c>
      <c r="E27">
        <v>0.19762049288281699</v>
      </c>
      <c r="F27">
        <v>1</v>
      </c>
      <c r="G27">
        <v>34.442530087999998</v>
      </c>
      <c r="H27">
        <v>0.27381672357991199</v>
      </c>
      <c r="I27">
        <v>1</v>
      </c>
      <c r="J27">
        <v>0.179102926</v>
      </c>
      <c r="V27">
        <v>0.25965539286667999</v>
      </c>
      <c r="W27">
        <v>1</v>
      </c>
      <c r="X27">
        <v>2916.6273442689999</v>
      </c>
      <c r="Y27">
        <v>13686</v>
      </c>
      <c r="Z27">
        <v>0.50381890052939504</v>
      </c>
      <c r="AA27">
        <v>20</v>
      </c>
    </row>
    <row r="28" spans="1:27" x14ac:dyDescent="0.2">
      <c r="A28">
        <v>10</v>
      </c>
      <c r="B28">
        <v>1</v>
      </c>
      <c r="C28">
        <v>0.4</v>
      </c>
      <c r="D28">
        <v>20</v>
      </c>
      <c r="E28">
        <v>0.170120825068239</v>
      </c>
      <c r="F28">
        <v>1</v>
      </c>
      <c r="G28">
        <v>34.442551248000001</v>
      </c>
      <c r="H28">
        <v>0.16176022387278899</v>
      </c>
      <c r="I28">
        <v>1</v>
      </c>
      <c r="J28">
        <v>0.12933157000000001</v>
      </c>
      <c r="V28">
        <v>0.13373293631848099</v>
      </c>
      <c r="W28">
        <v>1</v>
      </c>
      <c r="X28">
        <v>3068.1518641980001</v>
      </c>
      <c r="Y28">
        <v>17009</v>
      </c>
      <c r="Z28">
        <v>2.0722041111721401</v>
      </c>
      <c r="AA28">
        <v>20</v>
      </c>
    </row>
    <row r="29" spans="1:27" x14ac:dyDescent="0.2">
      <c r="A29">
        <v>10</v>
      </c>
      <c r="B29">
        <v>1</v>
      </c>
      <c r="C29">
        <v>0.2</v>
      </c>
      <c r="D29">
        <v>20</v>
      </c>
      <c r="E29">
        <v>0.65398524576308203</v>
      </c>
      <c r="F29">
        <v>1</v>
      </c>
      <c r="G29">
        <v>34.337245377999999</v>
      </c>
      <c r="H29">
        <v>0.69659590625569301</v>
      </c>
      <c r="I29">
        <v>1</v>
      </c>
      <c r="J29">
        <v>0.18243198799999999</v>
      </c>
      <c r="V29">
        <v>0.431512923408995</v>
      </c>
      <c r="W29">
        <v>1</v>
      </c>
      <c r="X29">
        <v>3129.4519465419999</v>
      </c>
      <c r="Y29">
        <v>14691</v>
      </c>
      <c r="Z29">
        <v>0.24383892419324299</v>
      </c>
      <c r="AA29">
        <v>20</v>
      </c>
    </row>
    <row r="30" spans="1:27" x14ac:dyDescent="0.2">
      <c r="A30">
        <v>10</v>
      </c>
      <c r="B30">
        <v>1</v>
      </c>
      <c r="C30">
        <v>0.2</v>
      </c>
      <c r="D30">
        <v>20</v>
      </c>
      <c r="E30">
        <v>0.48076222813084901</v>
      </c>
      <c r="F30">
        <v>1</v>
      </c>
      <c r="G30">
        <v>34.875188389000002</v>
      </c>
      <c r="H30">
        <v>0.49279249822712401</v>
      </c>
      <c r="I30">
        <v>1</v>
      </c>
      <c r="J30">
        <v>0.112716383</v>
      </c>
      <c r="V30">
        <v>0.51052117067997405</v>
      </c>
      <c r="W30">
        <v>1</v>
      </c>
      <c r="X30">
        <v>3147.3657830329998</v>
      </c>
      <c r="Y30">
        <v>20261</v>
      </c>
      <c r="Z30">
        <v>9.50168265934105E-2</v>
      </c>
      <c r="AA30">
        <v>20</v>
      </c>
    </row>
    <row r="31" spans="1:27" x14ac:dyDescent="0.2">
      <c r="A31">
        <v>10</v>
      </c>
      <c r="B31">
        <v>1</v>
      </c>
      <c r="C31">
        <v>0.4</v>
      </c>
      <c r="D31">
        <v>20</v>
      </c>
      <c r="E31">
        <v>0.22366351943006901</v>
      </c>
      <c r="F31">
        <v>1</v>
      </c>
      <c r="G31">
        <v>34.479994550999997</v>
      </c>
      <c r="H31">
        <v>0.19588022300910901</v>
      </c>
      <c r="I31">
        <v>1</v>
      </c>
      <c r="J31">
        <v>9.0946615999999994E-2</v>
      </c>
      <c r="V31">
        <v>0.16161249948129899</v>
      </c>
      <c r="W31">
        <v>1</v>
      </c>
      <c r="X31">
        <v>3187.8822527259999</v>
      </c>
      <c r="Y31">
        <v>14379</v>
      </c>
      <c r="Z31">
        <v>1.4321454192138601</v>
      </c>
      <c r="AA31">
        <v>20</v>
      </c>
    </row>
    <row r="32" spans="1:27" x14ac:dyDescent="0.2">
      <c r="A32">
        <v>10</v>
      </c>
      <c r="B32">
        <v>1</v>
      </c>
      <c r="C32">
        <v>0.3</v>
      </c>
      <c r="D32">
        <v>20</v>
      </c>
      <c r="E32">
        <v>0.13059493591184801</v>
      </c>
      <c r="F32">
        <v>1</v>
      </c>
      <c r="G32">
        <v>34.477378025</v>
      </c>
      <c r="H32">
        <v>0.107261797871173</v>
      </c>
      <c r="I32">
        <v>1</v>
      </c>
      <c r="J32">
        <v>9.1118995999999994E-2</v>
      </c>
      <c r="V32">
        <v>8.95504374715312E-2</v>
      </c>
      <c r="W32">
        <v>1</v>
      </c>
      <c r="X32">
        <v>3297.2221762989998</v>
      </c>
      <c r="Y32">
        <v>20278</v>
      </c>
      <c r="Z32">
        <v>0.56970258009209396</v>
      </c>
      <c r="AA32">
        <v>20</v>
      </c>
    </row>
    <row r="33" spans="1:27" x14ac:dyDescent="0.2">
      <c r="A33">
        <v>10</v>
      </c>
      <c r="B33">
        <v>1</v>
      </c>
      <c r="C33">
        <v>0.2</v>
      </c>
      <c r="D33">
        <v>20</v>
      </c>
      <c r="E33">
        <v>0.66426503752928701</v>
      </c>
      <c r="F33">
        <v>1</v>
      </c>
      <c r="G33">
        <v>34.720191565</v>
      </c>
      <c r="H33">
        <v>0.75269425541009305</v>
      </c>
      <c r="I33">
        <v>1</v>
      </c>
      <c r="J33">
        <v>0.20837281599999999</v>
      </c>
      <c r="V33">
        <v>1.08015481816363</v>
      </c>
      <c r="W33">
        <v>1</v>
      </c>
      <c r="X33">
        <v>2577.7153312260002</v>
      </c>
      <c r="Y33">
        <v>20818</v>
      </c>
      <c r="Z33">
        <v>3.7037677582611103E-2</v>
      </c>
      <c r="AA33">
        <v>20</v>
      </c>
    </row>
    <row r="34" spans="1:27" x14ac:dyDescent="0.2">
      <c r="A34">
        <v>10</v>
      </c>
      <c r="B34">
        <v>1</v>
      </c>
      <c r="C34">
        <v>0.1</v>
      </c>
      <c r="D34">
        <v>20</v>
      </c>
      <c r="E34">
        <v>0.96017939275410902</v>
      </c>
      <c r="F34">
        <v>1</v>
      </c>
      <c r="G34">
        <v>34.169144047000003</v>
      </c>
      <c r="H34">
        <v>0.94977329330800797</v>
      </c>
      <c r="I34">
        <v>1</v>
      </c>
      <c r="J34">
        <v>0.14134079999999999</v>
      </c>
      <c r="V34">
        <v>1.05512109955133</v>
      </c>
      <c r="W34">
        <v>1</v>
      </c>
      <c r="X34">
        <v>394.16416162100001</v>
      </c>
      <c r="Y34">
        <v>46744</v>
      </c>
      <c r="Z34">
        <v>1.43399862840264E-3</v>
      </c>
      <c r="AA34">
        <v>4</v>
      </c>
    </row>
    <row r="35" spans="1:27" x14ac:dyDescent="0.2">
      <c r="A35">
        <v>10</v>
      </c>
      <c r="B35">
        <v>1</v>
      </c>
      <c r="C35">
        <v>0.4</v>
      </c>
      <c r="D35">
        <v>20</v>
      </c>
      <c r="E35">
        <v>4.9083841895045902E-2</v>
      </c>
      <c r="F35">
        <v>1</v>
      </c>
      <c r="G35">
        <v>33.789958048999999</v>
      </c>
      <c r="H35">
        <v>7.2661804146724504E-2</v>
      </c>
      <c r="I35">
        <v>1</v>
      </c>
      <c r="J35">
        <v>7.7595645000000005E-2</v>
      </c>
      <c r="V35">
        <v>6.45416048007319E-2</v>
      </c>
      <c r="W35">
        <v>1</v>
      </c>
      <c r="X35">
        <v>1001.287022699</v>
      </c>
      <c r="Y35">
        <v>23132</v>
      </c>
      <c r="Z35">
        <v>8.9134738676790396E-3</v>
      </c>
      <c r="AA35">
        <v>9</v>
      </c>
    </row>
    <row r="36" spans="1:27" x14ac:dyDescent="0.2">
      <c r="A36">
        <v>10</v>
      </c>
      <c r="B36">
        <v>1</v>
      </c>
      <c r="C36">
        <v>0.1</v>
      </c>
      <c r="D36">
        <v>20</v>
      </c>
      <c r="E36">
        <v>0.94055575815187398</v>
      </c>
      <c r="F36">
        <v>1</v>
      </c>
      <c r="G36">
        <v>33.677384772000003</v>
      </c>
      <c r="H36">
        <v>0.93986053405002701</v>
      </c>
      <c r="I36">
        <v>1</v>
      </c>
      <c r="J36">
        <v>7.4684191999999996E-2</v>
      </c>
      <c r="V36">
        <v>1.18748795040505</v>
      </c>
      <c r="W36">
        <v>1</v>
      </c>
      <c r="X36">
        <v>2055.9329449709999</v>
      </c>
      <c r="Y36">
        <v>38528</v>
      </c>
      <c r="Z36">
        <v>9.9496246132920307E-3</v>
      </c>
      <c r="AA36">
        <v>17</v>
      </c>
    </row>
    <row r="37" spans="1:27" x14ac:dyDescent="0.2">
      <c r="A37">
        <v>10</v>
      </c>
      <c r="B37">
        <v>1</v>
      </c>
      <c r="C37">
        <v>0.1</v>
      </c>
      <c r="D37">
        <v>20</v>
      </c>
      <c r="E37">
        <v>0.982674098057016</v>
      </c>
      <c r="F37">
        <v>1</v>
      </c>
      <c r="G37">
        <v>33.674304565</v>
      </c>
      <c r="H37">
        <v>0.98189509172795597</v>
      </c>
      <c r="I37">
        <v>1</v>
      </c>
      <c r="J37">
        <v>8.474988E-2</v>
      </c>
      <c r="V37">
        <v>1.05404285257621</v>
      </c>
      <c r="W37">
        <v>1</v>
      </c>
      <c r="X37">
        <v>1666.699362346</v>
      </c>
      <c r="Y37">
        <v>31717</v>
      </c>
      <c r="Z37">
        <v>0</v>
      </c>
      <c r="AA37">
        <v>20</v>
      </c>
    </row>
    <row r="38" spans="1:27" x14ac:dyDescent="0.2">
      <c r="A38">
        <v>10</v>
      </c>
      <c r="B38">
        <v>1</v>
      </c>
      <c r="C38">
        <v>0.4</v>
      </c>
      <c r="D38">
        <v>20</v>
      </c>
      <c r="E38">
        <v>0.43177147417422601</v>
      </c>
      <c r="F38">
        <v>1</v>
      </c>
      <c r="G38">
        <v>33.325145241000001</v>
      </c>
      <c r="H38">
        <v>0.38674617334088102</v>
      </c>
      <c r="I38">
        <v>1</v>
      </c>
      <c r="J38">
        <v>0.21208861000000001</v>
      </c>
      <c r="V38">
        <v>0.33972372893721098</v>
      </c>
      <c r="W38">
        <v>1</v>
      </c>
      <c r="X38">
        <v>2897.921598122</v>
      </c>
      <c r="Y38">
        <v>8745</v>
      </c>
      <c r="Z38">
        <v>0.85477731483760799</v>
      </c>
      <c r="AA38">
        <v>20</v>
      </c>
    </row>
    <row r="39" spans="1:27" x14ac:dyDescent="0.2">
      <c r="A39">
        <v>10</v>
      </c>
      <c r="B39">
        <v>1</v>
      </c>
      <c r="C39">
        <v>0.2</v>
      </c>
      <c r="D39">
        <v>20</v>
      </c>
      <c r="E39">
        <v>0.74241732359925905</v>
      </c>
      <c r="F39">
        <v>1</v>
      </c>
      <c r="G39">
        <v>34.512110077999999</v>
      </c>
      <c r="H39">
        <v>0.73237812706855798</v>
      </c>
      <c r="I39">
        <v>1</v>
      </c>
      <c r="J39">
        <v>0.12820466999999999</v>
      </c>
      <c r="V39">
        <v>0.72945748856866299</v>
      </c>
      <c r="W39">
        <v>1</v>
      </c>
      <c r="X39">
        <v>2948.6314359530002</v>
      </c>
      <c r="Y39">
        <v>11628</v>
      </c>
      <c r="Z39">
        <v>0.26042625348459297</v>
      </c>
      <c r="AA39">
        <v>20</v>
      </c>
    </row>
    <row r="40" spans="1:27" x14ac:dyDescent="0.2">
      <c r="A40">
        <v>10</v>
      </c>
      <c r="B40">
        <v>1</v>
      </c>
      <c r="C40">
        <v>0.2</v>
      </c>
      <c r="D40">
        <v>20</v>
      </c>
      <c r="E40">
        <v>0.68808342128868605</v>
      </c>
      <c r="F40">
        <v>1</v>
      </c>
      <c r="G40">
        <v>33.623528258999997</v>
      </c>
      <c r="H40">
        <v>0.60270155078278898</v>
      </c>
      <c r="I40">
        <v>1</v>
      </c>
      <c r="J40">
        <v>0.17319632099999999</v>
      </c>
      <c r="V40">
        <v>0.40599425939087003</v>
      </c>
      <c r="W40">
        <v>1</v>
      </c>
      <c r="X40">
        <v>3008.0343316909998</v>
      </c>
      <c r="Y40">
        <v>14600</v>
      </c>
      <c r="Z40">
        <v>0.32482524580320798</v>
      </c>
      <c r="AA40">
        <v>20</v>
      </c>
    </row>
    <row r="41" spans="1:27" x14ac:dyDescent="0.2">
      <c r="A41">
        <v>10</v>
      </c>
      <c r="B41">
        <v>1</v>
      </c>
      <c r="C41">
        <v>0.1</v>
      </c>
      <c r="D41">
        <v>20</v>
      </c>
      <c r="E41">
        <v>0.79294441654863101</v>
      </c>
      <c r="F41">
        <v>1</v>
      </c>
      <c r="G41">
        <v>34.549168430000002</v>
      </c>
      <c r="H41">
        <v>0.82375216585083599</v>
      </c>
      <c r="I41">
        <v>1</v>
      </c>
      <c r="J41">
        <v>0.239490284</v>
      </c>
      <c r="V41">
        <v>0.85216432028943201</v>
      </c>
      <c r="W41">
        <v>1</v>
      </c>
      <c r="X41">
        <v>43.908585051999999</v>
      </c>
      <c r="Y41">
        <v>10036</v>
      </c>
      <c r="Z41">
        <v>4.9178080378707804E-3</v>
      </c>
      <c r="AA41">
        <v>1</v>
      </c>
    </row>
    <row r="42" spans="1:27" x14ac:dyDescent="0.2">
      <c r="A42">
        <v>10</v>
      </c>
      <c r="B42">
        <v>2</v>
      </c>
      <c r="C42">
        <v>0.1</v>
      </c>
      <c r="D42">
        <v>20</v>
      </c>
      <c r="E42">
        <v>0.98828832364251495</v>
      </c>
      <c r="F42">
        <v>2</v>
      </c>
      <c r="G42">
        <v>29.110538709</v>
      </c>
      <c r="H42">
        <v>0.987775634311998</v>
      </c>
      <c r="I42">
        <v>2</v>
      </c>
      <c r="J42">
        <v>9.1051419999999994E-2</v>
      </c>
      <c r="V42">
        <v>1.0027025284556901</v>
      </c>
      <c r="W42">
        <v>2</v>
      </c>
      <c r="X42">
        <v>641.51539109400005</v>
      </c>
      <c r="Y42">
        <v>20218</v>
      </c>
      <c r="Z42">
        <v>6.7344494025279996E-3</v>
      </c>
      <c r="AA42">
        <v>6</v>
      </c>
    </row>
    <row r="43" spans="1:27" x14ac:dyDescent="0.2">
      <c r="A43">
        <v>10</v>
      </c>
      <c r="B43">
        <v>2</v>
      </c>
      <c r="C43">
        <v>0.3</v>
      </c>
      <c r="D43">
        <v>20</v>
      </c>
      <c r="E43">
        <v>0.75824406297743496</v>
      </c>
      <c r="F43">
        <v>2</v>
      </c>
      <c r="G43">
        <v>28.648611676000002</v>
      </c>
      <c r="H43">
        <v>0.78404006190137399</v>
      </c>
      <c r="I43">
        <v>2</v>
      </c>
      <c r="J43">
        <v>0.24212233499999999</v>
      </c>
      <c r="V43">
        <v>0.76820308477617605</v>
      </c>
      <c r="W43">
        <v>2</v>
      </c>
      <c r="X43">
        <v>228595.80622637799</v>
      </c>
      <c r="Y43">
        <v>107387</v>
      </c>
      <c r="Z43">
        <v>0.44742200876232402</v>
      </c>
      <c r="AA43">
        <v>100</v>
      </c>
    </row>
    <row r="44" spans="1:27" x14ac:dyDescent="0.2">
      <c r="A44">
        <v>10</v>
      </c>
      <c r="B44">
        <v>2</v>
      </c>
      <c r="C44">
        <v>0.1</v>
      </c>
      <c r="D44">
        <v>20</v>
      </c>
      <c r="E44">
        <v>1.1472726827309401</v>
      </c>
      <c r="F44">
        <v>2</v>
      </c>
      <c r="G44">
        <v>29.043638197</v>
      </c>
      <c r="H44">
        <v>1.1031011959702</v>
      </c>
      <c r="I44">
        <v>2</v>
      </c>
      <c r="J44">
        <v>9.2392964999999994E-2</v>
      </c>
      <c r="V44">
        <v>0.94351254665624695</v>
      </c>
      <c r="W44">
        <v>2</v>
      </c>
      <c r="X44">
        <v>229644.304183692</v>
      </c>
      <c r="Y44">
        <v>182803</v>
      </c>
      <c r="Z44">
        <v>0.102583195034939</v>
      </c>
      <c r="AA44">
        <v>100</v>
      </c>
    </row>
    <row r="45" spans="1:27" x14ac:dyDescent="0.2">
      <c r="A45">
        <v>10</v>
      </c>
      <c r="B45">
        <v>2</v>
      </c>
      <c r="C45">
        <v>0.1</v>
      </c>
      <c r="D45">
        <v>20</v>
      </c>
      <c r="E45">
        <v>0.81119621209034498</v>
      </c>
      <c r="F45">
        <v>2</v>
      </c>
      <c r="G45">
        <v>29.070613553000001</v>
      </c>
      <c r="H45">
        <v>0.81151129456924498</v>
      </c>
      <c r="I45">
        <v>2</v>
      </c>
      <c r="J45">
        <v>6.0244126000000002E-2</v>
      </c>
      <c r="V45">
        <v>0.87741089110735704</v>
      </c>
      <c r="W45">
        <v>2</v>
      </c>
      <c r="X45">
        <v>229704.67917032001</v>
      </c>
      <c r="Y45">
        <v>234056</v>
      </c>
      <c r="Z45">
        <v>0.250847417809831</v>
      </c>
      <c r="AA45">
        <v>100</v>
      </c>
    </row>
    <row r="46" spans="1:27" x14ac:dyDescent="0.2">
      <c r="A46">
        <v>10</v>
      </c>
      <c r="B46">
        <v>2</v>
      </c>
      <c r="C46">
        <v>0.4</v>
      </c>
      <c r="D46">
        <v>20</v>
      </c>
      <c r="E46">
        <v>0.71727944464334104</v>
      </c>
      <c r="F46">
        <v>2</v>
      </c>
      <c r="G46">
        <v>28.824945927000002</v>
      </c>
      <c r="H46">
        <v>0.73038880032403897</v>
      </c>
      <c r="I46">
        <v>2</v>
      </c>
      <c r="J46">
        <v>0.30352810899999999</v>
      </c>
      <c r="V46">
        <v>0.55375073802761499</v>
      </c>
      <c r="W46">
        <v>2</v>
      </c>
      <c r="X46">
        <v>230545.07800361401</v>
      </c>
      <c r="Y46">
        <v>100468</v>
      </c>
      <c r="Z46">
        <v>1.42990637192949</v>
      </c>
      <c r="AA46">
        <v>100</v>
      </c>
    </row>
    <row r="47" spans="1:27" x14ac:dyDescent="0.2">
      <c r="A47">
        <v>10</v>
      </c>
      <c r="B47">
        <v>2</v>
      </c>
      <c r="C47">
        <v>0.4</v>
      </c>
      <c r="D47">
        <v>20</v>
      </c>
      <c r="E47">
        <v>0.42188634385130702</v>
      </c>
      <c r="F47">
        <v>2</v>
      </c>
      <c r="G47">
        <v>28.862161195999999</v>
      </c>
      <c r="H47">
        <v>0.30664134745697602</v>
      </c>
      <c r="I47">
        <v>2</v>
      </c>
      <c r="J47">
        <v>0.219187192</v>
      </c>
      <c r="V47">
        <v>0.96246105374242596</v>
      </c>
      <c r="W47">
        <v>2</v>
      </c>
      <c r="X47">
        <v>234028.66583469699</v>
      </c>
      <c r="Y47">
        <v>81266</v>
      </c>
      <c r="Z47">
        <v>1.3514874997505399</v>
      </c>
      <c r="AA47">
        <v>100</v>
      </c>
    </row>
    <row r="48" spans="1:27" x14ac:dyDescent="0.2">
      <c r="A48">
        <v>10</v>
      </c>
      <c r="B48">
        <v>2</v>
      </c>
      <c r="C48">
        <v>0.4</v>
      </c>
      <c r="D48">
        <v>20</v>
      </c>
      <c r="E48">
        <v>0.53200950378025103</v>
      </c>
      <c r="F48">
        <v>2</v>
      </c>
      <c r="G48">
        <v>30.738721407</v>
      </c>
      <c r="H48">
        <v>0.639989959815632</v>
      </c>
      <c r="I48">
        <v>2</v>
      </c>
      <c r="J48">
        <v>0.24608902199999999</v>
      </c>
      <c r="V48">
        <v>0.644077764791814</v>
      </c>
      <c r="W48">
        <v>2</v>
      </c>
      <c r="X48">
        <v>235076.60180809599</v>
      </c>
      <c r="Y48">
        <v>139877</v>
      </c>
      <c r="Z48">
        <v>1.6059434025900901</v>
      </c>
      <c r="AA48">
        <v>100</v>
      </c>
    </row>
    <row r="49" spans="1:27" x14ac:dyDescent="0.2">
      <c r="A49">
        <v>10</v>
      </c>
      <c r="B49">
        <v>2</v>
      </c>
      <c r="C49">
        <v>0.1</v>
      </c>
      <c r="D49">
        <v>20</v>
      </c>
      <c r="E49">
        <v>0.964568228537516</v>
      </c>
      <c r="F49">
        <v>2</v>
      </c>
      <c r="G49">
        <v>29.126567569999999</v>
      </c>
      <c r="H49">
        <v>0.96456822782132501</v>
      </c>
      <c r="I49">
        <v>2</v>
      </c>
      <c r="J49">
        <v>3.4618678E-2</v>
      </c>
      <c r="V49">
        <v>0.97773702313356203</v>
      </c>
      <c r="W49">
        <v>2</v>
      </c>
      <c r="X49">
        <v>235342.62340024699</v>
      </c>
      <c r="Y49">
        <v>182720</v>
      </c>
      <c r="Z49">
        <v>3.25878501373216E-2</v>
      </c>
      <c r="AA49">
        <v>100</v>
      </c>
    </row>
    <row r="50" spans="1:27" x14ac:dyDescent="0.2">
      <c r="A50">
        <v>10</v>
      </c>
      <c r="B50">
        <v>2</v>
      </c>
      <c r="C50">
        <v>0.2</v>
      </c>
      <c r="D50">
        <v>20</v>
      </c>
      <c r="E50">
        <v>0.86544620347365198</v>
      </c>
      <c r="F50">
        <v>2</v>
      </c>
      <c r="G50">
        <v>29.165255497</v>
      </c>
      <c r="H50">
        <v>0.86310491398997202</v>
      </c>
      <c r="I50">
        <v>2</v>
      </c>
      <c r="J50">
        <v>0.45688121599999998</v>
      </c>
      <c r="V50">
        <v>0.86446437160405898</v>
      </c>
      <c r="W50">
        <v>2</v>
      </c>
      <c r="X50">
        <v>235651.77453916901</v>
      </c>
      <c r="Y50">
        <v>151266</v>
      </c>
      <c r="Z50">
        <v>0.63214695177608804</v>
      </c>
      <c r="AA50">
        <v>100</v>
      </c>
    </row>
    <row r="51" spans="1:27" x14ac:dyDescent="0.2">
      <c r="A51">
        <v>10</v>
      </c>
      <c r="B51">
        <v>2</v>
      </c>
      <c r="C51">
        <v>0.2</v>
      </c>
      <c r="D51">
        <v>20</v>
      </c>
      <c r="E51">
        <v>0.73049367616142102</v>
      </c>
      <c r="F51">
        <v>2</v>
      </c>
      <c r="G51">
        <v>28.924627008000002</v>
      </c>
      <c r="H51">
        <v>0.61628441147284396</v>
      </c>
      <c r="I51">
        <v>2</v>
      </c>
      <c r="J51">
        <v>0.26047088099999999</v>
      </c>
      <c r="V51">
        <v>0.72046974902939698</v>
      </c>
      <c r="W51">
        <v>2</v>
      </c>
      <c r="X51">
        <v>236486.43269115101</v>
      </c>
      <c r="Y51">
        <v>132575</v>
      </c>
      <c r="Z51">
        <v>0.77711989432442596</v>
      </c>
      <c r="AA51">
        <v>100</v>
      </c>
    </row>
    <row r="52" spans="1:27" x14ac:dyDescent="0.2">
      <c r="A52">
        <v>10</v>
      </c>
      <c r="B52">
        <v>2</v>
      </c>
      <c r="C52">
        <v>0.2</v>
      </c>
      <c r="D52">
        <v>20</v>
      </c>
      <c r="E52">
        <v>0.97281913008922705</v>
      </c>
      <c r="F52">
        <v>2</v>
      </c>
      <c r="G52">
        <v>25.548515099999999</v>
      </c>
      <c r="H52">
        <v>0.91494347351514305</v>
      </c>
      <c r="I52">
        <v>2</v>
      </c>
      <c r="J52">
        <v>0.35334941800000003</v>
      </c>
      <c r="V52">
        <v>0.91680489487805295</v>
      </c>
      <c r="W52">
        <v>2</v>
      </c>
      <c r="X52">
        <v>237142.981927677</v>
      </c>
      <c r="Y52">
        <v>165337</v>
      </c>
      <c r="Z52">
        <v>0.27699714338206</v>
      </c>
      <c r="AA52">
        <v>100</v>
      </c>
    </row>
    <row r="53" spans="1:27" x14ac:dyDescent="0.2">
      <c r="A53">
        <v>10</v>
      </c>
      <c r="B53">
        <v>2</v>
      </c>
      <c r="C53">
        <v>0.3</v>
      </c>
      <c r="D53">
        <v>20</v>
      </c>
      <c r="E53">
        <v>0.88405192605799798</v>
      </c>
      <c r="F53">
        <v>2</v>
      </c>
      <c r="G53">
        <v>29.128812429</v>
      </c>
      <c r="H53">
        <v>0.84158779850253795</v>
      </c>
      <c r="I53">
        <v>2</v>
      </c>
      <c r="J53">
        <v>0.37036392499999998</v>
      </c>
      <c r="V53">
        <v>0.81802527418281401</v>
      </c>
      <c r="W53">
        <v>2</v>
      </c>
      <c r="X53">
        <v>237295.542245747</v>
      </c>
      <c r="Y53">
        <v>104840</v>
      </c>
      <c r="Z53">
        <v>0.449206472514248</v>
      </c>
      <c r="AA53">
        <v>100</v>
      </c>
    </row>
    <row r="54" spans="1:27" x14ac:dyDescent="0.2">
      <c r="A54">
        <v>10</v>
      </c>
      <c r="B54">
        <v>2</v>
      </c>
      <c r="C54">
        <v>0.2</v>
      </c>
      <c r="D54">
        <v>20</v>
      </c>
      <c r="E54">
        <v>0.96449263702222898</v>
      </c>
      <c r="F54">
        <v>2</v>
      </c>
      <c r="G54">
        <v>28.918198350000001</v>
      </c>
      <c r="H54">
        <v>0.97191836594578596</v>
      </c>
      <c r="I54">
        <v>2</v>
      </c>
      <c r="J54">
        <v>0.161946283</v>
      </c>
      <c r="V54">
        <v>0.97369745827439202</v>
      </c>
      <c r="W54">
        <v>2</v>
      </c>
      <c r="X54">
        <v>238409.14468041301</v>
      </c>
      <c r="Y54">
        <v>212555</v>
      </c>
      <c r="Z54">
        <v>0.15305760351957301</v>
      </c>
      <c r="AA54">
        <v>100</v>
      </c>
    </row>
    <row r="55" spans="1:27" x14ac:dyDescent="0.2">
      <c r="A55">
        <v>10</v>
      </c>
      <c r="B55">
        <v>2</v>
      </c>
      <c r="C55">
        <v>0.1</v>
      </c>
      <c r="D55">
        <v>20</v>
      </c>
      <c r="E55">
        <v>0.94733794071477995</v>
      </c>
      <c r="F55">
        <v>2</v>
      </c>
      <c r="G55">
        <v>28.603009613000001</v>
      </c>
      <c r="H55">
        <v>0.95084659123247794</v>
      </c>
      <c r="I55">
        <v>2</v>
      </c>
      <c r="J55">
        <v>5.4739507E-2</v>
      </c>
      <c r="V55">
        <v>0.93862236791123999</v>
      </c>
      <c r="W55">
        <v>2</v>
      </c>
      <c r="X55">
        <v>226826.18197169001</v>
      </c>
      <c r="Y55">
        <v>245882</v>
      </c>
      <c r="Z55">
        <v>4.2983635820042998E-2</v>
      </c>
      <c r="AA55">
        <v>100</v>
      </c>
    </row>
    <row r="56" spans="1:27" x14ac:dyDescent="0.2">
      <c r="A56">
        <v>10</v>
      </c>
      <c r="B56">
        <v>2</v>
      </c>
      <c r="C56">
        <v>0.2</v>
      </c>
      <c r="D56">
        <v>20</v>
      </c>
      <c r="E56">
        <v>0.89260023112935205</v>
      </c>
      <c r="F56">
        <v>2</v>
      </c>
      <c r="G56">
        <v>29.227802464</v>
      </c>
      <c r="H56">
        <v>0.89627063362993498</v>
      </c>
      <c r="I56">
        <v>2</v>
      </c>
      <c r="J56">
        <v>0.14910978699999999</v>
      </c>
      <c r="V56">
        <v>0.838908967396649</v>
      </c>
      <c r="W56">
        <v>2</v>
      </c>
      <c r="X56">
        <v>238706.898030276</v>
      </c>
      <c r="Y56">
        <v>159488</v>
      </c>
      <c r="Z56">
        <v>0.297712506464892</v>
      </c>
      <c r="AA56">
        <v>100</v>
      </c>
    </row>
    <row r="57" spans="1:27" x14ac:dyDescent="0.2">
      <c r="A57">
        <v>10</v>
      </c>
      <c r="B57">
        <v>2</v>
      </c>
      <c r="C57">
        <v>0.3</v>
      </c>
      <c r="D57">
        <v>20</v>
      </c>
      <c r="E57">
        <v>0.52982744543914895</v>
      </c>
      <c r="F57">
        <v>2</v>
      </c>
      <c r="G57">
        <v>29.020825838</v>
      </c>
      <c r="H57">
        <v>0.41027438757336498</v>
      </c>
      <c r="I57">
        <v>2</v>
      </c>
      <c r="J57">
        <v>0.18044421199999999</v>
      </c>
      <c r="V57">
        <v>0.41005048880093597</v>
      </c>
      <c r="W57">
        <v>2</v>
      </c>
      <c r="X57">
        <v>239364.534471836</v>
      </c>
      <c r="Y57">
        <v>86775</v>
      </c>
      <c r="Z57">
        <v>0.83720127922074705</v>
      </c>
      <c r="AA57">
        <v>100</v>
      </c>
    </row>
    <row r="58" spans="1:27" x14ac:dyDescent="0.2">
      <c r="A58">
        <v>10</v>
      </c>
      <c r="B58">
        <v>2</v>
      </c>
      <c r="C58">
        <v>0.1</v>
      </c>
      <c r="D58">
        <v>20</v>
      </c>
      <c r="E58">
        <v>0.96798511395586195</v>
      </c>
      <c r="F58">
        <v>2</v>
      </c>
      <c r="G58">
        <v>28.991270968999999</v>
      </c>
      <c r="H58">
        <v>0.96798461686028703</v>
      </c>
      <c r="I58">
        <v>2</v>
      </c>
      <c r="J58">
        <v>3.8092373999999998E-2</v>
      </c>
      <c r="V58">
        <v>1.00110646230405</v>
      </c>
      <c r="W58">
        <v>2</v>
      </c>
      <c r="X58">
        <v>239396.87836611699</v>
      </c>
      <c r="Y58">
        <v>311991</v>
      </c>
      <c r="Z58">
        <v>3.6948241341530998E-2</v>
      </c>
      <c r="AA58">
        <v>100</v>
      </c>
    </row>
    <row r="59" spans="1:27" x14ac:dyDescent="0.2">
      <c r="A59">
        <v>10</v>
      </c>
      <c r="B59">
        <v>2</v>
      </c>
      <c r="C59">
        <v>0.2</v>
      </c>
      <c r="D59">
        <v>20</v>
      </c>
      <c r="E59">
        <v>1.2446013413559101</v>
      </c>
      <c r="F59">
        <v>2</v>
      </c>
      <c r="G59">
        <v>31.662515198000001</v>
      </c>
      <c r="H59">
        <v>0.99485549860018996</v>
      </c>
      <c r="I59">
        <v>2</v>
      </c>
      <c r="J59">
        <v>0.366229264</v>
      </c>
      <c r="V59">
        <v>0.99782432415592803</v>
      </c>
      <c r="W59">
        <v>2</v>
      </c>
      <c r="X59">
        <v>230161.001694554</v>
      </c>
      <c r="Y59">
        <v>206648</v>
      </c>
      <c r="Z59">
        <v>0.29456029574985998</v>
      </c>
      <c r="AA59">
        <v>100</v>
      </c>
    </row>
    <row r="60" spans="1:27" x14ac:dyDescent="0.2">
      <c r="A60">
        <v>10</v>
      </c>
      <c r="B60">
        <v>2</v>
      </c>
      <c r="C60">
        <v>0.4</v>
      </c>
      <c r="D60">
        <v>20</v>
      </c>
      <c r="E60">
        <v>0.664656531033196</v>
      </c>
      <c r="F60">
        <v>2</v>
      </c>
      <c r="G60">
        <v>28.515668700999999</v>
      </c>
      <c r="H60">
        <v>0.72793496087846898</v>
      </c>
      <c r="I60">
        <v>2</v>
      </c>
      <c r="J60">
        <v>0.20245084399999999</v>
      </c>
      <c r="V60">
        <v>0.72693636789149196</v>
      </c>
      <c r="W60">
        <v>2</v>
      </c>
      <c r="X60">
        <v>240144.942689691</v>
      </c>
      <c r="Y60">
        <v>86898</v>
      </c>
      <c r="Z60">
        <v>0.78508185740604897</v>
      </c>
      <c r="AA60">
        <v>100</v>
      </c>
    </row>
    <row r="61" spans="1:27" x14ac:dyDescent="0.2">
      <c r="A61">
        <v>10</v>
      </c>
      <c r="B61">
        <v>2</v>
      </c>
      <c r="C61">
        <v>0.1</v>
      </c>
      <c r="D61">
        <v>20</v>
      </c>
      <c r="E61">
        <v>1.0004097892655499</v>
      </c>
      <c r="F61">
        <v>2</v>
      </c>
      <c r="G61">
        <v>32.226552183999999</v>
      </c>
      <c r="H61">
        <v>1.00661077753738</v>
      </c>
      <c r="I61">
        <v>2</v>
      </c>
      <c r="J61">
        <v>0.160900614</v>
      </c>
      <c r="V61">
        <v>1.0375051243920199</v>
      </c>
      <c r="W61">
        <v>2</v>
      </c>
      <c r="X61">
        <v>232467.81271026901</v>
      </c>
      <c r="Y61">
        <v>208718</v>
      </c>
      <c r="Z61">
        <v>4.6685152612882801E-2</v>
      </c>
      <c r="AA61">
        <v>100</v>
      </c>
    </row>
    <row r="62" spans="1:27" x14ac:dyDescent="0.2">
      <c r="A62">
        <v>10</v>
      </c>
      <c r="B62">
        <v>2</v>
      </c>
      <c r="C62">
        <v>0.3</v>
      </c>
      <c r="D62">
        <v>20</v>
      </c>
      <c r="E62">
        <v>0.82638847292870699</v>
      </c>
      <c r="F62">
        <v>2</v>
      </c>
      <c r="G62">
        <v>28.926768173999999</v>
      </c>
      <c r="H62">
        <v>0.93238036211040198</v>
      </c>
      <c r="I62">
        <v>2</v>
      </c>
      <c r="J62">
        <v>0.21030400399999999</v>
      </c>
      <c r="V62">
        <v>0.95000881538501702</v>
      </c>
      <c r="W62">
        <v>2</v>
      </c>
      <c r="X62">
        <v>242846.094579839</v>
      </c>
      <c r="Y62">
        <v>114805</v>
      </c>
      <c r="Z62">
        <v>0.45552166760028201</v>
      </c>
      <c r="AA62">
        <v>100</v>
      </c>
    </row>
    <row r="63" spans="1:27" x14ac:dyDescent="0.2">
      <c r="A63">
        <v>10</v>
      </c>
      <c r="B63">
        <v>2</v>
      </c>
      <c r="C63">
        <v>0.4</v>
      </c>
      <c r="D63">
        <v>20</v>
      </c>
      <c r="E63">
        <v>0.45782387698559401</v>
      </c>
      <c r="F63">
        <v>2</v>
      </c>
      <c r="G63">
        <v>25.49907954</v>
      </c>
      <c r="H63">
        <v>0.37564112508379</v>
      </c>
      <c r="I63">
        <v>2</v>
      </c>
      <c r="J63">
        <v>6.8723330999999999E-2</v>
      </c>
      <c r="V63">
        <v>0.372618736219687</v>
      </c>
      <c r="W63">
        <v>2</v>
      </c>
      <c r="X63">
        <v>246023.88306850701</v>
      </c>
      <c r="Y63">
        <v>78649</v>
      </c>
      <c r="Z63">
        <v>1.66951341979593</v>
      </c>
      <c r="AA63">
        <v>100</v>
      </c>
    </row>
    <row r="64" spans="1:27" x14ac:dyDescent="0.2">
      <c r="A64">
        <v>10</v>
      </c>
      <c r="B64">
        <v>2</v>
      </c>
      <c r="C64">
        <v>0.3</v>
      </c>
      <c r="D64">
        <v>20</v>
      </c>
      <c r="E64">
        <v>0.87761677708227903</v>
      </c>
      <c r="F64">
        <v>2</v>
      </c>
      <c r="G64">
        <v>29.077712834</v>
      </c>
      <c r="H64">
        <v>0.84000097292346998</v>
      </c>
      <c r="I64">
        <v>2</v>
      </c>
      <c r="J64">
        <v>0.269178325</v>
      </c>
      <c r="V64">
        <v>0.84487155170838402</v>
      </c>
      <c r="W64">
        <v>2</v>
      </c>
      <c r="X64">
        <v>246116.48360127801</v>
      </c>
      <c r="Y64">
        <v>89838</v>
      </c>
      <c r="Z64">
        <v>0.64522634772794196</v>
      </c>
      <c r="AA64">
        <v>100</v>
      </c>
    </row>
    <row r="65" spans="1:27" x14ac:dyDescent="0.2">
      <c r="A65">
        <v>10</v>
      </c>
      <c r="B65">
        <v>2</v>
      </c>
      <c r="C65">
        <v>0.3</v>
      </c>
      <c r="D65">
        <v>20</v>
      </c>
      <c r="E65">
        <v>0.67359456194828504</v>
      </c>
      <c r="F65">
        <v>2</v>
      </c>
      <c r="G65">
        <v>32.971934040000001</v>
      </c>
      <c r="H65">
        <v>0.66776216688020695</v>
      </c>
      <c r="I65">
        <v>2</v>
      </c>
      <c r="J65">
        <v>0.29164471800000002</v>
      </c>
      <c r="V65">
        <v>0.73150975453885003</v>
      </c>
      <c r="W65">
        <v>2</v>
      </c>
      <c r="X65">
        <v>237386.54613745201</v>
      </c>
      <c r="Y65">
        <v>104393</v>
      </c>
      <c r="Z65">
        <v>0.59392834729229105</v>
      </c>
      <c r="AA65">
        <v>100</v>
      </c>
    </row>
    <row r="66" spans="1:27" x14ac:dyDescent="0.2">
      <c r="A66">
        <v>60</v>
      </c>
      <c r="B66">
        <v>1</v>
      </c>
      <c r="C66">
        <v>0.1</v>
      </c>
      <c r="D66">
        <v>20</v>
      </c>
      <c r="E66">
        <v>0.19537432675671401</v>
      </c>
      <c r="F66">
        <v>1</v>
      </c>
      <c r="G66">
        <v>28.808513462000001</v>
      </c>
      <c r="H66">
        <v>0.178515559640299</v>
      </c>
      <c r="I66">
        <v>1</v>
      </c>
      <c r="J66">
        <v>0.33512291300000002</v>
      </c>
      <c r="V66">
        <v>0.151446285665265</v>
      </c>
      <c r="W66">
        <v>1</v>
      </c>
      <c r="X66">
        <v>305253.37122100999</v>
      </c>
      <c r="Y66">
        <v>0</v>
      </c>
      <c r="Z66">
        <v>8.2222570329730296</v>
      </c>
      <c r="AA66">
        <v>50</v>
      </c>
    </row>
    <row r="67" spans="1:27" x14ac:dyDescent="0.2">
      <c r="A67">
        <v>60</v>
      </c>
      <c r="B67">
        <v>1</v>
      </c>
      <c r="C67">
        <v>0.1</v>
      </c>
      <c r="D67">
        <v>20</v>
      </c>
      <c r="E67">
        <v>0.23847292026605399</v>
      </c>
      <c r="F67">
        <v>1</v>
      </c>
      <c r="G67">
        <v>28.396268689999999</v>
      </c>
      <c r="H67">
        <v>0.186443633676421</v>
      </c>
      <c r="I67">
        <v>1</v>
      </c>
      <c r="J67">
        <v>0.75656307</v>
      </c>
      <c r="V67">
        <v>0.16439211472909601</v>
      </c>
      <c r="W67">
        <v>1</v>
      </c>
      <c r="X67">
        <v>305468.75103677303</v>
      </c>
      <c r="Y67">
        <v>0</v>
      </c>
      <c r="Z67">
        <v>5.0670396078103703</v>
      </c>
      <c r="AA67">
        <v>50</v>
      </c>
    </row>
    <row r="68" spans="1:27" x14ac:dyDescent="0.2">
      <c r="A68">
        <v>60</v>
      </c>
      <c r="B68">
        <v>1</v>
      </c>
      <c r="C68">
        <v>0.1</v>
      </c>
      <c r="D68">
        <v>20</v>
      </c>
      <c r="E68">
        <v>0.22831476630974001</v>
      </c>
      <c r="F68">
        <v>1</v>
      </c>
      <c r="G68">
        <v>31.299254298000001</v>
      </c>
      <c r="H68">
        <v>0.207036622420294</v>
      </c>
      <c r="I68">
        <v>1</v>
      </c>
      <c r="J68">
        <v>1.130669562</v>
      </c>
      <c r="V68">
        <v>0.17895646223417</v>
      </c>
      <c r="W68">
        <v>1</v>
      </c>
      <c r="X68">
        <v>305514.85026292998</v>
      </c>
      <c r="Y68">
        <v>0</v>
      </c>
      <c r="Z68">
        <v>9.5599242682851493</v>
      </c>
      <c r="AA68">
        <v>50</v>
      </c>
    </row>
    <row r="69" spans="1:27" x14ac:dyDescent="0.2">
      <c r="A69">
        <v>60</v>
      </c>
      <c r="B69">
        <v>1</v>
      </c>
      <c r="C69">
        <v>0.1</v>
      </c>
      <c r="D69">
        <v>20</v>
      </c>
      <c r="E69">
        <v>0.200303594942708</v>
      </c>
      <c r="F69">
        <v>1</v>
      </c>
      <c r="G69">
        <v>30.686834001000001</v>
      </c>
      <c r="H69">
        <v>0.20098651790369401</v>
      </c>
      <c r="I69">
        <v>1</v>
      </c>
      <c r="J69">
        <v>0.84106234999999996</v>
      </c>
      <c r="V69">
        <v>0.16479328413715499</v>
      </c>
      <c r="W69">
        <v>1</v>
      </c>
      <c r="X69">
        <v>306010.231490498</v>
      </c>
      <c r="Y69">
        <v>0</v>
      </c>
      <c r="Z69">
        <v>6.0808827390123996</v>
      </c>
      <c r="AA69">
        <v>50</v>
      </c>
    </row>
    <row r="70" spans="1:27" x14ac:dyDescent="0.2">
      <c r="A70">
        <v>60</v>
      </c>
      <c r="B70">
        <v>1</v>
      </c>
      <c r="C70">
        <v>0.1</v>
      </c>
      <c r="D70">
        <v>20</v>
      </c>
      <c r="E70">
        <v>0.22434961984798199</v>
      </c>
      <c r="F70">
        <v>1</v>
      </c>
      <c r="G70">
        <v>29.973479479000002</v>
      </c>
      <c r="H70">
        <v>0.21493233846451201</v>
      </c>
      <c r="I70">
        <v>1</v>
      </c>
      <c r="J70">
        <v>0.45842439499999998</v>
      </c>
      <c r="V70">
        <v>0.175770699662924</v>
      </c>
      <c r="W70">
        <v>1</v>
      </c>
      <c r="X70">
        <v>306081.35447018099</v>
      </c>
      <c r="Y70">
        <v>30</v>
      </c>
      <c r="Z70">
        <v>0.75390981030068305</v>
      </c>
      <c r="AA70">
        <v>50</v>
      </c>
    </row>
    <row r="71" spans="1:27" x14ac:dyDescent="0.2">
      <c r="A71">
        <v>60</v>
      </c>
      <c r="B71">
        <v>1</v>
      </c>
      <c r="C71">
        <v>0.1</v>
      </c>
      <c r="D71">
        <v>20</v>
      </c>
      <c r="E71">
        <v>0.25214210140992899</v>
      </c>
      <c r="F71">
        <v>1</v>
      </c>
      <c r="G71">
        <v>29.944895113000001</v>
      </c>
      <c r="H71">
        <v>0.19469334116617401</v>
      </c>
      <c r="I71">
        <v>1</v>
      </c>
      <c r="J71">
        <v>0.93069688500000003</v>
      </c>
      <c r="V71">
        <v>0.16639007138998299</v>
      </c>
      <c r="W71">
        <v>1</v>
      </c>
      <c r="X71">
        <v>306785.86805808998</v>
      </c>
      <c r="Y71">
        <v>0</v>
      </c>
      <c r="Z71">
        <v>4.9476528778292499</v>
      </c>
      <c r="AA71">
        <v>50</v>
      </c>
    </row>
    <row r="72" spans="1:27" x14ac:dyDescent="0.2">
      <c r="A72">
        <v>60</v>
      </c>
      <c r="B72">
        <v>1</v>
      </c>
      <c r="C72">
        <v>0.1</v>
      </c>
      <c r="D72">
        <v>20</v>
      </c>
      <c r="E72">
        <v>0.230725739105438</v>
      </c>
      <c r="F72">
        <v>1</v>
      </c>
      <c r="G72">
        <v>28.325365617999999</v>
      </c>
      <c r="H72">
        <v>0.176660462899006</v>
      </c>
      <c r="I72">
        <v>1</v>
      </c>
      <c r="J72">
        <v>0.92975328800000001</v>
      </c>
      <c r="V72">
        <v>0.14814783144618701</v>
      </c>
      <c r="W72">
        <v>1</v>
      </c>
      <c r="X72">
        <v>307105.38378264202</v>
      </c>
      <c r="Y72">
        <v>0</v>
      </c>
      <c r="Z72">
        <v>6.4448091620170702</v>
      </c>
      <c r="AA72">
        <v>50</v>
      </c>
    </row>
    <row r="73" spans="1:27" x14ac:dyDescent="0.2">
      <c r="A73">
        <v>60</v>
      </c>
      <c r="B73">
        <v>1</v>
      </c>
      <c r="C73">
        <v>0.1</v>
      </c>
      <c r="D73">
        <v>20</v>
      </c>
      <c r="E73">
        <v>0.325773705591552</v>
      </c>
      <c r="F73">
        <v>1</v>
      </c>
      <c r="G73">
        <v>28.419988014000001</v>
      </c>
      <c r="H73">
        <v>0.2495422390075</v>
      </c>
      <c r="I73">
        <v>1</v>
      </c>
      <c r="J73">
        <v>0.69128141899999995</v>
      </c>
      <c r="V73">
        <v>0.21685413514394</v>
      </c>
      <c r="W73">
        <v>1</v>
      </c>
      <c r="X73">
        <v>307193.55952326697</v>
      </c>
      <c r="Y73">
        <v>0</v>
      </c>
      <c r="Z73">
        <v>6.8745105033770102</v>
      </c>
      <c r="AA73">
        <v>50</v>
      </c>
    </row>
    <row r="74" spans="1:27" x14ac:dyDescent="0.2">
      <c r="A74">
        <v>60</v>
      </c>
      <c r="B74">
        <v>1</v>
      </c>
      <c r="C74">
        <v>0.1</v>
      </c>
      <c r="D74">
        <v>20</v>
      </c>
      <c r="E74">
        <v>0.22492794531268601</v>
      </c>
      <c r="F74">
        <v>1</v>
      </c>
      <c r="G74">
        <v>28.401347583</v>
      </c>
      <c r="H74">
        <v>0.22966191046926901</v>
      </c>
      <c r="I74">
        <v>1</v>
      </c>
      <c r="J74">
        <v>0.56296410200000002</v>
      </c>
      <c r="V74">
        <v>0.183972514357815</v>
      </c>
      <c r="W74">
        <v>1</v>
      </c>
      <c r="X74">
        <v>307352.917160479</v>
      </c>
      <c r="Y74">
        <v>0</v>
      </c>
      <c r="Z74">
        <v>4.6328780977125303</v>
      </c>
      <c r="AA74">
        <v>50</v>
      </c>
    </row>
    <row r="75" spans="1:27" x14ac:dyDescent="0.2">
      <c r="A75">
        <v>60</v>
      </c>
      <c r="B75">
        <v>1</v>
      </c>
      <c r="C75">
        <v>0.1</v>
      </c>
      <c r="D75">
        <v>20</v>
      </c>
      <c r="E75">
        <v>0.24037594171104801</v>
      </c>
      <c r="F75">
        <v>1</v>
      </c>
      <c r="G75">
        <v>29.241885992</v>
      </c>
      <c r="H75">
        <v>0.19035363612747799</v>
      </c>
      <c r="I75">
        <v>1</v>
      </c>
      <c r="J75">
        <v>0.82557803600000002</v>
      </c>
      <c r="V75">
        <v>0.16058280231312899</v>
      </c>
      <c r="W75">
        <v>1</v>
      </c>
      <c r="X75">
        <v>307385.90732950001</v>
      </c>
      <c r="Y75">
        <v>0</v>
      </c>
      <c r="Z75">
        <v>6.7198406637876698</v>
      </c>
      <c r="AA75">
        <v>50</v>
      </c>
    </row>
    <row r="76" spans="1:27" x14ac:dyDescent="0.2">
      <c r="A76">
        <v>60</v>
      </c>
      <c r="B76">
        <v>1</v>
      </c>
      <c r="C76">
        <v>0.1</v>
      </c>
      <c r="D76">
        <v>20</v>
      </c>
      <c r="E76">
        <v>0.17993961838658801</v>
      </c>
      <c r="F76">
        <v>1</v>
      </c>
      <c r="G76">
        <v>28.694149766999999</v>
      </c>
      <c r="H76">
        <v>0.185099659435703</v>
      </c>
      <c r="I76">
        <v>1</v>
      </c>
      <c r="J76">
        <v>0.71771752</v>
      </c>
      <c r="V76">
        <v>0.17019826320861001</v>
      </c>
      <c r="W76">
        <v>1</v>
      </c>
      <c r="X76">
        <v>307535.622265946</v>
      </c>
      <c r="Y76">
        <v>0</v>
      </c>
      <c r="Z76">
        <v>4.9282226461018501</v>
      </c>
      <c r="AA76">
        <v>50</v>
      </c>
    </row>
    <row r="77" spans="1:27" x14ac:dyDescent="0.2">
      <c r="A77">
        <v>60</v>
      </c>
      <c r="B77">
        <v>1</v>
      </c>
      <c r="C77">
        <v>0.1</v>
      </c>
      <c r="D77">
        <v>20</v>
      </c>
      <c r="E77">
        <v>0.350310931579839</v>
      </c>
      <c r="F77">
        <v>1</v>
      </c>
      <c r="G77">
        <v>28.504105832</v>
      </c>
      <c r="H77">
        <v>0.25833311302036799</v>
      </c>
      <c r="I77">
        <v>1</v>
      </c>
      <c r="J77">
        <v>0.77532588099999999</v>
      </c>
      <c r="V77">
        <v>0.23903232017949499</v>
      </c>
      <c r="W77">
        <v>1</v>
      </c>
      <c r="X77">
        <v>307544.23104048503</v>
      </c>
      <c r="Y77">
        <v>0</v>
      </c>
      <c r="Z77">
        <v>7.6315742967236098</v>
      </c>
      <c r="AA77">
        <v>50</v>
      </c>
    </row>
    <row r="78" spans="1:27" x14ac:dyDescent="0.2">
      <c r="A78">
        <v>60</v>
      </c>
      <c r="B78">
        <v>1</v>
      </c>
      <c r="C78">
        <v>0.1</v>
      </c>
      <c r="D78">
        <v>20</v>
      </c>
      <c r="E78">
        <v>0.35058009249285899</v>
      </c>
      <c r="F78">
        <v>1</v>
      </c>
      <c r="G78">
        <v>28.469272473</v>
      </c>
      <c r="H78">
        <v>0.346691988515549</v>
      </c>
      <c r="I78">
        <v>1</v>
      </c>
      <c r="J78">
        <v>0.61825091700000001</v>
      </c>
      <c r="V78">
        <v>0.32496468939133599</v>
      </c>
      <c r="W78">
        <v>1</v>
      </c>
      <c r="X78">
        <v>307927.85070074</v>
      </c>
      <c r="Y78">
        <v>0</v>
      </c>
      <c r="Z78">
        <v>12.6220673662694</v>
      </c>
      <c r="AA78">
        <v>50</v>
      </c>
    </row>
    <row r="79" spans="1:27" x14ac:dyDescent="0.2">
      <c r="A79">
        <v>60</v>
      </c>
      <c r="B79">
        <v>1</v>
      </c>
      <c r="C79">
        <v>0.1</v>
      </c>
      <c r="D79">
        <v>20</v>
      </c>
      <c r="E79">
        <v>0.200460032864967</v>
      </c>
      <c r="F79">
        <v>1</v>
      </c>
      <c r="G79">
        <v>28.598409376999999</v>
      </c>
      <c r="H79">
        <v>0.164291217770413</v>
      </c>
      <c r="I79">
        <v>1</v>
      </c>
      <c r="J79">
        <v>0.42973317300000002</v>
      </c>
      <c r="V79">
        <v>0.13821481438838401</v>
      </c>
      <c r="W79">
        <v>1</v>
      </c>
      <c r="X79">
        <v>308128.84927760501</v>
      </c>
      <c r="Y79">
        <v>0</v>
      </c>
      <c r="Z79">
        <v>5.79957298948547</v>
      </c>
      <c r="AA79">
        <v>50</v>
      </c>
    </row>
    <row r="80" spans="1:27" x14ac:dyDescent="0.2">
      <c r="A80">
        <v>60</v>
      </c>
      <c r="B80">
        <v>1</v>
      </c>
      <c r="C80">
        <v>0.1</v>
      </c>
      <c r="D80">
        <v>20</v>
      </c>
      <c r="E80">
        <v>0.20878488101374801</v>
      </c>
      <c r="F80">
        <v>1</v>
      </c>
      <c r="G80">
        <v>28.285116087999999</v>
      </c>
      <c r="H80">
        <v>0.21342981463432001</v>
      </c>
      <c r="I80">
        <v>1</v>
      </c>
      <c r="J80">
        <v>0.80572347</v>
      </c>
      <c r="V80">
        <v>0.18057532676586599</v>
      </c>
      <c r="W80">
        <v>1</v>
      </c>
      <c r="X80">
        <v>308259.59093464399</v>
      </c>
      <c r="Y80">
        <v>0</v>
      </c>
      <c r="Z80">
        <v>6.90198734317761</v>
      </c>
      <c r="AA80">
        <v>50</v>
      </c>
    </row>
    <row r="81" spans="1:27" x14ac:dyDescent="0.2">
      <c r="A81">
        <v>60</v>
      </c>
      <c r="B81">
        <v>1</v>
      </c>
      <c r="C81">
        <v>0.1</v>
      </c>
      <c r="D81">
        <v>20</v>
      </c>
      <c r="E81">
        <v>0.38535207825476803</v>
      </c>
      <c r="F81">
        <v>1</v>
      </c>
      <c r="G81">
        <v>28.372618691</v>
      </c>
      <c r="H81">
        <v>0.37640781687556502</v>
      </c>
      <c r="I81">
        <v>1</v>
      </c>
      <c r="J81">
        <v>0.73597828399999998</v>
      </c>
      <c r="V81">
        <v>0.36448272630425399</v>
      </c>
      <c r="W81">
        <v>1</v>
      </c>
      <c r="X81">
        <v>308377.88359851902</v>
      </c>
      <c r="Y81">
        <v>0</v>
      </c>
      <c r="Z81">
        <v>7.0135166674846099</v>
      </c>
      <c r="AA81">
        <v>50</v>
      </c>
    </row>
    <row r="82" spans="1:27" x14ac:dyDescent="0.2">
      <c r="A82">
        <v>60</v>
      </c>
      <c r="B82">
        <v>1</v>
      </c>
      <c r="C82">
        <v>0.1</v>
      </c>
      <c r="D82">
        <v>20</v>
      </c>
      <c r="E82">
        <v>0.29874894910030098</v>
      </c>
      <c r="F82">
        <v>1</v>
      </c>
      <c r="G82">
        <v>28.730136026</v>
      </c>
      <c r="H82">
        <v>0.22611436647139199</v>
      </c>
      <c r="I82">
        <v>1</v>
      </c>
      <c r="J82">
        <v>0.78693491400000004</v>
      </c>
      <c r="V82">
        <v>0.20181951548176999</v>
      </c>
      <c r="W82">
        <v>1</v>
      </c>
      <c r="X82">
        <v>308467.17626153899</v>
      </c>
      <c r="Y82">
        <v>0</v>
      </c>
      <c r="Z82">
        <v>4.6756169263090497</v>
      </c>
      <c r="AA82">
        <v>50</v>
      </c>
    </row>
    <row r="83" spans="1:27" x14ac:dyDescent="0.2">
      <c r="A83">
        <v>60</v>
      </c>
      <c r="B83">
        <v>1</v>
      </c>
      <c r="C83">
        <v>0.1</v>
      </c>
      <c r="D83">
        <v>20</v>
      </c>
      <c r="E83">
        <v>0.393050144727837</v>
      </c>
      <c r="F83">
        <v>1</v>
      </c>
      <c r="G83">
        <v>27.921171591</v>
      </c>
      <c r="H83">
        <v>0.32579428927564402</v>
      </c>
      <c r="I83">
        <v>1</v>
      </c>
      <c r="J83">
        <v>0.53535874000000006</v>
      </c>
      <c r="V83">
        <v>0.30955945759019299</v>
      </c>
      <c r="W83">
        <v>1</v>
      </c>
      <c r="X83">
        <v>308535.02192429599</v>
      </c>
      <c r="Y83">
        <v>37</v>
      </c>
      <c r="Z83">
        <v>0.85340961759855005</v>
      </c>
      <c r="AA83">
        <v>50</v>
      </c>
    </row>
    <row r="84" spans="1:27" x14ac:dyDescent="0.2">
      <c r="A84">
        <v>60</v>
      </c>
      <c r="B84">
        <v>1</v>
      </c>
      <c r="C84">
        <v>0.1</v>
      </c>
      <c r="D84">
        <v>20</v>
      </c>
      <c r="E84">
        <v>0.37263960943865798</v>
      </c>
      <c r="F84">
        <v>1</v>
      </c>
      <c r="G84">
        <v>28.596220688999999</v>
      </c>
      <c r="H84">
        <v>0.25455071888872599</v>
      </c>
      <c r="I84">
        <v>1</v>
      </c>
      <c r="J84">
        <v>0.89268993799999996</v>
      </c>
      <c r="V84">
        <v>0.22969228124903901</v>
      </c>
      <c r="W84">
        <v>1</v>
      </c>
      <c r="X84">
        <v>309028.396456988</v>
      </c>
      <c r="Y84">
        <v>0</v>
      </c>
      <c r="Z84">
        <v>11.279486333835401</v>
      </c>
      <c r="AA84">
        <v>50</v>
      </c>
    </row>
    <row r="85" spans="1:27" x14ac:dyDescent="0.2">
      <c r="A85">
        <v>60</v>
      </c>
      <c r="B85">
        <v>1</v>
      </c>
      <c r="C85">
        <v>0.1</v>
      </c>
      <c r="D85">
        <v>20</v>
      </c>
      <c r="E85">
        <v>0.229096923035956</v>
      </c>
      <c r="F85">
        <v>1</v>
      </c>
      <c r="G85">
        <v>28.492832228000001</v>
      </c>
      <c r="H85">
        <v>0.19571733676140499</v>
      </c>
      <c r="I85">
        <v>1</v>
      </c>
      <c r="J85">
        <v>1.0081084010000001</v>
      </c>
      <c r="V85">
        <v>0.164372050465453</v>
      </c>
      <c r="W85">
        <v>1</v>
      </c>
      <c r="X85">
        <v>310697.306368283</v>
      </c>
      <c r="Y85">
        <v>1</v>
      </c>
      <c r="Z85">
        <v>0.86257987620344601</v>
      </c>
      <c r="AA85">
        <v>50</v>
      </c>
    </row>
    <row r="86" spans="1:27" x14ac:dyDescent="0.2">
      <c r="A86">
        <v>60</v>
      </c>
      <c r="B86">
        <v>1</v>
      </c>
      <c r="C86">
        <v>0.1</v>
      </c>
      <c r="D86">
        <v>20</v>
      </c>
      <c r="E86">
        <v>0.108470251365842</v>
      </c>
      <c r="F86">
        <v>1</v>
      </c>
      <c r="G86">
        <v>29.900210588</v>
      </c>
      <c r="H86">
        <v>0.12893679657225601</v>
      </c>
      <c r="I86">
        <v>1</v>
      </c>
      <c r="J86">
        <v>0.638158369</v>
      </c>
      <c r="V86">
        <v>0.104987782604506</v>
      </c>
      <c r="W86">
        <v>1</v>
      </c>
      <c r="X86">
        <v>306585.046858243</v>
      </c>
      <c r="Y86">
        <v>0</v>
      </c>
      <c r="Z86">
        <v>5.8175834069496597</v>
      </c>
      <c r="AA86">
        <v>50</v>
      </c>
    </row>
    <row r="87" spans="1:27" x14ac:dyDescent="0.2">
      <c r="A87">
        <v>60</v>
      </c>
      <c r="B87">
        <v>1</v>
      </c>
      <c r="C87">
        <v>0.1</v>
      </c>
      <c r="D87">
        <v>20</v>
      </c>
      <c r="E87">
        <v>0.24200630439623799</v>
      </c>
      <c r="F87">
        <v>1</v>
      </c>
      <c r="G87">
        <v>35.189743956999997</v>
      </c>
      <c r="H87">
        <v>0.19092214445726899</v>
      </c>
      <c r="I87">
        <v>1</v>
      </c>
      <c r="J87">
        <v>1.1003346869999999</v>
      </c>
      <c r="V87">
        <v>0.17500492287344999</v>
      </c>
      <c r="W87">
        <v>1</v>
      </c>
      <c r="X87">
        <v>311249.42952141498</v>
      </c>
      <c r="Y87">
        <v>0</v>
      </c>
      <c r="Z87">
        <v>11.842424586405301</v>
      </c>
      <c r="AA87">
        <v>50</v>
      </c>
    </row>
    <row r="88" spans="1:27" x14ac:dyDescent="0.2">
      <c r="A88" s="9" t="s">
        <v>40</v>
      </c>
      <c r="B88" t="s">
        <v>40</v>
      </c>
      <c r="C88" t="s">
        <v>40</v>
      </c>
      <c r="D88" s="9" t="s">
        <v>40</v>
      </c>
      <c r="E88" t="s">
        <v>40</v>
      </c>
      <c r="F88" t="s">
        <v>40</v>
      </c>
      <c r="P88" s="11"/>
      <c r="Q88" s="11"/>
    </row>
    <row r="89" spans="1:27" x14ac:dyDescent="0.2">
      <c r="A89" s="9" t="s">
        <v>40</v>
      </c>
      <c r="B89" t="s">
        <v>40</v>
      </c>
      <c r="C89" t="s">
        <v>40</v>
      </c>
      <c r="D89" s="9" t="s">
        <v>40</v>
      </c>
      <c r="E89" t="s">
        <v>40</v>
      </c>
      <c r="F89" t="s">
        <v>40</v>
      </c>
      <c r="P89" s="11"/>
      <c r="Q89" s="11"/>
    </row>
    <row r="90" spans="1:27" x14ac:dyDescent="0.2">
      <c r="A90" s="9" t="s">
        <v>40</v>
      </c>
      <c r="B90" t="s">
        <v>40</v>
      </c>
      <c r="C90" t="s">
        <v>40</v>
      </c>
      <c r="D90" s="9" t="s">
        <v>40</v>
      </c>
      <c r="E90" t="s">
        <v>40</v>
      </c>
      <c r="F90" t="s">
        <v>40</v>
      </c>
      <c r="P90" s="11"/>
      <c r="Q90" s="11"/>
    </row>
    <row r="91" spans="1:27" x14ac:dyDescent="0.2">
      <c r="A91" s="9" t="s">
        <v>40</v>
      </c>
      <c r="B91" t="s">
        <v>40</v>
      </c>
      <c r="C91" t="s">
        <v>40</v>
      </c>
      <c r="D91" s="9" t="s">
        <v>40</v>
      </c>
      <c r="E91" t="s">
        <v>40</v>
      </c>
      <c r="F91" t="s">
        <v>40</v>
      </c>
      <c r="P91" s="11"/>
      <c r="Q91" s="11"/>
    </row>
    <row r="92" spans="1:27" x14ac:dyDescent="0.2">
      <c r="A92" s="9" t="s">
        <v>40</v>
      </c>
      <c r="B92" t="s">
        <v>40</v>
      </c>
      <c r="C92" t="s">
        <v>40</v>
      </c>
      <c r="D92" s="9" t="s">
        <v>40</v>
      </c>
      <c r="E92" t="s">
        <v>40</v>
      </c>
      <c r="F92" t="s">
        <v>40</v>
      </c>
      <c r="P92" s="11"/>
      <c r="Q92" s="11"/>
    </row>
    <row r="93" spans="1:27" x14ac:dyDescent="0.2">
      <c r="A93" s="9" t="s">
        <v>40</v>
      </c>
      <c r="B93" t="s">
        <v>40</v>
      </c>
      <c r="C93" t="s">
        <v>40</v>
      </c>
      <c r="D93" s="9" t="s">
        <v>40</v>
      </c>
      <c r="E93" t="s">
        <v>40</v>
      </c>
      <c r="F93" t="s">
        <v>40</v>
      </c>
      <c r="P93" s="11"/>
      <c r="Q93" s="11"/>
    </row>
    <row r="94" spans="1:27" x14ac:dyDescent="0.2">
      <c r="A94" s="9" t="s">
        <v>40</v>
      </c>
      <c r="B94" t="s">
        <v>40</v>
      </c>
      <c r="C94" t="s">
        <v>40</v>
      </c>
      <c r="D94" s="9" t="s">
        <v>40</v>
      </c>
      <c r="E94" t="s">
        <v>40</v>
      </c>
      <c r="F94" t="s">
        <v>40</v>
      </c>
      <c r="P94" s="11"/>
      <c r="Q94" s="11"/>
    </row>
    <row r="95" spans="1:27" x14ac:dyDescent="0.2">
      <c r="A95" s="9" t="s">
        <v>40</v>
      </c>
      <c r="B95" t="s">
        <v>40</v>
      </c>
      <c r="C95" t="s">
        <v>40</v>
      </c>
      <c r="D95" s="9" t="s">
        <v>40</v>
      </c>
      <c r="E95" t="s">
        <v>40</v>
      </c>
      <c r="F95" t="s">
        <v>40</v>
      </c>
      <c r="P95" s="11"/>
      <c r="Q95" s="11"/>
    </row>
    <row r="96" spans="1:27" x14ac:dyDescent="0.2">
      <c r="A96" s="9" t="s">
        <v>40</v>
      </c>
      <c r="B96" t="s">
        <v>40</v>
      </c>
      <c r="C96" t="s">
        <v>40</v>
      </c>
      <c r="D96" s="9" t="s">
        <v>40</v>
      </c>
      <c r="E96" t="s">
        <v>40</v>
      </c>
      <c r="F96" t="s">
        <v>40</v>
      </c>
      <c r="P96" s="11"/>
      <c r="Q96" s="11"/>
    </row>
    <row r="97" spans="4:17" x14ac:dyDescent="0.2">
      <c r="D97" s="9" t="s">
        <v>40</v>
      </c>
      <c r="E97" t="s">
        <v>40</v>
      </c>
      <c r="F97" t="s">
        <v>40</v>
      </c>
      <c r="P97" s="11"/>
      <c r="Q97" s="1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6A3-75D4-634F-9ED1-F19D24E8DA7F}">
  <dimension ref="A1:AD3110"/>
  <sheetViews>
    <sheetView tabSelected="1" workbookViewId="0">
      <pane xSplit="5" ySplit="1" topLeftCell="F175" activePane="bottomRight" state="frozen"/>
      <selection pane="topRight" activeCell="F1" sqref="F1"/>
      <selection pane="bottomLeft" activeCell="A2" sqref="A2"/>
      <selection pane="bottomRight" activeCell="S215" sqref="S215:W215"/>
    </sheetView>
  </sheetViews>
  <sheetFormatPr baseColWidth="10" defaultRowHeight="16" x14ac:dyDescent="0.2"/>
  <cols>
    <col min="6" max="6" width="10.83203125" style="5"/>
    <col min="12" max="12" width="10.83203125" style="5"/>
  </cols>
  <sheetData>
    <row r="1" spans="1:23" x14ac:dyDescent="0.2">
      <c r="F1" s="5" t="s">
        <v>0</v>
      </c>
      <c r="L1" s="5" t="s">
        <v>1</v>
      </c>
      <c r="S1" t="s">
        <v>50</v>
      </c>
    </row>
    <row r="2" spans="1:23" x14ac:dyDescent="0.2">
      <c r="A2" t="s">
        <v>2</v>
      </c>
      <c r="B2" t="s">
        <v>3</v>
      </c>
      <c r="C2" t="s">
        <v>4</v>
      </c>
      <c r="D2" t="s">
        <v>45</v>
      </c>
      <c r="E2" t="s">
        <v>26</v>
      </c>
      <c r="F2" s="5" t="s">
        <v>16</v>
      </c>
      <c r="G2" t="s">
        <v>17</v>
      </c>
      <c r="H2" t="s">
        <v>18</v>
      </c>
      <c r="I2" t="s">
        <v>19</v>
      </c>
      <c r="J2" t="s">
        <v>20</v>
      </c>
      <c r="K2" t="s">
        <v>21</v>
      </c>
      <c r="L2" s="5" t="s">
        <v>16</v>
      </c>
      <c r="M2" t="s">
        <v>17</v>
      </c>
      <c r="N2" t="s">
        <v>18</v>
      </c>
      <c r="O2" t="s">
        <v>22</v>
      </c>
      <c r="P2" t="s">
        <v>20</v>
      </c>
      <c r="Q2" t="s">
        <v>21</v>
      </c>
      <c r="R2" t="s">
        <v>48</v>
      </c>
      <c r="S2" s="5" t="s">
        <v>52</v>
      </c>
      <c r="T2" t="s">
        <v>53</v>
      </c>
      <c r="U2" t="s">
        <v>54</v>
      </c>
      <c r="V2" t="s">
        <v>51</v>
      </c>
      <c r="W2" t="s">
        <v>55</v>
      </c>
    </row>
    <row r="3" spans="1:23" x14ac:dyDescent="0.2">
      <c r="A3">
        <v>10</v>
      </c>
      <c r="B3">
        <v>1</v>
      </c>
      <c r="C3">
        <v>0.1</v>
      </c>
      <c r="D3">
        <v>1</v>
      </c>
      <c r="E3" s="13">
        <v>20</v>
      </c>
      <c r="F3">
        <v>1.09518987694714</v>
      </c>
      <c r="G3">
        <v>1</v>
      </c>
      <c r="H3">
        <v>3248.4017348080001</v>
      </c>
      <c r="I3">
        <v>17770</v>
      </c>
      <c r="J3" s="1">
        <v>4.1795554788226497E-6</v>
      </c>
      <c r="K3">
        <v>10684</v>
      </c>
      <c r="L3">
        <v>1.0586940350580201</v>
      </c>
      <c r="M3">
        <v>1</v>
      </c>
      <c r="N3">
        <v>92.343825124000006</v>
      </c>
      <c r="O3">
        <v>0</v>
      </c>
      <c r="P3">
        <v>4.1771985997641998E-4</v>
      </c>
      <c r="Q3">
        <v>2</v>
      </c>
      <c r="R3">
        <v>1</v>
      </c>
      <c r="S3">
        <v>1.0549276972684001</v>
      </c>
      <c r="T3">
        <v>1</v>
      </c>
      <c r="U3">
        <v>3610.7455466060001</v>
      </c>
      <c r="V3">
        <v>408087</v>
      </c>
      <c r="W3">
        <v>2.3905238018854899E-2</v>
      </c>
    </row>
    <row r="4" spans="1:23" x14ac:dyDescent="0.2">
      <c r="A4">
        <v>10</v>
      </c>
      <c r="B4">
        <v>1</v>
      </c>
      <c r="C4">
        <v>0.1</v>
      </c>
      <c r="D4">
        <v>2</v>
      </c>
      <c r="E4" s="13">
        <v>20</v>
      </c>
      <c r="F4">
        <v>0.78349498548304297</v>
      </c>
      <c r="G4">
        <v>1</v>
      </c>
      <c r="H4">
        <v>1234.604699596</v>
      </c>
      <c r="I4">
        <v>3066</v>
      </c>
      <c r="J4" s="1">
        <v>3.6094752431381399E-7</v>
      </c>
      <c r="K4">
        <v>2494</v>
      </c>
      <c r="L4">
        <v>1.0029741324616499</v>
      </c>
      <c r="M4">
        <v>1</v>
      </c>
      <c r="N4">
        <v>94.311680285999998</v>
      </c>
      <c r="O4">
        <v>1</v>
      </c>
      <c r="P4">
        <v>1.14060737951708E-3</v>
      </c>
      <c r="Q4">
        <v>2</v>
      </c>
      <c r="R4">
        <v>2</v>
      </c>
      <c r="S4">
        <v>1.00549054258751</v>
      </c>
      <c r="T4">
        <v>1</v>
      </c>
      <c r="U4">
        <v>3609.0373310750001</v>
      </c>
      <c r="V4">
        <v>368030</v>
      </c>
      <c r="W4">
        <v>1.9830352132545099E-2</v>
      </c>
    </row>
    <row r="5" spans="1:23" x14ac:dyDescent="0.2">
      <c r="A5">
        <v>10</v>
      </c>
      <c r="B5">
        <v>1</v>
      </c>
      <c r="C5">
        <v>0.1</v>
      </c>
      <c r="D5">
        <v>3</v>
      </c>
      <c r="E5" s="13">
        <v>20</v>
      </c>
      <c r="F5">
        <v>1.1569511002071899</v>
      </c>
      <c r="G5">
        <v>1</v>
      </c>
      <c r="H5">
        <v>859.75253871500001</v>
      </c>
      <c r="I5">
        <v>2625</v>
      </c>
      <c r="J5" s="1">
        <v>8.9844499867319794E-6</v>
      </c>
      <c r="K5">
        <v>2076</v>
      </c>
      <c r="L5">
        <v>1.1003425029849701</v>
      </c>
      <c r="M5">
        <v>1</v>
      </c>
      <c r="N5">
        <v>83.174088451000003</v>
      </c>
      <c r="O5">
        <v>0</v>
      </c>
      <c r="P5">
        <v>1.24286356458627E-4</v>
      </c>
      <c r="Q5">
        <v>2</v>
      </c>
      <c r="R5">
        <v>1</v>
      </c>
      <c r="S5">
        <v>0.77388185483233995</v>
      </c>
      <c r="T5">
        <v>1</v>
      </c>
      <c r="U5">
        <v>3609.7061091669998</v>
      </c>
      <c r="V5">
        <v>378978</v>
      </c>
      <c r="W5">
        <v>3.6054985248719897E-2</v>
      </c>
    </row>
    <row r="6" spans="1:23" x14ac:dyDescent="0.2">
      <c r="A6">
        <v>10</v>
      </c>
      <c r="B6">
        <v>1</v>
      </c>
      <c r="C6">
        <v>0.1</v>
      </c>
      <c r="D6">
        <v>4</v>
      </c>
      <c r="E6" s="13">
        <v>20</v>
      </c>
      <c r="F6">
        <v>1.1546478123086501</v>
      </c>
      <c r="G6">
        <v>1</v>
      </c>
      <c r="H6">
        <v>2496.2708010689998</v>
      </c>
      <c r="I6">
        <v>18058</v>
      </c>
      <c r="J6" s="1">
        <v>1.6702962331860399E-5</v>
      </c>
      <c r="K6">
        <v>10284</v>
      </c>
      <c r="L6">
        <v>1.13670112475118</v>
      </c>
      <c r="M6">
        <v>1</v>
      </c>
      <c r="N6">
        <v>85.919263016000002</v>
      </c>
      <c r="O6">
        <v>0</v>
      </c>
      <c r="P6">
        <v>1.9791197874626798E-3</v>
      </c>
      <c r="Q6">
        <v>2</v>
      </c>
      <c r="R6">
        <v>1</v>
      </c>
      <c r="S6">
        <v>1.1341897259376099</v>
      </c>
      <c r="T6">
        <v>1</v>
      </c>
      <c r="U6">
        <v>3610.2890285660001</v>
      </c>
      <c r="V6">
        <v>380635</v>
      </c>
      <c r="W6">
        <v>4.2912936001032499E-2</v>
      </c>
    </row>
    <row r="7" spans="1:23" x14ac:dyDescent="0.2">
      <c r="A7">
        <v>10</v>
      </c>
      <c r="B7">
        <v>1</v>
      </c>
      <c r="C7">
        <v>0.1</v>
      </c>
      <c r="D7">
        <v>5</v>
      </c>
      <c r="E7" s="13">
        <v>20</v>
      </c>
      <c r="F7">
        <v>0.80890769944204199</v>
      </c>
      <c r="G7">
        <v>1</v>
      </c>
      <c r="H7">
        <v>2228.6488773320002</v>
      </c>
      <c r="I7">
        <v>14982</v>
      </c>
      <c r="J7" s="1">
        <v>1.9965010796922602E-6</v>
      </c>
      <c r="K7">
        <v>8414</v>
      </c>
      <c r="L7">
        <v>0.80407317740881001</v>
      </c>
      <c r="M7">
        <v>1</v>
      </c>
      <c r="N7">
        <v>89.936112867000006</v>
      </c>
      <c r="O7">
        <v>0</v>
      </c>
      <c r="P7" s="1">
        <v>1.4035692620702799E-5</v>
      </c>
      <c r="Q7">
        <v>2</v>
      </c>
      <c r="R7">
        <v>1</v>
      </c>
      <c r="S7">
        <v>1.1320476929177401</v>
      </c>
      <c r="T7">
        <v>1</v>
      </c>
      <c r="U7">
        <v>3610.3194690099999</v>
      </c>
      <c r="V7">
        <v>341635</v>
      </c>
      <c r="W7">
        <v>1.8427294050741401E-2</v>
      </c>
    </row>
    <row r="8" spans="1:23" x14ac:dyDescent="0.2">
      <c r="A8">
        <v>10</v>
      </c>
      <c r="B8">
        <v>1</v>
      </c>
      <c r="C8">
        <v>0.1</v>
      </c>
      <c r="D8">
        <v>6</v>
      </c>
      <c r="E8" s="13">
        <v>20</v>
      </c>
      <c r="F8">
        <v>1.09735881538942</v>
      </c>
      <c r="G8">
        <v>1</v>
      </c>
      <c r="H8">
        <v>1313.103669612</v>
      </c>
      <c r="I8">
        <v>8503</v>
      </c>
      <c r="J8" s="1">
        <v>2.5782116373912402E-6</v>
      </c>
      <c r="K8">
        <v>5834</v>
      </c>
      <c r="L8">
        <v>0.93007027007158105</v>
      </c>
      <c r="M8">
        <v>1</v>
      </c>
      <c r="N8">
        <v>86.288280146000005</v>
      </c>
      <c r="O8">
        <v>1</v>
      </c>
      <c r="P8">
        <v>3.8253652243308502E-4</v>
      </c>
      <c r="Q8">
        <v>2</v>
      </c>
      <c r="R8">
        <v>2</v>
      </c>
      <c r="S8">
        <v>0.88340768800209801</v>
      </c>
      <c r="T8">
        <v>1</v>
      </c>
      <c r="U8">
        <v>3610.47907966</v>
      </c>
      <c r="V8">
        <v>278061</v>
      </c>
      <c r="W8">
        <v>2.46858913575107E-2</v>
      </c>
    </row>
    <row r="9" spans="1:23" x14ac:dyDescent="0.2">
      <c r="A9">
        <v>10</v>
      </c>
      <c r="B9">
        <v>1</v>
      </c>
      <c r="C9">
        <v>0.1</v>
      </c>
      <c r="D9">
        <v>7</v>
      </c>
      <c r="E9" s="13">
        <v>20</v>
      </c>
      <c r="F9">
        <v>0.68498715746624705</v>
      </c>
      <c r="G9">
        <v>1</v>
      </c>
      <c r="H9">
        <v>4971.630411608</v>
      </c>
      <c r="I9">
        <v>26004</v>
      </c>
      <c r="J9" s="1">
        <v>7.4522055308334702E-6</v>
      </c>
      <c r="K9">
        <v>15655</v>
      </c>
      <c r="L9">
        <v>1.0830676699548201</v>
      </c>
      <c r="M9">
        <v>1</v>
      </c>
      <c r="N9">
        <v>82.822575798000003</v>
      </c>
      <c r="O9">
        <v>1</v>
      </c>
      <c r="P9">
        <v>1.4043451055725099E-3</v>
      </c>
      <c r="Q9">
        <v>2</v>
      </c>
      <c r="R9">
        <v>2</v>
      </c>
      <c r="S9">
        <v>0.84617504945954602</v>
      </c>
      <c r="T9">
        <v>1</v>
      </c>
      <c r="U9">
        <v>3608.9628070650001</v>
      </c>
      <c r="V9">
        <v>459966</v>
      </c>
      <c r="W9">
        <v>2.3502588945480501E-2</v>
      </c>
    </row>
    <row r="10" spans="1:23" x14ac:dyDescent="0.2">
      <c r="A10">
        <v>10</v>
      </c>
      <c r="B10">
        <v>1</v>
      </c>
      <c r="C10">
        <v>0.1</v>
      </c>
      <c r="D10">
        <v>8</v>
      </c>
      <c r="E10" s="13">
        <v>20</v>
      </c>
      <c r="F10">
        <v>1.28403325881376</v>
      </c>
      <c r="G10">
        <v>1</v>
      </c>
      <c r="H10">
        <v>402.757844788</v>
      </c>
      <c r="I10">
        <v>2695</v>
      </c>
      <c r="J10" s="1">
        <v>9.2257764170711103E-6</v>
      </c>
      <c r="K10">
        <v>2163</v>
      </c>
      <c r="L10">
        <v>0.88571462807636203</v>
      </c>
      <c r="M10">
        <v>1</v>
      </c>
      <c r="N10">
        <v>90.761867358000003</v>
      </c>
      <c r="O10">
        <v>1</v>
      </c>
      <c r="P10">
        <v>3.8277085755324099E-3</v>
      </c>
      <c r="Q10">
        <v>2</v>
      </c>
      <c r="R10">
        <v>2</v>
      </c>
      <c r="S10">
        <v>0.54403304941924902</v>
      </c>
      <c r="T10">
        <v>1</v>
      </c>
      <c r="U10">
        <v>3609.3954626690002</v>
      </c>
      <c r="V10">
        <v>327728</v>
      </c>
      <c r="W10">
        <v>3.10661112295278E-2</v>
      </c>
    </row>
    <row r="11" spans="1:23" x14ac:dyDescent="0.2">
      <c r="A11">
        <v>10</v>
      </c>
      <c r="B11">
        <v>1</v>
      </c>
      <c r="C11">
        <v>0.1</v>
      </c>
      <c r="D11">
        <v>9</v>
      </c>
      <c r="E11">
        <v>20</v>
      </c>
      <c r="F11">
        <v>0.70406560845686295</v>
      </c>
      <c r="G11">
        <v>1</v>
      </c>
      <c r="H11">
        <v>30067.826662750002</v>
      </c>
      <c r="I11">
        <v>135749</v>
      </c>
      <c r="J11" s="1">
        <v>1.9105888328638199E-5</v>
      </c>
      <c r="K11">
        <v>78388</v>
      </c>
      <c r="L11">
        <v>1.20877618392185</v>
      </c>
      <c r="M11">
        <v>1</v>
      </c>
      <c r="N11">
        <v>87.355610462000001</v>
      </c>
      <c r="O11">
        <v>0</v>
      </c>
      <c r="P11">
        <v>3.7124846554924501E-3</v>
      </c>
      <c r="Q11">
        <v>2</v>
      </c>
      <c r="R11">
        <v>1</v>
      </c>
      <c r="S11">
        <v>0.70163549216093601</v>
      </c>
      <c r="T11">
        <v>1</v>
      </c>
      <c r="U11">
        <v>3622.7087830979999</v>
      </c>
      <c r="V11">
        <v>196258</v>
      </c>
      <c r="W11">
        <v>3.6010818515778802E-2</v>
      </c>
    </row>
    <row r="12" spans="1:23" x14ac:dyDescent="0.2">
      <c r="A12">
        <v>10</v>
      </c>
      <c r="B12">
        <v>1</v>
      </c>
      <c r="C12">
        <v>0.1</v>
      </c>
      <c r="D12">
        <v>10</v>
      </c>
      <c r="E12" s="13">
        <v>20</v>
      </c>
      <c r="F12">
        <v>1.09786232638199</v>
      </c>
      <c r="G12">
        <v>1</v>
      </c>
      <c r="H12">
        <v>1027.6821244830001</v>
      </c>
      <c r="I12">
        <v>7813</v>
      </c>
      <c r="J12" s="1">
        <v>2.0864481890675499E-6</v>
      </c>
      <c r="K12">
        <v>5572</v>
      </c>
      <c r="L12">
        <v>1.09772643579955</v>
      </c>
      <c r="M12">
        <v>1</v>
      </c>
      <c r="N12">
        <v>87.235969636999997</v>
      </c>
      <c r="O12">
        <v>1</v>
      </c>
      <c r="P12">
        <v>1.62588115281757E-3</v>
      </c>
      <c r="Q12">
        <v>2</v>
      </c>
      <c r="R12">
        <v>2</v>
      </c>
      <c r="S12">
        <v>1.0911316888323199</v>
      </c>
      <c r="T12">
        <v>1</v>
      </c>
      <c r="U12">
        <v>3610.005536661</v>
      </c>
      <c r="V12">
        <v>312620</v>
      </c>
      <c r="W12">
        <v>5.2706163855774799E-2</v>
      </c>
    </row>
    <row r="13" spans="1:23" x14ac:dyDescent="0.2">
      <c r="A13">
        <v>10</v>
      </c>
      <c r="B13">
        <v>1</v>
      </c>
      <c r="C13">
        <v>0.1</v>
      </c>
      <c r="D13">
        <v>11</v>
      </c>
      <c r="E13" s="13">
        <v>20</v>
      </c>
      <c r="F13">
        <v>0.67202797220694299</v>
      </c>
      <c r="G13">
        <v>1</v>
      </c>
      <c r="H13">
        <v>517.35933310799999</v>
      </c>
      <c r="I13">
        <v>3691</v>
      </c>
      <c r="J13" s="1">
        <v>8.8630499109759697E-6</v>
      </c>
      <c r="K13">
        <v>2773</v>
      </c>
      <c r="L13">
        <v>0.83090655634306998</v>
      </c>
      <c r="M13">
        <v>1</v>
      </c>
      <c r="N13">
        <v>87.641661092999996</v>
      </c>
      <c r="O13">
        <v>0</v>
      </c>
      <c r="P13">
        <v>2.28747539150933E-4</v>
      </c>
      <c r="Q13">
        <v>2</v>
      </c>
      <c r="R13">
        <v>1</v>
      </c>
      <c r="S13">
        <v>1.15080316867087</v>
      </c>
      <c r="T13">
        <v>1</v>
      </c>
      <c r="U13">
        <v>3614.48255763</v>
      </c>
      <c r="V13">
        <v>279792</v>
      </c>
      <c r="W13">
        <v>2.1944898421532199E-2</v>
      </c>
    </row>
    <row r="14" spans="1:23" x14ac:dyDescent="0.2">
      <c r="A14">
        <v>10</v>
      </c>
      <c r="B14">
        <v>1</v>
      </c>
      <c r="C14">
        <v>0.1</v>
      </c>
      <c r="D14">
        <v>12</v>
      </c>
      <c r="E14">
        <v>20</v>
      </c>
      <c r="F14">
        <v>1.21406885844463</v>
      </c>
      <c r="G14">
        <v>1</v>
      </c>
      <c r="H14">
        <v>30121.077609577998</v>
      </c>
      <c r="I14">
        <v>125311</v>
      </c>
      <c r="J14">
        <v>1.48887755409665E-4</v>
      </c>
      <c r="K14">
        <v>66373</v>
      </c>
      <c r="L14">
        <v>1.2139798989405799</v>
      </c>
      <c r="M14">
        <v>1</v>
      </c>
      <c r="N14">
        <v>59.005405058000001</v>
      </c>
      <c r="O14">
        <v>1</v>
      </c>
      <c r="P14">
        <v>1.8174858122452201E-3</v>
      </c>
      <c r="Q14">
        <v>2</v>
      </c>
      <c r="R14">
        <v>2</v>
      </c>
      <c r="S14">
        <v>0.84174312595449596</v>
      </c>
      <c r="T14">
        <v>1</v>
      </c>
      <c r="U14">
        <v>3614.1627497240002</v>
      </c>
      <c r="V14">
        <v>557983</v>
      </c>
      <c r="W14">
        <v>2.5762885735836901E-2</v>
      </c>
    </row>
    <row r="15" spans="1:23" x14ac:dyDescent="0.2">
      <c r="A15">
        <v>10</v>
      </c>
      <c r="B15">
        <v>1</v>
      </c>
      <c r="C15">
        <v>0.1</v>
      </c>
      <c r="D15">
        <v>13</v>
      </c>
      <c r="E15">
        <v>20</v>
      </c>
      <c r="F15">
        <v>1.0779935347412199</v>
      </c>
      <c r="G15">
        <v>1</v>
      </c>
      <c r="H15">
        <v>30125.262106111</v>
      </c>
      <c r="I15">
        <v>127722</v>
      </c>
      <c r="J15">
        <v>2.9652288946432201E-3</v>
      </c>
      <c r="K15">
        <v>70568</v>
      </c>
      <c r="L15">
        <v>0.85632186651992304</v>
      </c>
      <c r="M15">
        <v>1</v>
      </c>
      <c r="N15">
        <v>74.951493599000003</v>
      </c>
      <c r="O15">
        <v>1</v>
      </c>
      <c r="P15">
        <v>1.2019563350431999E-3</v>
      </c>
      <c r="Q15">
        <v>3</v>
      </c>
      <c r="R15">
        <v>3</v>
      </c>
      <c r="S15">
        <v>1.0748949431271699</v>
      </c>
      <c r="T15">
        <v>1</v>
      </c>
      <c r="U15">
        <v>3610.5843572469998</v>
      </c>
      <c r="V15">
        <v>268308</v>
      </c>
      <c r="W15">
        <v>2.5992936458384099E-2</v>
      </c>
    </row>
    <row r="16" spans="1:23" x14ac:dyDescent="0.2">
      <c r="A16">
        <v>10</v>
      </c>
      <c r="B16">
        <v>1</v>
      </c>
      <c r="C16">
        <v>0.1</v>
      </c>
      <c r="D16">
        <v>14</v>
      </c>
      <c r="E16">
        <v>20</v>
      </c>
      <c r="F16">
        <v>0.94853010021235795</v>
      </c>
      <c r="G16">
        <v>1</v>
      </c>
      <c r="H16">
        <v>30083.030239484</v>
      </c>
      <c r="I16">
        <v>82811</v>
      </c>
      <c r="J16">
        <v>2.3607818925762301E-3</v>
      </c>
      <c r="K16">
        <v>58418</v>
      </c>
      <c r="L16">
        <v>0.97503098941353294</v>
      </c>
      <c r="M16">
        <v>1</v>
      </c>
      <c r="N16">
        <v>72.003248223</v>
      </c>
      <c r="O16">
        <v>1</v>
      </c>
      <c r="P16">
        <v>6.0731330002661895E-4</v>
      </c>
      <c r="Q16">
        <v>2</v>
      </c>
      <c r="R16">
        <v>2</v>
      </c>
      <c r="S16">
        <v>1.0106183279472101</v>
      </c>
      <c r="T16">
        <v>1</v>
      </c>
      <c r="U16">
        <v>3612.631097602</v>
      </c>
      <c r="V16">
        <v>263642</v>
      </c>
      <c r="W16">
        <v>1.33395631177348E-2</v>
      </c>
    </row>
    <row r="17" spans="1:23" x14ac:dyDescent="0.2">
      <c r="A17">
        <v>10</v>
      </c>
      <c r="B17">
        <v>1</v>
      </c>
      <c r="C17">
        <v>0.1</v>
      </c>
      <c r="D17">
        <v>15</v>
      </c>
      <c r="E17">
        <v>20</v>
      </c>
      <c r="F17">
        <v>1.11907230642987</v>
      </c>
      <c r="G17">
        <v>1</v>
      </c>
      <c r="H17">
        <v>30049.059110065999</v>
      </c>
      <c r="I17">
        <v>87440</v>
      </c>
      <c r="J17">
        <v>1.6181697587604099E-2</v>
      </c>
      <c r="K17">
        <v>65614</v>
      </c>
      <c r="L17">
        <v>0.74349736524574805</v>
      </c>
      <c r="M17">
        <v>1</v>
      </c>
      <c r="N17">
        <v>3507.866912468</v>
      </c>
      <c r="O17">
        <v>12593</v>
      </c>
      <c r="P17">
        <v>5.9396416152552502E-3</v>
      </c>
      <c r="Q17">
        <v>20</v>
      </c>
      <c r="R17">
        <v>201961</v>
      </c>
      <c r="S17">
        <v>0.774577885367144</v>
      </c>
      <c r="T17">
        <v>1</v>
      </c>
      <c r="U17">
        <v>3612.4037841049999</v>
      </c>
      <c r="V17">
        <v>197266</v>
      </c>
      <c r="W17">
        <v>5.3735473674071901E-2</v>
      </c>
    </row>
    <row r="18" spans="1:23" x14ac:dyDescent="0.2">
      <c r="A18">
        <v>10</v>
      </c>
      <c r="B18">
        <v>1</v>
      </c>
      <c r="C18">
        <v>0.1</v>
      </c>
      <c r="D18">
        <v>16</v>
      </c>
      <c r="E18">
        <v>20</v>
      </c>
      <c r="F18">
        <v>1.0074709950637899</v>
      </c>
      <c r="G18">
        <v>1</v>
      </c>
      <c r="H18">
        <v>30111.358529532001</v>
      </c>
      <c r="I18">
        <v>105936</v>
      </c>
      <c r="J18">
        <v>2.3492171287387001E-4</v>
      </c>
      <c r="K18">
        <v>63164</v>
      </c>
      <c r="L18">
        <v>0.87375343909815595</v>
      </c>
      <c r="M18">
        <v>1</v>
      </c>
      <c r="N18">
        <v>75.029070263999998</v>
      </c>
      <c r="O18">
        <v>1</v>
      </c>
      <c r="P18">
        <v>1.4458144642384699E-4</v>
      </c>
      <c r="Q18">
        <v>2</v>
      </c>
      <c r="R18">
        <v>2</v>
      </c>
      <c r="S18">
        <v>1.09067955301889</v>
      </c>
      <c r="T18">
        <v>1</v>
      </c>
      <c r="U18">
        <v>3613.4368358349998</v>
      </c>
      <c r="V18">
        <v>132088</v>
      </c>
      <c r="W18">
        <v>2.6278733678629401E-2</v>
      </c>
    </row>
    <row r="19" spans="1:23" x14ac:dyDescent="0.2">
      <c r="A19">
        <v>10</v>
      </c>
      <c r="B19">
        <v>1</v>
      </c>
      <c r="C19">
        <v>0.1</v>
      </c>
      <c r="D19">
        <v>17</v>
      </c>
      <c r="E19">
        <v>20</v>
      </c>
      <c r="F19">
        <v>0.89263553178254196</v>
      </c>
      <c r="G19">
        <v>1</v>
      </c>
      <c r="H19">
        <v>30029.155535727001</v>
      </c>
      <c r="I19">
        <v>119295</v>
      </c>
      <c r="J19">
        <v>3.8983862162680401E-3</v>
      </c>
      <c r="K19">
        <v>77215</v>
      </c>
      <c r="L19">
        <v>0.89667930521005301</v>
      </c>
      <c r="M19">
        <v>1</v>
      </c>
      <c r="N19">
        <v>64.338808352000001</v>
      </c>
      <c r="O19">
        <v>1</v>
      </c>
      <c r="P19">
        <v>4.7791522325111597E-3</v>
      </c>
      <c r="Q19">
        <v>1</v>
      </c>
      <c r="R19">
        <v>1</v>
      </c>
      <c r="S19">
        <v>0.89696899063670898</v>
      </c>
      <c r="T19">
        <v>1</v>
      </c>
      <c r="U19">
        <v>3612.644717954</v>
      </c>
      <c r="V19">
        <v>194197</v>
      </c>
      <c r="W19">
        <v>7.9177064850854892E-3</v>
      </c>
    </row>
    <row r="20" spans="1:23" x14ac:dyDescent="0.2">
      <c r="A20">
        <v>10</v>
      </c>
      <c r="B20">
        <v>1</v>
      </c>
      <c r="C20">
        <v>0.1</v>
      </c>
      <c r="D20">
        <v>18</v>
      </c>
      <c r="E20" s="13">
        <v>20</v>
      </c>
      <c r="F20">
        <v>0.99781949914219703</v>
      </c>
      <c r="G20">
        <v>1</v>
      </c>
      <c r="H20">
        <v>1111.775353864</v>
      </c>
      <c r="I20">
        <v>3650</v>
      </c>
      <c r="J20" s="1">
        <v>9.2368756468008599E-6</v>
      </c>
      <c r="K20">
        <v>2545</v>
      </c>
      <c r="L20">
        <v>1.2453550859064799</v>
      </c>
      <c r="M20">
        <v>1</v>
      </c>
      <c r="N20">
        <v>72.104787469000001</v>
      </c>
      <c r="O20">
        <v>1</v>
      </c>
      <c r="P20">
        <v>2.8569929671919498E-3</v>
      </c>
      <c r="Q20">
        <v>2</v>
      </c>
      <c r="R20">
        <v>2</v>
      </c>
      <c r="S20">
        <v>1.2387220882707499</v>
      </c>
      <c r="T20">
        <v>1</v>
      </c>
      <c r="U20">
        <v>3612.975392584</v>
      </c>
      <c r="V20">
        <v>210928</v>
      </c>
      <c r="W20">
        <v>7.6591369746516494E-2</v>
      </c>
    </row>
    <row r="21" spans="1:23" x14ac:dyDescent="0.2">
      <c r="A21">
        <v>10</v>
      </c>
      <c r="B21">
        <v>1</v>
      </c>
      <c r="C21">
        <v>0.1</v>
      </c>
      <c r="D21">
        <v>19</v>
      </c>
      <c r="E21" s="13">
        <v>20</v>
      </c>
      <c r="F21">
        <v>1.18150454347998</v>
      </c>
      <c r="G21">
        <v>1</v>
      </c>
      <c r="H21">
        <v>3305.4776817950001</v>
      </c>
      <c r="I21">
        <v>14350</v>
      </c>
      <c r="J21" s="1">
        <v>9.9116815817645797E-6</v>
      </c>
      <c r="K21">
        <v>8334</v>
      </c>
      <c r="L21">
        <v>0.76347706053833397</v>
      </c>
      <c r="M21">
        <v>1</v>
      </c>
      <c r="N21">
        <v>72.818144911000005</v>
      </c>
      <c r="O21">
        <v>0</v>
      </c>
      <c r="P21">
        <v>1.13679865763058E-3</v>
      </c>
      <c r="Q21">
        <v>2</v>
      </c>
      <c r="R21">
        <v>1</v>
      </c>
      <c r="S21">
        <v>0.76469285831228595</v>
      </c>
      <c r="T21">
        <v>1</v>
      </c>
      <c r="U21">
        <v>3612.3464498500002</v>
      </c>
      <c r="V21">
        <v>194532</v>
      </c>
      <c r="W21">
        <v>3.6935761257797801E-2</v>
      </c>
    </row>
    <row r="22" spans="1:23" x14ac:dyDescent="0.2">
      <c r="A22">
        <v>10</v>
      </c>
      <c r="B22">
        <v>1</v>
      </c>
      <c r="C22">
        <v>0.1</v>
      </c>
      <c r="D22">
        <v>20</v>
      </c>
      <c r="E22">
        <v>20</v>
      </c>
      <c r="F22">
        <v>0.93739733093760402</v>
      </c>
      <c r="G22">
        <v>1</v>
      </c>
      <c r="H22">
        <v>30242.049941923</v>
      </c>
      <c r="I22">
        <v>45338</v>
      </c>
      <c r="J22">
        <v>3.6206766553892301E-4</v>
      </c>
      <c r="K22">
        <v>25512</v>
      </c>
      <c r="L22">
        <v>0.72663737888642899</v>
      </c>
      <c r="M22">
        <v>1</v>
      </c>
      <c r="N22">
        <v>79.836222085000003</v>
      </c>
      <c r="O22">
        <v>0</v>
      </c>
      <c r="P22">
        <v>3.8244373948359799E-3</v>
      </c>
      <c r="Q22">
        <v>3</v>
      </c>
      <c r="R22">
        <v>1</v>
      </c>
      <c r="S22">
        <v>0.93424475011865704</v>
      </c>
      <c r="T22">
        <v>1</v>
      </c>
      <c r="U22">
        <v>3609.3997124799998</v>
      </c>
      <c r="V22">
        <v>523787</v>
      </c>
      <c r="W22">
        <v>4.9421182010647097E-3</v>
      </c>
    </row>
    <row r="23" spans="1:23" x14ac:dyDescent="0.2">
      <c r="A23">
        <v>10</v>
      </c>
      <c r="B23">
        <v>1</v>
      </c>
      <c r="C23">
        <v>0.1</v>
      </c>
      <c r="D23">
        <v>1</v>
      </c>
      <c r="E23">
        <v>100</v>
      </c>
      <c r="F23">
        <v>0.72338052311618295</v>
      </c>
      <c r="G23">
        <v>1</v>
      </c>
      <c r="H23">
        <v>30100.938940368</v>
      </c>
      <c r="I23">
        <v>94631</v>
      </c>
      <c r="J23">
        <v>4.6593162430247701E-4</v>
      </c>
      <c r="K23">
        <v>62179</v>
      </c>
      <c r="L23">
        <v>1.0931278246261</v>
      </c>
      <c r="M23">
        <v>1</v>
      </c>
      <c r="N23">
        <v>93.041103453000005</v>
      </c>
      <c r="O23">
        <v>0</v>
      </c>
      <c r="P23" s="1">
        <v>9.8800014935833402E-6</v>
      </c>
      <c r="Q23">
        <v>2</v>
      </c>
      <c r="R23">
        <v>1</v>
      </c>
      <c r="S23">
        <v>0.79716943322312594</v>
      </c>
      <c r="T23">
        <v>1</v>
      </c>
      <c r="U23">
        <v>3611.2641074500002</v>
      </c>
      <c r="V23">
        <v>207127</v>
      </c>
      <c r="W23">
        <v>4.8829270512617999E-3</v>
      </c>
    </row>
    <row r="24" spans="1:23" x14ac:dyDescent="0.2">
      <c r="A24">
        <v>10</v>
      </c>
      <c r="B24">
        <v>1</v>
      </c>
      <c r="C24">
        <v>0.1</v>
      </c>
      <c r="D24">
        <v>2</v>
      </c>
      <c r="E24" s="13">
        <v>100</v>
      </c>
      <c r="F24">
        <v>1.0097238702798099</v>
      </c>
      <c r="G24">
        <v>1</v>
      </c>
      <c r="H24">
        <v>2542.2990981060002</v>
      </c>
      <c r="I24">
        <v>10950</v>
      </c>
      <c r="J24">
        <v>0</v>
      </c>
      <c r="K24">
        <v>7170</v>
      </c>
      <c r="L24">
        <v>0.94687932348619397</v>
      </c>
      <c r="M24">
        <v>1</v>
      </c>
      <c r="N24">
        <v>93.864210412999995</v>
      </c>
      <c r="O24">
        <v>3</v>
      </c>
      <c r="P24">
        <v>1.83632017584501E-4</v>
      </c>
      <c r="Q24">
        <v>2</v>
      </c>
      <c r="R24">
        <v>4</v>
      </c>
      <c r="S24">
        <v>1.0884358581365201</v>
      </c>
      <c r="T24">
        <v>1</v>
      </c>
      <c r="U24">
        <v>3609.1839433969999</v>
      </c>
      <c r="V24">
        <v>263607</v>
      </c>
      <c r="W24">
        <v>4.4856403180777403E-3</v>
      </c>
    </row>
    <row r="25" spans="1:23" x14ac:dyDescent="0.2">
      <c r="A25">
        <v>10</v>
      </c>
      <c r="B25">
        <v>1</v>
      </c>
      <c r="C25">
        <v>0.1</v>
      </c>
      <c r="D25">
        <v>3</v>
      </c>
      <c r="E25" s="13">
        <v>100</v>
      </c>
      <c r="F25">
        <v>1.1005219497796199</v>
      </c>
      <c r="G25">
        <v>1</v>
      </c>
      <c r="H25">
        <v>4642.7369941440002</v>
      </c>
      <c r="I25">
        <v>12593</v>
      </c>
      <c r="J25" s="1">
        <v>1.8556871452558799E-6</v>
      </c>
      <c r="K25">
        <v>7659</v>
      </c>
      <c r="L25">
        <v>0.77500171899546499</v>
      </c>
      <c r="M25">
        <v>1</v>
      </c>
      <c r="N25">
        <v>87.870755027000001</v>
      </c>
      <c r="O25">
        <v>0</v>
      </c>
      <c r="P25" s="1">
        <v>3.3644314277395098E-6</v>
      </c>
      <c r="Q25">
        <v>2</v>
      </c>
      <c r="R25">
        <v>1</v>
      </c>
      <c r="S25">
        <v>1.1574483892828</v>
      </c>
      <c r="T25">
        <v>1</v>
      </c>
      <c r="U25">
        <v>3611.5384667439998</v>
      </c>
      <c r="V25">
        <v>267787</v>
      </c>
      <c r="W25">
        <v>1.11155937406266E-2</v>
      </c>
    </row>
    <row r="26" spans="1:23" x14ac:dyDescent="0.2">
      <c r="A26">
        <v>10</v>
      </c>
      <c r="B26">
        <v>1</v>
      </c>
      <c r="C26">
        <v>0.1</v>
      </c>
      <c r="D26">
        <v>4</v>
      </c>
      <c r="E26">
        <v>100</v>
      </c>
      <c r="F26">
        <v>0.90059456328540399</v>
      </c>
      <c r="G26">
        <v>1</v>
      </c>
      <c r="H26">
        <v>11613.507458298</v>
      </c>
      <c r="I26">
        <v>71744</v>
      </c>
      <c r="J26">
        <v>4.0458062118830997E-6</v>
      </c>
      <c r="K26">
        <v>37971</v>
      </c>
      <c r="L26">
        <v>0.90400968930842396</v>
      </c>
      <c r="M26">
        <v>1</v>
      </c>
      <c r="N26">
        <v>93.437775895000001</v>
      </c>
      <c r="O26">
        <v>0</v>
      </c>
      <c r="P26">
        <v>1.7586922621127399E-4</v>
      </c>
      <c r="Q26">
        <v>3</v>
      </c>
      <c r="R26">
        <v>1</v>
      </c>
      <c r="S26">
        <v>0.80215448918277998</v>
      </c>
      <c r="T26">
        <v>1</v>
      </c>
      <c r="U26">
        <v>3611.9800490530001</v>
      </c>
      <c r="V26">
        <v>311958</v>
      </c>
      <c r="W26">
        <v>9.5413504042713895E-3</v>
      </c>
    </row>
    <row r="27" spans="1:23" x14ac:dyDescent="0.2">
      <c r="A27">
        <v>10</v>
      </c>
      <c r="B27">
        <v>1</v>
      </c>
      <c r="C27">
        <v>0.1</v>
      </c>
      <c r="D27">
        <v>5</v>
      </c>
      <c r="E27">
        <v>100</v>
      </c>
      <c r="F27">
        <v>1.1396371537153001</v>
      </c>
      <c r="G27">
        <v>1</v>
      </c>
      <c r="H27">
        <v>30110.103808537999</v>
      </c>
      <c r="I27">
        <v>148774</v>
      </c>
      <c r="J27">
        <v>1.19390355423265E-4</v>
      </c>
      <c r="K27">
        <v>98866</v>
      </c>
      <c r="L27">
        <v>1.09733435405698</v>
      </c>
      <c r="M27">
        <v>1</v>
      </c>
      <c r="N27">
        <v>86.959143894999997</v>
      </c>
      <c r="O27">
        <v>0</v>
      </c>
      <c r="P27" s="1">
        <v>6.09511861914338E-6</v>
      </c>
      <c r="Q27">
        <v>2</v>
      </c>
      <c r="R27">
        <v>1</v>
      </c>
      <c r="S27">
        <v>1.09873937249009</v>
      </c>
      <c r="T27">
        <v>1</v>
      </c>
      <c r="U27">
        <v>3609.944648914</v>
      </c>
      <c r="V27">
        <v>197159</v>
      </c>
      <c r="W27">
        <v>3.8148177199353399E-3</v>
      </c>
    </row>
    <row r="28" spans="1:23" x14ac:dyDescent="0.2">
      <c r="A28">
        <v>10</v>
      </c>
      <c r="B28">
        <v>1</v>
      </c>
      <c r="C28">
        <v>0.1</v>
      </c>
      <c r="D28">
        <v>6</v>
      </c>
      <c r="E28" s="13">
        <v>100</v>
      </c>
      <c r="F28">
        <v>1.11376300299511</v>
      </c>
      <c r="G28">
        <v>1</v>
      </c>
      <c r="H28">
        <v>1507.7912112500001</v>
      </c>
      <c r="I28">
        <v>10242</v>
      </c>
      <c r="J28" s="1">
        <v>1.1956577954108599E-7</v>
      </c>
      <c r="K28">
        <v>5847</v>
      </c>
      <c r="L28">
        <v>1.10215412971412</v>
      </c>
      <c r="M28">
        <v>1</v>
      </c>
      <c r="N28">
        <v>89.402528375000003</v>
      </c>
      <c r="O28">
        <v>0</v>
      </c>
      <c r="P28">
        <v>1.1878370767520499E-4</v>
      </c>
      <c r="Q28">
        <v>2</v>
      </c>
      <c r="R28">
        <v>1</v>
      </c>
      <c r="S28">
        <v>0.89801498646570399</v>
      </c>
      <c r="T28">
        <v>1</v>
      </c>
      <c r="U28">
        <v>3610.2170381860001</v>
      </c>
      <c r="V28">
        <v>256000</v>
      </c>
      <c r="W28">
        <v>3.9241453388942898E-3</v>
      </c>
    </row>
    <row r="29" spans="1:23" x14ac:dyDescent="0.2">
      <c r="A29">
        <v>10</v>
      </c>
      <c r="B29">
        <v>1</v>
      </c>
      <c r="C29">
        <v>0.1</v>
      </c>
      <c r="D29">
        <v>7</v>
      </c>
      <c r="E29">
        <v>100</v>
      </c>
      <c r="F29">
        <v>0.68308486864232898</v>
      </c>
      <c r="G29">
        <v>1</v>
      </c>
      <c r="H29">
        <v>30121.900676054</v>
      </c>
      <c r="I29">
        <v>102194</v>
      </c>
      <c r="J29">
        <v>5.4691970699104198E-4</v>
      </c>
      <c r="K29">
        <v>59340</v>
      </c>
      <c r="L29">
        <v>1.1430213275204899</v>
      </c>
      <c r="M29">
        <v>1</v>
      </c>
      <c r="N29">
        <v>95.055974840999994</v>
      </c>
      <c r="O29">
        <v>0</v>
      </c>
      <c r="P29">
        <v>1.89758566955938E-4</v>
      </c>
      <c r="Q29">
        <v>3</v>
      </c>
      <c r="R29">
        <v>1</v>
      </c>
      <c r="S29">
        <v>0.84954256671087902</v>
      </c>
      <c r="T29">
        <v>1</v>
      </c>
      <c r="U29">
        <v>3611.7994899149999</v>
      </c>
      <c r="V29">
        <v>196582</v>
      </c>
      <c r="W29">
        <v>5.4937578862457297E-3</v>
      </c>
    </row>
    <row r="30" spans="1:23" x14ac:dyDescent="0.2">
      <c r="A30">
        <v>10</v>
      </c>
      <c r="B30">
        <v>1</v>
      </c>
      <c r="C30">
        <v>0.1</v>
      </c>
      <c r="D30">
        <v>8</v>
      </c>
      <c r="E30" s="13">
        <v>100</v>
      </c>
      <c r="F30">
        <v>0.54029777719648697</v>
      </c>
      <c r="G30">
        <v>1</v>
      </c>
      <c r="H30">
        <v>466.26766242799999</v>
      </c>
      <c r="I30">
        <v>3460</v>
      </c>
      <c r="J30" s="1">
        <v>2.62958548546965E-8</v>
      </c>
      <c r="K30">
        <v>2538</v>
      </c>
      <c r="L30">
        <v>0.54339919077301901</v>
      </c>
      <c r="M30">
        <v>1</v>
      </c>
      <c r="N30">
        <v>89.839439502000005</v>
      </c>
      <c r="O30">
        <v>1</v>
      </c>
      <c r="P30">
        <v>1.4527735630515801E-4</v>
      </c>
      <c r="Q30">
        <v>2</v>
      </c>
      <c r="R30">
        <v>2</v>
      </c>
      <c r="S30">
        <v>0.96565177590158702</v>
      </c>
      <c r="T30">
        <v>1</v>
      </c>
      <c r="U30">
        <v>3609.4966008289998</v>
      </c>
      <c r="V30">
        <v>373923</v>
      </c>
      <c r="W30">
        <v>5.6658133691591603E-3</v>
      </c>
    </row>
    <row r="31" spans="1:23" x14ac:dyDescent="0.2">
      <c r="A31">
        <v>10</v>
      </c>
      <c r="B31">
        <v>1</v>
      </c>
      <c r="C31">
        <v>0.1</v>
      </c>
      <c r="D31">
        <v>9</v>
      </c>
      <c r="E31" s="13">
        <v>100</v>
      </c>
      <c r="F31">
        <v>0.86687122004178196</v>
      </c>
      <c r="G31">
        <v>1</v>
      </c>
      <c r="H31">
        <v>918.342058049</v>
      </c>
      <c r="I31">
        <v>5489</v>
      </c>
      <c r="J31" s="1">
        <v>4.14868370907095E-9</v>
      </c>
      <c r="K31">
        <v>4307</v>
      </c>
      <c r="L31">
        <v>0.71584250407558603</v>
      </c>
      <c r="M31">
        <v>1</v>
      </c>
      <c r="N31">
        <v>87.209601007000003</v>
      </c>
      <c r="O31">
        <v>0</v>
      </c>
      <c r="P31">
        <v>1.02132995692039E-3</v>
      </c>
      <c r="Q31">
        <v>2</v>
      </c>
      <c r="R31">
        <v>1</v>
      </c>
      <c r="S31">
        <v>0.69434782798837702</v>
      </c>
      <c r="T31">
        <v>1</v>
      </c>
      <c r="U31">
        <v>3614.1033936899998</v>
      </c>
      <c r="V31">
        <v>268277</v>
      </c>
      <c r="W31">
        <v>5.1487873965907396E-3</v>
      </c>
    </row>
    <row r="32" spans="1:23" x14ac:dyDescent="0.2">
      <c r="A32">
        <v>10</v>
      </c>
      <c r="B32">
        <v>1</v>
      </c>
      <c r="C32">
        <v>0.1</v>
      </c>
      <c r="D32">
        <v>10</v>
      </c>
      <c r="E32">
        <v>100</v>
      </c>
      <c r="F32">
        <v>1.1585403729247701</v>
      </c>
      <c r="G32" s="7">
        <v>1</v>
      </c>
      <c r="H32">
        <v>8555.9580330450008</v>
      </c>
      <c r="I32">
        <v>62507</v>
      </c>
      <c r="J32" s="1">
        <v>1.63885547625058E-6</v>
      </c>
      <c r="K32">
        <v>33269</v>
      </c>
      <c r="L32">
        <v>1.14257862485539</v>
      </c>
      <c r="M32">
        <v>1</v>
      </c>
      <c r="N32">
        <v>85.067541879999993</v>
      </c>
      <c r="O32">
        <v>0</v>
      </c>
      <c r="P32">
        <v>3.3502316964272499E-4</v>
      </c>
      <c r="Q32">
        <v>2</v>
      </c>
      <c r="R32">
        <v>1</v>
      </c>
      <c r="S32">
        <v>1.2718838038220599</v>
      </c>
      <c r="T32">
        <v>1</v>
      </c>
      <c r="U32">
        <v>3615.3266512380001</v>
      </c>
      <c r="V32">
        <v>228290</v>
      </c>
      <c r="W32">
        <v>8.7408914344253505E-3</v>
      </c>
    </row>
    <row r="33" spans="1:23" x14ac:dyDescent="0.2">
      <c r="A33">
        <v>10</v>
      </c>
      <c r="B33">
        <v>1</v>
      </c>
      <c r="C33">
        <v>0.1</v>
      </c>
      <c r="D33">
        <v>11</v>
      </c>
      <c r="E33">
        <v>100</v>
      </c>
      <c r="F33">
        <v>1.2450809126378599</v>
      </c>
      <c r="G33">
        <v>1</v>
      </c>
      <c r="H33">
        <v>30136.329484753998</v>
      </c>
      <c r="I33">
        <v>96546</v>
      </c>
      <c r="J33">
        <v>6.8286416484454699E-3</v>
      </c>
      <c r="K33">
        <v>63342</v>
      </c>
      <c r="L33">
        <v>1.20651001771322</v>
      </c>
      <c r="M33">
        <v>1</v>
      </c>
      <c r="N33">
        <v>87.508580417999994</v>
      </c>
      <c r="O33">
        <v>0</v>
      </c>
      <c r="P33">
        <v>1.0295552562402801E-4</v>
      </c>
      <c r="Q33">
        <v>2</v>
      </c>
      <c r="R33">
        <v>1</v>
      </c>
      <c r="S33">
        <v>1.0074969148558099</v>
      </c>
      <c r="T33">
        <v>1</v>
      </c>
      <c r="U33">
        <v>3613.7803267459999</v>
      </c>
      <c r="V33">
        <v>271490</v>
      </c>
      <c r="W33">
        <v>5.6705529491622997E-3</v>
      </c>
    </row>
    <row r="34" spans="1:23" x14ac:dyDescent="0.2">
      <c r="A34">
        <v>10</v>
      </c>
      <c r="B34">
        <v>1</v>
      </c>
      <c r="C34">
        <v>0.1</v>
      </c>
      <c r="D34">
        <v>12</v>
      </c>
      <c r="E34">
        <v>100</v>
      </c>
      <c r="F34">
        <v>1.0830498881281001</v>
      </c>
      <c r="G34">
        <v>1</v>
      </c>
      <c r="H34">
        <v>30030.143874662001</v>
      </c>
      <c r="I34">
        <v>137483</v>
      </c>
      <c r="J34">
        <v>2.3690791576734499E-3</v>
      </c>
      <c r="K34">
        <v>96476</v>
      </c>
      <c r="L34">
        <v>0.61894450393382805</v>
      </c>
      <c r="M34">
        <v>1</v>
      </c>
      <c r="N34">
        <v>79.601509390000004</v>
      </c>
      <c r="O34">
        <v>0</v>
      </c>
      <c r="P34">
        <v>3.4813559476790101E-4</v>
      </c>
      <c r="Q34">
        <v>4</v>
      </c>
      <c r="R34">
        <v>1</v>
      </c>
      <c r="S34">
        <v>0.82023228621470101</v>
      </c>
      <c r="T34">
        <v>1</v>
      </c>
      <c r="U34">
        <v>3609.0267427829999</v>
      </c>
      <c r="V34">
        <v>839223</v>
      </c>
      <c r="W34">
        <v>1.06024039584156E-2</v>
      </c>
    </row>
    <row r="35" spans="1:23" x14ac:dyDescent="0.2">
      <c r="A35">
        <v>10</v>
      </c>
      <c r="B35">
        <v>1</v>
      </c>
      <c r="C35">
        <v>0.1</v>
      </c>
      <c r="D35">
        <v>13</v>
      </c>
      <c r="E35">
        <v>100</v>
      </c>
      <c r="F35">
        <v>1.02843160127711</v>
      </c>
      <c r="G35">
        <v>1</v>
      </c>
      <c r="H35">
        <v>30054.702872383001</v>
      </c>
      <c r="I35">
        <v>78921</v>
      </c>
      <c r="J35">
        <v>1.2053824192998601E-3</v>
      </c>
      <c r="K35">
        <v>62896</v>
      </c>
      <c r="L35">
        <v>1.1052266403911899</v>
      </c>
      <c r="M35">
        <v>1</v>
      </c>
      <c r="N35">
        <v>75.977017437000001</v>
      </c>
      <c r="O35">
        <v>0</v>
      </c>
      <c r="P35">
        <v>3.37591949542422E-4</v>
      </c>
      <c r="Q35">
        <v>3</v>
      </c>
      <c r="R35">
        <v>1</v>
      </c>
      <c r="S35">
        <v>1.0817367282569501</v>
      </c>
      <c r="T35">
        <v>1</v>
      </c>
      <c r="U35">
        <v>3610.2620309009999</v>
      </c>
      <c r="V35">
        <v>171281</v>
      </c>
      <c r="W35">
        <v>1.3368691631248901E-2</v>
      </c>
    </row>
    <row r="36" spans="1:23" x14ac:dyDescent="0.2">
      <c r="A36">
        <v>10</v>
      </c>
      <c r="B36">
        <v>1</v>
      </c>
      <c r="C36">
        <v>0.1</v>
      </c>
      <c r="D36">
        <v>14</v>
      </c>
      <c r="E36">
        <v>100</v>
      </c>
      <c r="F36">
        <v>1.1755341759839499</v>
      </c>
      <c r="G36">
        <v>1</v>
      </c>
      <c r="H36">
        <v>30067.051051828999</v>
      </c>
      <c r="I36">
        <v>92631</v>
      </c>
      <c r="J36">
        <v>8.3152817504564408E-3</v>
      </c>
      <c r="K36">
        <v>76594</v>
      </c>
      <c r="L36">
        <v>1.0260691368172099</v>
      </c>
      <c r="M36">
        <v>1</v>
      </c>
      <c r="N36">
        <v>60.360132327999999</v>
      </c>
      <c r="O36">
        <v>0</v>
      </c>
      <c r="P36">
        <v>1.9279346561541999E-4</v>
      </c>
      <c r="Q36">
        <v>2</v>
      </c>
      <c r="R36">
        <v>1</v>
      </c>
      <c r="S36">
        <v>0.97132409342327497</v>
      </c>
      <c r="T36">
        <v>1</v>
      </c>
      <c r="U36">
        <v>3613.838153959</v>
      </c>
      <c r="V36">
        <v>136116</v>
      </c>
      <c r="W36">
        <v>3.0062023789092498E-3</v>
      </c>
    </row>
    <row r="37" spans="1:23" x14ac:dyDescent="0.2">
      <c r="A37">
        <v>10</v>
      </c>
      <c r="B37">
        <v>1</v>
      </c>
      <c r="C37">
        <v>0.1</v>
      </c>
      <c r="D37">
        <v>15</v>
      </c>
      <c r="E37">
        <v>100</v>
      </c>
      <c r="F37">
        <v>0.42343766240638098</v>
      </c>
      <c r="G37">
        <v>1</v>
      </c>
      <c r="H37">
        <v>30071.331694576002</v>
      </c>
      <c r="I37">
        <v>52659</v>
      </c>
      <c r="J37">
        <v>5.87211752034765E-3</v>
      </c>
      <c r="K37">
        <v>45701</v>
      </c>
      <c r="L37">
        <v>0.90500270354349599</v>
      </c>
      <c r="M37">
        <v>1</v>
      </c>
      <c r="N37">
        <v>3222.4282540019999</v>
      </c>
      <c r="O37">
        <v>8094</v>
      </c>
      <c r="P37">
        <v>1.4385455271977499E-3</v>
      </c>
      <c r="Q37">
        <v>20</v>
      </c>
      <c r="R37">
        <v>149961</v>
      </c>
      <c r="S37">
        <v>1.16620818300073</v>
      </c>
      <c r="T37">
        <v>1</v>
      </c>
      <c r="U37">
        <v>3614.2164416840001</v>
      </c>
      <c r="V37">
        <v>157642</v>
      </c>
      <c r="W37">
        <v>1.4611949553660899E-2</v>
      </c>
    </row>
    <row r="38" spans="1:23" x14ac:dyDescent="0.2">
      <c r="A38">
        <v>10</v>
      </c>
      <c r="B38">
        <v>1</v>
      </c>
      <c r="C38">
        <v>0.1</v>
      </c>
      <c r="D38">
        <v>16</v>
      </c>
      <c r="E38">
        <v>100</v>
      </c>
      <c r="F38">
        <v>1.19219011442833</v>
      </c>
      <c r="G38">
        <v>1</v>
      </c>
      <c r="H38">
        <v>30089.783092038</v>
      </c>
      <c r="I38">
        <v>61881</v>
      </c>
      <c r="J38">
        <v>5.1367582959543196E-4</v>
      </c>
      <c r="K38">
        <v>42202</v>
      </c>
      <c r="L38">
        <v>0.851119963158532</v>
      </c>
      <c r="M38">
        <v>1</v>
      </c>
      <c r="N38">
        <v>70.096609119999997</v>
      </c>
      <c r="O38">
        <v>0</v>
      </c>
      <c r="P38">
        <v>2.9661762891919298E-4</v>
      </c>
      <c r="Q38">
        <v>2</v>
      </c>
      <c r="R38">
        <v>1</v>
      </c>
      <c r="S38">
        <v>1.0038032262267</v>
      </c>
      <c r="T38">
        <v>1</v>
      </c>
      <c r="U38">
        <v>3616.066375291</v>
      </c>
      <c r="V38">
        <v>85117</v>
      </c>
      <c r="W38">
        <v>5.7776837694074601E-3</v>
      </c>
    </row>
    <row r="39" spans="1:23" x14ac:dyDescent="0.2">
      <c r="A39">
        <v>10</v>
      </c>
      <c r="B39">
        <v>1</v>
      </c>
      <c r="C39">
        <v>0.1</v>
      </c>
      <c r="D39">
        <v>17</v>
      </c>
      <c r="E39">
        <v>100</v>
      </c>
      <c r="F39">
        <v>1.3726554501114301</v>
      </c>
      <c r="G39">
        <v>1</v>
      </c>
      <c r="H39">
        <v>30071.968920209001</v>
      </c>
      <c r="I39">
        <v>48834</v>
      </c>
      <c r="J39">
        <v>1.12266616374647E-3</v>
      </c>
      <c r="K39">
        <v>34832</v>
      </c>
      <c r="L39">
        <v>0.89505089952022598</v>
      </c>
      <c r="M39">
        <v>1</v>
      </c>
      <c r="N39">
        <v>64.452029562000007</v>
      </c>
      <c r="O39">
        <v>1</v>
      </c>
      <c r="P39">
        <v>1.5399281102115401E-3</v>
      </c>
      <c r="Q39">
        <v>1</v>
      </c>
      <c r="R39">
        <v>1</v>
      </c>
      <c r="S39">
        <v>0.89429261013572903</v>
      </c>
      <c r="T39">
        <v>1</v>
      </c>
      <c r="U39">
        <v>3610.628820854</v>
      </c>
      <c r="V39">
        <v>503216</v>
      </c>
      <c r="W39">
        <v>5.3713834591295696E-4</v>
      </c>
    </row>
    <row r="40" spans="1:23" x14ac:dyDescent="0.2">
      <c r="A40">
        <v>10</v>
      </c>
      <c r="B40">
        <v>1</v>
      </c>
      <c r="C40">
        <v>0.1</v>
      </c>
      <c r="D40">
        <v>18</v>
      </c>
      <c r="E40" s="13">
        <v>100</v>
      </c>
      <c r="F40">
        <v>1.24892293742794</v>
      </c>
      <c r="G40">
        <v>1</v>
      </c>
      <c r="H40">
        <v>5032.3804136850003</v>
      </c>
      <c r="I40">
        <v>34132</v>
      </c>
      <c r="J40" s="1">
        <v>1.8916363282023201E-7</v>
      </c>
      <c r="K40">
        <v>17714</v>
      </c>
      <c r="L40">
        <v>1.1595530024079601</v>
      </c>
      <c r="M40">
        <v>1</v>
      </c>
      <c r="N40">
        <v>74.185969491999998</v>
      </c>
      <c r="O40">
        <v>0</v>
      </c>
      <c r="P40">
        <v>1.7643538408047401E-4</v>
      </c>
      <c r="Q40">
        <v>2</v>
      </c>
      <c r="R40">
        <v>1</v>
      </c>
      <c r="S40">
        <v>1.2488525717941601</v>
      </c>
      <c r="T40">
        <v>1</v>
      </c>
      <c r="U40">
        <v>3614.096479067</v>
      </c>
      <c r="V40">
        <v>185830</v>
      </c>
      <c r="W40">
        <v>1.17775934906276E-2</v>
      </c>
    </row>
    <row r="41" spans="1:23" x14ac:dyDescent="0.2">
      <c r="A41">
        <v>10</v>
      </c>
      <c r="B41">
        <v>1</v>
      </c>
      <c r="C41">
        <v>0.1</v>
      </c>
      <c r="D41">
        <v>19</v>
      </c>
      <c r="E41">
        <v>100</v>
      </c>
      <c r="F41">
        <v>1.1648773453642101</v>
      </c>
      <c r="G41">
        <v>1</v>
      </c>
      <c r="H41">
        <v>5276.9083484969997</v>
      </c>
      <c r="I41">
        <v>35703</v>
      </c>
      <c r="J41" s="1">
        <v>1.63429226016087E-6</v>
      </c>
      <c r="K41">
        <v>18974</v>
      </c>
      <c r="L41">
        <v>1.15993461834346</v>
      </c>
      <c r="M41">
        <v>1</v>
      </c>
      <c r="N41">
        <v>70.988803415000007</v>
      </c>
      <c r="O41">
        <v>0</v>
      </c>
      <c r="P41">
        <v>2.67729199795726E-4</v>
      </c>
      <c r="Q41">
        <v>2</v>
      </c>
      <c r="R41">
        <v>1</v>
      </c>
      <c r="S41">
        <v>1.1861642286154399</v>
      </c>
      <c r="T41">
        <v>1</v>
      </c>
      <c r="U41">
        <v>3610.0823349470002</v>
      </c>
      <c r="V41">
        <v>376885</v>
      </c>
      <c r="W41">
        <v>6.3617834409157503E-3</v>
      </c>
    </row>
    <row r="42" spans="1:23" x14ac:dyDescent="0.2">
      <c r="A42">
        <v>10</v>
      </c>
      <c r="B42">
        <v>1</v>
      </c>
      <c r="C42">
        <v>0.1</v>
      </c>
      <c r="D42">
        <v>20</v>
      </c>
      <c r="E42">
        <v>100</v>
      </c>
      <c r="F42">
        <v>0.73005761020716398</v>
      </c>
      <c r="G42">
        <v>1</v>
      </c>
      <c r="H42">
        <v>30104.392029211998</v>
      </c>
      <c r="I42">
        <v>92176</v>
      </c>
      <c r="J42">
        <v>3.4714665899050201E-3</v>
      </c>
      <c r="K42">
        <v>66190</v>
      </c>
      <c r="L42">
        <v>0.74022992647075603</v>
      </c>
      <c r="M42">
        <v>1</v>
      </c>
      <c r="N42">
        <v>82.377486614999995</v>
      </c>
      <c r="O42">
        <v>0</v>
      </c>
      <c r="P42">
        <v>3.9006811175291203E-4</v>
      </c>
      <c r="Q42">
        <v>4</v>
      </c>
      <c r="R42">
        <v>1</v>
      </c>
      <c r="S42">
        <v>0.71916324214666705</v>
      </c>
      <c r="T42">
        <v>1</v>
      </c>
      <c r="U42">
        <v>3615.1608282960001</v>
      </c>
      <c r="V42">
        <v>338978</v>
      </c>
      <c r="W42">
        <v>1.49795098221616E-3</v>
      </c>
    </row>
    <row r="43" spans="1:23" x14ac:dyDescent="0.2">
      <c r="A43">
        <v>10</v>
      </c>
      <c r="B43">
        <v>1</v>
      </c>
      <c r="C43">
        <v>0.2</v>
      </c>
      <c r="D43">
        <v>1</v>
      </c>
      <c r="E43">
        <v>20</v>
      </c>
      <c r="F43">
        <v>0.62028986430408395</v>
      </c>
      <c r="G43">
        <v>1</v>
      </c>
      <c r="H43">
        <v>30250.693315319</v>
      </c>
      <c r="I43">
        <v>50998</v>
      </c>
      <c r="J43" s="1">
        <v>3.13195956898049E-5</v>
      </c>
      <c r="K43">
        <v>31033</v>
      </c>
      <c r="L43">
        <v>0.60599541496597598</v>
      </c>
      <c r="M43">
        <v>1</v>
      </c>
      <c r="N43">
        <v>63.361803875</v>
      </c>
      <c r="O43">
        <v>1</v>
      </c>
      <c r="P43">
        <v>3.8695872127715298E-3</v>
      </c>
      <c r="Q43">
        <v>1</v>
      </c>
      <c r="R43">
        <v>1</v>
      </c>
      <c r="S43">
        <v>0.62456519798843702</v>
      </c>
      <c r="T43">
        <v>1</v>
      </c>
      <c r="U43">
        <v>3609.4434303630001</v>
      </c>
      <c r="V43">
        <v>356882</v>
      </c>
      <c r="W43">
        <v>2.7385374235115501E-2</v>
      </c>
    </row>
    <row r="44" spans="1:23" x14ac:dyDescent="0.2">
      <c r="A44">
        <v>10</v>
      </c>
      <c r="B44">
        <v>1</v>
      </c>
      <c r="C44">
        <v>0.2</v>
      </c>
      <c r="D44">
        <v>2</v>
      </c>
      <c r="E44">
        <v>20</v>
      </c>
      <c r="F44">
        <v>0.46385535015857698</v>
      </c>
      <c r="G44">
        <v>1</v>
      </c>
      <c r="H44">
        <v>30106.776427877001</v>
      </c>
      <c r="I44">
        <v>43446</v>
      </c>
      <c r="J44">
        <v>2.37483339252761E-3</v>
      </c>
      <c r="K44">
        <v>24741</v>
      </c>
      <c r="L44">
        <v>0.46041200199646898</v>
      </c>
      <c r="M44">
        <v>1</v>
      </c>
      <c r="N44">
        <v>63.914902603000002</v>
      </c>
      <c r="O44">
        <v>1</v>
      </c>
      <c r="P44">
        <v>5.7457302829426998E-3</v>
      </c>
      <c r="Q44">
        <v>1</v>
      </c>
      <c r="R44">
        <v>1</v>
      </c>
      <c r="S44">
        <v>0.46346646683210302</v>
      </c>
      <c r="T44">
        <v>1</v>
      </c>
      <c r="U44">
        <v>3610.606899716</v>
      </c>
      <c r="V44">
        <v>240703</v>
      </c>
      <c r="W44">
        <v>4.2288800096909697E-2</v>
      </c>
    </row>
    <row r="45" spans="1:23" x14ac:dyDescent="0.2">
      <c r="A45">
        <v>10</v>
      </c>
      <c r="B45">
        <v>1</v>
      </c>
      <c r="C45">
        <v>0.2</v>
      </c>
      <c r="D45">
        <v>3</v>
      </c>
      <c r="E45">
        <v>20</v>
      </c>
      <c r="F45">
        <v>0.56458029758647099</v>
      </c>
      <c r="G45">
        <v>1</v>
      </c>
      <c r="H45">
        <v>12651.737152673</v>
      </c>
      <c r="I45">
        <v>30669</v>
      </c>
      <c r="J45" s="1">
        <v>3.46107729679023E-5</v>
      </c>
      <c r="K45">
        <v>20150</v>
      </c>
      <c r="L45">
        <v>0.56442156450859704</v>
      </c>
      <c r="M45">
        <v>1</v>
      </c>
      <c r="N45">
        <v>65.576238758000002</v>
      </c>
      <c r="O45">
        <v>1</v>
      </c>
      <c r="P45">
        <v>9.6785746865352094E-3</v>
      </c>
      <c r="Q45">
        <v>1</v>
      </c>
      <c r="R45">
        <v>1</v>
      </c>
      <c r="S45">
        <v>0.56700890245618796</v>
      </c>
      <c r="T45">
        <v>1</v>
      </c>
      <c r="U45">
        <v>3612.8840382839999</v>
      </c>
      <c r="V45">
        <v>216969</v>
      </c>
      <c r="W45">
        <v>4.0678204367068801E-2</v>
      </c>
    </row>
    <row r="46" spans="1:23" x14ac:dyDescent="0.2">
      <c r="A46">
        <v>10</v>
      </c>
      <c r="B46">
        <v>1</v>
      </c>
      <c r="C46">
        <v>0.2</v>
      </c>
      <c r="D46">
        <v>4</v>
      </c>
      <c r="E46">
        <v>20</v>
      </c>
      <c r="F46">
        <v>0.49143330489256198</v>
      </c>
      <c r="G46">
        <v>1</v>
      </c>
      <c r="H46">
        <v>30032.72643128</v>
      </c>
      <c r="I46">
        <v>29062</v>
      </c>
      <c r="J46">
        <v>0.18369554471758201</v>
      </c>
      <c r="K46">
        <v>22782</v>
      </c>
      <c r="L46">
        <v>0.48982485014615501</v>
      </c>
      <c r="M46">
        <v>1</v>
      </c>
      <c r="N46">
        <v>3540.695673406</v>
      </c>
      <c r="O46">
        <v>5215</v>
      </c>
      <c r="P46">
        <v>3.4370603863580103E-2</v>
      </c>
      <c r="Q46">
        <v>20</v>
      </c>
      <c r="R46">
        <v>68568</v>
      </c>
      <c r="S46">
        <v>0.49463200624944897</v>
      </c>
      <c r="T46">
        <v>1</v>
      </c>
      <c r="U46">
        <v>3613.5431308759999</v>
      </c>
      <c r="V46">
        <v>203595</v>
      </c>
      <c r="W46">
        <v>0.252957948558652</v>
      </c>
    </row>
    <row r="47" spans="1:23" x14ac:dyDescent="0.2">
      <c r="A47">
        <v>10</v>
      </c>
      <c r="B47">
        <v>1</v>
      </c>
      <c r="C47">
        <v>0.2</v>
      </c>
      <c r="D47">
        <v>5</v>
      </c>
      <c r="E47">
        <v>20</v>
      </c>
      <c r="F47">
        <v>0.61292720762577302</v>
      </c>
      <c r="G47">
        <v>1</v>
      </c>
      <c r="H47">
        <v>30135.041379671999</v>
      </c>
      <c r="I47">
        <v>30547</v>
      </c>
      <c r="J47">
        <v>2.3976983227381499E-2</v>
      </c>
      <c r="K47">
        <v>24123</v>
      </c>
      <c r="L47">
        <v>0.62369781416749903</v>
      </c>
      <c r="M47">
        <v>1</v>
      </c>
      <c r="N47">
        <v>3504.4703211330002</v>
      </c>
      <c r="O47">
        <v>5818</v>
      </c>
      <c r="P47">
        <v>7.1908142115315703E-3</v>
      </c>
      <c r="Q47">
        <v>20</v>
      </c>
      <c r="R47">
        <v>48710</v>
      </c>
      <c r="S47">
        <v>0.63290815289659297</v>
      </c>
      <c r="T47">
        <v>1</v>
      </c>
      <c r="U47">
        <v>3610.4010166050002</v>
      </c>
      <c r="V47">
        <v>290510</v>
      </c>
      <c r="W47">
        <v>7.4055465516985303E-2</v>
      </c>
    </row>
    <row r="48" spans="1:23" x14ac:dyDescent="0.2">
      <c r="A48">
        <v>10</v>
      </c>
      <c r="B48">
        <v>1</v>
      </c>
      <c r="C48">
        <v>0.2</v>
      </c>
      <c r="D48">
        <v>6</v>
      </c>
      <c r="E48">
        <v>20</v>
      </c>
      <c r="F48">
        <v>1.0743969072597399</v>
      </c>
      <c r="G48">
        <v>1</v>
      </c>
      <c r="H48">
        <v>1299.60169563</v>
      </c>
      <c r="I48">
        <v>5813</v>
      </c>
      <c r="J48" s="1">
        <v>1.5340484442571899E-5</v>
      </c>
      <c r="K48">
        <v>4024</v>
      </c>
      <c r="L48">
        <v>1.07751950184734</v>
      </c>
      <c r="M48">
        <v>1</v>
      </c>
      <c r="N48">
        <v>108.366858522</v>
      </c>
      <c r="O48">
        <v>7</v>
      </c>
      <c r="P48">
        <v>1.6568970154897599E-3</v>
      </c>
      <c r="Q48">
        <v>3</v>
      </c>
      <c r="R48">
        <v>9</v>
      </c>
      <c r="S48">
        <v>1.0726806022506601</v>
      </c>
      <c r="T48">
        <v>1</v>
      </c>
      <c r="U48">
        <v>3610.5847003560002</v>
      </c>
      <c r="V48">
        <v>241393</v>
      </c>
      <c r="W48">
        <v>0.10224307618174799</v>
      </c>
    </row>
    <row r="49" spans="1:23" x14ac:dyDescent="0.2">
      <c r="A49">
        <v>10</v>
      </c>
      <c r="B49">
        <v>1</v>
      </c>
      <c r="C49">
        <v>0.2</v>
      </c>
      <c r="D49">
        <v>7</v>
      </c>
      <c r="E49">
        <v>20</v>
      </c>
      <c r="F49">
        <v>0.43458022749762698</v>
      </c>
      <c r="G49">
        <v>1</v>
      </c>
      <c r="H49">
        <v>30060.214862979999</v>
      </c>
      <c r="I49">
        <v>40899</v>
      </c>
      <c r="J49">
        <v>1.6271324469761199E-2</v>
      </c>
      <c r="K49">
        <v>29388</v>
      </c>
      <c r="L49">
        <v>0.439191052527931</v>
      </c>
      <c r="M49">
        <v>1</v>
      </c>
      <c r="N49">
        <v>3020.1192381290002</v>
      </c>
      <c r="O49">
        <v>4997</v>
      </c>
      <c r="P49">
        <v>7.6847668531228597E-3</v>
      </c>
      <c r="Q49">
        <v>20</v>
      </c>
      <c r="R49">
        <v>69024</v>
      </c>
      <c r="S49">
        <v>0.466489426731927</v>
      </c>
      <c r="T49">
        <v>1</v>
      </c>
      <c r="U49">
        <v>3610.2094806730001</v>
      </c>
      <c r="V49">
        <v>273950</v>
      </c>
      <c r="W49">
        <v>0.12563465974520199</v>
      </c>
    </row>
    <row r="50" spans="1:23" x14ac:dyDescent="0.2">
      <c r="A50">
        <v>10</v>
      </c>
      <c r="B50">
        <v>1</v>
      </c>
      <c r="C50">
        <v>0.2</v>
      </c>
      <c r="D50">
        <v>8</v>
      </c>
      <c r="E50">
        <v>20</v>
      </c>
      <c r="F50">
        <v>0.16303788859423701</v>
      </c>
      <c r="G50">
        <v>1</v>
      </c>
      <c r="H50">
        <v>742.48916547199997</v>
      </c>
      <c r="I50">
        <v>4411</v>
      </c>
      <c r="J50" s="1">
        <v>8.8075786613406298E-6</v>
      </c>
      <c r="K50">
        <v>3233</v>
      </c>
      <c r="L50">
        <v>0.151471683786394</v>
      </c>
      <c r="M50">
        <v>1</v>
      </c>
      <c r="N50">
        <v>67.572413045999994</v>
      </c>
      <c r="O50">
        <v>1</v>
      </c>
      <c r="P50">
        <v>2.2866123567704599E-3</v>
      </c>
      <c r="Q50">
        <v>1</v>
      </c>
      <c r="R50">
        <v>1</v>
      </c>
      <c r="S50">
        <v>0.174466921587142</v>
      </c>
      <c r="T50">
        <v>1</v>
      </c>
      <c r="U50">
        <v>3620.6315146940001</v>
      </c>
      <c r="V50">
        <v>155762</v>
      </c>
      <c r="W50">
        <v>0.13174010757191101</v>
      </c>
    </row>
    <row r="51" spans="1:23" x14ac:dyDescent="0.2">
      <c r="A51">
        <v>10</v>
      </c>
      <c r="B51">
        <v>1</v>
      </c>
      <c r="C51">
        <v>0.2</v>
      </c>
      <c r="D51">
        <v>9</v>
      </c>
      <c r="E51">
        <v>20</v>
      </c>
      <c r="F51">
        <v>0.50592089599655798</v>
      </c>
      <c r="G51">
        <v>1</v>
      </c>
      <c r="H51">
        <v>30103.993644377999</v>
      </c>
      <c r="I51">
        <v>31689</v>
      </c>
      <c r="J51">
        <v>1.2405592904133501E-2</v>
      </c>
      <c r="K51">
        <v>23835</v>
      </c>
      <c r="L51">
        <v>0.51639558226037996</v>
      </c>
      <c r="M51">
        <v>1</v>
      </c>
      <c r="N51">
        <v>3353.29790177</v>
      </c>
      <c r="O51">
        <v>3548</v>
      </c>
      <c r="P51">
        <v>1.4381337226180201E-2</v>
      </c>
      <c r="Q51">
        <v>20</v>
      </c>
      <c r="R51">
        <v>49537</v>
      </c>
      <c r="S51">
        <v>0.51669500136658797</v>
      </c>
      <c r="T51">
        <v>1</v>
      </c>
      <c r="U51">
        <v>3610.4379665820002</v>
      </c>
      <c r="V51">
        <v>282219</v>
      </c>
      <c r="W51">
        <v>5.2560228304837801E-2</v>
      </c>
    </row>
    <row r="52" spans="1:23" x14ac:dyDescent="0.2">
      <c r="A52">
        <v>10</v>
      </c>
      <c r="B52">
        <v>1</v>
      </c>
      <c r="C52">
        <v>0.2</v>
      </c>
      <c r="D52">
        <v>10</v>
      </c>
      <c r="E52">
        <v>20</v>
      </c>
      <c r="F52">
        <v>0.63293574209494896</v>
      </c>
      <c r="G52">
        <v>1</v>
      </c>
      <c r="H52">
        <v>30079.258968515001</v>
      </c>
      <c r="I52">
        <v>43853</v>
      </c>
      <c r="J52">
        <v>5.12333248979338E-2</v>
      </c>
      <c r="K52">
        <v>31299</v>
      </c>
      <c r="L52">
        <v>0.64283771905157605</v>
      </c>
      <c r="M52">
        <v>1</v>
      </c>
      <c r="N52">
        <v>3073.7845994559998</v>
      </c>
      <c r="O52">
        <v>4629</v>
      </c>
      <c r="P52">
        <v>1.6860298851327699E-2</v>
      </c>
      <c r="Q52">
        <v>20</v>
      </c>
      <c r="R52">
        <v>53810</v>
      </c>
      <c r="S52">
        <v>0.30627079837950899</v>
      </c>
      <c r="T52">
        <v>1</v>
      </c>
      <c r="U52">
        <v>3610.2763475229999</v>
      </c>
      <c r="V52">
        <v>220040</v>
      </c>
      <c r="W52">
        <v>8.2412282383383897E-2</v>
      </c>
    </row>
    <row r="53" spans="1:23" x14ac:dyDescent="0.2">
      <c r="A53">
        <v>10</v>
      </c>
      <c r="B53">
        <v>1</v>
      </c>
      <c r="C53">
        <v>0.2</v>
      </c>
      <c r="D53">
        <v>11</v>
      </c>
      <c r="E53">
        <v>20</v>
      </c>
      <c r="F53">
        <v>0.61235913240696305</v>
      </c>
      <c r="G53">
        <v>1</v>
      </c>
      <c r="H53">
        <v>697.47043334800003</v>
      </c>
      <c r="I53">
        <v>1328</v>
      </c>
      <c r="J53">
        <v>0</v>
      </c>
      <c r="K53">
        <v>1111</v>
      </c>
      <c r="L53">
        <v>0.61775992152927395</v>
      </c>
      <c r="M53">
        <v>1</v>
      </c>
      <c r="N53">
        <v>64.499401352999996</v>
      </c>
      <c r="O53">
        <v>1</v>
      </c>
      <c r="P53">
        <v>2.9754843072806701E-3</v>
      </c>
      <c r="Q53">
        <v>2</v>
      </c>
      <c r="R53">
        <v>2</v>
      </c>
      <c r="S53">
        <v>1.1655761671298901</v>
      </c>
      <c r="T53">
        <v>1</v>
      </c>
      <c r="U53">
        <v>3610.5433806330002</v>
      </c>
      <c r="V53">
        <v>373720</v>
      </c>
      <c r="W53">
        <v>7.6944141582391198E-3</v>
      </c>
    </row>
    <row r="54" spans="1:23" x14ac:dyDescent="0.2">
      <c r="A54">
        <v>10</v>
      </c>
      <c r="B54">
        <v>1</v>
      </c>
      <c r="C54">
        <v>0.2</v>
      </c>
      <c r="D54">
        <v>12</v>
      </c>
      <c r="E54">
        <v>20</v>
      </c>
      <c r="F54">
        <v>0.38298330193135299</v>
      </c>
      <c r="G54">
        <v>1</v>
      </c>
      <c r="H54">
        <v>1030.311026847</v>
      </c>
      <c r="I54">
        <v>5810</v>
      </c>
      <c r="J54" s="1">
        <v>1.4398722454345101E-6</v>
      </c>
      <c r="K54">
        <v>3649</v>
      </c>
      <c r="L54">
        <v>1.25719048506971</v>
      </c>
      <c r="M54">
        <v>1</v>
      </c>
      <c r="N54">
        <v>86.791984510000006</v>
      </c>
      <c r="O54">
        <v>7</v>
      </c>
      <c r="P54">
        <v>8.5565510003686694E-3</v>
      </c>
      <c r="Q54">
        <v>4</v>
      </c>
      <c r="R54">
        <v>12</v>
      </c>
      <c r="S54">
        <v>0.97040905220042095</v>
      </c>
      <c r="T54">
        <v>1</v>
      </c>
      <c r="U54">
        <v>3610.2310808249999</v>
      </c>
      <c r="V54">
        <v>512413</v>
      </c>
      <c r="W54">
        <v>7.4793840573406101E-2</v>
      </c>
    </row>
    <row r="55" spans="1:23" x14ac:dyDescent="0.2">
      <c r="A55">
        <v>10</v>
      </c>
      <c r="B55">
        <v>1</v>
      </c>
      <c r="C55">
        <v>0.2</v>
      </c>
      <c r="D55">
        <v>13</v>
      </c>
      <c r="E55">
        <v>20</v>
      </c>
      <c r="F55">
        <v>0.621298741359393</v>
      </c>
      <c r="G55">
        <v>1</v>
      </c>
      <c r="H55">
        <v>5355.9488705330004</v>
      </c>
      <c r="I55">
        <v>17146</v>
      </c>
      <c r="J55" s="1">
        <v>2.9806367318419E-5</v>
      </c>
      <c r="K55">
        <v>11994</v>
      </c>
      <c r="L55">
        <v>0.62128558597226302</v>
      </c>
      <c r="M55">
        <v>1</v>
      </c>
      <c r="N55">
        <v>84.653497189000007</v>
      </c>
      <c r="O55">
        <v>1</v>
      </c>
      <c r="P55">
        <v>8.3692199111444696E-3</v>
      </c>
      <c r="Q55">
        <v>1</v>
      </c>
      <c r="R55">
        <v>1</v>
      </c>
      <c r="S55">
        <v>0.645517096727518</v>
      </c>
      <c r="T55">
        <v>1</v>
      </c>
      <c r="U55">
        <v>3610.7554868140001</v>
      </c>
      <c r="V55">
        <v>384082</v>
      </c>
      <c r="W55">
        <v>2.3960927303100701E-2</v>
      </c>
    </row>
    <row r="56" spans="1:23" x14ac:dyDescent="0.2">
      <c r="A56">
        <v>10</v>
      </c>
      <c r="B56">
        <v>1</v>
      </c>
      <c r="C56">
        <v>0.2</v>
      </c>
      <c r="D56">
        <v>14</v>
      </c>
      <c r="E56">
        <v>20</v>
      </c>
      <c r="F56">
        <v>0.62471987779034799</v>
      </c>
      <c r="G56">
        <v>1</v>
      </c>
      <c r="H56">
        <v>30107.005522232001</v>
      </c>
      <c r="I56">
        <v>28373</v>
      </c>
      <c r="J56">
        <v>0.104258195321901</v>
      </c>
      <c r="K56">
        <v>22726</v>
      </c>
      <c r="L56">
        <v>0.55505282497165198</v>
      </c>
      <c r="M56">
        <v>1</v>
      </c>
      <c r="N56">
        <v>3592.7559502620002</v>
      </c>
      <c r="O56">
        <v>3184</v>
      </c>
      <c r="P56">
        <v>1.48533271887834E-2</v>
      </c>
      <c r="Q56">
        <v>20</v>
      </c>
      <c r="R56">
        <v>64890</v>
      </c>
      <c r="S56">
        <v>0.55913065140519802</v>
      </c>
      <c r="T56">
        <v>1</v>
      </c>
      <c r="U56">
        <v>3609.5480995470002</v>
      </c>
      <c r="V56">
        <v>366765</v>
      </c>
      <c r="W56">
        <v>7.0575928069793195E-2</v>
      </c>
    </row>
    <row r="57" spans="1:23" x14ac:dyDescent="0.2">
      <c r="A57">
        <v>10</v>
      </c>
      <c r="B57">
        <v>1</v>
      </c>
      <c r="C57">
        <v>0.2</v>
      </c>
      <c r="D57">
        <v>15</v>
      </c>
      <c r="E57">
        <v>20</v>
      </c>
      <c r="F57">
        <v>0.49486485470099101</v>
      </c>
      <c r="G57">
        <v>1</v>
      </c>
      <c r="H57">
        <v>30065.613818230999</v>
      </c>
      <c r="I57">
        <v>38433</v>
      </c>
      <c r="J57">
        <v>2.7905135501715601E-2</v>
      </c>
      <c r="K57">
        <v>26841</v>
      </c>
      <c r="L57">
        <v>0.96811017334655702</v>
      </c>
      <c r="M57">
        <v>1</v>
      </c>
      <c r="N57">
        <v>3311.8561753939998</v>
      </c>
      <c r="O57">
        <v>3129</v>
      </c>
      <c r="P57">
        <v>2.0471587836199099E-2</v>
      </c>
      <c r="Q57">
        <v>20</v>
      </c>
      <c r="R57">
        <v>38646</v>
      </c>
      <c r="S57">
        <v>0.97683210820041699</v>
      </c>
      <c r="T57">
        <v>1</v>
      </c>
      <c r="U57">
        <v>3611.1036390489999</v>
      </c>
      <c r="V57">
        <v>252476</v>
      </c>
      <c r="W57">
        <v>0.10773132977992</v>
      </c>
    </row>
    <row r="58" spans="1:23" x14ac:dyDescent="0.2">
      <c r="A58">
        <v>10</v>
      </c>
      <c r="B58">
        <v>1</v>
      </c>
      <c r="C58">
        <v>0.2</v>
      </c>
      <c r="D58">
        <v>16</v>
      </c>
      <c r="E58">
        <v>20</v>
      </c>
      <c r="F58">
        <v>1.2002439521833199</v>
      </c>
      <c r="G58">
        <v>1</v>
      </c>
      <c r="H58">
        <v>30045.489039762</v>
      </c>
      <c r="I58">
        <v>41800</v>
      </c>
      <c r="J58">
        <v>1.5961278377036699E-2</v>
      </c>
      <c r="K58">
        <v>30069</v>
      </c>
      <c r="L58">
        <v>1.0221936046596101</v>
      </c>
      <c r="M58">
        <v>1</v>
      </c>
      <c r="N58">
        <v>3203.4763535339998</v>
      </c>
      <c r="O58">
        <v>5424</v>
      </c>
      <c r="P58">
        <v>7.8220399095058606E-3</v>
      </c>
      <c r="Q58">
        <v>20</v>
      </c>
      <c r="R58">
        <v>58197</v>
      </c>
      <c r="S58">
        <v>1.0555152562324801</v>
      </c>
      <c r="T58">
        <v>1</v>
      </c>
      <c r="U58">
        <v>3609.9233795300001</v>
      </c>
      <c r="V58">
        <v>230475</v>
      </c>
      <c r="W58">
        <v>0.138812178088459</v>
      </c>
    </row>
    <row r="59" spans="1:23" x14ac:dyDescent="0.2">
      <c r="A59">
        <v>10</v>
      </c>
      <c r="B59">
        <v>1</v>
      </c>
      <c r="C59">
        <v>0.2</v>
      </c>
      <c r="D59">
        <v>17</v>
      </c>
      <c r="E59">
        <v>20</v>
      </c>
      <c r="F59">
        <v>0.49199338627350098</v>
      </c>
      <c r="G59">
        <v>1</v>
      </c>
      <c r="H59">
        <v>1809.1288942149999</v>
      </c>
      <c r="I59">
        <v>10173</v>
      </c>
      <c r="J59" s="1">
        <v>4.6845617602542202E-6</v>
      </c>
      <c r="K59">
        <v>6315</v>
      </c>
      <c r="L59">
        <v>1.18432634017101</v>
      </c>
      <c r="M59">
        <v>1</v>
      </c>
      <c r="N59">
        <v>92.652622640000004</v>
      </c>
      <c r="O59">
        <v>1</v>
      </c>
      <c r="P59">
        <v>8.5225252460235902E-4</v>
      </c>
      <c r="Q59">
        <v>2</v>
      </c>
      <c r="R59">
        <v>2</v>
      </c>
      <c r="S59">
        <v>0.50113636462746203</v>
      </c>
      <c r="T59">
        <v>1</v>
      </c>
      <c r="U59">
        <v>3609.9584317130002</v>
      </c>
      <c r="V59">
        <v>259653</v>
      </c>
      <c r="W59">
        <v>5.1472799867597403E-2</v>
      </c>
    </row>
    <row r="60" spans="1:23" x14ac:dyDescent="0.2">
      <c r="A60">
        <v>10</v>
      </c>
      <c r="B60">
        <v>1</v>
      </c>
      <c r="C60">
        <v>0.2</v>
      </c>
      <c r="D60">
        <v>18</v>
      </c>
      <c r="E60">
        <v>20</v>
      </c>
      <c r="F60">
        <v>1.35297516950256</v>
      </c>
      <c r="G60">
        <v>1</v>
      </c>
      <c r="H60">
        <v>3954.6004077540001</v>
      </c>
      <c r="I60">
        <v>15446</v>
      </c>
      <c r="J60" s="1">
        <v>3.5561752703971899E-5</v>
      </c>
      <c r="K60">
        <v>10922</v>
      </c>
      <c r="L60">
        <v>0.25918613740512497</v>
      </c>
      <c r="M60">
        <v>1</v>
      </c>
      <c r="N60">
        <v>116.862263064</v>
      </c>
      <c r="O60">
        <v>1</v>
      </c>
      <c r="P60">
        <v>4.5243966449302602E-3</v>
      </c>
      <c r="Q60">
        <v>4</v>
      </c>
      <c r="R60">
        <v>4</v>
      </c>
      <c r="S60">
        <v>1.3391915143889499</v>
      </c>
      <c r="T60">
        <v>1</v>
      </c>
      <c r="U60">
        <v>3608.9060672679998</v>
      </c>
      <c r="V60">
        <v>321562</v>
      </c>
      <c r="W60">
        <v>0.142336707455195</v>
      </c>
    </row>
    <row r="61" spans="1:23" x14ac:dyDescent="0.2">
      <c r="A61">
        <v>10</v>
      </c>
      <c r="B61">
        <v>1</v>
      </c>
      <c r="C61">
        <v>0.2</v>
      </c>
      <c r="D61">
        <v>19</v>
      </c>
      <c r="E61">
        <v>20</v>
      </c>
      <c r="F61">
        <v>0.63413181515306705</v>
      </c>
      <c r="G61">
        <v>1</v>
      </c>
      <c r="H61">
        <v>30090.907560266998</v>
      </c>
      <c r="I61">
        <v>48498</v>
      </c>
      <c r="J61">
        <v>5.0991541120303796E-3</v>
      </c>
      <c r="K61">
        <v>30399</v>
      </c>
      <c r="L61">
        <v>0.62909939621032396</v>
      </c>
      <c r="M61">
        <v>1</v>
      </c>
      <c r="N61">
        <v>3558.969628496</v>
      </c>
      <c r="O61">
        <v>5133</v>
      </c>
      <c r="P61">
        <v>2.1242501841646701E-2</v>
      </c>
      <c r="Q61">
        <v>20</v>
      </c>
      <c r="R61">
        <v>72532</v>
      </c>
      <c r="S61">
        <v>0.63822784780692099</v>
      </c>
      <c r="T61">
        <v>1</v>
      </c>
      <c r="U61">
        <v>3610.1044358230001</v>
      </c>
      <c r="V61">
        <v>360041</v>
      </c>
      <c r="W61">
        <v>7.1871971104135499E-2</v>
      </c>
    </row>
    <row r="62" spans="1:23" x14ac:dyDescent="0.2">
      <c r="A62">
        <v>10</v>
      </c>
      <c r="B62">
        <v>1</v>
      </c>
      <c r="C62">
        <v>0.2</v>
      </c>
      <c r="D62">
        <v>20</v>
      </c>
      <c r="E62">
        <v>20</v>
      </c>
      <c r="F62">
        <v>0.43443930506878198</v>
      </c>
      <c r="G62">
        <v>1</v>
      </c>
      <c r="H62">
        <v>30086.378756504</v>
      </c>
      <c r="I62">
        <v>50190</v>
      </c>
      <c r="J62">
        <v>1.56230616777024E-2</v>
      </c>
      <c r="K62">
        <v>28708</v>
      </c>
      <c r="L62">
        <v>0.43441244662554401</v>
      </c>
      <c r="M62">
        <v>1</v>
      </c>
      <c r="N62">
        <v>2466.7327992410001</v>
      </c>
      <c r="O62">
        <v>4441</v>
      </c>
      <c r="P62">
        <v>1.53493757748045E-2</v>
      </c>
      <c r="Q62">
        <v>20</v>
      </c>
      <c r="R62">
        <v>53947</v>
      </c>
      <c r="S62">
        <v>0.89228678345938695</v>
      </c>
      <c r="T62">
        <v>1</v>
      </c>
      <c r="U62">
        <v>3609.5422947699999</v>
      </c>
      <c r="V62">
        <v>440004</v>
      </c>
      <c r="W62">
        <v>8.7485743159952195E-2</v>
      </c>
    </row>
    <row r="63" spans="1:23" x14ac:dyDescent="0.2">
      <c r="A63">
        <v>10</v>
      </c>
      <c r="B63">
        <v>1</v>
      </c>
      <c r="C63">
        <v>0.2</v>
      </c>
      <c r="D63">
        <v>1</v>
      </c>
      <c r="E63">
        <v>100</v>
      </c>
      <c r="F63">
        <v>0.60165045143534202</v>
      </c>
      <c r="G63">
        <v>1</v>
      </c>
      <c r="H63">
        <v>30072.924930526999</v>
      </c>
      <c r="I63">
        <v>35589</v>
      </c>
      <c r="J63">
        <v>3.0325370676166398E-3</v>
      </c>
      <c r="K63">
        <v>28576</v>
      </c>
      <c r="L63">
        <v>0.529434375965667</v>
      </c>
      <c r="M63">
        <v>1</v>
      </c>
      <c r="N63">
        <v>60.751972776999999</v>
      </c>
      <c r="O63">
        <v>1</v>
      </c>
      <c r="P63">
        <v>4.0838186270259601E-3</v>
      </c>
      <c r="Q63">
        <v>1</v>
      </c>
      <c r="R63">
        <v>1</v>
      </c>
      <c r="S63">
        <v>0.59989217937136996</v>
      </c>
      <c r="T63">
        <v>1</v>
      </c>
      <c r="U63">
        <v>3610.6594419060002</v>
      </c>
      <c r="V63">
        <v>252951</v>
      </c>
      <c r="W63">
        <v>1.0008740893962099E-2</v>
      </c>
    </row>
    <row r="64" spans="1:23" x14ac:dyDescent="0.2">
      <c r="A64">
        <v>10</v>
      </c>
      <c r="B64">
        <v>1</v>
      </c>
      <c r="C64">
        <v>0.2</v>
      </c>
      <c r="D64">
        <v>2</v>
      </c>
      <c r="E64">
        <v>100</v>
      </c>
      <c r="F64">
        <v>1.79844454475468</v>
      </c>
      <c r="G64">
        <v>1</v>
      </c>
      <c r="H64">
        <v>30186.854183809999</v>
      </c>
      <c r="I64">
        <v>45396</v>
      </c>
      <c r="J64">
        <v>0.41183764321448502</v>
      </c>
      <c r="K64">
        <v>45147</v>
      </c>
      <c r="L64">
        <v>0.42575468807880301</v>
      </c>
      <c r="M64">
        <v>1</v>
      </c>
      <c r="N64">
        <v>68.065216479</v>
      </c>
      <c r="O64">
        <v>1</v>
      </c>
      <c r="P64">
        <v>3.1753857792131599E-3</v>
      </c>
      <c r="Q64">
        <v>1</v>
      </c>
      <c r="R64">
        <v>1</v>
      </c>
      <c r="S64">
        <v>0.42563777129299801</v>
      </c>
      <c r="T64">
        <v>1</v>
      </c>
      <c r="U64">
        <v>3610.3429474320001</v>
      </c>
      <c r="V64">
        <v>202022</v>
      </c>
      <c r="W64">
        <v>7.6300612077630997E-3</v>
      </c>
    </row>
    <row r="65" spans="1:23" x14ac:dyDescent="0.2">
      <c r="A65">
        <v>10</v>
      </c>
      <c r="B65">
        <v>1</v>
      </c>
      <c r="C65">
        <v>0.2</v>
      </c>
      <c r="D65">
        <v>3</v>
      </c>
      <c r="E65">
        <v>100</v>
      </c>
      <c r="F65">
        <v>0.54497656656026605</v>
      </c>
      <c r="G65">
        <v>1</v>
      </c>
      <c r="H65">
        <v>30124.646611867</v>
      </c>
      <c r="I65">
        <v>45539</v>
      </c>
      <c r="J65">
        <v>3.4547462039171101E-3</v>
      </c>
      <c r="K65">
        <v>29425</v>
      </c>
      <c r="L65">
        <v>0.553337654666887</v>
      </c>
      <c r="M65">
        <v>1</v>
      </c>
      <c r="N65">
        <v>64.537852760999996</v>
      </c>
      <c r="O65">
        <v>1</v>
      </c>
      <c r="P65">
        <v>5.2889210380061202E-3</v>
      </c>
      <c r="Q65">
        <v>1</v>
      </c>
      <c r="R65">
        <v>1</v>
      </c>
      <c r="S65">
        <v>0.55447464998245199</v>
      </c>
      <c r="T65">
        <v>1</v>
      </c>
      <c r="U65">
        <v>3615.4449858879998</v>
      </c>
      <c r="V65">
        <v>173832</v>
      </c>
      <c r="W65">
        <v>1.91599226297984E-2</v>
      </c>
    </row>
    <row r="66" spans="1:23" x14ac:dyDescent="0.2">
      <c r="A66">
        <v>10</v>
      </c>
      <c r="B66">
        <v>1</v>
      </c>
      <c r="C66">
        <v>0.2</v>
      </c>
      <c r="D66">
        <v>4</v>
      </c>
      <c r="E66">
        <v>100</v>
      </c>
      <c r="F66">
        <v>0.81724263501664396</v>
      </c>
      <c r="G66">
        <v>1</v>
      </c>
      <c r="H66">
        <v>30031.738684553002</v>
      </c>
      <c r="I66">
        <v>32848</v>
      </c>
      <c r="J66">
        <v>0.16141888128151999</v>
      </c>
      <c r="K66">
        <v>31026</v>
      </c>
      <c r="L66">
        <v>0.46713108111825602</v>
      </c>
      <c r="M66">
        <v>1</v>
      </c>
      <c r="N66">
        <v>3567.8754366120002</v>
      </c>
      <c r="O66">
        <v>7240</v>
      </c>
      <c r="P66">
        <v>1.1549606445022301E-2</v>
      </c>
      <c r="Q66">
        <v>20</v>
      </c>
      <c r="R66">
        <v>74572</v>
      </c>
      <c r="S66">
        <v>0.47965644926927598</v>
      </c>
      <c r="T66">
        <v>1</v>
      </c>
      <c r="U66">
        <v>3617.088365647</v>
      </c>
      <c r="V66">
        <v>254171</v>
      </c>
      <c r="W66">
        <v>4.5376569067904798E-2</v>
      </c>
    </row>
    <row r="67" spans="1:23" x14ac:dyDescent="0.2">
      <c r="A67">
        <v>10</v>
      </c>
      <c r="B67">
        <v>1</v>
      </c>
      <c r="C67">
        <v>0.2</v>
      </c>
      <c r="D67">
        <v>5</v>
      </c>
      <c r="E67">
        <v>100</v>
      </c>
      <c r="F67">
        <v>0.57766431714044097</v>
      </c>
      <c r="G67">
        <v>1</v>
      </c>
      <c r="H67">
        <v>30136.436535592999</v>
      </c>
      <c r="I67">
        <v>29773</v>
      </c>
      <c r="J67">
        <v>3.0901992223179992E-3</v>
      </c>
      <c r="K67">
        <v>29772</v>
      </c>
      <c r="L67">
        <v>0.57766431714487898</v>
      </c>
      <c r="M67">
        <v>1</v>
      </c>
      <c r="N67">
        <v>83.522019849000003</v>
      </c>
      <c r="O67">
        <v>1</v>
      </c>
      <c r="P67">
        <v>8.7885701852826008E-3</v>
      </c>
      <c r="Q67">
        <v>1</v>
      </c>
      <c r="R67">
        <v>1</v>
      </c>
      <c r="S67">
        <v>0.60102855684822998</v>
      </c>
      <c r="T67">
        <v>1</v>
      </c>
      <c r="U67">
        <v>3610.7639384499998</v>
      </c>
      <c r="V67">
        <v>186403</v>
      </c>
      <c r="W67">
        <v>2.1942179572038999E-2</v>
      </c>
    </row>
    <row r="68" spans="1:23" x14ac:dyDescent="0.2">
      <c r="A68">
        <v>10</v>
      </c>
      <c r="B68">
        <v>1</v>
      </c>
      <c r="C68">
        <v>0.2</v>
      </c>
      <c r="D68">
        <v>6</v>
      </c>
      <c r="E68">
        <v>100</v>
      </c>
      <c r="F68">
        <v>1.05161893804038</v>
      </c>
      <c r="G68">
        <v>1</v>
      </c>
      <c r="H68">
        <v>30144.654447992001</v>
      </c>
      <c r="I68">
        <v>35295</v>
      </c>
      <c r="J68">
        <v>4.4560131061280204E-3</v>
      </c>
      <c r="K68">
        <v>32364</v>
      </c>
      <c r="L68">
        <v>0.55695294291097297</v>
      </c>
      <c r="M68">
        <v>1</v>
      </c>
      <c r="N68">
        <v>95.891969528000004</v>
      </c>
      <c r="O68">
        <v>0</v>
      </c>
      <c r="P68">
        <v>1.7187505792059399E-3</v>
      </c>
      <c r="Q68">
        <v>2</v>
      </c>
      <c r="R68">
        <v>1</v>
      </c>
      <c r="S68">
        <v>0.57154673625040797</v>
      </c>
      <c r="T68">
        <v>1</v>
      </c>
      <c r="U68">
        <v>3609.9977277130001</v>
      </c>
      <c r="V68">
        <v>201268</v>
      </c>
      <c r="W68">
        <v>2.2388377040262399E-2</v>
      </c>
    </row>
    <row r="69" spans="1:23" x14ac:dyDescent="0.2">
      <c r="A69">
        <v>10</v>
      </c>
      <c r="B69">
        <v>1</v>
      </c>
      <c r="C69">
        <v>0.2</v>
      </c>
      <c r="D69">
        <v>7</v>
      </c>
      <c r="E69">
        <v>100</v>
      </c>
      <c r="F69">
        <v>0.40309551325376702</v>
      </c>
      <c r="G69">
        <v>1</v>
      </c>
      <c r="H69">
        <v>30174.899581950001</v>
      </c>
      <c r="I69">
        <v>39364</v>
      </c>
      <c r="J69">
        <v>1.6726557483794199E-2</v>
      </c>
      <c r="K69">
        <v>35015</v>
      </c>
      <c r="L69">
        <v>0.375666875463182</v>
      </c>
      <c r="M69">
        <v>1</v>
      </c>
      <c r="N69">
        <v>509.34145746000002</v>
      </c>
      <c r="O69">
        <v>3915</v>
      </c>
      <c r="P69">
        <v>1.0178335106552001E-3</v>
      </c>
      <c r="Q69">
        <v>6</v>
      </c>
      <c r="R69">
        <v>6066</v>
      </c>
      <c r="S69">
        <v>0.38605165737484398</v>
      </c>
      <c r="T69">
        <v>1</v>
      </c>
      <c r="U69">
        <v>3610.5840531180002</v>
      </c>
      <c r="V69">
        <v>198911</v>
      </c>
      <c r="W69">
        <v>2.6773172337081801E-2</v>
      </c>
    </row>
    <row r="70" spans="1:23" x14ac:dyDescent="0.2">
      <c r="A70">
        <v>10</v>
      </c>
      <c r="B70">
        <v>1</v>
      </c>
      <c r="C70">
        <v>0.2</v>
      </c>
      <c r="D70">
        <v>8</v>
      </c>
      <c r="E70">
        <v>100</v>
      </c>
      <c r="F70">
        <v>0.13995540704831499</v>
      </c>
      <c r="G70">
        <v>1</v>
      </c>
      <c r="H70">
        <v>19329.889944187002</v>
      </c>
      <c r="I70">
        <v>55402</v>
      </c>
      <c r="J70" s="1">
        <v>4.0821035649785103E-6</v>
      </c>
      <c r="K70">
        <v>31219</v>
      </c>
      <c r="L70">
        <v>9.7262159424657005E-2</v>
      </c>
      <c r="M70">
        <v>1</v>
      </c>
      <c r="N70">
        <v>64.199955291999999</v>
      </c>
      <c r="O70">
        <v>1</v>
      </c>
      <c r="P70">
        <v>1.63003424295238E-3</v>
      </c>
      <c r="Q70">
        <v>1</v>
      </c>
      <c r="R70">
        <v>1</v>
      </c>
      <c r="S70">
        <v>0.143264854847411</v>
      </c>
      <c r="T70">
        <v>1</v>
      </c>
      <c r="U70">
        <v>3618.104395068</v>
      </c>
      <c r="V70">
        <v>189825</v>
      </c>
      <c r="W70">
        <v>1.6727920801482499E-2</v>
      </c>
    </row>
    <row r="71" spans="1:23" x14ac:dyDescent="0.2">
      <c r="A71">
        <v>10</v>
      </c>
      <c r="B71">
        <v>1</v>
      </c>
      <c r="C71">
        <v>0.2</v>
      </c>
      <c r="D71">
        <v>9</v>
      </c>
      <c r="E71">
        <v>100</v>
      </c>
      <c r="F71">
        <v>0.438751372868386</v>
      </c>
      <c r="G71">
        <v>1</v>
      </c>
      <c r="H71">
        <v>30098.077042788002</v>
      </c>
      <c r="I71">
        <v>36478</v>
      </c>
      <c r="J71">
        <v>1.6903453540137794E-2</v>
      </c>
      <c r="K71">
        <v>36480</v>
      </c>
      <c r="L71">
        <v>0.43875137286903898</v>
      </c>
      <c r="M71">
        <v>1</v>
      </c>
      <c r="N71">
        <v>80.033755353000004</v>
      </c>
      <c r="O71">
        <v>1</v>
      </c>
      <c r="P71">
        <v>9.7191560990670198E-3</v>
      </c>
      <c r="Q71">
        <v>1</v>
      </c>
      <c r="R71">
        <v>1</v>
      </c>
      <c r="S71">
        <v>0.43529146974687399</v>
      </c>
      <c r="T71">
        <v>1</v>
      </c>
      <c r="U71">
        <v>3611.5342782399998</v>
      </c>
      <c r="V71">
        <v>316556</v>
      </c>
      <c r="W71">
        <v>9.1214908628511893E-3</v>
      </c>
    </row>
    <row r="72" spans="1:23" x14ac:dyDescent="0.2">
      <c r="A72">
        <v>10</v>
      </c>
      <c r="B72">
        <v>1</v>
      </c>
      <c r="C72">
        <v>0.2</v>
      </c>
      <c r="D72">
        <v>10</v>
      </c>
      <c r="E72">
        <v>100</v>
      </c>
      <c r="F72">
        <v>0.36720993060805401</v>
      </c>
      <c r="G72">
        <v>1</v>
      </c>
      <c r="H72">
        <v>30193.63683558</v>
      </c>
      <c r="I72">
        <v>33829</v>
      </c>
      <c r="J72">
        <v>0.13450983500974059</v>
      </c>
      <c r="K72">
        <v>33830</v>
      </c>
      <c r="L72">
        <v>0.22945150343446399</v>
      </c>
      <c r="M72">
        <v>1</v>
      </c>
      <c r="N72">
        <v>3208.4444587930002</v>
      </c>
      <c r="O72">
        <v>2798</v>
      </c>
      <c r="P72">
        <v>4.8107847003407197E-3</v>
      </c>
      <c r="Q72">
        <v>20</v>
      </c>
      <c r="R72">
        <v>47977</v>
      </c>
      <c r="S72">
        <v>0.62332011782631902</v>
      </c>
      <c r="T72">
        <v>1</v>
      </c>
      <c r="U72">
        <v>3610.2166847869998</v>
      </c>
      <c r="V72">
        <v>259666</v>
      </c>
      <c r="W72">
        <v>1.9037581899920199E-2</v>
      </c>
    </row>
    <row r="73" spans="1:23" x14ac:dyDescent="0.2">
      <c r="A73">
        <v>10</v>
      </c>
      <c r="B73">
        <v>1</v>
      </c>
      <c r="C73">
        <v>0.2</v>
      </c>
      <c r="D73">
        <v>11</v>
      </c>
      <c r="E73">
        <v>100</v>
      </c>
      <c r="F73">
        <v>1.1756936004081799</v>
      </c>
      <c r="G73">
        <v>1</v>
      </c>
      <c r="H73">
        <v>340.32316246800002</v>
      </c>
      <c r="I73">
        <v>2300</v>
      </c>
      <c r="J73" s="1">
        <v>7.4497064753153906E-8</v>
      </c>
      <c r="K73">
        <v>1711</v>
      </c>
      <c r="L73">
        <v>0.60696756799698603</v>
      </c>
      <c r="M73">
        <v>1</v>
      </c>
      <c r="N73">
        <v>83.884970862000003</v>
      </c>
      <c r="O73">
        <v>1</v>
      </c>
      <c r="P73">
        <v>2.9518349117488898E-4</v>
      </c>
      <c r="Q73">
        <v>2</v>
      </c>
      <c r="R73">
        <v>2</v>
      </c>
      <c r="S73">
        <v>0.61022790446950903</v>
      </c>
      <c r="T73">
        <v>1</v>
      </c>
      <c r="U73">
        <v>3609.748706589</v>
      </c>
      <c r="V73">
        <v>447246</v>
      </c>
      <c r="W73">
        <v>7.7946228525505002E-4</v>
      </c>
    </row>
    <row r="74" spans="1:23" x14ac:dyDescent="0.2">
      <c r="A74">
        <v>10</v>
      </c>
      <c r="B74">
        <v>1</v>
      </c>
      <c r="C74">
        <v>0.2</v>
      </c>
      <c r="D74">
        <v>12</v>
      </c>
      <c r="E74">
        <v>100</v>
      </c>
      <c r="F74">
        <v>0.36448125363720901</v>
      </c>
      <c r="G74">
        <v>1</v>
      </c>
      <c r="H74">
        <v>30119.329231732001</v>
      </c>
      <c r="I74">
        <v>52706</v>
      </c>
      <c r="J74">
        <v>2.3690807718707001E-3</v>
      </c>
      <c r="K74">
        <v>30856</v>
      </c>
      <c r="L74">
        <v>0.36065561672887397</v>
      </c>
      <c r="M74">
        <v>1</v>
      </c>
      <c r="N74">
        <v>111.341901729</v>
      </c>
      <c r="O74">
        <v>1</v>
      </c>
      <c r="P74">
        <v>2.6274199874719E-3</v>
      </c>
      <c r="Q74">
        <v>7</v>
      </c>
      <c r="R74">
        <v>7</v>
      </c>
      <c r="S74">
        <v>0.35924945381321799</v>
      </c>
      <c r="T74">
        <v>1</v>
      </c>
      <c r="U74">
        <v>3609.6691415810001</v>
      </c>
      <c r="V74">
        <v>588311</v>
      </c>
      <c r="W74">
        <v>3.0191396951550998E-3</v>
      </c>
    </row>
    <row r="75" spans="1:23" x14ac:dyDescent="0.2">
      <c r="A75">
        <v>10</v>
      </c>
      <c r="B75">
        <v>1</v>
      </c>
      <c r="C75">
        <v>0.2</v>
      </c>
      <c r="D75">
        <v>13</v>
      </c>
      <c r="E75">
        <v>100</v>
      </c>
      <c r="F75">
        <v>0.53142300598062997</v>
      </c>
      <c r="G75">
        <v>1</v>
      </c>
      <c r="H75">
        <v>30171.754257478002</v>
      </c>
      <c r="I75">
        <v>37048</v>
      </c>
      <c r="J75">
        <v>9.1888369081732594E-3</v>
      </c>
      <c r="K75">
        <v>28241</v>
      </c>
      <c r="L75">
        <v>0.53431993707428604</v>
      </c>
      <c r="M75">
        <v>1</v>
      </c>
      <c r="N75">
        <v>87.924618976999994</v>
      </c>
      <c r="O75">
        <v>1</v>
      </c>
      <c r="P75">
        <v>9.8807096029889102E-3</v>
      </c>
      <c r="Q75">
        <v>1</v>
      </c>
      <c r="R75">
        <v>1</v>
      </c>
      <c r="S75">
        <v>0.57139520793353005</v>
      </c>
      <c r="T75">
        <v>1</v>
      </c>
      <c r="U75">
        <v>3611.5516587759998</v>
      </c>
      <c r="V75">
        <v>401043</v>
      </c>
      <c r="W75">
        <v>7.0505711663386697E-3</v>
      </c>
    </row>
    <row r="76" spans="1:23" x14ac:dyDescent="0.2">
      <c r="A76">
        <v>10</v>
      </c>
      <c r="B76">
        <v>1</v>
      </c>
      <c r="C76">
        <v>0.2</v>
      </c>
      <c r="D76">
        <v>14</v>
      </c>
      <c r="E76">
        <v>100</v>
      </c>
      <c r="F76">
        <v>0.656591895122419</v>
      </c>
      <c r="G76">
        <v>1</v>
      </c>
      <c r="H76">
        <v>30124.203748149001</v>
      </c>
      <c r="I76">
        <v>29783</v>
      </c>
      <c r="J76">
        <v>0.10748353183796799</v>
      </c>
      <c r="K76">
        <v>27383</v>
      </c>
      <c r="L76">
        <v>0.45344132273889498</v>
      </c>
      <c r="M76">
        <v>1</v>
      </c>
      <c r="N76">
        <v>3782.05915035</v>
      </c>
      <c r="O76">
        <v>4624</v>
      </c>
      <c r="P76">
        <v>2.88239141717229E-3</v>
      </c>
      <c r="Q76">
        <v>20</v>
      </c>
      <c r="R76">
        <v>66482</v>
      </c>
      <c r="S76">
        <v>0.460687229396752</v>
      </c>
      <c r="T76">
        <v>1</v>
      </c>
      <c r="U76">
        <v>3614.21739372</v>
      </c>
      <c r="V76">
        <v>213785</v>
      </c>
      <c r="W76">
        <v>1.51909162965147E-2</v>
      </c>
    </row>
    <row r="77" spans="1:23" x14ac:dyDescent="0.2">
      <c r="A77">
        <v>10</v>
      </c>
      <c r="B77">
        <v>1</v>
      </c>
      <c r="C77">
        <v>0.2</v>
      </c>
      <c r="D77">
        <v>15</v>
      </c>
      <c r="E77">
        <v>100</v>
      </c>
      <c r="F77">
        <v>0.41079813106950902</v>
      </c>
      <c r="G77">
        <v>1</v>
      </c>
      <c r="H77">
        <v>30073.637164779</v>
      </c>
      <c r="I77">
        <v>42496</v>
      </c>
      <c r="J77">
        <v>7.3395359613683001E-2</v>
      </c>
      <c r="K77">
        <v>39175</v>
      </c>
      <c r="L77">
        <v>0.343105696230396</v>
      </c>
      <c r="M77">
        <v>1</v>
      </c>
      <c r="N77">
        <v>3367.3245158240002</v>
      </c>
      <c r="O77">
        <v>2561</v>
      </c>
      <c r="P77">
        <v>3.6595603442905601E-3</v>
      </c>
      <c r="Q77">
        <v>20</v>
      </c>
      <c r="R77">
        <v>41731</v>
      </c>
      <c r="S77">
        <v>0.38933441048659201</v>
      </c>
      <c r="T77">
        <v>1</v>
      </c>
      <c r="U77">
        <v>3610.697763743</v>
      </c>
      <c r="V77">
        <v>260944</v>
      </c>
      <c r="W77">
        <v>3.4042000926147502E-2</v>
      </c>
    </row>
    <row r="78" spans="1:23" x14ac:dyDescent="0.2">
      <c r="A78">
        <v>10</v>
      </c>
      <c r="B78">
        <v>1</v>
      </c>
      <c r="C78">
        <v>0.2</v>
      </c>
      <c r="D78">
        <v>16</v>
      </c>
      <c r="E78">
        <v>100</v>
      </c>
      <c r="F78">
        <v>0.55993917626005096</v>
      </c>
      <c r="G78">
        <v>1</v>
      </c>
      <c r="H78">
        <v>30105.097425656</v>
      </c>
      <c r="I78">
        <v>38732</v>
      </c>
      <c r="J78">
        <v>8.7267957642036299E-3</v>
      </c>
      <c r="K78">
        <v>32937</v>
      </c>
      <c r="L78">
        <v>0.90933273414285698</v>
      </c>
      <c r="M78">
        <v>1</v>
      </c>
      <c r="N78">
        <v>3206.6151310949999</v>
      </c>
      <c r="O78">
        <v>1822</v>
      </c>
      <c r="P78">
        <v>1.63130031994894E-3</v>
      </c>
      <c r="Q78">
        <v>20</v>
      </c>
      <c r="R78">
        <v>22730</v>
      </c>
      <c r="S78">
        <v>1.0688483109659701</v>
      </c>
      <c r="T78">
        <v>1</v>
      </c>
      <c r="U78">
        <v>3609.6336118730001</v>
      </c>
      <c r="V78">
        <v>190891</v>
      </c>
      <c r="W78">
        <v>2.6585509402539099E-2</v>
      </c>
    </row>
    <row r="79" spans="1:23" x14ac:dyDescent="0.2">
      <c r="A79">
        <v>10</v>
      </c>
      <c r="B79">
        <v>1</v>
      </c>
      <c r="C79">
        <v>0.2</v>
      </c>
      <c r="D79">
        <v>17</v>
      </c>
      <c r="E79">
        <v>100</v>
      </c>
      <c r="F79">
        <v>1.1914278727243499</v>
      </c>
      <c r="G79">
        <v>1</v>
      </c>
      <c r="H79">
        <v>28167.202732646001</v>
      </c>
      <c r="I79">
        <v>70784</v>
      </c>
      <c r="J79" s="1">
        <v>3.4266550368658401E-6</v>
      </c>
      <c r="K79">
        <v>37212</v>
      </c>
      <c r="L79">
        <v>1.1881610685644499</v>
      </c>
      <c r="M79">
        <v>1</v>
      </c>
      <c r="N79">
        <v>68.011476068999997</v>
      </c>
      <c r="O79">
        <v>1</v>
      </c>
      <c r="P79">
        <v>3.6855492344518799E-4</v>
      </c>
      <c r="Q79">
        <v>2</v>
      </c>
      <c r="R79">
        <v>2</v>
      </c>
      <c r="S79">
        <v>1.1874315031295899</v>
      </c>
      <c r="T79">
        <v>1</v>
      </c>
      <c r="U79">
        <v>3614.0515928710001</v>
      </c>
      <c r="V79">
        <v>178722</v>
      </c>
      <c r="W79">
        <v>1.5797478549808699E-2</v>
      </c>
    </row>
    <row r="80" spans="1:23" x14ac:dyDescent="0.2">
      <c r="A80">
        <v>10</v>
      </c>
      <c r="B80">
        <v>1</v>
      </c>
      <c r="C80">
        <v>0.2</v>
      </c>
      <c r="D80">
        <v>18</v>
      </c>
      <c r="E80">
        <v>100</v>
      </c>
      <c r="F80">
        <v>0.26542251188653498</v>
      </c>
      <c r="G80">
        <v>1</v>
      </c>
      <c r="H80">
        <v>30033.05039715</v>
      </c>
      <c r="I80">
        <v>42922</v>
      </c>
      <c r="J80">
        <v>9.50778436681468E-4</v>
      </c>
      <c r="K80">
        <v>27371</v>
      </c>
      <c r="L80">
        <v>0.30171708668330899</v>
      </c>
      <c r="M80">
        <v>1</v>
      </c>
      <c r="N80">
        <v>69.855698133000004</v>
      </c>
      <c r="O80">
        <v>1</v>
      </c>
      <c r="P80">
        <v>1.1376899993606E-3</v>
      </c>
      <c r="Q80">
        <v>2</v>
      </c>
      <c r="R80">
        <v>2</v>
      </c>
      <c r="S80">
        <v>1.3668472625453001</v>
      </c>
      <c r="T80">
        <v>1</v>
      </c>
      <c r="U80">
        <v>3610.6330386260001</v>
      </c>
      <c r="V80">
        <v>193958</v>
      </c>
      <c r="W80">
        <v>2.9915186013601699E-2</v>
      </c>
    </row>
    <row r="81" spans="1:23" x14ac:dyDescent="0.2">
      <c r="A81">
        <v>10</v>
      </c>
      <c r="B81">
        <v>1</v>
      </c>
      <c r="C81">
        <v>0.2</v>
      </c>
      <c r="D81">
        <v>19</v>
      </c>
      <c r="E81">
        <v>100</v>
      </c>
      <c r="F81">
        <v>0.61252925825196003</v>
      </c>
      <c r="G81">
        <v>1</v>
      </c>
      <c r="H81">
        <v>30076.765800484001</v>
      </c>
      <c r="I81">
        <v>48000</v>
      </c>
      <c r="J81">
        <v>1.6572473430367999E-2</v>
      </c>
      <c r="K81">
        <v>39853</v>
      </c>
      <c r="L81">
        <v>0.58292921252433805</v>
      </c>
      <c r="M81">
        <v>1</v>
      </c>
      <c r="N81">
        <v>3627.6307059010001</v>
      </c>
      <c r="O81">
        <v>9205</v>
      </c>
      <c r="P81">
        <v>4.6235201424229102E-3</v>
      </c>
      <c r="Q81">
        <v>20</v>
      </c>
      <c r="R81">
        <v>108614</v>
      </c>
      <c r="S81">
        <v>0.59012031949784505</v>
      </c>
      <c r="T81">
        <v>1</v>
      </c>
      <c r="U81">
        <v>3609.126469281</v>
      </c>
      <c r="V81">
        <v>352044</v>
      </c>
      <c r="W81">
        <v>1.31426636618066E-2</v>
      </c>
    </row>
    <row r="82" spans="1:23" x14ac:dyDescent="0.2">
      <c r="A82">
        <v>10</v>
      </c>
      <c r="B82">
        <v>1</v>
      </c>
      <c r="C82">
        <v>0.2</v>
      </c>
      <c r="D82">
        <v>20</v>
      </c>
      <c r="E82">
        <v>100</v>
      </c>
      <c r="F82">
        <v>0.40704442978007099</v>
      </c>
      <c r="G82">
        <v>1</v>
      </c>
      <c r="H82">
        <v>30027.157804310002</v>
      </c>
      <c r="I82">
        <v>32247</v>
      </c>
      <c r="J82">
        <v>9.68087811703763E-3</v>
      </c>
      <c r="K82">
        <v>23622</v>
      </c>
      <c r="L82">
        <v>0.40094249107338797</v>
      </c>
      <c r="M82">
        <v>1</v>
      </c>
      <c r="N82">
        <v>3176.097199155</v>
      </c>
      <c r="O82">
        <v>6450</v>
      </c>
      <c r="P82">
        <v>4.8714588477804799E-3</v>
      </c>
      <c r="Q82">
        <v>20</v>
      </c>
      <c r="R82">
        <v>60202</v>
      </c>
      <c r="S82">
        <v>0.40982675675445102</v>
      </c>
      <c r="T82">
        <v>1</v>
      </c>
      <c r="U82">
        <v>3608.4394095020002</v>
      </c>
      <c r="V82">
        <v>363693</v>
      </c>
      <c r="W82">
        <v>1.1859042644569899E-2</v>
      </c>
    </row>
    <row r="83" spans="1:23" x14ac:dyDescent="0.2">
      <c r="A83">
        <v>10</v>
      </c>
      <c r="B83">
        <v>1</v>
      </c>
      <c r="C83">
        <v>0.3</v>
      </c>
      <c r="D83">
        <v>1</v>
      </c>
      <c r="E83">
        <v>20</v>
      </c>
      <c r="F83">
        <v>0.32606063000866498</v>
      </c>
      <c r="G83">
        <v>1</v>
      </c>
      <c r="H83">
        <v>30125.453303582999</v>
      </c>
      <c r="I83">
        <v>30664</v>
      </c>
      <c r="J83">
        <v>8.9765998832436994E-2</v>
      </c>
      <c r="K83">
        <v>30666</v>
      </c>
      <c r="L83">
        <v>0.32606063000866797</v>
      </c>
      <c r="M83">
        <v>1</v>
      </c>
      <c r="N83">
        <v>3374.116462682</v>
      </c>
      <c r="O83">
        <v>2959</v>
      </c>
      <c r="P83">
        <v>2.9459862543714799E-2</v>
      </c>
      <c r="Q83">
        <v>20</v>
      </c>
      <c r="R83">
        <v>44586</v>
      </c>
      <c r="S83">
        <v>0.36177332263161399</v>
      </c>
      <c r="T83">
        <v>1</v>
      </c>
      <c r="U83">
        <v>3609.8264601020001</v>
      </c>
      <c r="V83">
        <v>298238</v>
      </c>
      <c r="W83">
        <v>7.6801280499669305E-2</v>
      </c>
    </row>
    <row r="84" spans="1:23" x14ac:dyDescent="0.2">
      <c r="A84">
        <v>10</v>
      </c>
      <c r="B84">
        <v>1</v>
      </c>
      <c r="C84">
        <v>0.3</v>
      </c>
      <c r="D84">
        <v>2</v>
      </c>
      <c r="E84">
        <v>20</v>
      </c>
      <c r="F84">
        <v>0.41771962757883502</v>
      </c>
      <c r="G84">
        <v>1</v>
      </c>
      <c r="H84">
        <v>352.48156209299998</v>
      </c>
      <c r="I84">
        <v>1590</v>
      </c>
      <c r="J84" s="1">
        <v>2.33944515061756E-5</v>
      </c>
      <c r="K84">
        <v>1422</v>
      </c>
      <c r="L84">
        <v>0.41724269271520598</v>
      </c>
      <c r="M84">
        <v>1</v>
      </c>
      <c r="N84">
        <v>75.556433475999995</v>
      </c>
      <c r="O84">
        <v>1</v>
      </c>
      <c r="P84">
        <v>5.5430132436171103E-3</v>
      </c>
      <c r="Q84">
        <v>2</v>
      </c>
      <c r="R84">
        <v>2</v>
      </c>
      <c r="S84">
        <v>0.41867089920185302</v>
      </c>
      <c r="T84">
        <v>1</v>
      </c>
      <c r="U84">
        <v>3615.8858985239999</v>
      </c>
      <c r="V84">
        <v>250032</v>
      </c>
      <c r="W84">
        <v>1.8091052091742499E-2</v>
      </c>
    </row>
    <row r="85" spans="1:23" x14ac:dyDescent="0.2">
      <c r="A85">
        <v>10</v>
      </c>
      <c r="B85">
        <v>1</v>
      </c>
      <c r="C85">
        <v>0.3</v>
      </c>
      <c r="D85">
        <v>3</v>
      </c>
      <c r="E85">
        <v>20</v>
      </c>
      <c r="F85">
        <v>0.52923161757320902</v>
      </c>
      <c r="G85">
        <v>1</v>
      </c>
      <c r="H85">
        <v>6039.3151549009999</v>
      </c>
      <c r="I85">
        <v>14199</v>
      </c>
      <c r="J85" s="1">
        <v>4.5912662244518199E-5</v>
      </c>
      <c r="K85">
        <v>11252</v>
      </c>
      <c r="L85">
        <v>0.52885692095774095</v>
      </c>
      <c r="M85">
        <v>1</v>
      </c>
      <c r="N85">
        <v>648.50557080299996</v>
      </c>
      <c r="O85">
        <v>7793</v>
      </c>
      <c r="P85">
        <v>6.5317754761083898E-3</v>
      </c>
      <c r="Q85">
        <v>9</v>
      </c>
      <c r="R85">
        <v>14618</v>
      </c>
      <c r="S85">
        <v>0.53125549368497205</v>
      </c>
      <c r="T85">
        <v>1</v>
      </c>
      <c r="U85">
        <v>3616.8212568069998</v>
      </c>
      <c r="V85">
        <v>209510</v>
      </c>
      <c r="W85">
        <v>4.50463606676621E-2</v>
      </c>
    </row>
    <row r="86" spans="1:23" x14ac:dyDescent="0.2">
      <c r="A86">
        <v>10</v>
      </c>
      <c r="B86">
        <v>1</v>
      </c>
      <c r="C86">
        <v>0.3</v>
      </c>
      <c r="D86">
        <v>4</v>
      </c>
      <c r="E86">
        <v>20</v>
      </c>
      <c r="F86">
        <v>0.225712479261545</v>
      </c>
      <c r="G86">
        <v>1</v>
      </c>
      <c r="H86">
        <v>30179.318645189</v>
      </c>
      <c r="I86">
        <v>29632</v>
      </c>
      <c r="J86">
        <v>0.43364917677748993</v>
      </c>
      <c r="K86">
        <v>29639</v>
      </c>
      <c r="L86">
        <v>0.22571247925020499</v>
      </c>
      <c r="M86">
        <v>1</v>
      </c>
      <c r="N86">
        <v>3137.0315915770002</v>
      </c>
      <c r="O86">
        <v>1503</v>
      </c>
      <c r="P86">
        <v>9.5159313642304094E-2</v>
      </c>
      <c r="Q86">
        <v>20</v>
      </c>
      <c r="R86">
        <v>31071</v>
      </c>
      <c r="S86">
        <v>0.27620318867300198</v>
      </c>
      <c r="T86">
        <v>1</v>
      </c>
      <c r="U86">
        <v>3611.6946546029999</v>
      </c>
      <c r="V86">
        <v>255400</v>
      </c>
      <c r="W86">
        <v>0.46086712059287999</v>
      </c>
    </row>
    <row r="87" spans="1:23" x14ac:dyDescent="0.2">
      <c r="A87">
        <v>10</v>
      </c>
      <c r="B87">
        <v>1</v>
      </c>
      <c r="C87">
        <v>0.3</v>
      </c>
      <c r="D87">
        <v>5</v>
      </c>
      <c r="E87">
        <v>20</v>
      </c>
      <c r="F87">
        <v>0.41280131169863099</v>
      </c>
      <c r="G87">
        <v>1</v>
      </c>
      <c r="H87">
        <v>30176.005770074</v>
      </c>
      <c r="I87">
        <v>33203</v>
      </c>
      <c r="J87">
        <v>1.8866874755797985E-2</v>
      </c>
      <c r="K87">
        <v>33205</v>
      </c>
      <c r="L87">
        <v>0.41280131169957601</v>
      </c>
      <c r="M87">
        <v>1</v>
      </c>
      <c r="N87">
        <v>3514.5904079090001</v>
      </c>
      <c r="O87">
        <v>2530</v>
      </c>
      <c r="P87">
        <v>1.7488500279118298E-2</v>
      </c>
      <c r="Q87">
        <v>20</v>
      </c>
      <c r="R87">
        <v>39067</v>
      </c>
      <c r="S87">
        <v>0.453882870292663</v>
      </c>
      <c r="T87">
        <v>1</v>
      </c>
      <c r="U87">
        <v>3611.6818624779999</v>
      </c>
      <c r="V87">
        <v>98786</v>
      </c>
      <c r="W87">
        <v>0.119658211170716</v>
      </c>
    </row>
    <row r="88" spans="1:23" x14ac:dyDescent="0.2">
      <c r="A88">
        <v>10</v>
      </c>
      <c r="B88">
        <v>1</v>
      </c>
      <c r="C88">
        <v>0.3</v>
      </c>
      <c r="D88">
        <v>6</v>
      </c>
      <c r="E88">
        <v>20</v>
      </c>
      <c r="F88">
        <v>0.16027774118160301</v>
      </c>
      <c r="G88">
        <v>1</v>
      </c>
      <c r="H88">
        <v>3813.6645992120002</v>
      </c>
      <c r="I88">
        <v>11097</v>
      </c>
      <c r="J88" s="1">
        <v>3.26036622847469E-5</v>
      </c>
      <c r="K88">
        <v>8937</v>
      </c>
      <c r="L88">
        <v>0.155860618284581</v>
      </c>
      <c r="M88">
        <v>1</v>
      </c>
      <c r="N88">
        <v>57.917408858000002</v>
      </c>
      <c r="O88">
        <v>1</v>
      </c>
      <c r="P88">
        <v>7.6174153153319903E-3</v>
      </c>
      <c r="Q88">
        <v>1</v>
      </c>
      <c r="R88">
        <v>1</v>
      </c>
      <c r="S88">
        <v>0.17096101606049</v>
      </c>
      <c r="T88">
        <v>1</v>
      </c>
      <c r="U88">
        <v>3612.9584819420002</v>
      </c>
      <c r="V88">
        <v>151210</v>
      </c>
      <c r="W88">
        <v>0.17169836569341199</v>
      </c>
    </row>
    <row r="89" spans="1:23" x14ac:dyDescent="0.2">
      <c r="A89">
        <v>10</v>
      </c>
      <c r="B89">
        <v>1</v>
      </c>
      <c r="C89">
        <v>0.3</v>
      </c>
      <c r="D89">
        <v>7</v>
      </c>
      <c r="E89">
        <v>20</v>
      </c>
      <c r="F89">
        <v>0.37212576574846801</v>
      </c>
      <c r="G89">
        <v>1</v>
      </c>
      <c r="H89">
        <v>30041.751922533</v>
      </c>
      <c r="I89">
        <v>35307</v>
      </c>
      <c r="J89">
        <v>1.7041739570725401E-2</v>
      </c>
      <c r="K89">
        <v>22251</v>
      </c>
      <c r="L89">
        <v>0.37555053164024399</v>
      </c>
      <c r="M89">
        <v>1</v>
      </c>
      <c r="N89">
        <v>3231.8150488430001</v>
      </c>
      <c r="O89">
        <v>3669</v>
      </c>
      <c r="P89">
        <v>1.31897280782941E-2</v>
      </c>
      <c r="Q89">
        <v>20</v>
      </c>
      <c r="R89">
        <v>43572</v>
      </c>
      <c r="S89">
        <v>0.41278689387345002</v>
      </c>
      <c r="T89">
        <v>1</v>
      </c>
      <c r="U89">
        <v>3611.542568368</v>
      </c>
      <c r="V89">
        <v>210545</v>
      </c>
      <c r="W89">
        <v>0.14066661480704501</v>
      </c>
    </row>
    <row r="90" spans="1:23" x14ac:dyDescent="0.2">
      <c r="A90">
        <v>10</v>
      </c>
      <c r="B90">
        <v>1</v>
      </c>
      <c r="C90">
        <v>0.3</v>
      </c>
      <c r="D90">
        <v>8</v>
      </c>
      <c r="E90">
        <v>20</v>
      </c>
      <c r="F90">
        <v>8.6281188085377394E-2</v>
      </c>
      <c r="G90">
        <v>1</v>
      </c>
      <c r="H90">
        <v>2781.6666665140001</v>
      </c>
      <c r="I90">
        <v>8582</v>
      </c>
      <c r="J90" s="1">
        <v>6.2283035267229797E-5</v>
      </c>
      <c r="K90">
        <v>7787</v>
      </c>
      <c r="L90">
        <v>8.4221952094163194E-2</v>
      </c>
      <c r="M90">
        <v>1</v>
      </c>
      <c r="N90">
        <v>117.392370873</v>
      </c>
      <c r="O90">
        <v>1</v>
      </c>
      <c r="P90">
        <v>8.6805435078288699E-3</v>
      </c>
      <c r="Q90">
        <v>4</v>
      </c>
      <c r="R90">
        <v>16</v>
      </c>
      <c r="S90">
        <v>0.119040145391512</v>
      </c>
      <c r="T90">
        <v>1</v>
      </c>
      <c r="U90">
        <v>3638.1489045429998</v>
      </c>
      <c r="V90">
        <v>79135</v>
      </c>
      <c r="W90">
        <v>9.8988228262111705E-2</v>
      </c>
    </row>
    <row r="91" spans="1:23" x14ac:dyDescent="0.2">
      <c r="A91">
        <v>10</v>
      </c>
      <c r="B91">
        <v>1</v>
      </c>
      <c r="C91">
        <v>0.3</v>
      </c>
      <c r="D91">
        <v>9</v>
      </c>
      <c r="E91">
        <v>20</v>
      </c>
      <c r="F91">
        <v>0.50340334065756798</v>
      </c>
      <c r="G91">
        <v>1</v>
      </c>
      <c r="H91">
        <v>21014.625368863999</v>
      </c>
      <c r="I91">
        <v>30146</v>
      </c>
      <c r="J91" s="1">
        <v>5.0269961922588799E-5</v>
      </c>
      <c r="K91">
        <v>26551</v>
      </c>
      <c r="L91">
        <v>0.50201507845594495</v>
      </c>
      <c r="M91">
        <v>1</v>
      </c>
      <c r="N91">
        <v>3230.033330108</v>
      </c>
      <c r="O91">
        <v>8035</v>
      </c>
      <c r="P91">
        <v>1.29629624483555E-2</v>
      </c>
      <c r="Q91">
        <v>20</v>
      </c>
      <c r="R91">
        <v>65184</v>
      </c>
      <c r="S91">
        <v>0.52643162682380396</v>
      </c>
      <c r="T91">
        <v>1</v>
      </c>
      <c r="U91">
        <v>3610.2502634339999</v>
      </c>
      <c r="V91">
        <v>340604</v>
      </c>
      <c r="W91">
        <v>4.4772325759028599E-2</v>
      </c>
    </row>
    <row r="92" spans="1:23" x14ac:dyDescent="0.2">
      <c r="A92">
        <v>10</v>
      </c>
      <c r="B92">
        <v>1</v>
      </c>
      <c r="C92">
        <v>0.3</v>
      </c>
      <c r="D92">
        <v>10</v>
      </c>
      <c r="E92">
        <v>20</v>
      </c>
      <c r="F92">
        <v>0.241855380163816</v>
      </c>
      <c r="G92">
        <v>1</v>
      </c>
      <c r="H92">
        <v>30023.208338773002</v>
      </c>
      <c r="I92">
        <v>29854</v>
      </c>
      <c r="J92">
        <v>7.7797667104070295E-2</v>
      </c>
      <c r="K92">
        <v>22776</v>
      </c>
      <c r="L92">
        <v>0.24799098497962699</v>
      </c>
      <c r="M92">
        <v>1</v>
      </c>
      <c r="N92">
        <v>3379.8146854619999</v>
      </c>
      <c r="O92">
        <v>1908</v>
      </c>
      <c r="P92">
        <v>3.4252257679803701E-2</v>
      </c>
      <c r="Q92">
        <v>20</v>
      </c>
      <c r="R92">
        <v>32711</v>
      </c>
      <c r="S92">
        <v>0.28493406487137801</v>
      </c>
      <c r="T92">
        <v>1</v>
      </c>
      <c r="U92">
        <v>3609.8852090280002</v>
      </c>
      <c r="V92">
        <v>357662</v>
      </c>
      <c r="W92">
        <v>8.5329466850940699E-2</v>
      </c>
    </row>
    <row r="93" spans="1:23" x14ac:dyDescent="0.2">
      <c r="A93">
        <v>10</v>
      </c>
      <c r="B93">
        <v>1</v>
      </c>
      <c r="C93">
        <v>0.3</v>
      </c>
      <c r="D93">
        <v>11</v>
      </c>
      <c r="E93">
        <v>20</v>
      </c>
      <c r="F93">
        <v>0.30575484936568997</v>
      </c>
      <c r="G93">
        <v>1</v>
      </c>
      <c r="H93">
        <v>12103.814289697</v>
      </c>
      <c r="I93">
        <v>27524</v>
      </c>
      <c r="J93" s="1">
        <v>5.6130744434890102E-5</v>
      </c>
      <c r="K93">
        <v>19231</v>
      </c>
      <c r="L93">
        <v>0.30649886669642701</v>
      </c>
      <c r="M93">
        <v>1</v>
      </c>
      <c r="N93">
        <v>2272.2582619780001</v>
      </c>
      <c r="O93">
        <v>6502</v>
      </c>
      <c r="P93">
        <v>7.7692942044678102E-3</v>
      </c>
      <c r="Q93">
        <v>20</v>
      </c>
      <c r="R93">
        <v>71430</v>
      </c>
      <c r="S93">
        <v>0.31450731215757499</v>
      </c>
      <c r="T93">
        <v>1</v>
      </c>
      <c r="U93">
        <v>3609.3707707489998</v>
      </c>
      <c r="V93">
        <v>467004</v>
      </c>
      <c r="W93">
        <v>2.72904677545859E-2</v>
      </c>
    </row>
    <row r="94" spans="1:23" x14ac:dyDescent="0.2">
      <c r="A94">
        <v>10</v>
      </c>
      <c r="B94">
        <v>1</v>
      </c>
      <c r="C94">
        <v>0.3</v>
      </c>
      <c r="D94">
        <v>12</v>
      </c>
      <c r="E94">
        <v>20</v>
      </c>
      <c r="F94">
        <v>0.19675722192731801</v>
      </c>
      <c r="G94">
        <v>1</v>
      </c>
      <c r="H94">
        <v>30215.90423986</v>
      </c>
      <c r="I94">
        <v>40637</v>
      </c>
      <c r="J94">
        <v>1.0146923801222301E-2</v>
      </c>
      <c r="K94">
        <v>23236</v>
      </c>
      <c r="L94">
        <v>0.19504159610219299</v>
      </c>
      <c r="M94">
        <v>1</v>
      </c>
      <c r="N94">
        <v>3145.2536651690002</v>
      </c>
      <c r="O94">
        <v>3686</v>
      </c>
      <c r="P94">
        <v>0.117318876851839</v>
      </c>
      <c r="Q94">
        <v>20</v>
      </c>
      <c r="R94">
        <v>54386</v>
      </c>
      <c r="S94">
        <v>0.25205750646386998</v>
      </c>
      <c r="T94">
        <v>1</v>
      </c>
      <c r="U94">
        <v>3609.4236863810002</v>
      </c>
      <c r="V94">
        <v>488368</v>
      </c>
      <c r="W94">
        <v>9.8042741268201894E-2</v>
      </c>
    </row>
    <row r="95" spans="1:23" x14ac:dyDescent="0.2">
      <c r="A95">
        <v>10</v>
      </c>
      <c r="B95">
        <v>1</v>
      </c>
      <c r="C95">
        <v>0.3</v>
      </c>
      <c r="D95">
        <v>13</v>
      </c>
      <c r="E95">
        <v>20</v>
      </c>
      <c r="F95">
        <v>0.51310128869120997</v>
      </c>
      <c r="G95">
        <v>1</v>
      </c>
      <c r="H95">
        <v>2476.6363017530002</v>
      </c>
      <c r="I95">
        <v>8057</v>
      </c>
      <c r="J95" s="1">
        <v>6.2258562702588395E-5</v>
      </c>
      <c r="K95">
        <v>6773</v>
      </c>
      <c r="L95">
        <v>0.51336667273202996</v>
      </c>
      <c r="M95">
        <v>1</v>
      </c>
      <c r="N95">
        <v>122.832680391</v>
      </c>
      <c r="O95">
        <v>1</v>
      </c>
      <c r="P95">
        <v>8.6161525258608897E-3</v>
      </c>
      <c r="Q95">
        <v>6</v>
      </c>
      <c r="R95">
        <v>12</v>
      </c>
      <c r="S95">
        <v>0.53874856865821796</v>
      </c>
      <c r="T95">
        <v>1</v>
      </c>
      <c r="U95">
        <v>3609.407910339</v>
      </c>
      <c r="V95">
        <v>370821</v>
      </c>
      <c r="W95">
        <v>5.1840553511674103E-2</v>
      </c>
    </row>
    <row r="96" spans="1:23" x14ac:dyDescent="0.2">
      <c r="A96">
        <v>10</v>
      </c>
      <c r="B96">
        <v>1</v>
      </c>
      <c r="C96">
        <v>0.3</v>
      </c>
      <c r="D96">
        <v>14</v>
      </c>
      <c r="E96">
        <v>20</v>
      </c>
      <c r="F96">
        <v>0.28500639432752101</v>
      </c>
      <c r="G96">
        <v>1</v>
      </c>
      <c r="H96">
        <v>30083.943177763998</v>
      </c>
      <c r="I96">
        <v>32198</v>
      </c>
      <c r="J96">
        <v>0.14072082947123701</v>
      </c>
      <c r="K96">
        <v>23174</v>
      </c>
      <c r="L96">
        <v>0.31320052988079</v>
      </c>
      <c r="M96">
        <v>1</v>
      </c>
      <c r="N96">
        <v>3556.2726437169999</v>
      </c>
      <c r="O96">
        <v>2435</v>
      </c>
      <c r="P96">
        <v>0.136763040934339</v>
      </c>
      <c r="Q96">
        <v>20</v>
      </c>
      <c r="R96">
        <v>27861</v>
      </c>
      <c r="S96">
        <v>0.33302209508858999</v>
      </c>
      <c r="T96">
        <v>1</v>
      </c>
      <c r="U96">
        <v>3609.5664162550001</v>
      </c>
      <c r="V96">
        <v>391703</v>
      </c>
      <c r="W96">
        <v>4.6205508624430097E-2</v>
      </c>
    </row>
    <row r="97" spans="1:23" x14ac:dyDescent="0.2">
      <c r="A97">
        <v>10</v>
      </c>
      <c r="B97">
        <v>1</v>
      </c>
      <c r="C97">
        <v>0.3</v>
      </c>
      <c r="D97">
        <v>15</v>
      </c>
      <c r="E97">
        <v>20</v>
      </c>
      <c r="F97">
        <v>0.50414044735635</v>
      </c>
      <c r="G97">
        <v>1</v>
      </c>
      <c r="H97">
        <v>21887.443506873002</v>
      </c>
      <c r="I97">
        <v>31257</v>
      </c>
      <c r="J97" s="1">
        <v>2.7191950057736601E-5</v>
      </c>
      <c r="K97">
        <v>24989</v>
      </c>
      <c r="L97">
        <v>0.50399450246212496</v>
      </c>
      <c r="M97">
        <v>1</v>
      </c>
      <c r="N97">
        <v>3270.7560394850002</v>
      </c>
      <c r="O97">
        <v>4213</v>
      </c>
      <c r="P97">
        <v>9.8577903799430492E-3</v>
      </c>
      <c r="Q97">
        <v>20</v>
      </c>
      <c r="R97">
        <v>41282</v>
      </c>
      <c r="S97">
        <v>0.55845534723277401</v>
      </c>
      <c r="T97">
        <v>1</v>
      </c>
      <c r="U97">
        <v>3612.0813078790002</v>
      </c>
      <c r="V97">
        <v>281785</v>
      </c>
      <c r="W97">
        <v>7.4551078870230797E-2</v>
      </c>
    </row>
    <row r="98" spans="1:23" x14ac:dyDescent="0.2">
      <c r="A98">
        <v>10</v>
      </c>
      <c r="B98">
        <v>1</v>
      </c>
      <c r="C98">
        <v>0.3</v>
      </c>
      <c r="D98">
        <v>16</v>
      </c>
      <c r="E98">
        <v>20</v>
      </c>
      <c r="F98">
        <v>0.416319401616014</v>
      </c>
      <c r="G98">
        <v>1</v>
      </c>
      <c r="H98">
        <v>30164.461865264999</v>
      </c>
      <c r="I98">
        <v>35197</v>
      </c>
      <c r="J98">
        <v>1.3754967886026037E-5</v>
      </c>
      <c r="K98">
        <v>35201</v>
      </c>
      <c r="L98">
        <v>0.416319401615516</v>
      </c>
      <c r="M98">
        <v>1</v>
      </c>
      <c r="N98">
        <v>3612.1688181489999</v>
      </c>
      <c r="O98">
        <v>1376</v>
      </c>
      <c r="P98">
        <v>1.6229176586277601E-2</v>
      </c>
      <c r="Q98">
        <v>20</v>
      </c>
      <c r="R98">
        <v>27699</v>
      </c>
      <c r="S98">
        <v>0.41822647876541402</v>
      </c>
      <c r="T98">
        <v>1</v>
      </c>
      <c r="U98">
        <v>3609.181567437</v>
      </c>
      <c r="V98">
        <v>250241</v>
      </c>
      <c r="W98">
        <v>0.23560143230506</v>
      </c>
    </row>
    <row r="99" spans="1:23" x14ac:dyDescent="0.2">
      <c r="A99">
        <v>10</v>
      </c>
      <c r="B99">
        <v>1</v>
      </c>
      <c r="C99">
        <v>0.3</v>
      </c>
      <c r="D99">
        <v>17</v>
      </c>
      <c r="E99">
        <v>20</v>
      </c>
      <c r="F99">
        <v>0.298969122739835</v>
      </c>
      <c r="G99">
        <v>1</v>
      </c>
      <c r="H99">
        <v>30030.481573560999</v>
      </c>
      <c r="I99">
        <v>30856</v>
      </c>
      <c r="J99">
        <v>1.60776128038819E-2</v>
      </c>
      <c r="K99">
        <v>18752</v>
      </c>
      <c r="L99">
        <v>0.29791420464172502</v>
      </c>
      <c r="M99">
        <v>1</v>
      </c>
      <c r="N99">
        <v>3337.5332882789999</v>
      </c>
      <c r="O99">
        <v>2543</v>
      </c>
      <c r="P99">
        <v>1.4469516503751299E-2</v>
      </c>
      <c r="Q99">
        <v>20</v>
      </c>
      <c r="R99">
        <v>51054</v>
      </c>
      <c r="S99">
        <v>0.32032612364688201</v>
      </c>
      <c r="T99">
        <v>1</v>
      </c>
      <c r="U99">
        <v>3615.4389817179999</v>
      </c>
      <c r="V99">
        <v>159178</v>
      </c>
      <c r="W99">
        <v>0.112077327429943</v>
      </c>
    </row>
    <row r="100" spans="1:23" x14ac:dyDescent="0.2">
      <c r="A100">
        <v>10</v>
      </c>
      <c r="B100">
        <v>1</v>
      </c>
      <c r="C100">
        <v>0.3</v>
      </c>
      <c r="D100">
        <v>18</v>
      </c>
      <c r="E100">
        <v>20</v>
      </c>
      <c r="F100">
        <v>8.7908295891149596E-2</v>
      </c>
      <c r="G100">
        <v>1</v>
      </c>
      <c r="H100">
        <v>5568.7960050600004</v>
      </c>
      <c r="I100">
        <v>13775</v>
      </c>
      <c r="J100" s="1">
        <v>2.1402044507401399E-5</v>
      </c>
      <c r="K100">
        <v>11790</v>
      </c>
      <c r="L100">
        <v>8.7319414718827301E-2</v>
      </c>
      <c r="M100">
        <v>1</v>
      </c>
      <c r="N100">
        <v>96.767654768</v>
      </c>
      <c r="O100">
        <v>1</v>
      </c>
      <c r="P100">
        <v>5.2500746678127898E-3</v>
      </c>
      <c r="Q100">
        <v>5</v>
      </c>
      <c r="R100">
        <v>17</v>
      </c>
      <c r="S100">
        <v>0.107141638547637</v>
      </c>
      <c r="T100">
        <v>1</v>
      </c>
      <c r="U100">
        <v>3617.7588226510002</v>
      </c>
      <c r="V100">
        <v>155653</v>
      </c>
      <c r="W100">
        <v>0.18751669641374299</v>
      </c>
    </row>
    <row r="101" spans="1:23" x14ac:dyDescent="0.2">
      <c r="A101">
        <v>10</v>
      </c>
      <c r="B101">
        <v>1</v>
      </c>
      <c r="C101">
        <v>0.3</v>
      </c>
      <c r="D101">
        <v>19</v>
      </c>
      <c r="E101">
        <v>20</v>
      </c>
      <c r="F101">
        <v>0.273231270355205</v>
      </c>
      <c r="G101">
        <v>1</v>
      </c>
      <c r="H101">
        <v>30098.413739289001</v>
      </c>
      <c r="I101">
        <v>26286</v>
      </c>
      <c r="J101">
        <v>6.0432677769073698E-2</v>
      </c>
      <c r="K101">
        <v>17731</v>
      </c>
      <c r="L101">
        <v>0.27048045097137502</v>
      </c>
      <c r="M101">
        <v>1</v>
      </c>
      <c r="N101">
        <v>3169.4171862510002</v>
      </c>
      <c r="O101">
        <v>2136</v>
      </c>
      <c r="P101">
        <v>5.9861387460472301E-2</v>
      </c>
      <c r="Q101">
        <v>20</v>
      </c>
      <c r="R101">
        <v>36770</v>
      </c>
      <c r="S101">
        <v>0.28728962138458303</v>
      </c>
      <c r="T101">
        <v>1</v>
      </c>
      <c r="U101">
        <v>3616.5152615510001</v>
      </c>
      <c r="V101">
        <v>254712</v>
      </c>
      <c r="W101">
        <v>0.14074726038428401</v>
      </c>
    </row>
    <row r="102" spans="1:23" x14ac:dyDescent="0.2">
      <c r="A102">
        <v>10</v>
      </c>
      <c r="B102">
        <v>1</v>
      </c>
      <c r="C102">
        <v>0.3</v>
      </c>
      <c r="D102">
        <v>20</v>
      </c>
      <c r="E102">
        <v>20</v>
      </c>
      <c r="F102" s="7">
        <v>0.27367538954059301</v>
      </c>
      <c r="G102">
        <v>1</v>
      </c>
      <c r="H102">
        <v>30188.664301141998</v>
      </c>
      <c r="I102">
        <v>39560</v>
      </c>
      <c r="J102">
        <v>5.4815361563298405E-4</v>
      </c>
      <c r="K102">
        <v>30402</v>
      </c>
      <c r="L102">
        <v>0.27123766377291803</v>
      </c>
      <c r="M102">
        <v>1</v>
      </c>
      <c r="N102">
        <v>3038.1920373940002</v>
      </c>
      <c r="O102">
        <v>2401</v>
      </c>
      <c r="P102">
        <v>2.7953201175124801E-2</v>
      </c>
      <c r="Q102">
        <v>20</v>
      </c>
      <c r="R102">
        <v>36790</v>
      </c>
      <c r="S102">
        <v>0.31953011652927998</v>
      </c>
      <c r="T102">
        <v>1</v>
      </c>
      <c r="U102">
        <v>3609.677504149</v>
      </c>
      <c r="V102">
        <v>419421</v>
      </c>
      <c r="W102">
        <v>9.7975924788613597E-2</v>
      </c>
    </row>
    <row r="103" spans="1:23" x14ac:dyDescent="0.2">
      <c r="A103">
        <v>10</v>
      </c>
      <c r="B103">
        <v>1</v>
      </c>
      <c r="C103">
        <v>0.3</v>
      </c>
      <c r="D103">
        <v>1</v>
      </c>
      <c r="E103">
        <v>100</v>
      </c>
      <c r="F103" s="7">
        <v>0.17843952610972999</v>
      </c>
      <c r="G103">
        <v>1</v>
      </c>
      <c r="H103">
        <v>30173.830231769</v>
      </c>
      <c r="I103">
        <v>29401</v>
      </c>
      <c r="J103">
        <v>4.1859120564567302E-2</v>
      </c>
      <c r="K103">
        <v>29407</v>
      </c>
      <c r="L103">
        <v>0.17843952610955099</v>
      </c>
      <c r="M103">
        <v>1</v>
      </c>
      <c r="N103">
        <v>3771.0928848929998</v>
      </c>
      <c r="O103">
        <v>4132</v>
      </c>
      <c r="P103">
        <v>8.2464972763845804E-3</v>
      </c>
      <c r="Q103">
        <v>20</v>
      </c>
      <c r="R103">
        <v>38356</v>
      </c>
      <c r="S103">
        <v>0.19090313465672301</v>
      </c>
      <c r="T103">
        <v>1</v>
      </c>
      <c r="U103">
        <v>3614.7422567670001</v>
      </c>
      <c r="V103">
        <v>302200</v>
      </c>
      <c r="W103">
        <v>1.01688669888737E-2</v>
      </c>
    </row>
    <row r="104" spans="1:23" x14ac:dyDescent="0.2">
      <c r="A104">
        <v>10</v>
      </c>
      <c r="B104">
        <v>1</v>
      </c>
      <c r="C104">
        <v>0.3</v>
      </c>
      <c r="D104">
        <v>2</v>
      </c>
      <c r="E104">
        <v>100</v>
      </c>
      <c r="F104">
        <v>0.41332600383238999</v>
      </c>
      <c r="G104">
        <v>1</v>
      </c>
      <c r="H104">
        <v>1364.1880092179999</v>
      </c>
      <c r="I104">
        <v>5292</v>
      </c>
      <c r="J104" s="1">
        <v>2.72497954129091E-6</v>
      </c>
      <c r="K104">
        <v>4488</v>
      </c>
      <c r="L104">
        <v>0.41303231916840599</v>
      </c>
      <c r="M104">
        <v>1</v>
      </c>
      <c r="N104">
        <v>63.159734896000003</v>
      </c>
      <c r="O104">
        <v>1</v>
      </c>
      <c r="P104">
        <v>4.0779519093976597E-4</v>
      </c>
      <c r="Q104">
        <v>1</v>
      </c>
      <c r="R104">
        <v>1</v>
      </c>
      <c r="S104">
        <v>0.41308010988696903</v>
      </c>
      <c r="T104">
        <v>1</v>
      </c>
      <c r="U104">
        <v>3610.6283846760002</v>
      </c>
      <c r="V104">
        <v>198377</v>
      </c>
      <c r="W104">
        <v>1.4637805126511601E-3</v>
      </c>
    </row>
    <row r="105" spans="1:23" x14ac:dyDescent="0.2">
      <c r="A105">
        <v>10</v>
      </c>
      <c r="B105">
        <v>1</v>
      </c>
      <c r="C105">
        <v>0.3</v>
      </c>
      <c r="D105">
        <v>3</v>
      </c>
      <c r="E105">
        <v>100</v>
      </c>
      <c r="F105">
        <v>0.54578561766268596</v>
      </c>
      <c r="G105">
        <v>1</v>
      </c>
      <c r="H105">
        <v>30171.390059149999</v>
      </c>
      <c r="I105">
        <v>31342</v>
      </c>
      <c r="J105">
        <v>3.1170405654847798E-3</v>
      </c>
      <c r="K105">
        <v>22594</v>
      </c>
      <c r="L105">
        <v>0.51364874278113504</v>
      </c>
      <c r="M105">
        <v>1</v>
      </c>
      <c r="N105">
        <v>70.797751313999996</v>
      </c>
      <c r="O105">
        <v>1</v>
      </c>
      <c r="P105">
        <v>5.6546141269126996E-3</v>
      </c>
      <c r="Q105">
        <v>1</v>
      </c>
      <c r="R105">
        <v>1</v>
      </c>
      <c r="S105">
        <v>0.52075742630424604</v>
      </c>
      <c r="T105">
        <v>1</v>
      </c>
      <c r="U105">
        <v>3615.5204060249998</v>
      </c>
      <c r="V105">
        <v>214822</v>
      </c>
      <c r="W105">
        <v>3.5793381305762001E-3</v>
      </c>
    </row>
    <row r="106" spans="1:23" x14ac:dyDescent="0.2">
      <c r="A106">
        <v>10</v>
      </c>
      <c r="B106">
        <v>1</v>
      </c>
      <c r="C106">
        <v>0.3</v>
      </c>
      <c r="D106">
        <v>4</v>
      </c>
      <c r="E106">
        <v>100</v>
      </c>
      <c r="F106">
        <v>0.80432640993170701</v>
      </c>
      <c r="G106">
        <v>1</v>
      </c>
      <c r="H106">
        <v>30035.229553349</v>
      </c>
      <c r="I106">
        <v>33250</v>
      </c>
      <c r="J106">
        <v>0.14730478799267199</v>
      </c>
      <c r="K106">
        <v>30007</v>
      </c>
      <c r="L106">
        <v>9.6876469923793299E-2</v>
      </c>
      <c r="M106">
        <v>1</v>
      </c>
      <c r="N106">
        <v>3597.6148145030002</v>
      </c>
      <c r="O106">
        <v>1707</v>
      </c>
      <c r="P106">
        <v>3.4524368215543798E-2</v>
      </c>
      <c r="Q106">
        <v>20</v>
      </c>
      <c r="R106">
        <v>37638</v>
      </c>
      <c r="S106">
        <v>0.195560949096241</v>
      </c>
      <c r="T106">
        <v>1</v>
      </c>
      <c r="U106">
        <v>3610.9771921000001</v>
      </c>
      <c r="V106">
        <v>262775</v>
      </c>
      <c r="W106">
        <v>7.5730831808066001E-2</v>
      </c>
    </row>
    <row r="107" spans="1:23" x14ac:dyDescent="0.2">
      <c r="A107">
        <v>10</v>
      </c>
      <c r="B107">
        <v>1</v>
      </c>
      <c r="C107">
        <v>0.3</v>
      </c>
      <c r="D107">
        <v>5</v>
      </c>
      <c r="E107">
        <v>100</v>
      </c>
      <c r="F107">
        <v>0.32240049040544699</v>
      </c>
      <c r="G107">
        <v>1</v>
      </c>
      <c r="H107">
        <v>30102.272144899998</v>
      </c>
      <c r="I107">
        <v>28672</v>
      </c>
      <c r="J107">
        <v>2.0154122425110201E-2</v>
      </c>
      <c r="K107">
        <v>25509</v>
      </c>
      <c r="L107">
        <v>0.23307856621328399</v>
      </c>
      <c r="M107">
        <v>1</v>
      </c>
      <c r="N107">
        <v>3592.325358566</v>
      </c>
      <c r="O107">
        <v>1652</v>
      </c>
      <c r="P107">
        <v>6.7412805478625302E-3</v>
      </c>
      <c r="Q107">
        <v>20</v>
      </c>
      <c r="R107">
        <v>35349</v>
      </c>
      <c r="S107">
        <v>0.27159884099605902</v>
      </c>
      <c r="T107">
        <v>1</v>
      </c>
      <c r="U107">
        <v>3613.6933323140001</v>
      </c>
      <c r="V107">
        <v>156303</v>
      </c>
      <c r="W107">
        <v>4.4677383929065902E-2</v>
      </c>
    </row>
    <row r="108" spans="1:23" x14ac:dyDescent="0.2">
      <c r="A108">
        <v>10</v>
      </c>
      <c r="B108">
        <v>1</v>
      </c>
      <c r="C108">
        <v>0.3</v>
      </c>
      <c r="D108">
        <v>6</v>
      </c>
      <c r="E108">
        <v>100</v>
      </c>
      <c r="F108">
        <v>8.6650902887643599E-2</v>
      </c>
      <c r="G108">
        <v>1</v>
      </c>
      <c r="H108">
        <v>30036.257641591001</v>
      </c>
      <c r="I108">
        <v>45278</v>
      </c>
      <c r="J108">
        <v>1.3575846861076099E-4</v>
      </c>
      <c r="K108">
        <v>27234</v>
      </c>
      <c r="L108">
        <v>8.7715611043811606E-2</v>
      </c>
      <c r="M108">
        <v>1</v>
      </c>
      <c r="N108">
        <v>89.590109656999999</v>
      </c>
      <c r="O108">
        <v>1</v>
      </c>
      <c r="P108">
        <v>4.8932902765290798E-3</v>
      </c>
      <c r="Q108">
        <v>1</v>
      </c>
      <c r="R108">
        <v>1</v>
      </c>
      <c r="S108">
        <v>8.2864478447472995E-2</v>
      </c>
      <c r="T108">
        <v>1</v>
      </c>
      <c r="U108">
        <v>3611.4995035749998</v>
      </c>
      <c r="V108">
        <v>258441</v>
      </c>
      <c r="W108">
        <v>1.0889569742811699E-2</v>
      </c>
    </row>
    <row r="109" spans="1:23" x14ac:dyDescent="0.2">
      <c r="A109">
        <v>10</v>
      </c>
      <c r="B109">
        <v>1</v>
      </c>
      <c r="C109">
        <v>0.3</v>
      </c>
      <c r="D109">
        <v>7</v>
      </c>
      <c r="E109">
        <v>100</v>
      </c>
      <c r="F109">
        <v>0.263700601927782</v>
      </c>
      <c r="G109">
        <v>1</v>
      </c>
      <c r="H109">
        <v>30140.075725736999</v>
      </c>
      <c r="I109">
        <v>27378</v>
      </c>
      <c r="J109">
        <v>3.0833578683230702E-2</v>
      </c>
      <c r="K109">
        <v>24574</v>
      </c>
      <c r="L109">
        <v>0.26015439818512998</v>
      </c>
      <c r="M109">
        <v>1</v>
      </c>
      <c r="N109">
        <v>3601.5342112899998</v>
      </c>
      <c r="O109">
        <v>3477</v>
      </c>
      <c r="P109">
        <v>3.4652576661251102E-3</v>
      </c>
      <c r="Q109">
        <v>20</v>
      </c>
      <c r="R109">
        <v>52607</v>
      </c>
      <c r="S109">
        <v>0.29335254620713103</v>
      </c>
      <c r="T109">
        <v>1</v>
      </c>
      <c r="U109">
        <v>3635.2617842489999</v>
      </c>
      <c r="V109">
        <v>68778</v>
      </c>
      <c r="W109">
        <v>5.9133523928132002E-2</v>
      </c>
    </row>
    <row r="110" spans="1:23" x14ac:dyDescent="0.2">
      <c r="A110">
        <v>10</v>
      </c>
      <c r="B110">
        <v>1</v>
      </c>
      <c r="C110">
        <v>0.3</v>
      </c>
      <c r="D110">
        <v>8</v>
      </c>
      <c r="E110">
        <v>100</v>
      </c>
      <c r="F110">
        <v>3.1412782350818999E-2</v>
      </c>
      <c r="G110">
        <v>1</v>
      </c>
      <c r="H110">
        <v>2734.6982296159999</v>
      </c>
      <c r="I110">
        <v>10001</v>
      </c>
      <c r="J110" s="1">
        <v>4.8346790129383204E-6</v>
      </c>
      <c r="K110">
        <v>8350</v>
      </c>
      <c r="L110">
        <v>2.89436932287803E-2</v>
      </c>
      <c r="M110">
        <v>1</v>
      </c>
      <c r="N110">
        <v>57.089157548000003</v>
      </c>
      <c r="O110">
        <v>1</v>
      </c>
      <c r="P110">
        <v>2.6212202495230399E-3</v>
      </c>
      <c r="Q110">
        <v>1</v>
      </c>
      <c r="R110">
        <v>1</v>
      </c>
      <c r="S110">
        <v>3.99407430090854E-2</v>
      </c>
      <c r="T110">
        <v>1</v>
      </c>
      <c r="U110">
        <v>3632.798506696</v>
      </c>
      <c r="V110">
        <v>107767</v>
      </c>
      <c r="W110">
        <v>6.4951440235532197E-3</v>
      </c>
    </row>
    <row r="111" spans="1:23" x14ac:dyDescent="0.2">
      <c r="A111">
        <v>10</v>
      </c>
      <c r="B111">
        <v>1</v>
      </c>
      <c r="C111">
        <v>0.3</v>
      </c>
      <c r="D111">
        <v>9</v>
      </c>
      <c r="E111">
        <v>100</v>
      </c>
      <c r="F111" s="5">
        <v>0.45267426858680299</v>
      </c>
      <c r="G111">
        <v>1</v>
      </c>
      <c r="H111">
        <v>30087.034916696</v>
      </c>
      <c r="I111">
        <v>35711</v>
      </c>
      <c r="J111">
        <v>1.04800255736286E-2</v>
      </c>
      <c r="K111">
        <v>29319</v>
      </c>
      <c r="L111">
        <v>0.43581716884142202</v>
      </c>
      <c r="M111">
        <v>1</v>
      </c>
      <c r="N111">
        <v>3079.4712070400001</v>
      </c>
      <c r="O111">
        <v>5484</v>
      </c>
      <c r="P111">
        <v>4.0568399950356299E-3</v>
      </c>
      <c r="Q111">
        <v>20</v>
      </c>
      <c r="R111">
        <v>59425</v>
      </c>
      <c r="S111">
        <v>0.44481944679699398</v>
      </c>
      <c r="T111">
        <v>1</v>
      </c>
      <c r="U111">
        <v>3610.4634390689998</v>
      </c>
      <c r="V111">
        <v>255705</v>
      </c>
      <c r="W111">
        <v>9.1374131758534798E-3</v>
      </c>
    </row>
    <row r="112" spans="1:23" x14ac:dyDescent="0.2">
      <c r="A112">
        <v>10</v>
      </c>
      <c r="B112">
        <v>1</v>
      </c>
      <c r="C112">
        <v>0.3</v>
      </c>
      <c r="D112">
        <v>10</v>
      </c>
      <c r="E112">
        <v>100</v>
      </c>
      <c r="F112">
        <v>0.81081190678388604</v>
      </c>
      <c r="G112">
        <v>1</v>
      </c>
      <c r="H112">
        <v>30044.554767197998</v>
      </c>
      <c r="I112">
        <v>24293</v>
      </c>
      <c r="J112">
        <v>0.102749859897927</v>
      </c>
      <c r="K112">
        <v>22286</v>
      </c>
      <c r="L112">
        <v>0.104969931578136</v>
      </c>
      <c r="M112">
        <v>1</v>
      </c>
      <c r="N112">
        <v>3609.3742218279999</v>
      </c>
      <c r="O112">
        <v>1801</v>
      </c>
      <c r="P112">
        <v>4.34483536488562E-3</v>
      </c>
      <c r="Q112">
        <v>20</v>
      </c>
      <c r="R112">
        <v>28127</v>
      </c>
      <c r="S112">
        <v>0.150006732100809</v>
      </c>
      <c r="T112">
        <v>1</v>
      </c>
      <c r="U112">
        <v>218.748742502</v>
      </c>
      <c r="V112">
        <v>37894</v>
      </c>
      <c r="W112">
        <v>5.0592295393485599E-3</v>
      </c>
    </row>
    <row r="113" spans="1:23" x14ac:dyDescent="0.2">
      <c r="A113">
        <v>10</v>
      </c>
      <c r="B113">
        <v>1</v>
      </c>
      <c r="C113">
        <v>0.3</v>
      </c>
      <c r="D113">
        <v>11</v>
      </c>
      <c r="E113">
        <v>100</v>
      </c>
      <c r="F113">
        <v>0.11063898303356701</v>
      </c>
      <c r="G113">
        <v>1</v>
      </c>
      <c r="H113">
        <v>30080.494979681</v>
      </c>
      <c r="I113">
        <v>48485</v>
      </c>
      <c r="J113">
        <v>1.17020260331211E-2</v>
      </c>
      <c r="K113">
        <v>29949</v>
      </c>
      <c r="L113">
        <v>0.148500023739673</v>
      </c>
      <c r="M113">
        <v>1</v>
      </c>
      <c r="N113">
        <v>2954.8442383080001</v>
      </c>
      <c r="O113">
        <v>5407</v>
      </c>
      <c r="P113">
        <v>4.3337896470770996E-3</v>
      </c>
      <c r="Q113">
        <v>20</v>
      </c>
      <c r="R113">
        <v>81494</v>
      </c>
      <c r="S113">
        <v>0.14927139743123699</v>
      </c>
      <c r="T113">
        <v>1</v>
      </c>
      <c r="U113">
        <v>3610.246419648</v>
      </c>
      <c r="V113">
        <v>391474</v>
      </c>
      <c r="W113">
        <v>3.2446289334302401E-3</v>
      </c>
    </row>
    <row r="114" spans="1:23" x14ac:dyDescent="0.2">
      <c r="A114">
        <v>10</v>
      </c>
      <c r="B114">
        <v>1</v>
      </c>
      <c r="C114">
        <v>0.3</v>
      </c>
      <c r="D114">
        <v>12</v>
      </c>
      <c r="E114">
        <v>100</v>
      </c>
      <c r="F114">
        <v>6.7478295935635105E-2</v>
      </c>
      <c r="G114">
        <v>1</v>
      </c>
      <c r="H114">
        <v>30033.078360521002</v>
      </c>
      <c r="I114">
        <v>36131</v>
      </c>
      <c r="J114">
        <v>7.9200502563357894E-2</v>
      </c>
      <c r="K114">
        <v>27564</v>
      </c>
      <c r="L114">
        <v>8.7451034743860803E-2</v>
      </c>
      <c r="M114">
        <v>1</v>
      </c>
      <c r="N114">
        <v>3354.4733932160002</v>
      </c>
      <c r="O114">
        <v>3794</v>
      </c>
      <c r="P114">
        <v>4.8922718966026901E-2</v>
      </c>
      <c r="Q114">
        <v>20</v>
      </c>
      <c r="R114">
        <v>59128</v>
      </c>
      <c r="S114">
        <v>0.15059215491987599</v>
      </c>
      <c r="T114">
        <v>1</v>
      </c>
      <c r="U114">
        <v>509.49660962600001</v>
      </c>
      <c r="V114">
        <v>46753</v>
      </c>
      <c r="W114">
        <v>4.3389125775874504E-3</v>
      </c>
    </row>
    <row r="115" spans="1:23" x14ac:dyDescent="0.2">
      <c r="A115">
        <v>10</v>
      </c>
      <c r="B115">
        <v>1</v>
      </c>
      <c r="C115">
        <v>0.3</v>
      </c>
      <c r="D115">
        <v>13</v>
      </c>
      <c r="E115">
        <v>100</v>
      </c>
      <c r="F115">
        <v>0.39281495806535699</v>
      </c>
      <c r="G115" s="5">
        <v>1</v>
      </c>
      <c r="H115">
        <v>23795.008724248</v>
      </c>
      <c r="I115">
        <v>44972</v>
      </c>
      <c r="J115" s="1">
        <v>1.2732716613117401E-5</v>
      </c>
      <c r="K115">
        <v>29754</v>
      </c>
      <c r="L115">
        <v>0.39327621488596698</v>
      </c>
      <c r="M115">
        <v>1</v>
      </c>
      <c r="N115">
        <v>90.597264995000003</v>
      </c>
      <c r="O115">
        <v>1</v>
      </c>
      <c r="P115">
        <v>5.2828404387749396E-3</v>
      </c>
      <c r="Q115">
        <v>2</v>
      </c>
      <c r="R115">
        <v>2</v>
      </c>
      <c r="S115">
        <v>0.453650452116521</v>
      </c>
      <c r="T115">
        <v>1</v>
      </c>
      <c r="U115">
        <v>3609.42293625</v>
      </c>
      <c r="V115">
        <v>426814</v>
      </c>
      <c r="W115">
        <v>6.7462105955371499E-3</v>
      </c>
    </row>
    <row r="116" spans="1:23" x14ac:dyDescent="0.2">
      <c r="A116">
        <v>10</v>
      </c>
      <c r="B116">
        <v>1</v>
      </c>
      <c r="C116">
        <v>0.3</v>
      </c>
      <c r="D116">
        <v>14</v>
      </c>
      <c r="E116">
        <v>100</v>
      </c>
      <c r="F116">
        <v>0.40067457657901501</v>
      </c>
      <c r="G116" s="5">
        <v>1</v>
      </c>
      <c r="H116">
        <v>30135.590075587999</v>
      </c>
      <c r="I116">
        <v>29242</v>
      </c>
      <c r="J116">
        <v>0.216382423856603</v>
      </c>
      <c r="K116">
        <v>26236</v>
      </c>
      <c r="L116">
        <v>0.15659801277291399</v>
      </c>
      <c r="M116">
        <v>1</v>
      </c>
      <c r="N116">
        <v>3612.1601382670001</v>
      </c>
      <c r="O116">
        <v>1512</v>
      </c>
      <c r="P116">
        <v>1.6760933074447999E-2</v>
      </c>
      <c r="Q116">
        <v>20</v>
      </c>
      <c r="R116">
        <v>28237</v>
      </c>
      <c r="S116">
        <v>0.163074885252252</v>
      </c>
      <c r="T116">
        <v>1</v>
      </c>
      <c r="U116">
        <v>3609.5556875060001</v>
      </c>
      <c r="V116">
        <v>422821</v>
      </c>
      <c r="W116">
        <v>4.6504093172270401E-3</v>
      </c>
    </row>
    <row r="117" spans="1:23" x14ac:dyDescent="0.2">
      <c r="A117">
        <v>10</v>
      </c>
      <c r="B117">
        <v>1</v>
      </c>
      <c r="C117">
        <v>0.3</v>
      </c>
      <c r="D117">
        <v>15</v>
      </c>
      <c r="E117">
        <v>100</v>
      </c>
      <c r="F117">
        <v>0.41040550001806497</v>
      </c>
      <c r="G117">
        <v>1</v>
      </c>
      <c r="H117">
        <v>30093.477520929999</v>
      </c>
      <c r="I117">
        <v>30754</v>
      </c>
      <c r="J117">
        <v>2.5649824438757501E-2</v>
      </c>
      <c r="K117">
        <v>25991</v>
      </c>
      <c r="L117">
        <v>0.34161830210651301</v>
      </c>
      <c r="M117">
        <v>1</v>
      </c>
      <c r="N117">
        <v>3602.1089771369998</v>
      </c>
      <c r="O117">
        <v>2312</v>
      </c>
      <c r="P117">
        <v>7.11009296944489E-3</v>
      </c>
      <c r="Q117">
        <v>20</v>
      </c>
      <c r="R117">
        <v>56335</v>
      </c>
      <c r="S117">
        <v>0.416717674489051</v>
      </c>
      <c r="T117">
        <v>1</v>
      </c>
      <c r="U117">
        <v>3610.812333932</v>
      </c>
      <c r="V117">
        <v>257724</v>
      </c>
      <c r="W117">
        <v>1.6395198272579799E-2</v>
      </c>
    </row>
    <row r="118" spans="1:23" x14ac:dyDescent="0.2">
      <c r="A118">
        <v>10</v>
      </c>
      <c r="B118">
        <v>1</v>
      </c>
      <c r="C118">
        <v>0.3</v>
      </c>
      <c r="D118">
        <v>16</v>
      </c>
      <c r="E118">
        <v>100</v>
      </c>
      <c r="F118">
        <v>1.1143788163137101</v>
      </c>
      <c r="G118">
        <v>1</v>
      </c>
      <c r="H118">
        <v>30133.573093751998</v>
      </c>
      <c r="I118">
        <v>24638</v>
      </c>
      <c r="J118">
        <v>8.9661818706666105E-2</v>
      </c>
      <c r="K118">
        <v>24543</v>
      </c>
      <c r="L118">
        <v>0.28884186062374201</v>
      </c>
      <c r="M118">
        <v>1</v>
      </c>
      <c r="N118">
        <v>3578.2781912959999</v>
      </c>
      <c r="O118">
        <v>1760</v>
      </c>
      <c r="P118">
        <v>3.32258823984492E-3</v>
      </c>
      <c r="Q118">
        <v>20</v>
      </c>
      <c r="R118">
        <v>34177</v>
      </c>
      <c r="S118">
        <v>0.30684790706631399</v>
      </c>
      <c r="T118">
        <v>1</v>
      </c>
      <c r="U118">
        <v>3612.2687543880002</v>
      </c>
      <c r="V118">
        <v>182867</v>
      </c>
      <c r="W118">
        <v>5.1117079038610798E-2</v>
      </c>
    </row>
    <row r="119" spans="1:23" x14ac:dyDescent="0.2">
      <c r="A119">
        <v>10</v>
      </c>
      <c r="B119">
        <v>1</v>
      </c>
      <c r="C119">
        <v>0.3</v>
      </c>
      <c r="D119">
        <v>17</v>
      </c>
      <c r="E119">
        <v>100</v>
      </c>
      <c r="F119">
        <v>0.20954553093687101</v>
      </c>
      <c r="G119">
        <v>1</v>
      </c>
      <c r="H119">
        <v>30132.561490511998</v>
      </c>
      <c r="I119">
        <v>27805</v>
      </c>
      <c r="J119">
        <v>1.1251406095159001E-2</v>
      </c>
      <c r="K119">
        <v>20962</v>
      </c>
      <c r="L119">
        <v>0.22107695867671301</v>
      </c>
      <c r="M119">
        <v>1</v>
      </c>
      <c r="N119">
        <v>3591.4967967450002</v>
      </c>
      <c r="O119">
        <v>2538</v>
      </c>
      <c r="P119">
        <v>5.4232118933814901E-3</v>
      </c>
      <c r="Q119">
        <v>20</v>
      </c>
      <c r="R119">
        <v>47077</v>
      </c>
      <c r="S119">
        <v>0.22475863232705501</v>
      </c>
      <c r="T119">
        <v>1</v>
      </c>
      <c r="U119">
        <v>3613.4199307449999</v>
      </c>
      <c r="V119">
        <v>184342</v>
      </c>
      <c r="W119">
        <v>1.34739872600935E-2</v>
      </c>
    </row>
    <row r="120" spans="1:23" x14ac:dyDescent="0.2">
      <c r="A120">
        <v>10</v>
      </c>
      <c r="B120">
        <v>1</v>
      </c>
      <c r="C120">
        <v>0.3</v>
      </c>
      <c r="D120">
        <v>18</v>
      </c>
      <c r="E120">
        <v>100</v>
      </c>
      <c r="F120">
        <v>2.8365614303935999E-2</v>
      </c>
      <c r="G120">
        <v>1</v>
      </c>
      <c r="H120">
        <v>5612.6782170570004</v>
      </c>
      <c r="I120">
        <v>18976</v>
      </c>
      <c r="J120" s="1">
        <v>6.6342588702084E-6</v>
      </c>
      <c r="K120">
        <v>13385</v>
      </c>
      <c r="L120">
        <v>2.82981914126583E-2</v>
      </c>
      <c r="M120">
        <v>1</v>
      </c>
      <c r="N120">
        <v>65.247031516000007</v>
      </c>
      <c r="O120">
        <v>1</v>
      </c>
      <c r="P120">
        <v>2.3187607795009599E-3</v>
      </c>
      <c r="Q120">
        <v>1</v>
      </c>
      <c r="R120">
        <v>1</v>
      </c>
      <c r="S120">
        <v>3.23329853539975E-2</v>
      </c>
      <c r="T120">
        <v>1</v>
      </c>
      <c r="U120">
        <v>3620.1841495519998</v>
      </c>
      <c r="V120">
        <v>161308</v>
      </c>
      <c r="W120">
        <v>1.22442346620701E-2</v>
      </c>
    </row>
    <row r="121" spans="1:23" x14ac:dyDescent="0.2">
      <c r="A121">
        <v>10</v>
      </c>
      <c r="B121">
        <v>1</v>
      </c>
      <c r="C121">
        <v>0.3</v>
      </c>
      <c r="D121">
        <v>19</v>
      </c>
      <c r="E121">
        <v>100</v>
      </c>
      <c r="F121">
        <v>0.17285990557475001</v>
      </c>
      <c r="G121">
        <v>1</v>
      </c>
      <c r="H121">
        <v>30076.448047000998</v>
      </c>
      <c r="I121">
        <v>24386</v>
      </c>
      <c r="J121">
        <v>5.61951188318058E-2</v>
      </c>
      <c r="K121">
        <v>21580</v>
      </c>
      <c r="L121">
        <v>0.15740309642953201</v>
      </c>
      <c r="M121">
        <v>1</v>
      </c>
      <c r="N121">
        <v>3565.1795639880002</v>
      </c>
      <c r="O121">
        <v>4290</v>
      </c>
      <c r="P121">
        <v>1.7038537739261402E-2</v>
      </c>
      <c r="Q121">
        <v>20</v>
      </c>
      <c r="R121">
        <v>51283</v>
      </c>
      <c r="S121">
        <v>0.16206241785321299</v>
      </c>
      <c r="T121">
        <v>1</v>
      </c>
      <c r="U121">
        <v>3609.4365619979999</v>
      </c>
      <c r="V121">
        <v>368126</v>
      </c>
      <c r="W121">
        <v>1.0374140806924E-2</v>
      </c>
    </row>
    <row r="122" spans="1:23" x14ac:dyDescent="0.2">
      <c r="A122">
        <v>10</v>
      </c>
      <c r="B122">
        <v>1</v>
      </c>
      <c r="C122">
        <v>0.3</v>
      </c>
      <c r="D122">
        <v>20</v>
      </c>
      <c r="E122">
        <v>100</v>
      </c>
      <c r="F122">
        <v>0.16182109363089001</v>
      </c>
      <c r="G122">
        <v>1</v>
      </c>
      <c r="H122">
        <v>30055.015097178999</v>
      </c>
      <c r="I122">
        <v>31060</v>
      </c>
      <c r="J122">
        <v>2.19822260373158E-2</v>
      </c>
      <c r="K122">
        <v>24021</v>
      </c>
      <c r="L122">
        <v>0.16871052667000799</v>
      </c>
      <c r="M122">
        <v>1</v>
      </c>
      <c r="N122">
        <v>3500.5612662640001</v>
      </c>
      <c r="O122">
        <v>2799</v>
      </c>
      <c r="P122">
        <v>1.0012267451586201E-2</v>
      </c>
      <c r="Q122">
        <v>20</v>
      </c>
      <c r="R122">
        <v>34677</v>
      </c>
      <c r="S122">
        <v>0.194870040272347</v>
      </c>
      <c r="T122">
        <v>1</v>
      </c>
      <c r="U122">
        <v>3609.8033776430002</v>
      </c>
      <c r="V122">
        <v>435653</v>
      </c>
      <c r="W122">
        <v>7.3670184391652002E-3</v>
      </c>
    </row>
    <row r="123" spans="1:23" x14ac:dyDescent="0.2">
      <c r="A123">
        <v>20</v>
      </c>
      <c r="B123">
        <v>1</v>
      </c>
      <c r="C123">
        <v>0.1</v>
      </c>
      <c r="D123">
        <v>1</v>
      </c>
      <c r="E123">
        <v>20</v>
      </c>
      <c r="F123">
        <v>0.53588854946184405</v>
      </c>
      <c r="G123">
        <v>1</v>
      </c>
      <c r="H123">
        <v>30241.507996237</v>
      </c>
      <c r="I123">
        <v>12517</v>
      </c>
      <c r="J123">
        <v>0.69678495742382207</v>
      </c>
      <c r="K123">
        <v>12519</v>
      </c>
      <c r="L123">
        <v>0.47988388442847901</v>
      </c>
      <c r="M123">
        <v>1</v>
      </c>
      <c r="N123">
        <v>3208.0596562199999</v>
      </c>
      <c r="O123">
        <v>264</v>
      </c>
      <c r="P123">
        <v>5.8765402384274003E-2</v>
      </c>
      <c r="Q123">
        <v>20</v>
      </c>
      <c r="R123">
        <v>3184</v>
      </c>
      <c r="S123">
        <v>0.66575484159758602</v>
      </c>
      <c r="T123">
        <v>1</v>
      </c>
      <c r="U123">
        <v>3612.059404439</v>
      </c>
      <c r="V123">
        <v>96689</v>
      </c>
      <c r="W123">
        <v>0.42786650055925401</v>
      </c>
    </row>
    <row r="124" spans="1:23" x14ac:dyDescent="0.2">
      <c r="A124">
        <v>20</v>
      </c>
      <c r="B124">
        <v>1</v>
      </c>
      <c r="C124">
        <v>0.1</v>
      </c>
      <c r="D124">
        <v>2</v>
      </c>
      <c r="E124">
        <v>20</v>
      </c>
      <c r="F124">
        <v>0.76906567759399802</v>
      </c>
      <c r="G124">
        <v>1</v>
      </c>
      <c r="H124">
        <v>30082.77358804</v>
      </c>
      <c r="I124">
        <v>10471</v>
      </c>
      <c r="J124">
        <v>1.6662731679847401E-2</v>
      </c>
      <c r="K124">
        <v>9644</v>
      </c>
      <c r="L124">
        <v>0.78651892113663402</v>
      </c>
      <c r="M124">
        <v>1</v>
      </c>
      <c r="N124">
        <v>3629.0205331960001</v>
      </c>
      <c r="O124">
        <v>223</v>
      </c>
      <c r="P124">
        <v>5.69682723653386E-3</v>
      </c>
      <c r="Q124">
        <v>20</v>
      </c>
      <c r="R124">
        <v>3791</v>
      </c>
      <c r="S124">
        <v>0.87084324057805296</v>
      </c>
      <c r="T124">
        <v>1</v>
      </c>
      <c r="U124">
        <v>3612.4968694039999</v>
      </c>
      <c r="V124">
        <v>81326</v>
      </c>
      <c r="W124">
        <v>0.21822244874733199</v>
      </c>
    </row>
    <row r="125" spans="1:23" x14ac:dyDescent="0.2">
      <c r="A125">
        <v>20</v>
      </c>
      <c r="B125">
        <v>1</v>
      </c>
      <c r="C125">
        <v>0.1</v>
      </c>
      <c r="D125">
        <v>3</v>
      </c>
      <c r="E125">
        <v>20</v>
      </c>
      <c r="F125">
        <v>0.69442577496222002</v>
      </c>
      <c r="G125">
        <v>1</v>
      </c>
      <c r="H125">
        <v>30055.603026143999</v>
      </c>
      <c r="I125">
        <v>17946</v>
      </c>
      <c r="J125">
        <v>5.3034293355299023E-2</v>
      </c>
      <c r="K125">
        <v>17949</v>
      </c>
      <c r="L125">
        <v>0.69442577496222002</v>
      </c>
      <c r="M125">
        <v>1</v>
      </c>
      <c r="N125">
        <v>3122.9553105629998</v>
      </c>
      <c r="O125">
        <v>386</v>
      </c>
      <c r="P125">
        <v>3.7438844293057301E-3</v>
      </c>
      <c r="Q125">
        <v>20</v>
      </c>
      <c r="R125">
        <v>6850</v>
      </c>
      <c r="S125">
        <v>1.02870082312602</v>
      </c>
      <c r="T125">
        <v>1</v>
      </c>
      <c r="U125">
        <v>3611.8194612359998</v>
      </c>
      <c r="V125">
        <v>93226</v>
      </c>
      <c r="W125">
        <v>0.319635772392313</v>
      </c>
    </row>
    <row r="126" spans="1:23" x14ac:dyDescent="0.2">
      <c r="A126">
        <v>20</v>
      </c>
      <c r="B126">
        <v>1</v>
      </c>
      <c r="C126">
        <v>0.1</v>
      </c>
      <c r="D126">
        <v>4</v>
      </c>
      <c r="E126">
        <v>20</v>
      </c>
      <c r="F126">
        <v>0.63564991773387203</v>
      </c>
      <c r="G126">
        <v>1</v>
      </c>
      <c r="H126">
        <v>30256.988302782</v>
      </c>
      <c r="I126">
        <v>13295</v>
      </c>
      <c r="J126">
        <v>6.9084776333339706</v>
      </c>
      <c r="K126">
        <v>13296</v>
      </c>
      <c r="L126">
        <v>0.58778651630221301</v>
      </c>
      <c r="M126">
        <v>1</v>
      </c>
      <c r="N126">
        <v>2986.2903321580002</v>
      </c>
      <c r="O126">
        <v>600</v>
      </c>
      <c r="P126">
        <v>9.51315063248836E-3</v>
      </c>
      <c r="Q126">
        <v>20</v>
      </c>
      <c r="R126">
        <v>6551</v>
      </c>
      <c r="S126">
        <v>1.22348198746862</v>
      </c>
      <c r="T126">
        <v>1</v>
      </c>
      <c r="U126">
        <v>3619.7146582649998</v>
      </c>
      <c r="V126">
        <v>42644</v>
      </c>
      <c r="W126">
        <v>3.7121751223838899</v>
      </c>
    </row>
    <row r="127" spans="1:23" x14ac:dyDescent="0.2">
      <c r="A127">
        <v>20</v>
      </c>
      <c r="B127">
        <v>1</v>
      </c>
      <c r="C127">
        <v>0.1</v>
      </c>
      <c r="D127">
        <v>5</v>
      </c>
      <c r="E127">
        <v>20</v>
      </c>
      <c r="F127">
        <v>0.62328289420716099</v>
      </c>
      <c r="G127">
        <v>1</v>
      </c>
      <c r="H127">
        <v>30152.272522165</v>
      </c>
      <c r="I127">
        <v>13329</v>
      </c>
      <c r="J127">
        <v>0.18484903194410801</v>
      </c>
      <c r="K127">
        <v>13331</v>
      </c>
      <c r="L127">
        <v>0.73945884677024099</v>
      </c>
      <c r="M127">
        <v>1</v>
      </c>
      <c r="N127">
        <v>3132.6278507520001</v>
      </c>
      <c r="O127">
        <v>336</v>
      </c>
      <c r="P127">
        <v>1.28791498418459E-2</v>
      </c>
      <c r="Q127">
        <v>20</v>
      </c>
      <c r="R127">
        <v>6151</v>
      </c>
      <c r="S127">
        <v>1.2265026851896199</v>
      </c>
      <c r="T127">
        <v>1</v>
      </c>
      <c r="U127">
        <v>3616.1793255699999</v>
      </c>
      <c r="V127">
        <v>49034</v>
      </c>
      <c r="W127">
        <v>0.98450319787549601</v>
      </c>
    </row>
    <row r="128" spans="1:23" x14ac:dyDescent="0.2">
      <c r="A128">
        <v>20</v>
      </c>
      <c r="B128">
        <v>1</v>
      </c>
      <c r="C128">
        <v>0.1</v>
      </c>
      <c r="D128">
        <v>6</v>
      </c>
      <c r="E128">
        <v>20</v>
      </c>
      <c r="F128">
        <v>0.64558334716328003</v>
      </c>
      <c r="G128">
        <v>1</v>
      </c>
      <c r="H128">
        <v>30208.712505346</v>
      </c>
      <c r="I128">
        <v>12472</v>
      </c>
      <c r="J128">
        <v>0.57029032915140399</v>
      </c>
      <c r="K128">
        <v>12474</v>
      </c>
      <c r="L128">
        <v>0.58596588828602403</v>
      </c>
      <c r="M128">
        <v>1</v>
      </c>
      <c r="N128">
        <v>3239.0559788189998</v>
      </c>
      <c r="O128">
        <v>374</v>
      </c>
      <c r="P128">
        <v>1.43215946795196E-2</v>
      </c>
      <c r="Q128">
        <v>20</v>
      </c>
      <c r="R128">
        <v>6865</v>
      </c>
      <c r="S128">
        <v>1.1581942384667101</v>
      </c>
      <c r="T128">
        <v>1</v>
      </c>
      <c r="U128">
        <v>3612.5815683380001</v>
      </c>
      <c r="V128">
        <v>65767</v>
      </c>
      <c r="W128">
        <v>0.98003729655925298</v>
      </c>
    </row>
    <row r="129" spans="1:23" x14ac:dyDescent="0.2">
      <c r="A129">
        <v>20</v>
      </c>
      <c r="B129">
        <v>1</v>
      </c>
      <c r="C129">
        <v>0.1</v>
      </c>
      <c r="D129">
        <v>7</v>
      </c>
      <c r="E129">
        <v>20</v>
      </c>
      <c r="F129">
        <v>0.56794069923717205</v>
      </c>
      <c r="G129">
        <v>1</v>
      </c>
      <c r="H129">
        <v>30176.369349404002</v>
      </c>
      <c r="I129">
        <v>11512</v>
      </c>
      <c r="J129">
        <v>0.40414419473892998</v>
      </c>
      <c r="K129">
        <v>11513</v>
      </c>
      <c r="L129">
        <v>0.97853832220846904</v>
      </c>
      <c r="M129">
        <v>1</v>
      </c>
      <c r="N129">
        <v>2954.3205281410001</v>
      </c>
      <c r="O129">
        <v>462</v>
      </c>
      <c r="P129">
        <v>2.2648034619871499E-2</v>
      </c>
      <c r="Q129">
        <v>20</v>
      </c>
      <c r="R129">
        <v>4435</v>
      </c>
      <c r="S129">
        <v>0.67958829277921695</v>
      </c>
      <c r="T129">
        <v>1</v>
      </c>
      <c r="U129">
        <v>3611.8014980090002</v>
      </c>
      <c r="V129">
        <v>84425</v>
      </c>
      <c r="W129">
        <v>0.514694737796072</v>
      </c>
    </row>
    <row r="130" spans="1:23" x14ac:dyDescent="0.2">
      <c r="A130">
        <v>20</v>
      </c>
      <c r="B130">
        <v>1</v>
      </c>
      <c r="C130">
        <v>0.1</v>
      </c>
      <c r="D130">
        <v>8</v>
      </c>
      <c r="E130">
        <v>20</v>
      </c>
      <c r="F130">
        <v>0.802520695486165</v>
      </c>
      <c r="G130">
        <v>1</v>
      </c>
      <c r="H130">
        <v>30122.276793105</v>
      </c>
      <c r="I130">
        <v>8259</v>
      </c>
      <c r="J130">
        <v>0.19715871180896194</v>
      </c>
      <c r="K130">
        <v>8260</v>
      </c>
      <c r="L130">
        <v>0.71193230977094302</v>
      </c>
      <c r="M130">
        <v>1</v>
      </c>
      <c r="N130">
        <v>2882.5763175239999</v>
      </c>
      <c r="O130">
        <v>515</v>
      </c>
      <c r="P130">
        <v>8.1296948774819393E-3</v>
      </c>
      <c r="Q130">
        <v>20</v>
      </c>
      <c r="R130">
        <v>3989</v>
      </c>
      <c r="S130">
        <v>1.04613259854678</v>
      </c>
      <c r="T130">
        <v>1</v>
      </c>
      <c r="U130">
        <v>3612.8080884840001</v>
      </c>
      <c r="V130">
        <v>82503</v>
      </c>
      <c r="W130">
        <v>1.0227199643325899</v>
      </c>
    </row>
    <row r="131" spans="1:23" x14ac:dyDescent="0.2">
      <c r="A131">
        <v>20</v>
      </c>
      <c r="B131">
        <v>1</v>
      </c>
      <c r="C131">
        <v>0.1</v>
      </c>
      <c r="D131">
        <v>9</v>
      </c>
      <c r="E131">
        <v>20</v>
      </c>
      <c r="F131">
        <v>0.60479374400399</v>
      </c>
      <c r="G131">
        <v>1</v>
      </c>
      <c r="H131">
        <v>30038.030347052001</v>
      </c>
      <c r="I131">
        <v>13187</v>
      </c>
      <c r="J131">
        <v>0.81279204776625191</v>
      </c>
      <c r="K131">
        <v>13186</v>
      </c>
      <c r="L131">
        <v>0.58203969219289098</v>
      </c>
      <c r="M131">
        <v>1</v>
      </c>
      <c r="N131">
        <v>3041.3020179079999</v>
      </c>
      <c r="O131">
        <v>552</v>
      </c>
      <c r="P131">
        <v>6.7784275162664498E-3</v>
      </c>
      <c r="Q131">
        <v>20</v>
      </c>
      <c r="R131">
        <v>5281</v>
      </c>
      <c r="S131">
        <v>1.2648474146536599</v>
      </c>
      <c r="T131">
        <v>1</v>
      </c>
      <c r="U131">
        <v>3612.3419625780002</v>
      </c>
      <c r="V131">
        <v>98283</v>
      </c>
      <c r="W131">
        <v>0.66385680364397004</v>
      </c>
    </row>
    <row r="132" spans="1:23" x14ac:dyDescent="0.2">
      <c r="A132">
        <v>20</v>
      </c>
      <c r="B132">
        <v>1</v>
      </c>
      <c r="C132">
        <v>0.1</v>
      </c>
      <c r="D132">
        <v>10</v>
      </c>
      <c r="E132">
        <v>20</v>
      </c>
      <c r="F132">
        <v>0.45326272392959299</v>
      </c>
      <c r="G132">
        <v>1</v>
      </c>
      <c r="H132">
        <v>30042.146164713002</v>
      </c>
      <c r="I132">
        <v>13454</v>
      </c>
      <c r="J132">
        <v>1.3693426789069985E-2</v>
      </c>
      <c r="K132">
        <v>13455</v>
      </c>
      <c r="L132">
        <v>0.45326272392670303</v>
      </c>
      <c r="M132">
        <v>1</v>
      </c>
      <c r="N132">
        <v>3689.987517687</v>
      </c>
      <c r="O132">
        <v>311</v>
      </c>
      <c r="P132">
        <v>1.5653950514522199E-2</v>
      </c>
      <c r="Q132">
        <v>20</v>
      </c>
      <c r="R132">
        <v>7787</v>
      </c>
      <c r="S132">
        <v>0.85805552449473899</v>
      </c>
      <c r="T132">
        <v>1</v>
      </c>
      <c r="U132">
        <v>3620.194440107</v>
      </c>
      <c r="V132">
        <v>29971</v>
      </c>
      <c r="W132">
        <v>1.2975422195759601</v>
      </c>
    </row>
    <row r="133" spans="1:23" x14ac:dyDescent="0.2">
      <c r="A133">
        <v>20</v>
      </c>
      <c r="B133">
        <v>1</v>
      </c>
      <c r="C133">
        <v>0.1</v>
      </c>
      <c r="D133">
        <v>11</v>
      </c>
      <c r="E133">
        <v>20</v>
      </c>
      <c r="F133">
        <v>0.65338195126242204</v>
      </c>
      <c r="G133">
        <v>1</v>
      </c>
      <c r="H133">
        <v>30153.783017656999</v>
      </c>
      <c r="I133">
        <v>12235</v>
      </c>
      <c r="J133">
        <v>1.093831101923163</v>
      </c>
      <c r="K133">
        <v>12237</v>
      </c>
      <c r="L133">
        <v>0.887473808802548</v>
      </c>
      <c r="M133">
        <v>1</v>
      </c>
      <c r="N133">
        <v>3191.9509449279999</v>
      </c>
      <c r="O133">
        <v>796</v>
      </c>
      <c r="P133">
        <v>1.43764990322576E-2</v>
      </c>
      <c r="Q133">
        <v>20</v>
      </c>
      <c r="R133">
        <v>7796</v>
      </c>
      <c r="S133">
        <v>0.55454476020285803</v>
      </c>
      <c r="T133">
        <v>1</v>
      </c>
      <c r="U133">
        <v>3613.3020327509998</v>
      </c>
      <c r="V133">
        <v>90063</v>
      </c>
      <c r="W133">
        <v>1.18595745129547</v>
      </c>
    </row>
    <row r="134" spans="1:23" x14ac:dyDescent="0.2">
      <c r="A134">
        <v>20</v>
      </c>
      <c r="B134">
        <v>1</v>
      </c>
      <c r="C134">
        <v>0.1</v>
      </c>
      <c r="D134">
        <v>12</v>
      </c>
      <c r="E134">
        <v>20</v>
      </c>
      <c r="F134">
        <v>0.54697447349640405</v>
      </c>
      <c r="G134">
        <v>1</v>
      </c>
      <c r="H134">
        <v>30041.304283546</v>
      </c>
      <c r="I134">
        <v>15217</v>
      </c>
      <c r="J134">
        <v>0.10421279034160014</v>
      </c>
      <c r="K134">
        <v>15218</v>
      </c>
      <c r="L134">
        <v>0.54697447348190398</v>
      </c>
      <c r="M134">
        <v>1</v>
      </c>
      <c r="N134">
        <v>3387.7998427860002</v>
      </c>
      <c r="O134">
        <v>194</v>
      </c>
      <c r="P134">
        <v>5.9775007490396798E-2</v>
      </c>
      <c r="Q134">
        <v>20</v>
      </c>
      <c r="R134">
        <v>4151</v>
      </c>
      <c r="S134">
        <v>0.75214609027030699</v>
      </c>
      <c r="T134">
        <v>1</v>
      </c>
      <c r="U134">
        <v>3618.4321581200002</v>
      </c>
      <c r="V134">
        <v>63779</v>
      </c>
      <c r="W134">
        <v>1.0536688981662301</v>
      </c>
    </row>
    <row r="135" spans="1:23" x14ac:dyDescent="0.2">
      <c r="A135">
        <v>20</v>
      </c>
      <c r="B135">
        <v>1</v>
      </c>
      <c r="C135">
        <v>0.1</v>
      </c>
      <c r="D135">
        <v>13</v>
      </c>
      <c r="E135">
        <v>20</v>
      </c>
      <c r="F135">
        <v>0.354132234777632</v>
      </c>
      <c r="G135">
        <v>1</v>
      </c>
      <c r="H135">
        <v>30071.071895002999</v>
      </c>
      <c r="I135">
        <v>13040</v>
      </c>
      <c r="J135">
        <v>0.73229073049060012</v>
      </c>
      <c r="K135">
        <v>13042</v>
      </c>
      <c r="L135">
        <v>0.354132234777632</v>
      </c>
      <c r="M135">
        <v>1</v>
      </c>
      <c r="N135">
        <v>3188.1797300029998</v>
      </c>
      <c r="O135">
        <v>475</v>
      </c>
      <c r="P135">
        <v>2.8131433415113202E-2</v>
      </c>
      <c r="Q135">
        <v>20</v>
      </c>
      <c r="R135">
        <v>5396</v>
      </c>
      <c r="S135">
        <v>1.1366848067142401</v>
      </c>
      <c r="T135">
        <v>1</v>
      </c>
      <c r="U135">
        <v>3613.3400980010001</v>
      </c>
      <c r="V135">
        <v>96324</v>
      </c>
      <c r="W135">
        <v>1.5278234595690601</v>
      </c>
    </row>
    <row r="136" spans="1:23" x14ac:dyDescent="0.2">
      <c r="A136">
        <v>20</v>
      </c>
      <c r="B136">
        <v>1</v>
      </c>
      <c r="C136">
        <v>0.1</v>
      </c>
      <c r="D136">
        <v>14</v>
      </c>
      <c r="E136">
        <v>20</v>
      </c>
      <c r="F136">
        <v>0.68192402146105202</v>
      </c>
      <c r="G136">
        <v>1</v>
      </c>
      <c r="H136">
        <v>30175.50244738</v>
      </c>
      <c r="I136">
        <v>15990</v>
      </c>
      <c r="J136">
        <v>7.0183371055641042E-2</v>
      </c>
      <c r="K136">
        <v>15992</v>
      </c>
      <c r="L136">
        <v>0.65390499063902097</v>
      </c>
      <c r="M136">
        <v>1</v>
      </c>
      <c r="N136">
        <v>2914.0376824740001</v>
      </c>
      <c r="O136">
        <v>467</v>
      </c>
      <c r="P136">
        <v>8.3948625829199305E-3</v>
      </c>
      <c r="Q136">
        <v>20</v>
      </c>
      <c r="R136">
        <v>4934</v>
      </c>
      <c r="S136">
        <v>0.47785130928972303</v>
      </c>
      <c r="T136">
        <v>1</v>
      </c>
      <c r="U136">
        <v>3610.8404943320002</v>
      </c>
      <c r="V136">
        <v>70679</v>
      </c>
      <c r="W136">
        <v>0.94463963090675995</v>
      </c>
    </row>
    <row r="137" spans="1:23" x14ac:dyDescent="0.2">
      <c r="A137">
        <v>20</v>
      </c>
      <c r="B137">
        <v>1</v>
      </c>
      <c r="C137">
        <v>0.1</v>
      </c>
      <c r="D137">
        <v>15</v>
      </c>
      <c r="E137">
        <v>20</v>
      </c>
      <c r="F137">
        <v>0.75242143288881402</v>
      </c>
      <c r="G137">
        <v>1</v>
      </c>
      <c r="H137">
        <v>30238.681928500999</v>
      </c>
      <c r="I137">
        <v>19324</v>
      </c>
      <c r="J137">
        <v>1.4628972100297188</v>
      </c>
      <c r="K137">
        <v>19326</v>
      </c>
      <c r="L137">
        <v>0.70051606174921299</v>
      </c>
      <c r="M137">
        <v>1</v>
      </c>
      <c r="N137">
        <v>2902.957910305</v>
      </c>
      <c r="O137">
        <v>757</v>
      </c>
      <c r="P137">
        <v>2.63185086713392E-2</v>
      </c>
      <c r="Q137">
        <v>20</v>
      </c>
      <c r="R137">
        <v>4639</v>
      </c>
      <c r="S137">
        <v>0.879090966913738</v>
      </c>
      <c r="T137">
        <v>1</v>
      </c>
      <c r="U137">
        <v>3611.950682228</v>
      </c>
      <c r="V137">
        <v>95708</v>
      </c>
      <c r="W137">
        <v>0.81457955240227797</v>
      </c>
    </row>
    <row r="138" spans="1:23" x14ac:dyDescent="0.2">
      <c r="A138">
        <v>20</v>
      </c>
      <c r="B138">
        <v>1</v>
      </c>
      <c r="C138">
        <v>0.1</v>
      </c>
      <c r="D138">
        <v>16</v>
      </c>
      <c r="E138">
        <v>20</v>
      </c>
      <c r="F138">
        <v>0.62594092643564803</v>
      </c>
      <c r="G138">
        <v>1</v>
      </c>
      <c r="H138">
        <v>30135.321247931999</v>
      </c>
      <c r="I138">
        <v>12608</v>
      </c>
      <c r="J138">
        <v>4.7696211907561015E-2</v>
      </c>
      <c r="K138">
        <v>12610</v>
      </c>
      <c r="L138">
        <v>0.62594092643564803</v>
      </c>
      <c r="M138">
        <v>1</v>
      </c>
      <c r="N138">
        <v>3257.4049084779999</v>
      </c>
      <c r="O138">
        <v>166</v>
      </c>
      <c r="P138">
        <v>3.7408264848128301E-3</v>
      </c>
      <c r="Q138">
        <v>20</v>
      </c>
      <c r="R138">
        <v>4155</v>
      </c>
      <c r="S138">
        <v>1.2238027786776</v>
      </c>
      <c r="T138">
        <v>1</v>
      </c>
      <c r="U138">
        <v>3610.5013624889998</v>
      </c>
      <c r="V138">
        <v>96773</v>
      </c>
      <c r="W138">
        <v>0.322966370783763</v>
      </c>
    </row>
    <row r="139" spans="1:23" x14ac:dyDescent="0.2">
      <c r="A139">
        <v>20</v>
      </c>
      <c r="B139">
        <v>1</v>
      </c>
      <c r="C139">
        <v>0.1</v>
      </c>
      <c r="D139">
        <v>17</v>
      </c>
      <c r="E139">
        <v>20</v>
      </c>
      <c r="F139">
        <v>0.79276782167394899</v>
      </c>
      <c r="G139">
        <v>1</v>
      </c>
      <c r="H139">
        <v>30147.535184207001</v>
      </c>
      <c r="I139">
        <v>8810</v>
      </c>
      <c r="J139">
        <v>0.174640086798655</v>
      </c>
      <c r="K139">
        <v>8812</v>
      </c>
      <c r="L139">
        <v>0.74206840736798696</v>
      </c>
      <c r="M139">
        <v>1</v>
      </c>
      <c r="N139">
        <v>303.750725106</v>
      </c>
      <c r="O139">
        <v>15</v>
      </c>
      <c r="P139">
        <v>2.7064209664710002E-3</v>
      </c>
      <c r="Q139">
        <v>6</v>
      </c>
      <c r="R139">
        <v>16</v>
      </c>
      <c r="S139">
        <v>0.95371936567037696</v>
      </c>
      <c r="T139">
        <v>1</v>
      </c>
      <c r="U139">
        <v>3610.6242644819999</v>
      </c>
      <c r="V139">
        <v>69333</v>
      </c>
      <c r="W139">
        <v>0.30200509913592699</v>
      </c>
    </row>
    <row r="140" spans="1:23" x14ac:dyDescent="0.2">
      <c r="A140">
        <v>20</v>
      </c>
      <c r="B140">
        <v>1</v>
      </c>
      <c r="C140">
        <v>0.1</v>
      </c>
      <c r="D140">
        <v>18</v>
      </c>
      <c r="E140">
        <v>20</v>
      </c>
      <c r="F140">
        <v>0.77219658350832598</v>
      </c>
      <c r="G140">
        <v>1</v>
      </c>
      <c r="H140">
        <v>30101.940909361001</v>
      </c>
      <c r="I140">
        <v>11035</v>
      </c>
      <c r="J140">
        <v>0.50632851007436996</v>
      </c>
      <c r="K140">
        <v>11036</v>
      </c>
      <c r="L140">
        <v>0.77219658350839204</v>
      </c>
      <c r="M140">
        <v>1</v>
      </c>
      <c r="N140">
        <v>467.22533241100001</v>
      </c>
      <c r="O140">
        <v>479</v>
      </c>
      <c r="P140">
        <v>8.1325185060684702E-3</v>
      </c>
      <c r="Q140">
        <v>4</v>
      </c>
      <c r="R140">
        <v>480</v>
      </c>
      <c r="S140">
        <v>0.92068629345378905</v>
      </c>
      <c r="T140">
        <v>1</v>
      </c>
      <c r="U140">
        <v>3610.7516385889999</v>
      </c>
      <c r="V140">
        <v>108978</v>
      </c>
      <c r="W140">
        <v>0.29675063070531998</v>
      </c>
    </row>
    <row r="141" spans="1:23" x14ac:dyDescent="0.2">
      <c r="A141">
        <v>20</v>
      </c>
      <c r="B141">
        <v>1</v>
      </c>
      <c r="C141">
        <v>0.1</v>
      </c>
      <c r="D141">
        <v>19</v>
      </c>
      <c r="E141">
        <v>20</v>
      </c>
      <c r="F141">
        <v>0.57624198297289198</v>
      </c>
      <c r="G141">
        <v>1</v>
      </c>
      <c r="H141">
        <v>30404.516864722998</v>
      </c>
      <c r="I141">
        <v>11949</v>
      </c>
      <c r="J141">
        <v>0.26095189289183895</v>
      </c>
      <c r="K141">
        <v>11951</v>
      </c>
      <c r="L141">
        <v>0.72969334452682799</v>
      </c>
      <c r="M141">
        <v>1</v>
      </c>
      <c r="N141">
        <v>3174.0198540299998</v>
      </c>
      <c r="O141">
        <v>617</v>
      </c>
      <c r="P141">
        <v>1.50014022549984E-2</v>
      </c>
      <c r="Q141">
        <v>20</v>
      </c>
      <c r="R141">
        <v>4520</v>
      </c>
      <c r="S141">
        <v>0.83765284390330697</v>
      </c>
      <c r="T141">
        <v>1</v>
      </c>
      <c r="U141">
        <v>3611.0427609090002</v>
      </c>
      <c r="V141">
        <v>112068</v>
      </c>
      <c r="W141">
        <v>0.51886014421272997</v>
      </c>
    </row>
    <row r="142" spans="1:23" x14ac:dyDescent="0.2">
      <c r="A142">
        <v>20</v>
      </c>
      <c r="B142">
        <v>1</v>
      </c>
      <c r="C142">
        <v>0.1</v>
      </c>
      <c r="D142">
        <v>20</v>
      </c>
      <c r="E142">
        <v>20</v>
      </c>
      <c r="F142">
        <v>0.52452223381117002</v>
      </c>
      <c r="G142">
        <v>1</v>
      </c>
      <c r="H142">
        <v>30149.730542611</v>
      </c>
      <c r="I142">
        <v>15617</v>
      </c>
      <c r="J142">
        <v>0.50636758963417494</v>
      </c>
      <c r="K142">
        <v>15618</v>
      </c>
      <c r="L142">
        <v>0.52452223381154195</v>
      </c>
      <c r="M142">
        <v>1</v>
      </c>
      <c r="N142">
        <v>3680.4905592519999</v>
      </c>
      <c r="O142">
        <v>275</v>
      </c>
      <c r="P142">
        <v>7.5174146579610702E-3</v>
      </c>
      <c r="Q142">
        <v>20</v>
      </c>
      <c r="R142">
        <v>5724</v>
      </c>
      <c r="S142">
        <v>1.1889071895643</v>
      </c>
      <c r="T142">
        <v>1</v>
      </c>
      <c r="U142">
        <v>3609.6985772170001</v>
      </c>
      <c r="V142">
        <v>87703</v>
      </c>
      <c r="W142">
        <v>0.72225250328123902</v>
      </c>
    </row>
    <row r="143" spans="1:23" x14ac:dyDescent="0.2">
      <c r="A143">
        <v>20</v>
      </c>
      <c r="B143">
        <v>1</v>
      </c>
      <c r="C143">
        <v>0.1</v>
      </c>
      <c r="D143">
        <v>1</v>
      </c>
      <c r="E143">
        <v>100</v>
      </c>
      <c r="F143">
        <v>0.50693105519798298</v>
      </c>
      <c r="G143">
        <v>1</v>
      </c>
      <c r="H143">
        <v>30092.620681920998</v>
      </c>
      <c r="I143">
        <v>13142</v>
      </c>
      <c r="J143">
        <v>0.8199261780879179</v>
      </c>
      <c r="K143">
        <v>13148</v>
      </c>
      <c r="L143">
        <v>0.544187592871472</v>
      </c>
      <c r="M143">
        <v>1</v>
      </c>
      <c r="N143">
        <v>3121.8501481510002</v>
      </c>
      <c r="O143">
        <v>556</v>
      </c>
      <c r="P143">
        <v>6.4633164434746903E-3</v>
      </c>
      <c r="Q143">
        <v>20</v>
      </c>
      <c r="R143">
        <v>5369</v>
      </c>
      <c r="S143">
        <v>0.44236268481906998</v>
      </c>
      <c r="T143">
        <v>1</v>
      </c>
      <c r="U143">
        <v>3613.2267055990001</v>
      </c>
      <c r="V143">
        <v>70192</v>
      </c>
      <c r="W143">
        <v>9.3405063878186895E-2</v>
      </c>
    </row>
    <row r="144" spans="1:23" x14ac:dyDescent="0.2">
      <c r="A144">
        <v>20</v>
      </c>
      <c r="B144">
        <v>1</v>
      </c>
      <c r="C144">
        <v>0.1</v>
      </c>
      <c r="D144">
        <v>2</v>
      </c>
      <c r="E144">
        <v>100</v>
      </c>
      <c r="F144">
        <v>0.75494292501494997</v>
      </c>
      <c r="G144">
        <v>1</v>
      </c>
      <c r="H144">
        <v>30073.566169579</v>
      </c>
      <c r="I144">
        <v>13109</v>
      </c>
      <c r="J144">
        <v>0.138083091627066</v>
      </c>
      <c r="K144">
        <v>13108</v>
      </c>
      <c r="L144" s="5">
        <v>0.754942925015054</v>
      </c>
      <c r="M144">
        <v>1</v>
      </c>
      <c r="N144">
        <v>221.137040789</v>
      </c>
      <c r="O144">
        <v>1</v>
      </c>
      <c r="P144">
        <v>6.9837058535124298E-4</v>
      </c>
      <c r="Q144">
        <v>4</v>
      </c>
      <c r="R144">
        <v>1</v>
      </c>
      <c r="S144">
        <v>0.73508524274544595</v>
      </c>
      <c r="T144">
        <v>1</v>
      </c>
      <c r="U144">
        <v>3610.77225817</v>
      </c>
      <c r="V144">
        <v>73148</v>
      </c>
      <c r="W144">
        <v>4.07896118729578E-2</v>
      </c>
    </row>
    <row r="145" spans="1:23" x14ac:dyDescent="0.2">
      <c r="A145">
        <v>20</v>
      </c>
      <c r="B145">
        <v>1</v>
      </c>
      <c r="C145">
        <v>0.1</v>
      </c>
      <c r="D145">
        <v>3</v>
      </c>
      <c r="E145">
        <v>100</v>
      </c>
      <c r="F145">
        <v>0.66498072011184695</v>
      </c>
      <c r="G145">
        <v>1</v>
      </c>
      <c r="H145">
        <v>30072.447195880999</v>
      </c>
      <c r="I145">
        <v>16021</v>
      </c>
      <c r="J145">
        <v>1.168009416695949E-2</v>
      </c>
      <c r="K145">
        <v>16025</v>
      </c>
      <c r="L145">
        <v>0.66498072011142295</v>
      </c>
      <c r="M145">
        <v>1</v>
      </c>
      <c r="N145">
        <v>3436.2988349819998</v>
      </c>
      <c r="O145">
        <v>533</v>
      </c>
      <c r="P145">
        <v>7.1201320481255998E-4</v>
      </c>
      <c r="Q145">
        <v>20</v>
      </c>
      <c r="R145">
        <v>9255</v>
      </c>
      <c r="S145">
        <v>0.70848826158279199</v>
      </c>
      <c r="T145">
        <v>1</v>
      </c>
      <c r="U145">
        <v>3609.6684240770001</v>
      </c>
      <c r="V145">
        <v>89105</v>
      </c>
      <c r="W145">
        <v>6.6780623301932296E-2</v>
      </c>
    </row>
    <row r="146" spans="1:23" x14ac:dyDescent="0.2">
      <c r="A146">
        <v>20</v>
      </c>
      <c r="B146">
        <v>1</v>
      </c>
      <c r="C146">
        <v>0.1</v>
      </c>
      <c r="D146">
        <v>4</v>
      </c>
      <c r="E146">
        <v>100</v>
      </c>
      <c r="F146">
        <v>0.62338783825217703</v>
      </c>
      <c r="G146">
        <v>1</v>
      </c>
      <c r="H146">
        <v>30213.496635454001</v>
      </c>
      <c r="I146">
        <v>16949</v>
      </c>
      <c r="J146">
        <v>7.2377717679381934</v>
      </c>
      <c r="K146">
        <v>16957</v>
      </c>
      <c r="L146">
        <v>0.58771108813102202</v>
      </c>
      <c r="M146">
        <v>1</v>
      </c>
      <c r="N146">
        <v>3395.0479001929998</v>
      </c>
      <c r="O146">
        <v>533</v>
      </c>
      <c r="P146">
        <v>1.6626348582371501E-2</v>
      </c>
      <c r="Q146">
        <v>20</v>
      </c>
      <c r="R146">
        <v>7062</v>
      </c>
      <c r="S146">
        <v>0.87992559273857096</v>
      </c>
      <c r="T146">
        <v>1</v>
      </c>
      <c r="U146">
        <v>3614.3742311000001</v>
      </c>
      <c r="V146">
        <v>56984</v>
      </c>
      <c r="W146">
        <v>0.33641623869124199</v>
      </c>
    </row>
    <row r="147" spans="1:23" x14ac:dyDescent="0.2">
      <c r="A147">
        <v>20</v>
      </c>
      <c r="B147">
        <v>1</v>
      </c>
      <c r="C147">
        <v>0.1</v>
      </c>
      <c r="D147">
        <v>5</v>
      </c>
      <c r="E147">
        <v>100</v>
      </c>
      <c r="F147">
        <v>0.60807364220416804</v>
      </c>
      <c r="G147">
        <v>1</v>
      </c>
      <c r="H147">
        <v>30110.377390312999</v>
      </c>
      <c r="I147">
        <v>13638</v>
      </c>
      <c r="J147">
        <v>6.2260128032058715E-2</v>
      </c>
      <c r="K147">
        <v>13636</v>
      </c>
      <c r="L147">
        <v>0.57102543919999305</v>
      </c>
      <c r="M147">
        <v>1</v>
      </c>
      <c r="N147">
        <v>3434.4920660920002</v>
      </c>
      <c r="O147">
        <v>225</v>
      </c>
      <c r="P147">
        <v>4.3851227439956897E-3</v>
      </c>
      <c r="Q147">
        <v>20</v>
      </c>
      <c r="R147">
        <v>5151</v>
      </c>
      <c r="S147">
        <v>0.60068389940100297</v>
      </c>
      <c r="T147">
        <v>1</v>
      </c>
      <c r="U147">
        <v>3613.1350000689999</v>
      </c>
      <c r="V147">
        <v>57523</v>
      </c>
      <c r="W147">
        <v>0.141400026492981</v>
      </c>
    </row>
    <row r="148" spans="1:23" x14ac:dyDescent="0.2">
      <c r="A148">
        <v>20</v>
      </c>
      <c r="B148">
        <v>1</v>
      </c>
      <c r="C148">
        <v>0.1</v>
      </c>
      <c r="D148">
        <v>6</v>
      </c>
      <c r="E148">
        <v>100</v>
      </c>
      <c r="F148">
        <v>0.60752842773168803</v>
      </c>
      <c r="G148">
        <v>1</v>
      </c>
      <c r="H148">
        <v>30167.350669572999</v>
      </c>
      <c r="I148">
        <v>10849</v>
      </c>
      <c r="J148">
        <v>0.60585083537847206</v>
      </c>
      <c r="K148">
        <v>10855</v>
      </c>
      <c r="L148">
        <v>1.17038665401152</v>
      </c>
      <c r="M148">
        <v>1</v>
      </c>
      <c r="N148">
        <v>3611.6955391339998</v>
      </c>
      <c r="O148">
        <v>1779</v>
      </c>
      <c r="P148">
        <v>1.0424437518066E-2</v>
      </c>
      <c r="Q148">
        <v>20</v>
      </c>
      <c r="R148">
        <v>12088</v>
      </c>
      <c r="S148">
        <v>1.0670418043915799</v>
      </c>
      <c r="T148">
        <v>1</v>
      </c>
      <c r="U148">
        <v>3611.9941279489999</v>
      </c>
      <c r="V148">
        <v>38139</v>
      </c>
      <c r="W148">
        <v>0.23697335357332799</v>
      </c>
    </row>
    <row r="149" spans="1:23" x14ac:dyDescent="0.2">
      <c r="A149">
        <v>20</v>
      </c>
      <c r="B149">
        <v>1</v>
      </c>
      <c r="C149">
        <v>0.1</v>
      </c>
      <c r="D149">
        <v>7</v>
      </c>
      <c r="E149">
        <v>100</v>
      </c>
      <c r="F149">
        <v>0.52112875135132797</v>
      </c>
      <c r="G149">
        <v>1</v>
      </c>
      <c r="H149">
        <v>30110.397541892002</v>
      </c>
      <c r="I149">
        <v>14763</v>
      </c>
      <c r="J149">
        <v>0.35626758219597598</v>
      </c>
      <c r="K149">
        <v>14768</v>
      </c>
      <c r="L149">
        <v>0.87386189004509096</v>
      </c>
      <c r="M149">
        <v>1</v>
      </c>
      <c r="N149">
        <v>3544.404595647</v>
      </c>
      <c r="O149">
        <v>448</v>
      </c>
      <c r="P149">
        <v>4.8218342873159398E-3</v>
      </c>
      <c r="Q149">
        <v>20</v>
      </c>
      <c r="R149">
        <v>5495</v>
      </c>
      <c r="S149">
        <v>0.79806938098745495</v>
      </c>
      <c r="T149">
        <v>1</v>
      </c>
      <c r="U149">
        <v>3613.7027040970002</v>
      </c>
      <c r="V149">
        <v>54927</v>
      </c>
      <c r="W149">
        <v>0.109304676612186</v>
      </c>
    </row>
    <row r="150" spans="1:23" x14ac:dyDescent="0.2">
      <c r="A150">
        <v>20</v>
      </c>
      <c r="B150">
        <v>1</v>
      </c>
      <c r="C150">
        <v>0.1</v>
      </c>
      <c r="D150">
        <v>8</v>
      </c>
      <c r="E150">
        <v>100</v>
      </c>
      <c r="F150">
        <v>0.79241176915475997</v>
      </c>
      <c r="G150">
        <v>1</v>
      </c>
      <c r="H150">
        <v>30057.858899889001</v>
      </c>
      <c r="I150">
        <v>9790</v>
      </c>
      <c r="J150">
        <v>4.8042541481369022E-2</v>
      </c>
      <c r="K150">
        <v>9794</v>
      </c>
      <c r="L150">
        <v>0.88360375588021101</v>
      </c>
      <c r="M150">
        <v>1</v>
      </c>
      <c r="N150">
        <v>3464.5826962149999</v>
      </c>
      <c r="O150">
        <v>380</v>
      </c>
      <c r="P150">
        <v>1.35432626558795E-2</v>
      </c>
      <c r="Q150">
        <v>20</v>
      </c>
      <c r="R150">
        <v>6074</v>
      </c>
      <c r="S150">
        <v>0.74299329658922597</v>
      </c>
      <c r="T150">
        <v>1</v>
      </c>
      <c r="U150">
        <v>3616.6508846040001</v>
      </c>
      <c r="V150">
        <v>51219</v>
      </c>
      <c r="W150">
        <v>0.18416006748085501</v>
      </c>
    </row>
    <row r="151" spans="1:23" x14ac:dyDescent="0.2">
      <c r="A151">
        <v>20</v>
      </c>
      <c r="B151">
        <v>1</v>
      </c>
      <c r="C151">
        <v>0.1</v>
      </c>
      <c r="D151">
        <v>9</v>
      </c>
      <c r="E151">
        <v>100</v>
      </c>
      <c r="F151">
        <v>0.59113989431047098</v>
      </c>
      <c r="G151">
        <v>1</v>
      </c>
      <c r="H151">
        <v>30219.348118978</v>
      </c>
      <c r="I151">
        <v>13919</v>
      </c>
      <c r="J151">
        <v>1.051394172998187</v>
      </c>
      <c r="K151">
        <v>13923</v>
      </c>
      <c r="L151">
        <v>0.81545227459607605</v>
      </c>
      <c r="M151">
        <v>1</v>
      </c>
      <c r="N151">
        <v>3649.6031223909999</v>
      </c>
      <c r="O151">
        <v>997</v>
      </c>
      <c r="P151">
        <v>5.1538558673384603E-3</v>
      </c>
      <c r="Q151">
        <v>20</v>
      </c>
      <c r="R151">
        <v>9263</v>
      </c>
      <c r="S151">
        <v>1.3731383245647399</v>
      </c>
      <c r="T151">
        <v>1</v>
      </c>
      <c r="U151">
        <v>3612.4388263010001</v>
      </c>
      <c r="V151">
        <v>49619</v>
      </c>
      <c r="W151">
        <v>0.21651176533162</v>
      </c>
    </row>
    <row r="152" spans="1:23" x14ac:dyDescent="0.2">
      <c r="A152">
        <v>20</v>
      </c>
      <c r="B152">
        <v>1</v>
      </c>
      <c r="C152">
        <v>0.1</v>
      </c>
      <c r="D152">
        <v>10</v>
      </c>
      <c r="E152">
        <v>100</v>
      </c>
      <c r="F152">
        <v>0.37549878806258802</v>
      </c>
      <c r="G152">
        <v>1</v>
      </c>
      <c r="H152">
        <v>30227.654485419</v>
      </c>
      <c r="I152">
        <v>14288</v>
      </c>
      <c r="J152">
        <v>4.619130190575603E-3</v>
      </c>
      <c r="K152">
        <v>14293</v>
      </c>
      <c r="L152">
        <v>0.37549878806258802</v>
      </c>
      <c r="M152">
        <v>1</v>
      </c>
      <c r="N152">
        <v>3692.958375485</v>
      </c>
      <c r="O152">
        <v>356</v>
      </c>
      <c r="P152">
        <v>1.8652197600041299E-3</v>
      </c>
      <c r="Q152">
        <v>20</v>
      </c>
      <c r="R152">
        <v>7889</v>
      </c>
      <c r="S152">
        <v>0.50013449346563299</v>
      </c>
      <c r="T152">
        <v>1</v>
      </c>
      <c r="U152">
        <v>3621.4593111569998</v>
      </c>
      <c r="V152">
        <v>24859</v>
      </c>
      <c r="W152">
        <v>0.15875931957544401</v>
      </c>
    </row>
    <row r="153" spans="1:23" x14ac:dyDescent="0.2">
      <c r="A153">
        <v>20</v>
      </c>
      <c r="B153">
        <v>1</v>
      </c>
      <c r="C153">
        <v>0.1</v>
      </c>
      <c r="D153">
        <v>11</v>
      </c>
      <c r="E153">
        <v>100</v>
      </c>
      <c r="F153">
        <v>0.63214955043191301</v>
      </c>
      <c r="G153">
        <v>1</v>
      </c>
      <c r="H153">
        <v>30210.650293268001</v>
      </c>
      <c r="I153">
        <v>12643</v>
      </c>
      <c r="J153">
        <v>1.243587847301062</v>
      </c>
      <c r="K153">
        <v>12644</v>
      </c>
      <c r="L153">
        <v>0.55288842230235402</v>
      </c>
      <c r="M153">
        <v>1</v>
      </c>
      <c r="N153">
        <v>3264.067797405</v>
      </c>
      <c r="O153">
        <v>576</v>
      </c>
      <c r="P153">
        <v>9.30953588656009E-3</v>
      </c>
      <c r="Q153">
        <v>20</v>
      </c>
      <c r="R153">
        <v>9848</v>
      </c>
      <c r="S153">
        <v>1.1605753868881199</v>
      </c>
      <c r="T153">
        <v>1</v>
      </c>
      <c r="U153">
        <v>3615.1783903830001</v>
      </c>
      <c r="V153">
        <v>42898</v>
      </c>
      <c r="W153">
        <v>0.61561231100772296</v>
      </c>
    </row>
    <row r="154" spans="1:23" x14ac:dyDescent="0.2">
      <c r="A154">
        <v>20</v>
      </c>
      <c r="B154">
        <v>1</v>
      </c>
      <c r="C154">
        <v>0.1</v>
      </c>
      <c r="D154">
        <v>12</v>
      </c>
      <c r="E154">
        <v>100</v>
      </c>
      <c r="F154">
        <v>0.48569112192504699</v>
      </c>
      <c r="G154">
        <v>1</v>
      </c>
      <c r="H154">
        <v>30284.377256781001</v>
      </c>
      <c r="I154">
        <v>19180</v>
      </c>
      <c r="J154">
        <v>6.5162621724292019E-2</v>
      </c>
      <c r="K154">
        <v>19184</v>
      </c>
      <c r="L154">
        <v>0.48569112190289099</v>
      </c>
      <c r="M154">
        <v>1</v>
      </c>
      <c r="N154">
        <v>3654.7782113990002</v>
      </c>
      <c r="O154">
        <v>253</v>
      </c>
      <c r="P154">
        <v>1.81229082549587E-2</v>
      </c>
      <c r="Q154">
        <v>20</v>
      </c>
      <c r="R154">
        <v>6131</v>
      </c>
      <c r="S154">
        <v>0.77165286602272998</v>
      </c>
      <c r="T154">
        <v>1</v>
      </c>
      <c r="U154">
        <v>3613.315544261</v>
      </c>
      <c r="V154">
        <v>83655</v>
      </c>
      <c r="W154">
        <v>0.24808724618219399</v>
      </c>
    </row>
    <row r="155" spans="1:23" x14ac:dyDescent="0.2">
      <c r="A155">
        <v>20</v>
      </c>
      <c r="B155">
        <v>1</v>
      </c>
      <c r="C155">
        <v>0.1</v>
      </c>
      <c r="D155">
        <v>13</v>
      </c>
      <c r="E155">
        <v>100</v>
      </c>
      <c r="F155">
        <v>0.31258257987853499</v>
      </c>
      <c r="G155">
        <v>1</v>
      </c>
      <c r="H155">
        <v>30227.476255709</v>
      </c>
      <c r="I155">
        <v>15110</v>
      </c>
      <c r="J155">
        <v>0.55523315344020707</v>
      </c>
      <c r="K155">
        <v>15116</v>
      </c>
      <c r="L155">
        <v>0.312582579878525</v>
      </c>
      <c r="M155">
        <v>1</v>
      </c>
      <c r="N155">
        <v>3676.9626799819998</v>
      </c>
      <c r="O155">
        <v>579</v>
      </c>
      <c r="P155">
        <v>1.9193714510257399E-2</v>
      </c>
      <c r="Q155">
        <v>20</v>
      </c>
      <c r="R155">
        <v>10601</v>
      </c>
      <c r="S155">
        <v>0.27294315570654698</v>
      </c>
      <c r="T155">
        <v>1</v>
      </c>
      <c r="U155">
        <v>3610.2323579839999</v>
      </c>
      <c r="V155">
        <v>76395</v>
      </c>
      <c r="W155">
        <v>5.1137883256684296</v>
      </c>
    </row>
    <row r="156" spans="1:23" x14ac:dyDescent="0.2">
      <c r="A156">
        <v>20</v>
      </c>
      <c r="B156">
        <v>1</v>
      </c>
      <c r="C156">
        <v>0.1</v>
      </c>
      <c r="D156">
        <v>14</v>
      </c>
      <c r="E156">
        <v>100</v>
      </c>
      <c r="F156">
        <v>0.65904733292504902</v>
      </c>
      <c r="G156">
        <v>1</v>
      </c>
      <c r="H156">
        <v>30226.784423550998</v>
      </c>
      <c r="I156">
        <v>13591</v>
      </c>
      <c r="J156">
        <v>2.4220364349759903E-2</v>
      </c>
      <c r="K156">
        <v>13597</v>
      </c>
      <c r="L156">
        <v>0.62846536331193203</v>
      </c>
      <c r="M156">
        <v>1</v>
      </c>
      <c r="N156">
        <v>3619.9151766539999</v>
      </c>
      <c r="O156">
        <v>869</v>
      </c>
      <c r="P156">
        <v>4.0929955229129303E-3</v>
      </c>
      <c r="Q156">
        <v>20</v>
      </c>
      <c r="R156">
        <v>6313</v>
      </c>
      <c r="S156">
        <v>0.674077449773126</v>
      </c>
      <c r="T156">
        <v>1</v>
      </c>
      <c r="U156">
        <v>3612.4356049839998</v>
      </c>
      <c r="V156">
        <v>102272</v>
      </c>
      <c r="W156">
        <v>0.103081914315704</v>
      </c>
    </row>
    <row r="157" spans="1:23" x14ac:dyDescent="0.2">
      <c r="A157">
        <v>20</v>
      </c>
      <c r="B157">
        <v>1</v>
      </c>
      <c r="C157">
        <v>0.1</v>
      </c>
      <c r="D157">
        <v>15</v>
      </c>
      <c r="E157">
        <v>100</v>
      </c>
      <c r="F157">
        <v>0.74337724848409104</v>
      </c>
      <c r="G157">
        <v>1</v>
      </c>
      <c r="H157">
        <v>30210.226702299999</v>
      </c>
      <c r="I157">
        <v>20975</v>
      </c>
      <c r="J157">
        <v>1.591262347417119</v>
      </c>
      <c r="K157">
        <v>20982</v>
      </c>
      <c r="L157">
        <v>0.861842206301493</v>
      </c>
      <c r="M157">
        <v>1</v>
      </c>
      <c r="N157">
        <v>3428.4265020490002</v>
      </c>
      <c r="O157">
        <v>718</v>
      </c>
      <c r="P157">
        <v>5.7573999346004004E-3</v>
      </c>
      <c r="Q157">
        <v>20</v>
      </c>
      <c r="R157">
        <v>6505</v>
      </c>
      <c r="S157">
        <v>1.2420648930923599</v>
      </c>
      <c r="T157">
        <v>1</v>
      </c>
      <c r="U157">
        <v>3610.9846561190002</v>
      </c>
      <c r="V157">
        <v>77250</v>
      </c>
      <c r="W157">
        <v>0.29634658533948799</v>
      </c>
    </row>
    <row r="158" spans="1:23" x14ac:dyDescent="0.2">
      <c r="A158">
        <v>20</v>
      </c>
      <c r="B158">
        <v>1</v>
      </c>
      <c r="C158">
        <v>0.1</v>
      </c>
      <c r="D158">
        <v>16</v>
      </c>
      <c r="E158">
        <v>100</v>
      </c>
      <c r="F158">
        <v>0.70294399966714405</v>
      </c>
      <c r="G158">
        <v>1</v>
      </c>
      <c r="H158">
        <v>30077.61284433</v>
      </c>
      <c r="I158">
        <v>9331</v>
      </c>
      <c r="J158">
        <v>1.5966402494313303E-2</v>
      </c>
      <c r="K158">
        <v>9337</v>
      </c>
      <c r="L158">
        <v>0.55633892873569402</v>
      </c>
      <c r="M158">
        <v>1</v>
      </c>
      <c r="N158">
        <v>3257.8308886270001</v>
      </c>
      <c r="O158">
        <v>274</v>
      </c>
      <c r="P158">
        <v>1.40512781859325E-3</v>
      </c>
      <c r="Q158">
        <v>20</v>
      </c>
      <c r="R158">
        <v>3746</v>
      </c>
      <c r="S158">
        <v>0.98225323667949405</v>
      </c>
      <c r="T158">
        <v>1</v>
      </c>
      <c r="U158">
        <v>3611.2050852329999</v>
      </c>
      <c r="V158">
        <v>60243</v>
      </c>
      <c r="W158">
        <v>9.5363665804504102E-2</v>
      </c>
    </row>
    <row r="159" spans="1:23" x14ac:dyDescent="0.2">
      <c r="A159">
        <v>20</v>
      </c>
      <c r="B159">
        <v>1</v>
      </c>
      <c r="C159">
        <v>0.1</v>
      </c>
      <c r="D159">
        <v>17</v>
      </c>
      <c r="E159">
        <v>100</v>
      </c>
      <c r="F159">
        <v>0.78723322006084895</v>
      </c>
      <c r="G159">
        <v>1</v>
      </c>
      <c r="H159">
        <v>30039.659148199</v>
      </c>
      <c r="I159">
        <v>10741</v>
      </c>
      <c r="J159">
        <v>0.1934539653426316</v>
      </c>
      <c r="K159">
        <v>10745</v>
      </c>
      <c r="L159">
        <v>0.93328279512373702</v>
      </c>
      <c r="M159">
        <v>1</v>
      </c>
      <c r="N159">
        <v>555.63285073099996</v>
      </c>
      <c r="O159">
        <v>409</v>
      </c>
      <c r="P159">
        <v>1.3424063197572101E-3</v>
      </c>
      <c r="Q159">
        <v>6</v>
      </c>
      <c r="R159">
        <v>410</v>
      </c>
      <c r="S159">
        <v>0.91251730676141396</v>
      </c>
      <c r="T159">
        <v>1</v>
      </c>
      <c r="U159">
        <v>3613.9354788209998</v>
      </c>
      <c r="V159">
        <v>38234</v>
      </c>
      <c r="W159">
        <v>5.4431891398758397E-2</v>
      </c>
    </row>
    <row r="160" spans="1:23" x14ac:dyDescent="0.2">
      <c r="A160">
        <v>20</v>
      </c>
      <c r="B160">
        <v>1</v>
      </c>
      <c r="C160">
        <v>0.1</v>
      </c>
      <c r="D160">
        <v>18</v>
      </c>
      <c r="E160">
        <v>100</v>
      </c>
      <c r="F160">
        <v>0.76638964338182203</v>
      </c>
      <c r="G160">
        <v>1</v>
      </c>
      <c r="H160">
        <v>30172.636835688001</v>
      </c>
      <c r="I160">
        <v>11846</v>
      </c>
      <c r="J160">
        <v>0.51480913495722369</v>
      </c>
      <c r="K160">
        <v>11853</v>
      </c>
      <c r="L160">
        <v>0.76638964338181603</v>
      </c>
      <c r="M160">
        <v>1</v>
      </c>
      <c r="N160">
        <v>124.91749612</v>
      </c>
      <c r="O160">
        <v>1</v>
      </c>
      <c r="P160">
        <v>8.7251579790389305E-3</v>
      </c>
      <c r="Q160">
        <v>1</v>
      </c>
      <c r="R160">
        <v>1</v>
      </c>
      <c r="S160">
        <v>0.77480240859036797</v>
      </c>
      <c r="T160">
        <v>1</v>
      </c>
      <c r="U160">
        <v>3610.441168158</v>
      </c>
      <c r="V160">
        <v>80351</v>
      </c>
      <c r="W160">
        <v>4.8255467094454003E-2</v>
      </c>
    </row>
    <row r="161" spans="1:23" x14ac:dyDescent="0.2">
      <c r="A161">
        <v>20</v>
      </c>
      <c r="B161">
        <v>1</v>
      </c>
      <c r="C161">
        <v>0.1</v>
      </c>
      <c r="D161">
        <v>19</v>
      </c>
      <c r="E161">
        <v>100</v>
      </c>
      <c r="F161">
        <v>0.50947865344397303</v>
      </c>
      <c r="G161">
        <v>1</v>
      </c>
      <c r="H161">
        <v>30186.228719163999</v>
      </c>
      <c r="I161">
        <v>12467</v>
      </c>
      <c r="J161">
        <v>0.30837860202022316</v>
      </c>
      <c r="K161">
        <v>12468</v>
      </c>
      <c r="L161">
        <v>0.93085838052533199</v>
      </c>
      <c r="M161">
        <v>1</v>
      </c>
      <c r="N161">
        <v>3466.9042357970002</v>
      </c>
      <c r="O161">
        <v>334</v>
      </c>
      <c r="P161">
        <v>5.2646426776201197E-3</v>
      </c>
      <c r="Q161">
        <v>20</v>
      </c>
      <c r="R161">
        <v>5278</v>
      </c>
      <c r="S161">
        <v>0.70252459104227405</v>
      </c>
      <c r="T161">
        <v>1</v>
      </c>
      <c r="U161">
        <v>3611.9865567229999</v>
      </c>
      <c r="V161">
        <v>37497</v>
      </c>
      <c r="W161">
        <v>0.111361819589667</v>
      </c>
    </row>
    <row r="162" spans="1:23" x14ac:dyDescent="0.2">
      <c r="A162">
        <v>20</v>
      </c>
      <c r="B162">
        <v>1</v>
      </c>
      <c r="C162">
        <v>0.1</v>
      </c>
      <c r="D162">
        <v>20</v>
      </c>
      <c r="E162">
        <v>100</v>
      </c>
      <c r="F162">
        <v>0.49948847914355199</v>
      </c>
      <c r="G162">
        <v>1</v>
      </c>
      <c r="H162">
        <v>30225.796550845</v>
      </c>
      <c r="I162">
        <v>13534</v>
      </c>
      <c r="J162">
        <v>0.57909532936692176</v>
      </c>
      <c r="K162">
        <v>13535</v>
      </c>
      <c r="L162">
        <v>0.49948847914322902</v>
      </c>
      <c r="M162">
        <v>1</v>
      </c>
      <c r="N162">
        <v>3644.492488243</v>
      </c>
      <c r="O162">
        <v>339</v>
      </c>
      <c r="P162">
        <v>6.8214720540866599E-3</v>
      </c>
      <c r="Q162">
        <v>20</v>
      </c>
      <c r="R162">
        <v>6556</v>
      </c>
      <c r="S162">
        <v>1.3622575290521</v>
      </c>
      <c r="T162">
        <v>1</v>
      </c>
      <c r="U162">
        <v>3610.79009219</v>
      </c>
      <c r="V162">
        <v>52102</v>
      </c>
      <c r="W162">
        <v>0.29429719311008201</v>
      </c>
    </row>
    <row r="163" spans="1:23" x14ac:dyDescent="0.2">
      <c r="A163">
        <v>20</v>
      </c>
      <c r="B163">
        <v>1</v>
      </c>
      <c r="C163">
        <v>0.2</v>
      </c>
      <c r="D163">
        <v>1</v>
      </c>
      <c r="E163">
        <v>20</v>
      </c>
      <c r="F163" s="5">
        <v>0.220718324812684</v>
      </c>
      <c r="G163">
        <v>1</v>
      </c>
      <c r="H163">
        <v>30152.260257852999</v>
      </c>
      <c r="I163">
        <v>8306</v>
      </c>
      <c r="J163">
        <v>0.21806882956891016</v>
      </c>
      <c r="K163">
        <v>8307</v>
      </c>
      <c r="L163">
        <v>0.22071832481235401</v>
      </c>
      <c r="M163">
        <v>1</v>
      </c>
      <c r="N163">
        <v>3565.2737962179999</v>
      </c>
      <c r="O163">
        <v>263</v>
      </c>
      <c r="P163">
        <v>6.7025997581723298E-2</v>
      </c>
      <c r="Q163">
        <v>20</v>
      </c>
      <c r="R163">
        <v>1942</v>
      </c>
      <c r="S163">
        <v>0.28821041970519201</v>
      </c>
      <c r="T163">
        <v>1</v>
      </c>
      <c r="U163">
        <v>3615.8178528670001</v>
      </c>
      <c r="V163">
        <v>77676</v>
      </c>
      <c r="W163">
        <v>1.1529679790090801</v>
      </c>
    </row>
    <row r="164" spans="1:23" x14ac:dyDescent="0.2">
      <c r="A164">
        <v>20</v>
      </c>
      <c r="B164">
        <v>1</v>
      </c>
      <c r="C164">
        <v>0.2</v>
      </c>
      <c r="D164">
        <v>2</v>
      </c>
      <c r="E164">
        <v>20</v>
      </c>
      <c r="F164">
        <v>0.24907747688689499</v>
      </c>
      <c r="G164">
        <v>1</v>
      </c>
      <c r="H164">
        <v>30109.859264801002</v>
      </c>
      <c r="I164">
        <v>6616</v>
      </c>
      <c r="J164">
        <v>9.0286643095355057E-2</v>
      </c>
      <c r="K164">
        <v>6617</v>
      </c>
      <c r="L164">
        <v>0.249077476886924</v>
      </c>
      <c r="M164">
        <v>1</v>
      </c>
      <c r="N164">
        <v>3411.2028959610002</v>
      </c>
      <c r="O164">
        <v>274</v>
      </c>
      <c r="P164">
        <v>1.46105620310384E-2</v>
      </c>
      <c r="Q164">
        <v>20</v>
      </c>
      <c r="R164">
        <v>1876</v>
      </c>
      <c r="S164">
        <v>0.28197317896833601</v>
      </c>
      <c r="T164">
        <v>1</v>
      </c>
      <c r="U164">
        <v>3612.3875269089999</v>
      </c>
      <c r="V164">
        <v>111094</v>
      </c>
      <c r="W164">
        <v>0.72382302318109004</v>
      </c>
    </row>
    <row r="165" spans="1:23" x14ac:dyDescent="0.2">
      <c r="A165">
        <v>20</v>
      </c>
      <c r="B165">
        <v>1</v>
      </c>
      <c r="C165">
        <v>0.2</v>
      </c>
      <c r="D165">
        <v>3</v>
      </c>
      <c r="E165">
        <v>20</v>
      </c>
      <c r="F165">
        <v>0.21537861880430501</v>
      </c>
      <c r="G165">
        <v>1</v>
      </c>
      <c r="H165">
        <v>30062.215839482</v>
      </c>
      <c r="I165">
        <v>6783</v>
      </c>
      <c r="J165">
        <v>0.12971764779042982</v>
      </c>
      <c r="K165">
        <v>6784</v>
      </c>
      <c r="L165">
        <v>0.21537861880429099</v>
      </c>
      <c r="M165">
        <v>1</v>
      </c>
      <c r="N165">
        <v>3421.2737913400001</v>
      </c>
      <c r="O165">
        <v>197</v>
      </c>
      <c r="P165">
        <v>4.7169595596898498E-2</v>
      </c>
      <c r="Q165">
        <v>20</v>
      </c>
      <c r="R165">
        <v>1475</v>
      </c>
      <c r="S165">
        <v>0.58580524567963899</v>
      </c>
      <c r="T165">
        <v>1</v>
      </c>
      <c r="U165">
        <v>3614.5765057909998</v>
      </c>
      <c r="V165">
        <v>51223</v>
      </c>
      <c r="W165">
        <v>2.3564471603293198</v>
      </c>
    </row>
    <row r="166" spans="1:23" x14ac:dyDescent="0.2">
      <c r="A166">
        <v>20</v>
      </c>
      <c r="B166">
        <v>1</v>
      </c>
      <c r="C166">
        <v>0.2</v>
      </c>
      <c r="D166">
        <v>4</v>
      </c>
      <c r="E166">
        <v>20</v>
      </c>
      <c r="F166">
        <v>0.229572166628318</v>
      </c>
      <c r="G166">
        <v>1</v>
      </c>
      <c r="H166">
        <v>30085.366079666001</v>
      </c>
      <c r="I166">
        <v>7808</v>
      </c>
      <c r="J166">
        <v>3.8729783001609785E-2</v>
      </c>
      <c r="K166">
        <v>7809</v>
      </c>
      <c r="L166">
        <v>0.22957216662834001</v>
      </c>
      <c r="M166">
        <v>1</v>
      </c>
      <c r="N166">
        <v>3589.0353608300002</v>
      </c>
      <c r="O166">
        <v>112</v>
      </c>
      <c r="P166">
        <v>8.6317851195679404E-2</v>
      </c>
      <c r="Q166">
        <v>20</v>
      </c>
      <c r="R166">
        <v>890</v>
      </c>
      <c r="S166">
        <v>0.81020673528112597</v>
      </c>
      <c r="T166">
        <v>1</v>
      </c>
      <c r="U166">
        <v>3616.133088433</v>
      </c>
      <c r="V166">
        <v>67438</v>
      </c>
      <c r="W166">
        <v>10.696885388813</v>
      </c>
    </row>
    <row r="167" spans="1:23" x14ac:dyDescent="0.2">
      <c r="A167" s="4">
        <v>20</v>
      </c>
      <c r="B167" s="4">
        <v>1</v>
      </c>
      <c r="C167" s="4">
        <v>0.2</v>
      </c>
      <c r="D167" s="4">
        <v>5</v>
      </c>
      <c r="E167" s="4">
        <v>20</v>
      </c>
      <c r="F167" s="4">
        <v>0.22964232000000001</v>
      </c>
      <c r="G167" s="4">
        <v>1</v>
      </c>
      <c r="H167" s="4">
        <v>30175.499400000001</v>
      </c>
      <c r="I167" s="4">
        <v>7776</v>
      </c>
      <c r="J167">
        <v>0.42550405340816022</v>
      </c>
      <c r="K167" s="4">
        <v>7777</v>
      </c>
      <c r="L167">
        <v>0.22964231955610101</v>
      </c>
      <c r="M167">
        <v>1</v>
      </c>
      <c r="N167">
        <v>3600.2277600570001</v>
      </c>
      <c r="O167">
        <v>217</v>
      </c>
      <c r="P167">
        <v>4.71840565211065E-2</v>
      </c>
      <c r="Q167">
        <v>20</v>
      </c>
      <c r="R167">
        <v>1413</v>
      </c>
      <c r="S167">
        <v>0.90632087264155103</v>
      </c>
      <c r="T167">
        <v>1</v>
      </c>
      <c r="U167">
        <v>3622.8362555069998</v>
      </c>
      <c r="V167">
        <v>42247</v>
      </c>
      <c r="W167">
        <v>8.0379499555809204</v>
      </c>
    </row>
    <row r="168" spans="1:23" x14ac:dyDescent="0.2">
      <c r="A168" s="4">
        <v>20</v>
      </c>
      <c r="B168" s="4">
        <v>1</v>
      </c>
      <c r="C168" s="4">
        <v>0.2</v>
      </c>
      <c r="D168" s="4">
        <v>6</v>
      </c>
      <c r="E168" s="4">
        <v>20</v>
      </c>
      <c r="F168" s="4">
        <v>0.11696643</v>
      </c>
      <c r="G168" s="4">
        <v>1</v>
      </c>
      <c r="H168" s="4">
        <v>30072.389800000001</v>
      </c>
      <c r="I168" s="4">
        <v>8256</v>
      </c>
      <c r="J168">
        <v>2.2833574566298864E-3</v>
      </c>
      <c r="K168" s="4">
        <v>8255</v>
      </c>
      <c r="L168">
        <v>0.11696643032145899</v>
      </c>
      <c r="M168">
        <v>1</v>
      </c>
      <c r="N168">
        <v>3474.9134215660001</v>
      </c>
      <c r="O168">
        <v>69</v>
      </c>
      <c r="P168">
        <v>6.1440927447329298E-2</v>
      </c>
      <c r="Q168">
        <v>20</v>
      </c>
      <c r="R168">
        <v>1227</v>
      </c>
      <c r="S168">
        <v>0.56827816809061504</v>
      </c>
      <c r="T168">
        <v>1</v>
      </c>
      <c r="U168">
        <v>3624.920783134</v>
      </c>
      <c r="V168">
        <v>48365</v>
      </c>
      <c r="W168">
        <v>6.7444513225747897</v>
      </c>
    </row>
    <row r="169" spans="1:23" x14ac:dyDescent="0.2">
      <c r="A169" s="4">
        <v>20</v>
      </c>
      <c r="B169" s="4">
        <v>1</v>
      </c>
      <c r="C169" s="4">
        <v>0.2</v>
      </c>
      <c r="D169" s="4">
        <v>7</v>
      </c>
      <c r="E169" s="4">
        <v>20</v>
      </c>
      <c r="F169" s="4">
        <v>0.19581354000000001</v>
      </c>
      <c r="G169" s="4">
        <v>1</v>
      </c>
      <c r="H169" s="4">
        <v>30083.594700000001</v>
      </c>
      <c r="I169" s="4">
        <v>5560</v>
      </c>
      <c r="J169">
        <v>0.26392362565268002</v>
      </c>
      <c r="K169" s="4">
        <v>5561</v>
      </c>
      <c r="L169">
        <v>0.19581353963341799</v>
      </c>
      <c r="M169">
        <v>1</v>
      </c>
      <c r="N169">
        <v>3625.8342752180001</v>
      </c>
      <c r="O169">
        <v>45</v>
      </c>
      <c r="P169">
        <v>9.5692448258082305E-2</v>
      </c>
      <c r="Q169">
        <v>20</v>
      </c>
      <c r="R169">
        <v>1079</v>
      </c>
      <c r="S169">
        <v>0.42877090245559901</v>
      </c>
      <c r="T169">
        <v>1</v>
      </c>
      <c r="U169">
        <v>3616.3340981209999</v>
      </c>
      <c r="V169">
        <v>61691</v>
      </c>
      <c r="W169">
        <v>1.88498442829244</v>
      </c>
    </row>
    <row r="170" spans="1:23" x14ac:dyDescent="0.2">
      <c r="A170" s="4">
        <v>20</v>
      </c>
      <c r="B170" s="4">
        <v>1</v>
      </c>
      <c r="C170" s="4">
        <v>0.2</v>
      </c>
      <c r="D170" s="4">
        <v>8</v>
      </c>
      <c r="E170" s="4">
        <v>20</v>
      </c>
      <c r="F170" s="4">
        <v>0.28830885000000001</v>
      </c>
      <c r="G170" s="4">
        <v>1</v>
      </c>
      <c r="H170" s="4">
        <v>30135.635200000001</v>
      </c>
      <c r="I170" s="4">
        <v>6436</v>
      </c>
      <c r="J170">
        <v>0.29481596951903999</v>
      </c>
      <c r="K170" s="4">
        <v>6437</v>
      </c>
      <c r="L170">
        <v>0.28830885432946202</v>
      </c>
      <c r="M170">
        <v>1</v>
      </c>
      <c r="N170">
        <v>3454.6077542550001</v>
      </c>
      <c r="O170">
        <v>86</v>
      </c>
      <c r="P170">
        <v>0.111042741616031</v>
      </c>
      <c r="Q170">
        <v>20</v>
      </c>
      <c r="R170">
        <v>1108</v>
      </c>
      <c r="S170">
        <v>0.58512381423548598</v>
      </c>
      <c r="T170">
        <v>1</v>
      </c>
      <c r="U170">
        <v>3614.551593397</v>
      </c>
      <c r="V170">
        <v>54144</v>
      </c>
      <c r="W170">
        <v>8.2476698812787799</v>
      </c>
    </row>
    <row r="171" spans="1:23" x14ac:dyDescent="0.2">
      <c r="A171" s="4">
        <v>20</v>
      </c>
      <c r="B171" s="4">
        <v>1</v>
      </c>
      <c r="C171" s="4">
        <v>0.2</v>
      </c>
      <c r="D171" s="4">
        <v>9</v>
      </c>
      <c r="E171" s="4">
        <v>20</v>
      </c>
      <c r="F171" s="14">
        <v>0.48202469999999997</v>
      </c>
      <c r="G171" s="4">
        <v>1</v>
      </c>
      <c r="H171" s="4">
        <v>30156.8141</v>
      </c>
      <c r="I171" s="4">
        <v>6616</v>
      </c>
      <c r="J171">
        <v>0.18359236137174006</v>
      </c>
      <c r="K171" s="4">
        <v>6617</v>
      </c>
      <c r="L171">
        <v>0.48202470485599902</v>
      </c>
      <c r="M171">
        <v>1</v>
      </c>
      <c r="N171">
        <v>3431.9730514120001</v>
      </c>
      <c r="O171">
        <v>102</v>
      </c>
      <c r="P171">
        <v>4.2269840544866197E-2</v>
      </c>
      <c r="Q171">
        <v>20</v>
      </c>
      <c r="R171">
        <v>2214</v>
      </c>
      <c r="S171">
        <v>0.73508338294985298</v>
      </c>
      <c r="T171">
        <v>1</v>
      </c>
      <c r="U171">
        <v>3612.812647964</v>
      </c>
      <c r="V171">
        <v>74441</v>
      </c>
      <c r="W171">
        <v>3.4484416836731699</v>
      </c>
    </row>
    <row r="172" spans="1:23" x14ac:dyDescent="0.2">
      <c r="A172" s="4">
        <v>20</v>
      </c>
      <c r="B172" s="4">
        <v>1</v>
      </c>
      <c r="C172" s="4">
        <v>0.2</v>
      </c>
      <c r="D172" s="4">
        <v>10</v>
      </c>
      <c r="E172" s="4">
        <v>20</v>
      </c>
      <c r="F172" s="4">
        <v>0.21795459</v>
      </c>
      <c r="G172" s="4">
        <v>1</v>
      </c>
      <c r="H172" s="4">
        <v>30168.012900000002</v>
      </c>
      <c r="I172" s="4">
        <v>9017</v>
      </c>
      <c r="J172">
        <v>2.5467895913422023E-2</v>
      </c>
      <c r="K172" s="4">
        <v>9018</v>
      </c>
      <c r="L172">
        <v>0.21795458805364801</v>
      </c>
      <c r="M172">
        <v>1</v>
      </c>
      <c r="N172">
        <v>3579.2821547160002</v>
      </c>
      <c r="O172">
        <v>186</v>
      </c>
      <c r="P172">
        <v>6.5177518496297396E-2</v>
      </c>
      <c r="Q172">
        <v>20</v>
      </c>
      <c r="R172">
        <v>2804</v>
      </c>
      <c r="S172">
        <v>1.2266451953764299</v>
      </c>
      <c r="T172">
        <v>1</v>
      </c>
      <c r="U172">
        <v>3619.5167454349998</v>
      </c>
      <c r="V172">
        <v>23766</v>
      </c>
      <c r="W172">
        <v>6.13094031542831</v>
      </c>
    </row>
    <row r="173" spans="1:23" x14ac:dyDescent="0.2">
      <c r="A173">
        <v>20</v>
      </c>
      <c r="B173">
        <v>1</v>
      </c>
      <c r="C173">
        <v>0.2</v>
      </c>
      <c r="D173">
        <v>11</v>
      </c>
      <c r="E173">
        <v>20</v>
      </c>
      <c r="F173">
        <v>0.25465838734052398</v>
      </c>
      <c r="G173">
        <v>1</v>
      </c>
      <c r="H173">
        <v>30063.836240498</v>
      </c>
      <c r="I173">
        <v>7390</v>
      </c>
      <c r="J173">
        <v>0.13456024636873701</v>
      </c>
      <c r="K173">
        <v>7076</v>
      </c>
      <c r="L173">
        <v>0.249972172919041</v>
      </c>
      <c r="M173">
        <v>1</v>
      </c>
      <c r="N173">
        <v>3350.6702156239999</v>
      </c>
      <c r="O173">
        <v>228</v>
      </c>
      <c r="P173">
        <v>2.7075957500401301E-2</v>
      </c>
      <c r="Q173">
        <v>20</v>
      </c>
      <c r="R173">
        <v>2022</v>
      </c>
      <c r="S173">
        <v>1.2482866566210999</v>
      </c>
      <c r="T173">
        <v>1</v>
      </c>
      <c r="U173">
        <v>3614.860763312</v>
      </c>
      <c r="V173">
        <v>23631</v>
      </c>
      <c r="W173">
        <v>6.1258572340902298</v>
      </c>
    </row>
    <row r="174" spans="1:23" x14ac:dyDescent="0.2">
      <c r="A174">
        <v>20</v>
      </c>
      <c r="B174">
        <v>1</v>
      </c>
      <c r="C174">
        <v>0.2</v>
      </c>
      <c r="D174">
        <v>12</v>
      </c>
      <c r="E174">
        <v>20</v>
      </c>
      <c r="F174">
        <v>0.23767718141573799</v>
      </c>
      <c r="G174">
        <v>1</v>
      </c>
      <c r="H174">
        <v>30078.260875029999</v>
      </c>
      <c r="I174">
        <v>9030</v>
      </c>
      <c r="J174">
        <v>0.17690384811759019</v>
      </c>
      <c r="K174">
        <v>9031</v>
      </c>
      <c r="L174">
        <v>0.237677181415693</v>
      </c>
      <c r="M174">
        <v>1</v>
      </c>
      <c r="N174">
        <v>3419.456423568</v>
      </c>
      <c r="O174">
        <v>56</v>
      </c>
      <c r="P174">
        <v>0.127742439145973</v>
      </c>
      <c r="Q174">
        <v>20</v>
      </c>
      <c r="R174">
        <v>2269</v>
      </c>
      <c r="S174">
        <v>1.23782145290364</v>
      </c>
      <c r="T174">
        <v>1</v>
      </c>
      <c r="U174">
        <v>3611.5563025370002</v>
      </c>
      <c r="V174">
        <v>71319</v>
      </c>
      <c r="W174">
        <v>5.8871082942865902</v>
      </c>
    </row>
    <row r="175" spans="1:23" x14ac:dyDescent="0.2">
      <c r="A175">
        <v>20</v>
      </c>
      <c r="B175">
        <v>1</v>
      </c>
      <c r="C175">
        <v>0.2</v>
      </c>
      <c r="D175">
        <v>13</v>
      </c>
      <c r="E175">
        <v>20</v>
      </c>
      <c r="F175">
        <v>0.14050825386569599</v>
      </c>
      <c r="G175" s="7">
        <v>1</v>
      </c>
      <c r="H175">
        <v>30152.219782988999</v>
      </c>
      <c r="I175">
        <v>6559</v>
      </c>
      <c r="J175">
        <v>0.59077828691147971</v>
      </c>
      <c r="K175">
        <v>6560</v>
      </c>
      <c r="L175">
        <v>0.14050825386565399</v>
      </c>
      <c r="M175">
        <v>1</v>
      </c>
      <c r="N175">
        <v>3577.0338822829999</v>
      </c>
      <c r="O175">
        <v>0</v>
      </c>
      <c r="P175">
        <v>3.7411998461465599</v>
      </c>
      <c r="Q175">
        <v>20</v>
      </c>
      <c r="R175">
        <v>28</v>
      </c>
      <c r="S175">
        <v>0.40821178757013299</v>
      </c>
      <c r="T175">
        <v>1</v>
      </c>
      <c r="U175">
        <v>3614.2784032949999</v>
      </c>
      <c r="V175">
        <v>42699</v>
      </c>
      <c r="W175">
        <v>7.4267668149533499</v>
      </c>
    </row>
    <row r="176" spans="1:23" x14ac:dyDescent="0.2">
      <c r="A176">
        <v>20</v>
      </c>
      <c r="B176">
        <v>1</v>
      </c>
      <c r="C176">
        <v>0.2</v>
      </c>
      <c r="D176">
        <v>14</v>
      </c>
      <c r="E176">
        <v>20</v>
      </c>
      <c r="F176">
        <v>0.46436106916061298</v>
      </c>
      <c r="G176" s="7">
        <v>1</v>
      </c>
      <c r="H176">
        <v>30051.440207172</v>
      </c>
      <c r="I176">
        <v>5214</v>
      </c>
      <c r="J176">
        <v>9.9651194715836056E-2</v>
      </c>
      <c r="K176">
        <v>5215</v>
      </c>
      <c r="L176">
        <v>0.46436106916061298</v>
      </c>
      <c r="M176">
        <v>1</v>
      </c>
      <c r="N176">
        <v>3569.0595993799998</v>
      </c>
      <c r="O176">
        <v>167</v>
      </c>
      <c r="P176">
        <v>4.29264050196052E-2</v>
      </c>
      <c r="Q176">
        <v>20</v>
      </c>
      <c r="R176">
        <v>1323</v>
      </c>
      <c r="S176">
        <v>0.862021170187668</v>
      </c>
      <c r="T176">
        <v>1</v>
      </c>
      <c r="U176">
        <v>3620.5637126769998</v>
      </c>
      <c r="V176">
        <v>62379</v>
      </c>
      <c r="W176">
        <v>1.8117536302447901</v>
      </c>
    </row>
    <row r="177" spans="1:23" x14ac:dyDescent="0.2">
      <c r="A177">
        <v>20</v>
      </c>
      <c r="B177">
        <v>1</v>
      </c>
      <c r="C177">
        <v>0.2</v>
      </c>
      <c r="D177">
        <v>15</v>
      </c>
      <c r="E177">
        <v>20</v>
      </c>
      <c r="F177">
        <v>0.38046998712775798</v>
      </c>
      <c r="G177">
        <v>1</v>
      </c>
      <c r="H177">
        <v>30066.925664102</v>
      </c>
      <c r="I177">
        <v>8571</v>
      </c>
      <c r="J177">
        <v>9.5070366964199682E-2</v>
      </c>
      <c r="K177">
        <v>8572</v>
      </c>
      <c r="L177">
        <v>0.38046998712771901</v>
      </c>
      <c r="M177">
        <v>1</v>
      </c>
      <c r="N177">
        <v>3567.96895103</v>
      </c>
      <c r="O177">
        <v>151</v>
      </c>
      <c r="P177">
        <v>4.2021103987280997E-2</v>
      </c>
      <c r="Q177">
        <v>20</v>
      </c>
      <c r="R177">
        <v>1722</v>
      </c>
      <c r="S177">
        <v>0.55929076282581403</v>
      </c>
      <c r="T177">
        <v>1</v>
      </c>
      <c r="U177">
        <v>3620.7622851229999</v>
      </c>
      <c r="V177">
        <v>45726</v>
      </c>
      <c r="W177">
        <v>2.7163488190044802</v>
      </c>
    </row>
    <row r="178" spans="1:23" x14ac:dyDescent="0.2">
      <c r="A178">
        <v>20</v>
      </c>
      <c r="B178">
        <v>1</v>
      </c>
      <c r="C178">
        <v>0.2</v>
      </c>
      <c r="D178">
        <v>16</v>
      </c>
      <c r="E178">
        <v>20</v>
      </c>
      <c r="F178">
        <v>0.21998257213110201</v>
      </c>
      <c r="G178">
        <v>1</v>
      </c>
      <c r="H178">
        <v>30071.650913803001</v>
      </c>
      <c r="I178">
        <v>6244</v>
      </c>
      <c r="J178">
        <v>5.0483721873148979E-2</v>
      </c>
      <c r="K178">
        <v>6245</v>
      </c>
      <c r="L178">
        <v>0.21998257213110201</v>
      </c>
      <c r="M178">
        <v>1</v>
      </c>
      <c r="N178">
        <v>3630.722158265</v>
      </c>
      <c r="O178">
        <v>86</v>
      </c>
      <c r="P178">
        <v>7.8285056320523697E-2</v>
      </c>
      <c r="Q178">
        <v>20</v>
      </c>
      <c r="R178">
        <v>2661</v>
      </c>
      <c r="S178">
        <v>0.36815963867856999</v>
      </c>
      <c r="T178">
        <v>1</v>
      </c>
      <c r="U178">
        <v>3611.739630691</v>
      </c>
      <c r="V178">
        <v>106822</v>
      </c>
      <c r="W178">
        <v>1.2580116525606799</v>
      </c>
    </row>
    <row r="179" spans="1:23" x14ac:dyDescent="0.2">
      <c r="A179">
        <v>20</v>
      </c>
      <c r="B179">
        <v>1</v>
      </c>
      <c r="C179">
        <v>0.2</v>
      </c>
      <c r="D179">
        <v>17</v>
      </c>
      <c r="E179">
        <v>20</v>
      </c>
      <c r="F179">
        <v>0.109470824594271</v>
      </c>
      <c r="G179">
        <v>1</v>
      </c>
      <c r="H179">
        <v>30144.582547124999</v>
      </c>
      <c r="I179">
        <v>6067</v>
      </c>
      <c r="J179">
        <v>4.3730200867739821E-3</v>
      </c>
      <c r="K179">
        <v>6072</v>
      </c>
      <c r="L179">
        <v>0.10947082459429899</v>
      </c>
      <c r="M179">
        <v>1</v>
      </c>
      <c r="N179">
        <v>3573.1560927370001</v>
      </c>
      <c r="O179">
        <v>199</v>
      </c>
      <c r="P179">
        <v>2.0352584981083E-2</v>
      </c>
      <c r="Q179">
        <v>20</v>
      </c>
      <c r="R179">
        <v>1690</v>
      </c>
      <c r="S179">
        <v>0.23551172133603099</v>
      </c>
      <c r="T179">
        <v>1</v>
      </c>
      <c r="U179">
        <v>3610.4202112309999</v>
      </c>
      <c r="V179">
        <v>88346</v>
      </c>
      <c r="W179">
        <v>1.1678986679719301</v>
      </c>
    </row>
    <row r="180" spans="1:23" x14ac:dyDescent="0.2">
      <c r="A180">
        <v>20</v>
      </c>
      <c r="B180">
        <v>1</v>
      </c>
      <c r="C180">
        <v>0.2</v>
      </c>
      <c r="D180">
        <v>18</v>
      </c>
      <c r="E180">
        <v>20</v>
      </c>
      <c r="F180">
        <v>0.19970882790286801</v>
      </c>
      <c r="G180">
        <v>1</v>
      </c>
      <c r="H180">
        <v>30055.309152087</v>
      </c>
      <c r="I180">
        <v>7092</v>
      </c>
      <c r="J180">
        <v>0.16246526481983992</v>
      </c>
      <c r="K180">
        <v>7092</v>
      </c>
      <c r="L180">
        <v>0.19970882790286201</v>
      </c>
      <c r="M180">
        <v>1</v>
      </c>
      <c r="N180">
        <v>3399.9788626200002</v>
      </c>
      <c r="O180">
        <v>191</v>
      </c>
      <c r="P180">
        <v>2.35324704733945E-2</v>
      </c>
      <c r="Q180">
        <v>20</v>
      </c>
      <c r="R180">
        <v>4591</v>
      </c>
      <c r="S180">
        <v>0.43616932203200498</v>
      </c>
      <c r="T180">
        <v>1</v>
      </c>
      <c r="U180">
        <v>3614.7080240720002</v>
      </c>
      <c r="V180">
        <v>77423</v>
      </c>
      <c r="W180">
        <v>2.8768422646682499</v>
      </c>
    </row>
    <row r="181" spans="1:23" x14ac:dyDescent="0.2">
      <c r="A181">
        <v>20</v>
      </c>
      <c r="B181">
        <v>1</v>
      </c>
      <c r="C181">
        <v>0.2</v>
      </c>
      <c r="D181">
        <v>19</v>
      </c>
      <c r="E181">
        <v>20</v>
      </c>
      <c r="F181">
        <v>0.32562545741941301</v>
      </c>
      <c r="G181">
        <v>1</v>
      </c>
      <c r="H181">
        <v>30053.937653780002</v>
      </c>
      <c r="I181">
        <v>5665</v>
      </c>
      <c r="J181">
        <v>0.40696251641023995</v>
      </c>
      <c r="K181">
        <v>5666</v>
      </c>
      <c r="L181">
        <v>0.32562545741941901</v>
      </c>
      <c r="M181">
        <v>1</v>
      </c>
      <c r="N181">
        <v>3443.2740535399998</v>
      </c>
      <c r="O181">
        <v>8</v>
      </c>
      <c r="P181">
        <v>0.12132820503934</v>
      </c>
      <c r="Q181">
        <v>20</v>
      </c>
      <c r="R181">
        <v>961</v>
      </c>
      <c r="S181">
        <v>0.39940494326514597</v>
      </c>
      <c r="T181">
        <v>1</v>
      </c>
      <c r="U181">
        <v>3610.2888509069999</v>
      </c>
      <c r="V181">
        <v>88383</v>
      </c>
      <c r="W181">
        <v>1.8154376625344899</v>
      </c>
    </row>
    <row r="182" spans="1:23" x14ac:dyDescent="0.2">
      <c r="A182">
        <v>20</v>
      </c>
      <c r="B182">
        <v>1</v>
      </c>
      <c r="C182">
        <v>0.2</v>
      </c>
      <c r="D182">
        <v>20</v>
      </c>
      <c r="E182">
        <v>20</v>
      </c>
      <c r="F182">
        <v>0.25154844335287302</v>
      </c>
      <c r="G182">
        <v>1</v>
      </c>
      <c r="H182">
        <v>30109.531340477999</v>
      </c>
      <c r="I182">
        <v>5453</v>
      </c>
      <c r="J182">
        <v>0.23928449550139019</v>
      </c>
      <c r="K182">
        <v>5454</v>
      </c>
      <c r="L182">
        <v>0.25154844335183502</v>
      </c>
      <c r="M182">
        <v>1</v>
      </c>
      <c r="N182">
        <v>3565.932276771</v>
      </c>
      <c r="O182">
        <v>224</v>
      </c>
      <c r="P182">
        <v>8.2798848987281903E-2</v>
      </c>
      <c r="Q182">
        <v>20</v>
      </c>
      <c r="R182">
        <v>1625</v>
      </c>
      <c r="S182">
        <v>0.351492975660186</v>
      </c>
      <c r="T182">
        <v>1</v>
      </c>
      <c r="U182">
        <v>3610.7549399760001</v>
      </c>
      <c r="V182">
        <v>87389</v>
      </c>
      <c r="W182">
        <v>1.36278892919157</v>
      </c>
    </row>
    <row r="183" spans="1:23" x14ac:dyDescent="0.2">
      <c r="A183">
        <v>20</v>
      </c>
      <c r="B183">
        <v>1</v>
      </c>
      <c r="C183">
        <v>0.2</v>
      </c>
      <c r="D183">
        <v>1</v>
      </c>
      <c r="E183">
        <v>100</v>
      </c>
      <c r="F183">
        <v>0.128840215883158</v>
      </c>
      <c r="G183">
        <v>1</v>
      </c>
      <c r="H183">
        <v>30083.145678984001</v>
      </c>
      <c r="I183">
        <v>7633</v>
      </c>
      <c r="J183">
        <v>4.7379272150492979E-2</v>
      </c>
      <c r="K183">
        <v>7637</v>
      </c>
      <c r="L183">
        <v>0.12884021588315001</v>
      </c>
      <c r="M183">
        <v>1</v>
      </c>
      <c r="N183">
        <v>3591.0336934000002</v>
      </c>
      <c r="O183">
        <v>196</v>
      </c>
      <c r="P183">
        <v>1.9350843194079901E-2</v>
      </c>
      <c r="Q183">
        <v>20</v>
      </c>
      <c r="R183">
        <v>1252</v>
      </c>
      <c r="S183">
        <v>0.20310760069725001</v>
      </c>
      <c r="T183">
        <v>1</v>
      </c>
      <c r="U183">
        <v>3614.8318606759999</v>
      </c>
      <c r="V183">
        <v>33436</v>
      </c>
      <c r="W183">
        <v>0.30490807919620899</v>
      </c>
    </row>
    <row r="184" spans="1:23" x14ac:dyDescent="0.2">
      <c r="A184">
        <v>20</v>
      </c>
      <c r="B184">
        <v>1</v>
      </c>
      <c r="C184">
        <v>0.2</v>
      </c>
      <c r="D184">
        <v>2</v>
      </c>
      <c r="E184">
        <v>100</v>
      </c>
      <c r="F184">
        <v>0.13067786505229401</v>
      </c>
      <c r="G184">
        <v>1</v>
      </c>
      <c r="H184">
        <v>30077.413686794</v>
      </c>
      <c r="I184">
        <v>5449</v>
      </c>
      <c r="J184">
        <v>5.6190821008957018E-2</v>
      </c>
      <c r="K184">
        <v>5454</v>
      </c>
      <c r="L184">
        <v>0.13067786505226101</v>
      </c>
      <c r="M184">
        <v>1</v>
      </c>
      <c r="N184">
        <v>3514.9545225400002</v>
      </c>
      <c r="O184">
        <v>1</v>
      </c>
      <c r="P184">
        <v>9.0457727492321196E-3</v>
      </c>
      <c r="Q184">
        <v>20</v>
      </c>
      <c r="R184">
        <v>1003</v>
      </c>
      <c r="S184">
        <v>0.40216045175502302</v>
      </c>
      <c r="T184">
        <v>1</v>
      </c>
      <c r="U184">
        <v>3612.7084214420001</v>
      </c>
      <c r="V184">
        <v>47191</v>
      </c>
      <c r="W184">
        <v>0.91196435427652001</v>
      </c>
    </row>
    <row r="185" spans="1:23" x14ac:dyDescent="0.2">
      <c r="A185" s="4">
        <v>20</v>
      </c>
      <c r="B185" s="4">
        <v>1</v>
      </c>
      <c r="C185" s="4">
        <v>0.2</v>
      </c>
      <c r="D185" s="4">
        <v>3</v>
      </c>
      <c r="E185" s="4">
        <v>100</v>
      </c>
      <c r="F185" s="4">
        <v>0.11299468999999999</v>
      </c>
      <c r="G185" s="4">
        <v>1</v>
      </c>
      <c r="H185" s="4">
        <v>30049.690699999999</v>
      </c>
      <c r="I185" s="4">
        <v>7562</v>
      </c>
      <c r="J185">
        <v>3.6497406248530984E-2</v>
      </c>
      <c r="K185" s="4">
        <v>7563</v>
      </c>
      <c r="L185">
        <v>0.112994689479316</v>
      </c>
      <c r="M185">
        <v>1</v>
      </c>
      <c r="N185">
        <v>3603.8479054509999</v>
      </c>
      <c r="O185">
        <v>111</v>
      </c>
      <c r="P185">
        <v>7.13664005290837E-3</v>
      </c>
      <c r="Q185">
        <v>20</v>
      </c>
      <c r="R185">
        <v>979</v>
      </c>
      <c r="S185">
        <v>0.33478159782855699</v>
      </c>
      <c r="T185">
        <v>1</v>
      </c>
      <c r="U185">
        <v>3617.9782647940001</v>
      </c>
      <c r="V185">
        <v>32714</v>
      </c>
      <c r="W185">
        <v>0.73593936303650398</v>
      </c>
    </row>
    <row r="186" spans="1:23" x14ac:dyDescent="0.2">
      <c r="A186" s="4">
        <v>20</v>
      </c>
      <c r="B186" s="4">
        <v>1</v>
      </c>
      <c r="C186" s="4">
        <v>0.2</v>
      </c>
      <c r="D186" s="4">
        <v>4</v>
      </c>
      <c r="E186" s="4">
        <v>100</v>
      </c>
      <c r="F186" s="4">
        <v>0.11197346</v>
      </c>
      <c r="G186" s="4">
        <v>1</v>
      </c>
      <c r="H186" s="4">
        <v>30093.3187</v>
      </c>
      <c r="I186" s="4">
        <v>6220</v>
      </c>
      <c r="J186">
        <v>2.2161910565138054E-2</v>
      </c>
      <c r="K186" s="4">
        <v>6225</v>
      </c>
      <c r="L186">
        <v>0.111973458661044</v>
      </c>
      <c r="M186">
        <v>1</v>
      </c>
      <c r="N186">
        <v>3652.3100535409999</v>
      </c>
      <c r="O186">
        <v>0</v>
      </c>
      <c r="P186">
        <v>0.62064885081235799</v>
      </c>
      <c r="Q186">
        <v>20</v>
      </c>
      <c r="R186">
        <v>764</v>
      </c>
      <c r="S186">
        <v>0.55678290010389697</v>
      </c>
      <c r="T186">
        <v>1</v>
      </c>
      <c r="U186">
        <v>3613.9293772279998</v>
      </c>
      <c r="V186">
        <v>20660</v>
      </c>
      <c r="W186">
        <v>4.6256250060926396</v>
      </c>
    </row>
    <row r="187" spans="1:23" x14ac:dyDescent="0.2">
      <c r="A187" s="4">
        <v>20</v>
      </c>
      <c r="B187" s="4">
        <v>1</v>
      </c>
      <c r="C187" s="4">
        <v>0.2</v>
      </c>
      <c r="D187" s="4">
        <v>5</v>
      </c>
      <c r="E187" s="4">
        <v>100</v>
      </c>
      <c r="F187" s="6">
        <v>0.11049531</v>
      </c>
      <c r="G187" s="4">
        <v>1</v>
      </c>
      <c r="H187" s="4">
        <v>30112.845799999999</v>
      </c>
      <c r="I187" s="4">
        <v>5339</v>
      </c>
      <c r="J187">
        <v>9.2091069326604991E-2</v>
      </c>
      <c r="K187" s="4">
        <v>5340</v>
      </c>
      <c r="L187">
        <v>0.11049531183415701</v>
      </c>
      <c r="M187">
        <v>1</v>
      </c>
      <c r="N187">
        <v>3652.214383044</v>
      </c>
      <c r="O187">
        <v>46</v>
      </c>
      <c r="P187">
        <v>1.6770041591729699E-2</v>
      </c>
      <c r="Q187">
        <v>20</v>
      </c>
      <c r="R187">
        <v>809</v>
      </c>
      <c r="S187">
        <v>0.12797701136287201</v>
      </c>
      <c r="T187">
        <v>1</v>
      </c>
      <c r="U187">
        <v>3613.3850243239999</v>
      </c>
      <c r="V187">
        <v>30617</v>
      </c>
      <c r="W187">
        <v>0.29260708875032998</v>
      </c>
    </row>
    <row r="188" spans="1:23" x14ac:dyDescent="0.2">
      <c r="A188" s="4">
        <v>20</v>
      </c>
      <c r="B188" s="4">
        <v>1</v>
      </c>
      <c r="C188" s="4">
        <v>0.2</v>
      </c>
      <c r="D188" s="4">
        <v>6</v>
      </c>
      <c r="E188" s="4">
        <v>100</v>
      </c>
      <c r="F188" s="6">
        <v>4.0227810000000003E-2</v>
      </c>
      <c r="G188" s="4">
        <v>1</v>
      </c>
      <c r="H188" s="4">
        <v>30166.413700000001</v>
      </c>
      <c r="I188" s="4">
        <v>7149</v>
      </c>
      <c r="J188">
        <v>4.1036288930270115E-3</v>
      </c>
      <c r="K188" s="4">
        <v>7155</v>
      </c>
      <c r="L188">
        <v>4.0227807964409799E-2</v>
      </c>
      <c r="M188">
        <v>1</v>
      </c>
      <c r="N188">
        <v>3631.3185817899998</v>
      </c>
      <c r="O188">
        <v>55</v>
      </c>
      <c r="P188">
        <v>1.59846367205503E-2</v>
      </c>
      <c r="Q188">
        <v>20</v>
      </c>
      <c r="R188">
        <v>1021</v>
      </c>
      <c r="S188">
        <v>0.59008230029264497</v>
      </c>
      <c r="T188">
        <v>1</v>
      </c>
      <c r="U188">
        <v>3618.3371936469998</v>
      </c>
      <c r="V188">
        <v>47177</v>
      </c>
      <c r="W188">
        <v>2.05703356459383</v>
      </c>
    </row>
    <row r="189" spans="1:23" x14ac:dyDescent="0.2">
      <c r="A189" s="4">
        <v>20</v>
      </c>
      <c r="B189" s="4">
        <v>1</v>
      </c>
      <c r="C189" s="4">
        <v>0.2</v>
      </c>
      <c r="D189" s="4">
        <v>7</v>
      </c>
      <c r="E189" s="4">
        <v>100</v>
      </c>
      <c r="F189" s="6">
        <v>0.1062099</v>
      </c>
      <c r="G189" s="4">
        <v>1</v>
      </c>
      <c r="H189" s="4">
        <v>30093.655500000001</v>
      </c>
      <c r="I189" s="4">
        <v>4655</v>
      </c>
      <c r="J189">
        <v>5.5879101292848954E-2</v>
      </c>
      <c r="K189" s="4">
        <v>4656</v>
      </c>
      <c r="L189">
        <v>0.10620989799906699</v>
      </c>
      <c r="M189">
        <v>1</v>
      </c>
      <c r="N189">
        <v>3596.703898276</v>
      </c>
      <c r="O189">
        <v>86</v>
      </c>
      <c r="P189">
        <v>3.3679143950102901E-2</v>
      </c>
      <c r="Q189">
        <v>20</v>
      </c>
      <c r="R189">
        <v>731</v>
      </c>
      <c r="S189">
        <v>1.69932719038833</v>
      </c>
      <c r="T189">
        <v>1</v>
      </c>
      <c r="U189">
        <v>3613.3896504630002</v>
      </c>
      <c r="V189">
        <v>57624</v>
      </c>
      <c r="W189">
        <v>2.9437915128994399</v>
      </c>
    </row>
    <row r="190" spans="1:23" x14ac:dyDescent="0.2">
      <c r="A190" s="4">
        <v>20</v>
      </c>
      <c r="B190" s="4">
        <v>1</v>
      </c>
      <c r="C190" s="4">
        <v>0.2</v>
      </c>
      <c r="D190" s="4">
        <v>8</v>
      </c>
      <c r="E190" s="4">
        <v>100</v>
      </c>
      <c r="F190" s="6">
        <v>0.21344434000000001</v>
      </c>
      <c r="G190" s="4">
        <v>1</v>
      </c>
      <c r="H190" s="4">
        <v>30141.893599999999</v>
      </c>
      <c r="I190" s="4">
        <v>5620</v>
      </c>
      <c r="J190">
        <v>5.5834618202348918E-2</v>
      </c>
      <c r="K190" s="4">
        <v>5625</v>
      </c>
      <c r="L190">
        <v>0.213444340326987</v>
      </c>
      <c r="M190">
        <v>1</v>
      </c>
      <c r="N190">
        <v>3611.9301323889999</v>
      </c>
      <c r="O190">
        <v>190</v>
      </c>
      <c r="P190">
        <v>4.36455126002279E-2</v>
      </c>
      <c r="Q190">
        <v>20</v>
      </c>
      <c r="R190">
        <v>943</v>
      </c>
      <c r="S190">
        <v>0.25062962567387498</v>
      </c>
      <c r="T190">
        <v>1</v>
      </c>
      <c r="U190">
        <v>3611.8884504900002</v>
      </c>
      <c r="V190">
        <v>42000</v>
      </c>
      <c r="W190">
        <v>0.527497818011191</v>
      </c>
    </row>
    <row r="191" spans="1:23" x14ac:dyDescent="0.2">
      <c r="A191">
        <v>20</v>
      </c>
      <c r="B191">
        <v>1</v>
      </c>
      <c r="C191">
        <v>0.2</v>
      </c>
      <c r="D191">
        <v>9</v>
      </c>
      <c r="E191">
        <v>100</v>
      </c>
      <c r="F191" s="5">
        <v>0.67216904202611405</v>
      </c>
      <c r="G191">
        <v>1</v>
      </c>
      <c r="H191">
        <v>30139.436975442</v>
      </c>
      <c r="I191">
        <v>6064</v>
      </c>
      <c r="J191">
        <v>0.14695587609470701</v>
      </c>
      <c r="K191">
        <v>5995</v>
      </c>
      <c r="L191">
        <v>0.446666293841182</v>
      </c>
      <c r="M191">
        <v>1</v>
      </c>
      <c r="N191">
        <v>451.73752421500001</v>
      </c>
      <c r="O191">
        <v>37</v>
      </c>
      <c r="P191">
        <v>8.4664705639454999E-3</v>
      </c>
      <c r="Q191">
        <v>4</v>
      </c>
      <c r="R191">
        <v>37</v>
      </c>
      <c r="S191">
        <v>0.60778869879251896</v>
      </c>
      <c r="T191">
        <v>1</v>
      </c>
      <c r="U191">
        <v>3615.448564665</v>
      </c>
      <c r="V191">
        <v>51214</v>
      </c>
      <c r="W191">
        <v>0.58122608918683405</v>
      </c>
    </row>
    <row r="192" spans="1:23" x14ac:dyDescent="0.2">
      <c r="A192" s="4">
        <v>20</v>
      </c>
      <c r="B192" s="4">
        <v>1</v>
      </c>
      <c r="C192" s="4">
        <v>0.2</v>
      </c>
      <c r="D192" s="4">
        <v>10</v>
      </c>
      <c r="E192" s="4">
        <v>100</v>
      </c>
      <c r="F192" s="6">
        <v>0.17168004000000001</v>
      </c>
      <c r="G192" s="4">
        <v>1</v>
      </c>
      <c r="H192" s="4">
        <v>30121.358499999998</v>
      </c>
      <c r="I192" s="4">
        <v>4333</v>
      </c>
      <c r="J192">
        <v>1.2369551239599985E-2</v>
      </c>
      <c r="K192" s="4">
        <v>4334</v>
      </c>
      <c r="L192">
        <v>0.171680041994796</v>
      </c>
      <c r="M192">
        <v>1</v>
      </c>
      <c r="N192">
        <v>3665.0451625280002</v>
      </c>
      <c r="O192">
        <v>127</v>
      </c>
      <c r="P192">
        <v>1.6258374739602701E-2</v>
      </c>
      <c r="Q192">
        <v>20</v>
      </c>
      <c r="R192">
        <v>2392</v>
      </c>
      <c r="S192">
        <v>0.291607694284724</v>
      </c>
      <c r="T192">
        <v>1</v>
      </c>
      <c r="U192">
        <v>3613.2214687159999</v>
      </c>
      <c r="V192">
        <v>18264</v>
      </c>
      <c r="W192">
        <v>0.36769580269100599</v>
      </c>
    </row>
    <row r="193" spans="1:30" x14ac:dyDescent="0.2">
      <c r="A193">
        <v>20</v>
      </c>
      <c r="B193">
        <v>1</v>
      </c>
      <c r="C193">
        <v>0.2</v>
      </c>
      <c r="D193">
        <v>11</v>
      </c>
      <c r="E193">
        <v>100</v>
      </c>
      <c r="F193" s="5">
        <v>0.14588421362617901</v>
      </c>
      <c r="G193">
        <v>1</v>
      </c>
      <c r="H193">
        <v>30111.441953449001</v>
      </c>
      <c r="I193">
        <v>8826</v>
      </c>
      <c r="J193">
        <v>2.748407976769901E-2</v>
      </c>
      <c r="K193">
        <v>8830</v>
      </c>
      <c r="L193">
        <v>0.145884213625258</v>
      </c>
      <c r="M193">
        <v>1</v>
      </c>
      <c r="N193">
        <v>3633.530198899</v>
      </c>
      <c r="O193">
        <v>90</v>
      </c>
      <c r="P193">
        <v>9.4869686357412705E-3</v>
      </c>
      <c r="Q193">
        <v>20</v>
      </c>
      <c r="R193">
        <v>2097</v>
      </c>
      <c r="S193">
        <v>0.63513720025237796</v>
      </c>
      <c r="T193">
        <v>1</v>
      </c>
      <c r="U193">
        <v>3615.1805738500002</v>
      </c>
      <c r="V193">
        <v>26980</v>
      </c>
      <c r="W193">
        <v>5.3148544057615004</v>
      </c>
    </row>
    <row r="194" spans="1:30" x14ac:dyDescent="0.2">
      <c r="A194">
        <v>20</v>
      </c>
      <c r="B194">
        <v>1</v>
      </c>
      <c r="C194">
        <v>0.2</v>
      </c>
      <c r="D194">
        <v>12</v>
      </c>
      <c r="E194">
        <v>100</v>
      </c>
      <c r="F194" s="5">
        <v>0.12327807477754001</v>
      </c>
      <c r="G194">
        <v>1</v>
      </c>
      <c r="H194">
        <v>30171.659398415999</v>
      </c>
      <c r="I194">
        <v>8959</v>
      </c>
      <c r="J194">
        <v>9.3947883233203022E-2</v>
      </c>
      <c r="K194">
        <v>8965</v>
      </c>
      <c r="L194">
        <v>0.12327807477745201</v>
      </c>
      <c r="M194">
        <v>1</v>
      </c>
      <c r="N194">
        <v>3342.7413598160001</v>
      </c>
      <c r="O194">
        <v>159</v>
      </c>
      <c r="P194">
        <v>6.9124837677891196E-2</v>
      </c>
      <c r="Q194">
        <v>20</v>
      </c>
      <c r="R194">
        <v>1565</v>
      </c>
      <c r="S194">
        <v>0.226528981234076</v>
      </c>
      <c r="T194">
        <v>1</v>
      </c>
      <c r="U194">
        <v>3617.973741798</v>
      </c>
      <c r="V194">
        <v>45888</v>
      </c>
      <c r="W194">
        <v>0.64790127377197804</v>
      </c>
    </row>
    <row r="195" spans="1:30" x14ac:dyDescent="0.2">
      <c r="A195">
        <v>20</v>
      </c>
      <c r="B195">
        <v>1</v>
      </c>
      <c r="C195">
        <v>0.2</v>
      </c>
      <c r="D195">
        <v>13</v>
      </c>
      <c r="E195">
        <v>100</v>
      </c>
      <c r="F195" s="5">
        <v>5.0429591715117697E-2</v>
      </c>
      <c r="G195">
        <v>1</v>
      </c>
      <c r="H195">
        <v>30072.103474099</v>
      </c>
      <c r="I195">
        <v>7703</v>
      </c>
      <c r="J195">
        <v>0.114150950921452</v>
      </c>
      <c r="K195">
        <v>7707</v>
      </c>
      <c r="L195">
        <v>5.0429591716528797E-2</v>
      </c>
      <c r="M195">
        <v>1</v>
      </c>
      <c r="N195">
        <v>3626.0213608839999</v>
      </c>
      <c r="O195">
        <v>0</v>
      </c>
      <c r="P195">
        <v>0.796580432234826</v>
      </c>
      <c r="Q195">
        <v>20</v>
      </c>
      <c r="R195">
        <v>2</v>
      </c>
      <c r="S195">
        <v>0.23781432669986399</v>
      </c>
      <c r="T195">
        <v>1</v>
      </c>
      <c r="U195">
        <v>3624.3840826649998</v>
      </c>
      <c r="V195">
        <v>30675</v>
      </c>
      <c r="W195">
        <v>1.48168099681612</v>
      </c>
    </row>
    <row r="196" spans="1:30" x14ac:dyDescent="0.2">
      <c r="A196">
        <v>20</v>
      </c>
      <c r="B196">
        <v>1</v>
      </c>
      <c r="C196">
        <v>0.2</v>
      </c>
      <c r="D196">
        <v>14</v>
      </c>
      <c r="E196">
        <v>100</v>
      </c>
      <c r="F196" s="5">
        <v>0.43866734005618102</v>
      </c>
      <c r="G196">
        <v>1</v>
      </c>
      <c r="H196">
        <v>30135.795694072</v>
      </c>
      <c r="I196">
        <v>5914</v>
      </c>
      <c r="J196">
        <v>3.0536809907607015E-2</v>
      </c>
      <c r="K196">
        <v>5920</v>
      </c>
      <c r="L196">
        <v>0.43866734005618102</v>
      </c>
      <c r="M196">
        <v>1</v>
      </c>
      <c r="N196">
        <v>3639.726658388</v>
      </c>
      <c r="O196">
        <v>37</v>
      </c>
      <c r="P196">
        <v>1.0154413779838001E-2</v>
      </c>
      <c r="Q196">
        <v>20</v>
      </c>
      <c r="R196">
        <v>938</v>
      </c>
      <c r="S196">
        <v>0.49091167545457398</v>
      </c>
      <c r="T196">
        <v>1</v>
      </c>
      <c r="U196">
        <v>3620.0448373559998</v>
      </c>
      <c r="V196">
        <v>24084</v>
      </c>
      <c r="W196">
        <v>0.67788445323765201</v>
      </c>
    </row>
    <row r="197" spans="1:30" x14ac:dyDescent="0.2">
      <c r="A197">
        <v>20</v>
      </c>
      <c r="B197">
        <v>1</v>
      </c>
      <c r="C197">
        <v>0.2</v>
      </c>
      <c r="D197">
        <v>15</v>
      </c>
      <c r="E197">
        <v>100</v>
      </c>
      <c r="F197" s="5">
        <v>0.26003171130347003</v>
      </c>
      <c r="G197">
        <v>1</v>
      </c>
      <c r="H197">
        <v>30120.803567947001</v>
      </c>
      <c r="I197">
        <v>7315</v>
      </c>
      <c r="J197">
        <v>6.4620331122177965E-2</v>
      </c>
      <c r="K197">
        <v>7320</v>
      </c>
      <c r="L197">
        <v>0.26003171130346903</v>
      </c>
      <c r="M197">
        <v>1</v>
      </c>
      <c r="N197">
        <v>3640.1091979900002</v>
      </c>
      <c r="O197">
        <v>65</v>
      </c>
      <c r="P197">
        <v>2.93161060700757E-2</v>
      </c>
      <c r="Q197">
        <v>20</v>
      </c>
      <c r="R197">
        <v>1931</v>
      </c>
      <c r="S197">
        <v>0.55307347111130201</v>
      </c>
      <c r="T197">
        <v>1</v>
      </c>
      <c r="U197">
        <v>3617.456093109</v>
      </c>
      <c r="V197">
        <v>41112</v>
      </c>
      <c r="W197">
        <v>2.4606904312896298</v>
      </c>
    </row>
    <row r="198" spans="1:30" x14ac:dyDescent="0.2">
      <c r="A198">
        <v>20</v>
      </c>
      <c r="B198">
        <v>1</v>
      </c>
      <c r="C198">
        <v>0.2</v>
      </c>
      <c r="D198">
        <v>16</v>
      </c>
      <c r="E198">
        <v>100</v>
      </c>
      <c r="F198" s="5">
        <v>8.5790942897149905E-2</v>
      </c>
      <c r="G198">
        <v>1</v>
      </c>
      <c r="H198">
        <v>30051.888410703999</v>
      </c>
      <c r="I198">
        <v>5174</v>
      </c>
      <c r="J198">
        <v>3.6606330746799975E-2</v>
      </c>
      <c r="K198">
        <v>5174</v>
      </c>
      <c r="L198">
        <v>8.5790942897153499E-2</v>
      </c>
      <c r="M198">
        <v>1</v>
      </c>
      <c r="N198">
        <v>3638.6457174450002</v>
      </c>
      <c r="O198">
        <v>59</v>
      </c>
      <c r="P198">
        <v>1.4177229187665299E-2</v>
      </c>
      <c r="Q198">
        <v>20</v>
      </c>
      <c r="R198">
        <v>1358</v>
      </c>
      <c r="S198">
        <v>0.57722113659123897</v>
      </c>
      <c r="T198">
        <v>1</v>
      </c>
      <c r="U198">
        <v>3618.4228596990001</v>
      </c>
      <c r="V198">
        <v>34675</v>
      </c>
      <c r="W198">
        <v>1.79413047746468</v>
      </c>
    </row>
    <row r="199" spans="1:30" x14ac:dyDescent="0.2">
      <c r="A199">
        <v>20</v>
      </c>
      <c r="B199">
        <v>1</v>
      </c>
      <c r="C199">
        <v>0.2</v>
      </c>
      <c r="D199">
        <v>17</v>
      </c>
      <c r="E199">
        <v>100</v>
      </c>
      <c r="F199" s="5">
        <v>3.6817337214630902E-2</v>
      </c>
      <c r="G199">
        <v>1</v>
      </c>
      <c r="H199">
        <v>30053.102232563</v>
      </c>
      <c r="I199">
        <v>5547</v>
      </c>
      <c r="J199">
        <v>7.5338492295080051E-3</v>
      </c>
      <c r="K199">
        <v>5548</v>
      </c>
      <c r="L199" s="4">
        <v>3.6817339999999997E-2</v>
      </c>
      <c r="M199" s="4">
        <v>1</v>
      </c>
      <c r="N199" s="4">
        <v>224.929078</v>
      </c>
      <c r="O199" s="4">
        <v>1</v>
      </c>
      <c r="P199" s="4">
        <v>3.7047500000000001E-3</v>
      </c>
      <c r="Q199" s="4">
        <v>4</v>
      </c>
      <c r="R199" s="4">
        <v>1</v>
      </c>
      <c r="S199">
        <v>2.4938963437710501E-2</v>
      </c>
      <c r="T199">
        <v>1</v>
      </c>
      <c r="U199">
        <v>3609.655657279</v>
      </c>
      <c r="V199">
        <v>91488</v>
      </c>
      <c r="W199">
        <v>0.12809118606636799</v>
      </c>
      <c r="AD199" s="4"/>
    </row>
    <row r="200" spans="1:30" x14ac:dyDescent="0.2">
      <c r="A200">
        <v>20</v>
      </c>
      <c r="B200">
        <v>1</v>
      </c>
      <c r="C200">
        <v>0.2</v>
      </c>
      <c r="D200">
        <v>18</v>
      </c>
      <c r="E200">
        <v>100</v>
      </c>
      <c r="F200" s="5">
        <v>0.151186833553799</v>
      </c>
      <c r="G200">
        <v>1</v>
      </c>
      <c r="H200">
        <v>30067.928515713</v>
      </c>
      <c r="I200">
        <v>6573</v>
      </c>
      <c r="J200">
        <v>4.0867470919036974E-2</v>
      </c>
      <c r="K200">
        <v>6575</v>
      </c>
      <c r="L200" s="4">
        <v>0.15118682999999999</v>
      </c>
      <c r="M200" s="4">
        <v>1</v>
      </c>
      <c r="N200" s="4">
        <v>211.43862200000001</v>
      </c>
      <c r="O200" s="4">
        <v>1</v>
      </c>
      <c r="P200" s="4">
        <v>5.4658800000000002E-3</v>
      </c>
      <c r="Q200" s="4">
        <v>4</v>
      </c>
      <c r="R200" s="4">
        <v>1</v>
      </c>
      <c r="S200">
        <v>0.49864484568783202</v>
      </c>
      <c r="T200">
        <v>1</v>
      </c>
      <c r="U200">
        <v>3610.6721201629998</v>
      </c>
      <c r="V200">
        <v>73348</v>
      </c>
      <c r="W200">
        <v>1.6587847598384999</v>
      </c>
      <c r="AD200" s="4"/>
    </row>
    <row r="201" spans="1:30" x14ac:dyDescent="0.2">
      <c r="A201">
        <v>20</v>
      </c>
      <c r="B201">
        <v>1</v>
      </c>
      <c r="C201">
        <v>0.2</v>
      </c>
      <c r="D201">
        <v>19</v>
      </c>
      <c r="E201">
        <v>100</v>
      </c>
      <c r="F201" s="5">
        <v>0.27160568704996102</v>
      </c>
      <c r="G201">
        <v>1</v>
      </c>
      <c r="H201">
        <v>30075.22566629</v>
      </c>
      <c r="I201">
        <v>6931</v>
      </c>
      <c r="J201">
        <v>9.8264765994730996E-2</v>
      </c>
      <c r="K201">
        <v>6932</v>
      </c>
      <c r="L201">
        <v>0.27160568704997601</v>
      </c>
      <c r="M201">
        <v>1</v>
      </c>
      <c r="N201">
        <v>3621.2546747329998</v>
      </c>
      <c r="O201">
        <v>259</v>
      </c>
      <c r="P201">
        <v>2.2634136634634001E-2</v>
      </c>
      <c r="Q201">
        <v>20</v>
      </c>
      <c r="R201">
        <v>1561</v>
      </c>
      <c r="S201">
        <v>0.42767688968461998</v>
      </c>
      <c r="T201">
        <v>1</v>
      </c>
      <c r="U201">
        <v>3609.9798079440002</v>
      </c>
      <c r="V201">
        <v>54949</v>
      </c>
      <c r="W201">
        <v>0.60903192307383502</v>
      </c>
    </row>
    <row r="202" spans="1:30" x14ac:dyDescent="0.2">
      <c r="A202">
        <v>20</v>
      </c>
      <c r="B202">
        <v>1</v>
      </c>
      <c r="C202">
        <v>0.2</v>
      </c>
      <c r="D202">
        <v>20</v>
      </c>
      <c r="E202">
        <v>100</v>
      </c>
      <c r="F202" s="5">
        <v>0.119305787071108</v>
      </c>
      <c r="G202">
        <v>1</v>
      </c>
      <c r="H202">
        <v>30077.618192045</v>
      </c>
      <c r="I202">
        <v>4935</v>
      </c>
      <c r="J202">
        <v>4.2295504402889039E-2</v>
      </c>
      <c r="K202">
        <v>4939</v>
      </c>
      <c r="L202">
        <v>0.119305787071108</v>
      </c>
      <c r="M202">
        <v>1</v>
      </c>
      <c r="N202">
        <v>3579.2749917219999</v>
      </c>
      <c r="O202">
        <v>98</v>
      </c>
      <c r="P202">
        <v>5.4431645269936497E-2</v>
      </c>
      <c r="Q202">
        <v>20</v>
      </c>
      <c r="R202">
        <v>1153</v>
      </c>
      <c r="S202">
        <v>0.16315296834203799</v>
      </c>
      <c r="T202">
        <v>1</v>
      </c>
      <c r="U202">
        <v>3611.294177666</v>
      </c>
      <c r="V202">
        <v>72977</v>
      </c>
      <c r="W202">
        <v>0.28971083990965801</v>
      </c>
    </row>
    <row r="203" spans="1:30" x14ac:dyDescent="0.2">
      <c r="A203">
        <v>20</v>
      </c>
      <c r="B203">
        <v>1</v>
      </c>
      <c r="C203">
        <v>0.3</v>
      </c>
      <c r="D203">
        <v>1</v>
      </c>
      <c r="E203">
        <v>20</v>
      </c>
      <c r="F203" s="5">
        <v>0.152864472301971</v>
      </c>
      <c r="G203">
        <v>1</v>
      </c>
      <c r="H203">
        <v>30107.265981105</v>
      </c>
      <c r="I203">
        <v>6538</v>
      </c>
      <c r="J203">
        <v>0.21933327720336981</v>
      </c>
      <c r="K203">
        <v>6539</v>
      </c>
      <c r="L203">
        <v>0.15286447230202699</v>
      </c>
      <c r="M203">
        <v>1</v>
      </c>
      <c r="N203">
        <v>3554.370441603</v>
      </c>
      <c r="O203">
        <v>225</v>
      </c>
      <c r="P203">
        <v>0.122335491790413</v>
      </c>
      <c r="Q203">
        <v>20</v>
      </c>
      <c r="R203">
        <v>2303</v>
      </c>
      <c r="S203">
        <v>0.38187117652910102</v>
      </c>
      <c r="T203">
        <v>1</v>
      </c>
      <c r="U203">
        <v>3619.8748606210002</v>
      </c>
      <c r="V203">
        <v>45169</v>
      </c>
      <c r="W203">
        <v>3.61219009096494</v>
      </c>
    </row>
    <row r="204" spans="1:30" x14ac:dyDescent="0.2">
      <c r="A204">
        <v>20</v>
      </c>
      <c r="B204">
        <v>1</v>
      </c>
      <c r="C204">
        <v>0.3</v>
      </c>
      <c r="D204">
        <v>2</v>
      </c>
      <c r="E204">
        <v>20</v>
      </c>
      <c r="F204" s="5">
        <v>0.18868918903697801</v>
      </c>
      <c r="G204">
        <v>1</v>
      </c>
      <c r="H204">
        <v>30145.857549672</v>
      </c>
      <c r="I204">
        <v>6751</v>
      </c>
      <c r="J204">
        <v>0.18094462027051983</v>
      </c>
      <c r="K204">
        <v>6752</v>
      </c>
      <c r="L204">
        <v>0.18868918903699999</v>
      </c>
      <c r="M204">
        <v>1</v>
      </c>
      <c r="N204">
        <v>3224.750650171</v>
      </c>
      <c r="O204">
        <v>402</v>
      </c>
      <c r="P204">
        <v>1.43929171800649E-2</v>
      </c>
      <c r="Q204">
        <v>20</v>
      </c>
      <c r="R204">
        <v>2535</v>
      </c>
      <c r="S204">
        <v>0.235942277532287</v>
      </c>
      <c r="T204">
        <v>1</v>
      </c>
      <c r="U204">
        <v>3612.383275958</v>
      </c>
      <c r="V204">
        <v>71669</v>
      </c>
      <c r="W204">
        <v>1.1615528698116999</v>
      </c>
    </row>
    <row r="205" spans="1:30" x14ac:dyDescent="0.2">
      <c r="A205">
        <v>20</v>
      </c>
      <c r="B205">
        <v>1</v>
      </c>
      <c r="C205">
        <v>0.3</v>
      </c>
      <c r="D205">
        <v>3</v>
      </c>
      <c r="E205">
        <v>20</v>
      </c>
      <c r="F205" s="5">
        <v>0.19482525532815401</v>
      </c>
      <c r="G205">
        <v>1</v>
      </c>
      <c r="H205">
        <v>30162.561123911</v>
      </c>
      <c r="I205">
        <v>7949</v>
      </c>
      <c r="J205">
        <v>4.9151903150539855E-2</v>
      </c>
      <c r="K205">
        <v>7950</v>
      </c>
      <c r="L205">
        <v>0.19482525532814901</v>
      </c>
      <c r="M205">
        <v>1</v>
      </c>
      <c r="N205">
        <v>3393.5294495819999</v>
      </c>
      <c r="O205">
        <v>39</v>
      </c>
      <c r="P205">
        <v>6.2904944945176594E-2</v>
      </c>
      <c r="Q205">
        <v>20</v>
      </c>
      <c r="R205">
        <v>545</v>
      </c>
      <c r="S205">
        <v>0.91493348818898501</v>
      </c>
      <c r="T205">
        <v>1</v>
      </c>
      <c r="U205">
        <v>3611.5347865919998</v>
      </c>
      <c r="V205">
        <v>83242</v>
      </c>
      <c r="W205">
        <v>6.9476953749866599</v>
      </c>
    </row>
    <row r="206" spans="1:30" x14ac:dyDescent="0.2">
      <c r="A206">
        <v>20</v>
      </c>
      <c r="B206">
        <v>1</v>
      </c>
      <c r="C206">
        <v>0.3</v>
      </c>
      <c r="D206">
        <v>4</v>
      </c>
      <c r="E206">
        <v>20</v>
      </c>
      <c r="F206" s="5">
        <v>0.122861275545737</v>
      </c>
      <c r="G206">
        <v>1</v>
      </c>
      <c r="H206">
        <v>30046.611859643999</v>
      </c>
      <c r="I206">
        <v>6161</v>
      </c>
      <c r="J206">
        <v>-3.5394697039947687E-7</v>
      </c>
      <c r="K206">
        <v>6162</v>
      </c>
      <c r="L206">
        <v>0.122861275548116</v>
      </c>
      <c r="M206">
        <v>1</v>
      </c>
      <c r="N206">
        <v>3450.2690101130001</v>
      </c>
      <c r="O206">
        <v>63</v>
      </c>
      <c r="P206">
        <v>0.19167191653821</v>
      </c>
      <c r="Q206">
        <v>20</v>
      </c>
      <c r="R206">
        <v>1993</v>
      </c>
      <c r="S206">
        <v>0.51939352848534803</v>
      </c>
      <c r="T206">
        <v>1</v>
      </c>
      <c r="U206">
        <v>3612.1627742760002</v>
      </c>
      <c r="V206">
        <v>54445</v>
      </c>
      <c r="W206">
        <v>15.8865315796624</v>
      </c>
    </row>
    <row r="207" spans="1:30" x14ac:dyDescent="0.2">
      <c r="A207">
        <v>20</v>
      </c>
      <c r="B207">
        <v>1</v>
      </c>
      <c r="C207">
        <v>0.3</v>
      </c>
      <c r="D207">
        <v>5</v>
      </c>
      <c r="E207">
        <v>20</v>
      </c>
      <c r="F207" s="5">
        <v>0.118738009360081</v>
      </c>
      <c r="G207">
        <v>1</v>
      </c>
      <c r="H207">
        <v>30164.765348247001</v>
      </c>
      <c r="I207">
        <v>7457</v>
      </c>
      <c r="J207">
        <v>0.36213597324016034</v>
      </c>
      <c r="K207">
        <v>7458</v>
      </c>
      <c r="L207">
        <v>0.11873800935992999</v>
      </c>
      <c r="M207">
        <v>1</v>
      </c>
      <c r="N207">
        <v>3394.6015302740002</v>
      </c>
      <c r="O207">
        <v>298</v>
      </c>
      <c r="P207">
        <v>6.6959435261884498E-2</v>
      </c>
      <c r="Q207">
        <v>20</v>
      </c>
      <c r="R207">
        <v>2071</v>
      </c>
      <c r="S207">
        <v>0.42759691184574899</v>
      </c>
      <c r="T207">
        <v>1</v>
      </c>
      <c r="U207">
        <v>3611.7257935500002</v>
      </c>
      <c r="V207">
        <v>86154</v>
      </c>
      <c r="W207">
        <v>3.6164595678600402</v>
      </c>
    </row>
    <row r="208" spans="1:30" x14ac:dyDescent="0.2">
      <c r="A208">
        <v>20</v>
      </c>
      <c r="B208">
        <v>1</v>
      </c>
      <c r="C208">
        <v>0.3</v>
      </c>
      <c r="D208">
        <v>6</v>
      </c>
      <c r="E208">
        <v>20</v>
      </c>
      <c r="F208" s="5">
        <v>0.11497227021701099</v>
      </c>
      <c r="G208">
        <v>1</v>
      </c>
      <c r="H208">
        <v>30058.770030045998</v>
      </c>
      <c r="I208">
        <v>10167</v>
      </c>
      <c r="J208">
        <v>-5.1161446990022341E-7</v>
      </c>
      <c r="K208">
        <v>8409</v>
      </c>
      <c r="L208">
        <v>0.116771519421242</v>
      </c>
      <c r="M208">
        <v>1</v>
      </c>
      <c r="N208">
        <v>3424.925384441</v>
      </c>
      <c r="O208">
        <v>263</v>
      </c>
      <c r="P208">
        <v>4.2806449380843298E-2</v>
      </c>
      <c r="Q208">
        <v>20</v>
      </c>
      <c r="R208">
        <v>3886</v>
      </c>
      <c r="S208">
        <v>0.32594356040183398</v>
      </c>
      <c r="T208">
        <v>1</v>
      </c>
      <c r="U208">
        <v>3611.2162427059998</v>
      </c>
      <c r="V208">
        <v>63219</v>
      </c>
      <c r="W208">
        <v>4.3114748345463401</v>
      </c>
    </row>
    <row r="209" spans="1:23" x14ac:dyDescent="0.2">
      <c r="A209">
        <v>20</v>
      </c>
      <c r="B209">
        <v>1</v>
      </c>
      <c r="C209">
        <v>0.3</v>
      </c>
      <c r="D209">
        <v>7</v>
      </c>
      <c r="E209">
        <v>20</v>
      </c>
      <c r="F209" s="5">
        <v>0.105573465681636</v>
      </c>
      <c r="G209">
        <v>1</v>
      </c>
      <c r="H209">
        <v>30070.639301443</v>
      </c>
      <c r="I209">
        <v>6616</v>
      </c>
      <c r="J209">
        <v>0.27660967563228001</v>
      </c>
      <c r="K209">
        <v>6617</v>
      </c>
      <c r="L209">
        <v>0.10557346568303901</v>
      </c>
      <c r="M209">
        <v>1</v>
      </c>
      <c r="N209">
        <v>3281.704721864</v>
      </c>
      <c r="O209">
        <v>24</v>
      </c>
      <c r="P209">
        <v>5.3360926253428698E-2</v>
      </c>
      <c r="Q209">
        <v>20</v>
      </c>
      <c r="R209">
        <v>1985</v>
      </c>
      <c r="S209">
        <v>0.48901353424258298</v>
      </c>
      <c r="T209">
        <v>1</v>
      </c>
      <c r="U209">
        <v>3613.7182406930001</v>
      </c>
      <c r="V209">
        <v>77407</v>
      </c>
      <c r="W209">
        <v>6.27055513743574</v>
      </c>
    </row>
    <row r="210" spans="1:23" x14ac:dyDescent="0.2">
      <c r="A210">
        <v>20</v>
      </c>
      <c r="B210">
        <v>1</v>
      </c>
      <c r="C210">
        <v>0.3</v>
      </c>
      <c r="D210">
        <v>8</v>
      </c>
      <c r="E210">
        <v>20</v>
      </c>
      <c r="F210" s="5">
        <v>0.117751890005412</v>
      </c>
      <c r="G210">
        <v>1</v>
      </c>
      <c r="H210">
        <v>30049.518346796998</v>
      </c>
      <c r="I210">
        <v>6843</v>
      </c>
      <c r="J210">
        <v>4.643590721969737E-3</v>
      </c>
      <c r="K210">
        <v>6844</v>
      </c>
      <c r="L210">
        <v>0.11775189000545</v>
      </c>
      <c r="M210">
        <v>1</v>
      </c>
      <c r="N210">
        <v>3568.304253753</v>
      </c>
      <c r="O210">
        <v>189</v>
      </c>
      <c r="P210">
        <v>0.26509340325293801</v>
      </c>
      <c r="Q210">
        <v>20</v>
      </c>
      <c r="R210">
        <v>1833</v>
      </c>
      <c r="S210">
        <v>0.13603129872122999</v>
      </c>
      <c r="T210">
        <v>1</v>
      </c>
      <c r="U210">
        <v>3610.2754850820002</v>
      </c>
      <c r="V210">
        <v>71595</v>
      </c>
      <c r="W210">
        <v>3.1642360555995701</v>
      </c>
    </row>
    <row r="211" spans="1:23" x14ac:dyDescent="0.2">
      <c r="A211">
        <v>20</v>
      </c>
      <c r="B211">
        <v>1</v>
      </c>
      <c r="C211">
        <v>0.3</v>
      </c>
      <c r="D211">
        <v>9</v>
      </c>
      <c r="E211">
        <v>20</v>
      </c>
      <c r="F211" s="5">
        <v>0.14977016697680201</v>
      </c>
      <c r="G211">
        <v>1</v>
      </c>
      <c r="H211">
        <v>30036.298477815999</v>
      </c>
      <c r="I211">
        <v>9422</v>
      </c>
      <c r="J211">
        <v>4.4205638489103194E-3</v>
      </c>
      <c r="K211">
        <v>9423</v>
      </c>
      <c r="L211">
        <v>0.14977016697679801</v>
      </c>
      <c r="M211">
        <v>1</v>
      </c>
      <c r="N211">
        <v>2906.5408912409998</v>
      </c>
      <c r="O211">
        <v>301</v>
      </c>
      <c r="P211">
        <v>2.5745113519336699E-2</v>
      </c>
      <c r="Q211">
        <v>20</v>
      </c>
      <c r="R211">
        <v>1506</v>
      </c>
      <c r="S211">
        <v>0.40654628508033103</v>
      </c>
      <c r="T211">
        <v>1</v>
      </c>
      <c r="U211">
        <v>3610.1166244430001</v>
      </c>
      <c r="V211">
        <v>87061</v>
      </c>
      <c r="W211">
        <v>4.0568610392683198</v>
      </c>
    </row>
    <row r="212" spans="1:23" x14ac:dyDescent="0.2">
      <c r="A212">
        <v>20</v>
      </c>
      <c r="B212">
        <v>1</v>
      </c>
      <c r="C212">
        <v>0.3</v>
      </c>
      <c r="D212">
        <v>10</v>
      </c>
      <c r="E212">
        <v>20</v>
      </c>
      <c r="F212" s="5">
        <v>9.5147654683423705E-2</v>
      </c>
      <c r="G212">
        <v>1</v>
      </c>
      <c r="H212">
        <v>30073.874227687</v>
      </c>
      <c r="I212">
        <v>7227</v>
      </c>
      <c r="J212">
        <v>3.4966248406520073E-2</v>
      </c>
      <c r="K212">
        <v>7232</v>
      </c>
      <c r="L212">
        <v>9.5147654683340202E-2</v>
      </c>
      <c r="M212">
        <v>1</v>
      </c>
      <c r="N212">
        <v>3542.0491048600002</v>
      </c>
      <c r="O212">
        <v>267</v>
      </c>
      <c r="P212">
        <v>4.7525740378497397E-2</v>
      </c>
      <c r="Q212">
        <v>20</v>
      </c>
      <c r="R212">
        <v>3236</v>
      </c>
      <c r="S212">
        <v>0.62792543949010404</v>
      </c>
      <c r="T212">
        <v>1</v>
      </c>
      <c r="U212">
        <v>3617.9017445079999</v>
      </c>
      <c r="V212">
        <v>23397</v>
      </c>
      <c r="W212">
        <v>4.3097490487049397</v>
      </c>
    </row>
    <row r="213" spans="1:23" x14ac:dyDescent="0.2">
      <c r="A213">
        <v>20</v>
      </c>
      <c r="B213">
        <v>1</v>
      </c>
      <c r="C213">
        <v>0.3</v>
      </c>
      <c r="D213">
        <v>11</v>
      </c>
      <c r="E213">
        <v>20</v>
      </c>
      <c r="F213">
        <v>9.6226957312913503E-2</v>
      </c>
      <c r="G213">
        <v>1</v>
      </c>
      <c r="H213">
        <v>30090.770598767002</v>
      </c>
      <c r="I213">
        <v>6276</v>
      </c>
      <c r="J213">
        <v>2.5782354953070019E-2</v>
      </c>
      <c r="K213">
        <v>6277</v>
      </c>
      <c r="L213">
        <v>9.6226957313011605E-2</v>
      </c>
      <c r="M213">
        <v>1</v>
      </c>
      <c r="N213">
        <v>3276.1117919630001</v>
      </c>
      <c r="O213">
        <v>453</v>
      </c>
      <c r="P213">
        <v>2.76834643148853E-2</v>
      </c>
      <c r="Q213">
        <v>20</v>
      </c>
      <c r="R213">
        <v>2948</v>
      </c>
      <c r="S213">
        <v>0.14539260358331901</v>
      </c>
      <c r="T213">
        <v>1</v>
      </c>
      <c r="U213">
        <v>3610.5495264360002</v>
      </c>
      <c r="V213">
        <v>75968</v>
      </c>
      <c r="W213">
        <v>1.79602373490792</v>
      </c>
    </row>
    <row r="214" spans="1:23" x14ac:dyDescent="0.2">
      <c r="A214">
        <v>20</v>
      </c>
      <c r="B214">
        <v>1</v>
      </c>
      <c r="C214">
        <v>0.3</v>
      </c>
      <c r="D214">
        <v>12</v>
      </c>
      <c r="E214">
        <v>20</v>
      </c>
      <c r="F214">
        <v>0.170057796178291</v>
      </c>
      <c r="G214">
        <v>1</v>
      </c>
      <c r="H214">
        <v>30140.252735221999</v>
      </c>
      <c r="I214">
        <v>7286</v>
      </c>
      <c r="J214">
        <v>-1.5588920998510503E-7</v>
      </c>
      <c r="K214">
        <v>7287</v>
      </c>
      <c r="L214">
        <v>0.17005779617835101</v>
      </c>
      <c r="M214">
        <v>1</v>
      </c>
      <c r="N214">
        <v>3526.7742889279998</v>
      </c>
      <c r="O214">
        <v>287</v>
      </c>
      <c r="P214">
        <v>0.175416353770079</v>
      </c>
      <c r="Q214">
        <v>20</v>
      </c>
      <c r="R214">
        <v>1933</v>
      </c>
      <c r="S214">
        <v>0.56783975051636504</v>
      </c>
      <c r="T214">
        <v>1</v>
      </c>
      <c r="U214">
        <v>3636.3945365720001</v>
      </c>
      <c r="V214">
        <v>33888</v>
      </c>
      <c r="W214">
        <v>8.0467961735932398</v>
      </c>
    </row>
    <row r="215" spans="1:23" x14ac:dyDescent="0.2">
      <c r="A215">
        <v>20</v>
      </c>
      <c r="B215">
        <v>1</v>
      </c>
      <c r="C215">
        <v>0.3</v>
      </c>
      <c r="D215">
        <v>13</v>
      </c>
      <c r="E215">
        <v>20</v>
      </c>
      <c r="F215">
        <v>0.10953445599200599</v>
      </c>
      <c r="G215">
        <v>1</v>
      </c>
      <c r="H215">
        <v>30084.474828217</v>
      </c>
      <c r="I215">
        <v>6325</v>
      </c>
      <c r="J215">
        <v>4.4346541345703372E-3</v>
      </c>
      <c r="K215">
        <v>6326</v>
      </c>
      <c r="L215">
        <v>0.109534455991998</v>
      </c>
      <c r="M215">
        <v>1</v>
      </c>
      <c r="N215">
        <v>3458.104672253</v>
      </c>
      <c r="O215">
        <v>549</v>
      </c>
      <c r="P215">
        <v>0.13074877136416499</v>
      </c>
      <c r="Q215">
        <v>20</v>
      </c>
      <c r="R215">
        <v>4008</v>
      </c>
      <c r="S215">
        <v>0.19939760836376999</v>
      </c>
      <c r="T215">
        <v>1</v>
      </c>
      <c r="U215">
        <v>3610.7391939439999</v>
      </c>
      <c r="V215">
        <v>86738</v>
      </c>
      <c r="W215">
        <v>5.8656655820559704</v>
      </c>
    </row>
    <row r="216" spans="1:23" x14ac:dyDescent="0.2">
      <c r="A216">
        <v>20</v>
      </c>
      <c r="B216">
        <v>1</v>
      </c>
      <c r="C216">
        <v>0.3</v>
      </c>
      <c r="D216">
        <v>14</v>
      </c>
      <c r="E216">
        <v>20</v>
      </c>
      <c r="F216">
        <v>0.40953673999819801</v>
      </c>
      <c r="G216">
        <v>1</v>
      </c>
      <c r="H216">
        <v>30034.083964005</v>
      </c>
      <c r="I216">
        <v>6470</v>
      </c>
      <c r="J216">
        <v>0.15817815703998006</v>
      </c>
      <c r="K216">
        <v>6471</v>
      </c>
      <c r="L216">
        <v>0.40953673999819501</v>
      </c>
      <c r="M216">
        <v>1</v>
      </c>
      <c r="N216">
        <v>3570.1203053889999</v>
      </c>
      <c r="O216">
        <v>287</v>
      </c>
      <c r="P216">
        <v>9.3659062612326094E-2</v>
      </c>
      <c r="Q216">
        <v>20</v>
      </c>
      <c r="R216">
        <v>2119</v>
      </c>
      <c r="S216">
        <v>0.51490778302986795</v>
      </c>
      <c r="T216">
        <v>1</v>
      </c>
      <c r="U216">
        <v>3613.3555078039999</v>
      </c>
      <c r="V216">
        <v>71559</v>
      </c>
      <c r="W216">
        <v>1.9494806559964399</v>
      </c>
    </row>
    <row r="217" spans="1:23" x14ac:dyDescent="0.2">
      <c r="A217">
        <v>20</v>
      </c>
      <c r="B217">
        <v>1</v>
      </c>
      <c r="C217">
        <v>0.3</v>
      </c>
      <c r="D217">
        <v>15</v>
      </c>
      <c r="E217">
        <v>20</v>
      </c>
      <c r="F217">
        <v>0.14347371908415599</v>
      </c>
      <c r="G217">
        <v>1</v>
      </c>
      <c r="H217">
        <v>30123.560090682</v>
      </c>
      <c r="I217">
        <v>5883</v>
      </c>
      <c r="J217">
        <v>1.1901209392790157E-2</v>
      </c>
      <c r="K217">
        <v>5884</v>
      </c>
      <c r="L217">
        <v>0.14347371908256501</v>
      </c>
      <c r="M217">
        <v>1</v>
      </c>
      <c r="N217">
        <v>3720.1622802430002</v>
      </c>
      <c r="O217">
        <v>0</v>
      </c>
      <c r="P217">
        <v>3.2413231759266301</v>
      </c>
      <c r="Q217">
        <v>20</v>
      </c>
      <c r="R217">
        <v>8</v>
      </c>
      <c r="S217">
        <v>0.19094408896611401</v>
      </c>
      <c r="T217">
        <v>1</v>
      </c>
      <c r="U217">
        <v>3611.1269782039999</v>
      </c>
      <c r="V217">
        <v>93999</v>
      </c>
      <c r="W217">
        <v>2.4916507256284799</v>
      </c>
    </row>
    <row r="218" spans="1:23" x14ac:dyDescent="0.2">
      <c r="A218">
        <v>20</v>
      </c>
      <c r="B218">
        <v>1</v>
      </c>
      <c r="C218">
        <v>0.3</v>
      </c>
      <c r="D218">
        <v>16</v>
      </c>
      <c r="E218">
        <v>20</v>
      </c>
      <c r="F218">
        <v>0.149591712998564</v>
      </c>
      <c r="G218">
        <v>1</v>
      </c>
      <c r="H218">
        <v>30061.543169592002</v>
      </c>
      <c r="I218">
        <v>5380</v>
      </c>
      <c r="J218">
        <v>1.7883692207059987E-2</v>
      </c>
      <c r="K218">
        <v>5381</v>
      </c>
      <c r="L218">
        <v>0.14959171299855201</v>
      </c>
      <c r="M218">
        <v>1</v>
      </c>
      <c r="N218">
        <v>3452.7082519189998</v>
      </c>
      <c r="O218">
        <v>191</v>
      </c>
      <c r="P218">
        <v>7.9977379683157504E-2</v>
      </c>
      <c r="Q218">
        <v>20</v>
      </c>
      <c r="R218">
        <v>1949</v>
      </c>
      <c r="S218">
        <v>0.482633621426173</v>
      </c>
      <c r="T218">
        <v>1</v>
      </c>
      <c r="U218">
        <v>3609.8216822630002</v>
      </c>
      <c r="V218">
        <v>82836</v>
      </c>
      <c r="W218">
        <v>3.1575972705168098</v>
      </c>
    </row>
    <row r="219" spans="1:23" x14ac:dyDescent="0.2">
      <c r="A219">
        <v>20</v>
      </c>
      <c r="B219">
        <v>1</v>
      </c>
      <c r="C219">
        <v>0.3</v>
      </c>
      <c r="D219">
        <v>17</v>
      </c>
      <c r="E219">
        <v>20</v>
      </c>
      <c r="F219">
        <v>9.1645002748060603E-2</v>
      </c>
      <c r="G219">
        <v>1</v>
      </c>
      <c r="H219">
        <v>30031.217418112999</v>
      </c>
      <c r="I219">
        <v>10180</v>
      </c>
      <c r="J219">
        <v>2.3641383594499299E-3</v>
      </c>
      <c r="K219">
        <v>10185</v>
      </c>
      <c r="L219">
        <v>9.16450027483868E-2</v>
      </c>
      <c r="M219">
        <v>1</v>
      </c>
      <c r="N219">
        <v>3302.1692360769998</v>
      </c>
      <c r="O219">
        <v>88</v>
      </c>
      <c r="P219">
        <v>2.7655936940027302E-2</v>
      </c>
      <c r="Q219">
        <v>20</v>
      </c>
      <c r="R219">
        <v>2876</v>
      </c>
      <c r="S219">
        <v>0.47379128903332701</v>
      </c>
      <c r="T219">
        <v>1</v>
      </c>
      <c r="U219">
        <v>3624.5402582800002</v>
      </c>
      <c r="V219">
        <v>30245</v>
      </c>
      <c r="W219">
        <v>4.6742158031076002</v>
      </c>
    </row>
    <row r="220" spans="1:23" x14ac:dyDescent="0.2">
      <c r="A220">
        <v>20</v>
      </c>
      <c r="B220">
        <v>1</v>
      </c>
      <c r="C220">
        <v>0.3</v>
      </c>
      <c r="D220">
        <v>18</v>
      </c>
      <c r="E220">
        <v>20</v>
      </c>
      <c r="F220">
        <v>4.6599568291314702E-2</v>
      </c>
      <c r="G220">
        <v>1</v>
      </c>
      <c r="H220">
        <v>2462.3306215170001</v>
      </c>
      <c r="I220">
        <v>1873</v>
      </c>
      <c r="J220">
        <v>0.21750772526027018</v>
      </c>
      <c r="K220">
        <v>1876</v>
      </c>
      <c r="L220">
        <v>4.5796584379988403E-2</v>
      </c>
      <c r="M220">
        <v>1</v>
      </c>
      <c r="N220">
        <v>627.27524948799999</v>
      </c>
      <c r="O220">
        <v>35</v>
      </c>
      <c r="P220">
        <v>3.5740404864412702E-3</v>
      </c>
      <c r="Q220">
        <v>12</v>
      </c>
      <c r="R220">
        <v>137</v>
      </c>
      <c r="S220">
        <v>0.18210984648176401</v>
      </c>
      <c r="T220">
        <v>1</v>
      </c>
      <c r="U220">
        <v>3612.2179121489999</v>
      </c>
      <c r="V220">
        <v>68369</v>
      </c>
      <c r="W220">
        <v>1.3452718351286701</v>
      </c>
    </row>
    <row r="221" spans="1:23" x14ac:dyDescent="0.2">
      <c r="A221">
        <v>20</v>
      </c>
      <c r="B221">
        <v>1</v>
      </c>
      <c r="C221">
        <v>0.3</v>
      </c>
      <c r="D221">
        <v>19</v>
      </c>
      <c r="E221">
        <v>20</v>
      </c>
      <c r="F221">
        <v>0.174191094754922</v>
      </c>
      <c r="G221">
        <v>1</v>
      </c>
      <c r="H221">
        <v>30094.601814502999</v>
      </c>
      <c r="I221">
        <v>6031</v>
      </c>
      <c r="J221">
        <v>0.35486261275082986</v>
      </c>
      <c r="K221">
        <v>6032</v>
      </c>
      <c r="L221">
        <v>0.17419109475498801</v>
      </c>
      <c r="M221">
        <v>1</v>
      </c>
      <c r="N221">
        <v>3453.1486335039999</v>
      </c>
      <c r="O221">
        <v>127</v>
      </c>
      <c r="P221">
        <v>0.136659201968691</v>
      </c>
      <c r="Q221">
        <v>20</v>
      </c>
      <c r="R221">
        <v>2706</v>
      </c>
      <c r="S221">
        <v>0.38397703108736703</v>
      </c>
      <c r="T221">
        <v>1</v>
      </c>
      <c r="U221">
        <v>3617.0370548139999</v>
      </c>
      <c r="V221">
        <v>56654</v>
      </c>
      <c r="W221">
        <v>3.9602531724689798</v>
      </c>
    </row>
    <row r="222" spans="1:23" x14ac:dyDescent="0.2">
      <c r="A222">
        <v>20</v>
      </c>
      <c r="B222">
        <v>1</v>
      </c>
      <c r="C222">
        <v>0.3</v>
      </c>
      <c r="D222">
        <v>20</v>
      </c>
      <c r="E222">
        <v>20</v>
      </c>
      <c r="F222">
        <v>0.13834255144215599</v>
      </c>
      <c r="G222">
        <v>1</v>
      </c>
      <c r="H222">
        <v>30049.383916891999</v>
      </c>
      <c r="I222">
        <v>7455</v>
      </c>
      <c r="J222">
        <v>0.20726547280653973</v>
      </c>
      <c r="K222">
        <v>7460</v>
      </c>
      <c r="L222">
        <v>0.13834255144247101</v>
      </c>
      <c r="M222">
        <v>1</v>
      </c>
      <c r="N222">
        <v>3624.6771878529999</v>
      </c>
      <c r="O222">
        <v>11</v>
      </c>
      <c r="P222">
        <v>0.24945128139067199</v>
      </c>
      <c r="Q222">
        <v>20</v>
      </c>
      <c r="R222">
        <v>1051</v>
      </c>
      <c r="S222">
        <v>0.57283824642660297</v>
      </c>
      <c r="T222">
        <v>1</v>
      </c>
      <c r="U222">
        <v>3620.7436710440002</v>
      </c>
      <c r="V222">
        <v>33406</v>
      </c>
      <c r="W222">
        <v>8.2818211445148595</v>
      </c>
    </row>
    <row r="223" spans="1:23" x14ac:dyDescent="0.2">
      <c r="A223">
        <v>20</v>
      </c>
      <c r="B223">
        <v>1</v>
      </c>
      <c r="C223">
        <v>0.3</v>
      </c>
      <c r="D223">
        <v>1</v>
      </c>
      <c r="E223">
        <v>100</v>
      </c>
      <c r="F223">
        <v>5.5075620631558499E-2</v>
      </c>
      <c r="G223">
        <v>1</v>
      </c>
      <c r="H223">
        <v>30055.989600358</v>
      </c>
      <c r="I223">
        <v>6707</v>
      </c>
      <c r="J223">
        <v>2.6289373767310997E-2</v>
      </c>
      <c r="K223">
        <v>6713</v>
      </c>
      <c r="L223">
        <v>5.5075620628239799E-2</v>
      </c>
      <c r="M223">
        <v>1</v>
      </c>
      <c r="N223">
        <v>3652.7415582389999</v>
      </c>
      <c r="O223">
        <v>0</v>
      </c>
      <c r="P223">
        <v>0.49660874656928</v>
      </c>
      <c r="Q223">
        <v>20</v>
      </c>
      <c r="R223">
        <v>403</v>
      </c>
      <c r="S223">
        <v>7.2880686584967297E-2</v>
      </c>
      <c r="T223">
        <v>1</v>
      </c>
      <c r="U223">
        <v>3613.9277746910002</v>
      </c>
      <c r="V223">
        <v>68523</v>
      </c>
      <c r="W223">
        <v>0.188123740163923</v>
      </c>
    </row>
    <row r="224" spans="1:23" x14ac:dyDescent="0.2">
      <c r="A224">
        <v>20</v>
      </c>
      <c r="B224">
        <v>1</v>
      </c>
      <c r="C224">
        <v>0.3</v>
      </c>
      <c r="D224">
        <v>2</v>
      </c>
      <c r="E224">
        <v>100</v>
      </c>
      <c r="F224">
        <v>0.114955336137508</v>
      </c>
      <c r="G224">
        <v>1</v>
      </c>
      <c r="H224">
        <v>30155.076189298001</v>
      </c>
      <c r="I224">
        <v>6157</v>
      </c>
      <c r="J224">
        <v>4.3107922339810034E-2</v>
      </c>
      <c r="K224">
        <v>6161</v>
      </c>
      <c r="L224">
        <v>0.114955336137498</v>
      </c>
      <c r="M224">
        <v>1</v>
      </c>
      <c r="N224">
        <v>265.52295942199999</v>
      </c>
      <c r="O224">
        <v>1</v>
      </c>
      <c r="P224">
        <v>3.3974856755227801E-3</v>
      </c>
      <c r="Q224">
        <v>4</v>
      </c>
      <c r="R224">
        <v>1</v>
      </c>
      <c r="S224">
        <v>9.1574256433029397E-2</v>
      </c>
      <c r="T224">
        <v>1</v>
      </c>
      <c r="U224">
        <v>3610.2052883350002</v>
      </c>
      <c r="V224">
        <v>49219</v>
      </c>
      <c r="W224">
        <v>0.221679370218062</v>
      </c>
    </row>
    <row r="225" spans="1:23" x14ac:dyDescent="0.2">
      <c r="A225">
        <v>20</v>
      </c>
      <c r="B225">
        <v>1</v>
      </c>
      <c r="C225">
        <v>0.3</v>
      </c>
      <c r="D225">
        <v>3</v>
      </c>
      <c r="E225">
        <v>100</v>
      </c>
      <c r="F225">
        <v>8.5352195501268602E-2</v>
      </c>
      <c r="G225">
        <v>1</v>
      </c>
      <c r="H225">
        <v>30119.702415136999</v>
      </c>
      <c r="I225">
        <v>6036</v>
      </c>
      <c r="J225">
        <v>3.4776825214429985E-2</v>
      </c>
      <c r="K225">
        <v>6037</v>
      </c>
      <c r="L225">
        <v>8.5352195501235795E-2</v>
      </c>
      <c r="M225">
        <v>1</v>
      </c>
      <c r="N225">
        <v>3488.0493376049999</v>
      </c>
      <c r="O225">
        <v>0</v>
      </c>
      <c r="P225">
        <v>0.33088230099828703</v>
      </c>
      <c r="Q225">
        <v>20</v>
      </c>
      <c r="R225">
        <v>3</v>
      </c>
      <c r="S225">
        <v>0.57384347145918102</v>
      </c>
      <c r="T225">
        <v>1</v>
      </c>
      <c r="U225">
        <v>3612.343034772</v>
      </c>
      <c r="V225">
        <v>44782</v>
      </c>
      <c r="W225">
        <v>3.1290521182842399</v>
      </c>
    </row>
    <row r="226" spans="1:23" x14ac:dyDescent="0.2">
      <c r="A226">
        <v>20</v>
      </c>
      <c r="B226">
        <v>1</v>
      </c>
      <c r="C226">
        <v>0.3</v>
      </c>
      <c r="D226">
        <v>4</v>
      </c>
      <c r="E226">
        <v>100</v>
      </c>
      <c r="F226">
        <v>3.7609298563446102E-2</v>
      </c>
      <c r="G226">
        <v>1</v>
      </c>
      <c r="H226">
        <v>30112.626046278001</v>
      </c>
      <c r="I226">
        <v>6114</v>
      </c>
      <c r="J226">
        <v>6.7128025608400588E-3</v>
      </c>
      <c r="K226">
        <v>6115</v>
      </c>
      <c r="L226">
        <v>3.7609298563085598E-2</v>
      </c>
      <c r="M226">
        <v>1</v>
      </c>
      <c r="N226">
        <v>3594.6584718399999</v>
      </c>
      <c r="O226">
        <v>0</v>
      </c>
      <c r="P226">
        <v>1.06166160987728</v>
      </c>
      <c r="Q226">
        <v>20</v>
      </c>
      <c r="R226">
        <v>180</v>
      </c>
      <c r="S226">
        <v>4.8449176384345899E-2</v>
      </c>
      <c r="T226">
        <v>1</v>
      </c>
      <c r="U226">
        <v>3612.6437931370001</v>
      </c>
      <c r="V226">
        <v>57865</v>
      </c>
      <c r="W226">
        <v>0.65688894498622097</v>
      </c>
    </row>
    <row r="227" spans="1:23" x14ac:dyDescent="0.2">
      <c r="A227">
        <v>20</v>
      </c>
      <c r="B227">
        <v>1</v>
      </c>
      <c r="C227">
        <v>0.3</v>
      </c>
      <c r="D227">
        <v>5</v>
      </c>
      <c r="E227">
        <v>100</v>
      </c>
      <c r="F227">
        <v>3.6673972487543303E-2</v>
      </c>
      <c r="G227">
        <v>1</v>
      </c>
      <c r="H227">
        <v>30103.747077528998</v>
      </c>
      <c r="I227">
        <v>6591</v>
      </c>
      <c r="J227">
        <v>9.954862127819708E-2</v>
      </c>
      <c r="K227">
        <v>6592</v>
      </c>
      <c r="L227">
        <v>3.6673972487467503E-2</v>
      </c>
      <c r="M227">
        <v>1</v>
      </c>
      <c r="N227">
        <v>3575.719182067</v>
      </c>
      <c r="O227">
        <v>100</v>
      </c>
      <c r="P227">
        <v>1.41309810660459E-2</v>
      </c>
      <c r="Q227">
        <v>20</v>
      </c>
      <c r="R227">
        <v>1401</v>
      </c>
      <c r="S227">
        <v>3.7513212202462697E-2</v>
      </c>
      <c r="T227">
        <v>1</v>
      </c>
      <c r="U227">
        <v>3613.1680940299998</v>
      </c>
      <c r="V227">
        <v>79832</v>
      </c>
      <c r="W227">
        <v>0.26288754810928999</v>
      </c>
    </row>
    <row r="228" spans="1:23" x14ac:dyDescent="0.2">
      <c r="A228">
        <v>20</v>
      </c>
      <c r="B228">
        <v>1</v>
      </c>
      <c r="C228">
        <v>0.3</v>
      </c>
      <c r="D228">
        <v>6</v>
      </c>
      <c r="E228">
        <v>100</v>
      </c>
      <c r="F228">
        <v>3.5725797200276597E-2</v>
      </c>
      <c r="G228">
        <v>1</v>
      </c>
      <c r="H228">
        <v>30096.233851964</v>
      </c>
      <c r="I228">
        <v>6273</v>
      </c>
      <c r="J228">
        <v>-1.6015129000734873E-8</v>
      </c>
      <c r="K228">
        <v>6274</v>
      </c>
      <c r="L228">
        <v>3.5725797200334503E-2</v>
      </c>
      <c r="M228">
        <v>1</v>
      </c>
      <c r="N228">
        <v>3616.3703716169998</v>
      </c>
      <c r="O228">
        <v>24</v>
      </c>
      <c r="P228">
        <v>1.57963205007365E-2</v>
      </c>
      <c r="Q228">
        <v>20</v>
      </c>
      <c r="R228">
        <v>1704</v>
      </c>
      <c r="S228">
        <v>0.57963042561388101</v>
      </c>
      <c r="T228">
        <v>1</v>
      </c>
      <c r="U228">
        <v>3612.199831683</v>
      </c>
      <c r="V228">
        <v>68784</v>
      </c>
      <c r="W228">
        <v>7.64767513315239</v>
      </c>
    </row>
    <row r="229" spans="1:23" x14ac:dyDescent="0.2">
      <c r="A229">
        <v>20</v>
      </c>
      <c r="B229">
        <v>1</v>
      </c>
      <c r="C229">
        <v>0.3</v>
      </c>
      <c r="D229">
        <v>7</v>
      </c>
      <c r="E229">
        <v>100</v>
      </c>
      <c r="F229">
        <v>3.4447638132970297E-2</v>
      </c>
      <c r="G229">
        <v>1</v>
      </c>
      <c r="H229">
        <v>30147.727350803001</v>
      </c>
      <c r="I229">
        <v>5839</v>
      </c>
      <c r="J229">
        <v>4.9737838977912008E-2</v>
      </c>
      <c r="K229">
        <v>5840</v>
      </c>
      <c r="L229">
        <v>3.4447638132977597E-2</v>
      </c>
      <c r="M229">
        <v>1</v>
      </c>
      <c r="N229">
        <v>3613.7288107149998</v>
      </c>
      <c r="O229">
        <v>0</v>
      </c>
      <c r="P229">
        <v>0.47338372483329999</v>
      </c>
      <c r="Q229">
        <v>20</v>
      </c>
      <c r="R229">
        <v>713</v>
      </c>
      <c r="S229">
        <v>0.403968705082278</v>
      </c>
      <c r="T229">
        <v>1</v>
      </c>
      <c r="U229">
        <v>3614.3565620099998</v>
      </c>
      <c r="V229">
        <v>40122</v>
      </c>
      <c r="W229">
        <v>2.0068155888869699</v>
      </c>
    </row>
    <row r="230" spans="1:23" x14ac:dyDescent="0.2">
      <c r="A230">
        <v>20</v>
      </c>
      <c r="B230">
        <v>1</v>
      </c>
      <c r="C230">
        <v>0.3</v>
      </c>
      <c r="D230">
        <v>8</v>
      </c>
      <c r="E230">
        <v>100</v>
      </c>
      <c r="F230">
        <v>3.7143012482336202E-2</v>
      </c>
      <c r="G230">
        <v>1</v>
      </c>
      <c r="H230">
        <v>30073.493103264998</v>
      </c>
      <c r="I230">
        <v>6283</v>
      </c>
      <c r="J230">
        <v>2.0484546011034999E-2</v>
      </c>
      <c r="K230">
        <v>6287</v>
      </c>
      <c r="L230">
        <v>3.7143012482158302E-2</v>
      </c>
      <c r="M230">
        <v>1</v>
      </c>
      <c r="N230">
        <v>3583.60047399</v>
      </c>
      <c r="O230">
        <v>69</v>
      </c>
      <c r="P230">
        <v>3.9151688367338802E-2</v>
      </c>
      <c r="Q230">
        <v>20</v>
      </c>
      <c r="R230">
        <v>822</v>
      </c>
      <c r="S230">
        <v>0.60923610563549702</v>
      </c>
      <c r="T230">
        <v>1</v>
      </c>
      <c r="U230">
        <v>3610.7553508870001</v>
      </c>
      <c r="V230">
        <v>57773</v>
      </c>
      <c r="W230">
        <v>8.1430712305396895</v>
      </c>
    </row>
    <row r="231" spans="1:23" x14ac:dyDescent="0.2">
      <c r="A231">
        <v>20</v>
      </c>
      <c r="B231">
        <v>1</v>
      </c>
      <c r="C231">
        <v>0.3</v>
      </c>
      <c r="D231">
        <v>9</v>
      </c>
      <c r="E231">
        <v>100</v>
      </c>
      <c r="F231" s="7">
        <v>0.62062663457170397</v>
      </c>
      <c r="G231">
        <v>1</v>
      </c>
      <c r="H231">
        <v>30091.617806329999</v>
      </c>
      <c r="I231">
        <v>7335</v>
      </c>
      <c r="J231">
        <v>1.5228226949543955E-2</v>
      </c>
      <c r="K231">
        <v>7210</v>
      </c>
      <c r="L231">
        <v>7.2565854151993306E-2</v>
      </c>
      <c r="M231">
        <v>1</v>
      </c>
      <c r="N231">
        <v>3367.6257036910001</v>
      </c>
      <c r="O231">
        <v>263</v>
      </c>
      <c r="P231">
        <v>2.10927929206314E-2</v>
      </c>
      <c r="Q231">
        <v>20</v>
      </c>
      <c r="R231">
        <v>1877</v>
      </c>
      <c r="S231">
        <v>0.133731641652899</v>
      </c>
      <c r="T231">
        <v>1</v>
      </c>
      <c r="U231">
        <v>3618.1874009540002</v>
      </c>
      <c r="V231">
        <v>22487</v>
      </c>
      <c r="W231">
        <v>0.76470412627177298</v>
      </c>
    </row>
    <row r="232" spans="1:23" x14ac:dyDescent="0.2">
      <c r="A232">
        <v>20</v>
      </c>
      <c r="B232">
        <v>1</v>
      </c>
      <c r="C232">
        <v>0.3</v>
      </c>
      <c r="D232">
        <v>10</v>
      </c>
      <c r="E232">
        <v>100</v>
      </c>
      <c r="F232">
        <v>2.84665323045286E-2</v>
      </c>
      <c r="G232">
        <v>1</v>
      </c>
      <c r="H232">
        <v>30075.750646247001</v>
      </c>
      <c r="I232">
        <v>6806</v>
      </c>
      <c r="J232">
        <v>1.6028668600315987E-2</v>
      </c>
      <c r="K232">
        <v>6810</v>
      </c>
      <c r="L232">
        <v>2.8466532304484499E-2</v>
      </c>
      <c r="M232">
        <v>1</v>
      </c>
      <c r="N232">
        <v>3491.112284502</v>
      </c>
      <c r="O232">
        <v>211</v>
      </c>
      <c r="P232">
        <v>8.5507491552476705E-3</v>
      </c>
      <c r="Q232">
        <v>20</v>
      </c>
      <c r="R232">
        <v>1517</v>
      </c>
      <c r="S232">
        <v>3.6899236128578601E-2</v>
      </c>
      <c r="T232">
        <v>1</v>
      </c>
      <c r="U232">
        <v>3612.867840978</v>
      </c>
      <c r="V232">
        <v>82076</v>
      </c>
      <c r="W232">
        <v>0.144289306814471</v>
      </c>
    </row>
    <row r="233" spans="1:23" x14ac:dyDescent="0.2">
      <c r="A233">
        <v>20</v>
      </c>
      <c r="B233">
        <v>1</v>
      </c>
      <c r="C233">
        <v>0.3</v>
      </c>
      <c r="D233">
        <v>11</v>
      </c>
      <c r="E233">
        <v>100</v>
      </c>
      <c r="F233" s="5">
        <v>2.6959956030854E-2</v>
      </c>
      <c r="G233">
        <v>1</v>
      </c>
      <c r="H233">
        <v>30062.757271704999</v>
      </c>
      <c r="I233">
        <v>6964</v>
      </c>
      <c r="J233">
        <v>1.7498553684577978E-2</v>
      </c>
      <c r="K233">
        <v>6965</v>
      </c>
      <c r="L233">
        <v>2.69599560308076E-2</v>
      </c>
      <c r="M233">
        <v>1</v>
      </c>
      <c r="N233">
        <v>586.49973123500001</v>
      </c>
      <c r="O233">
        <v>63</v>
      </c>
      <c r="P233">
        <v>8.0922542199017792E-3</v>
      </c>
      <c r="Q233">
        <v>7</v>
      </c>
      <c r="R233">
        <v>64</v>
      </c>
      <c r="S233">
        <v>1.12735633673494</v>
      </c>
      <c r="T233">
        <v>1</v>
      </c>
      <c r="U233">
        <v>3639.3779147189998</v>
      </c>
      <c r="V233">
        <v>19629</v>
      </c>
      <c r="W233">
        <v>9.9088797204449897</v>
      </c>
    </row>
    <row r="234" spans="1:23" x14ac:dyDescent="0.2">
      <c r="A234">
        <v>20</v>
      </c>
      <c r="B234">
        <v>1</v>
      </c>
      <c r="C234">
        <v>0.3</v>
      </c>
      <c r="D234">
        <v>12</v>
      </c>
      <c r="E234">
        <v>100</v>
      </c>
      <c r="F234" s="5">
        <v>0.30525675054061902</v>
      </c>
      <c r="G234">
        <v>1</v>
      </c>
      <c r="H234">
        <v>30105.672847769001</v>
      </c>
      <c r="I234">
        <v>7568</v>
      </c>
      <c r="J234">
        <v>2.6828793878700186E-2</v>
      </c>
      <c r="K234">
        <v>7519</v>
      </c>
      <c r="L234">
        <v>6.3285195296399102E-2</v>
      </c>
      <c r="M234">
        <v>1</v>
      </c>
      <c r="N234">
        <v>3641.9614475789999</v>
      </c>
      <c r="O234">
        <v>75</v>
      </c>
      <c r="P234">
        <v>7.7424318797529201E-2</v>
      </c>
      <c r="Q234">
        <v>20</v>
      </c>
      <c r="R234">
        <v>1421</v>
      </c>
      <c r="S234">
        <v>0.47493478258077898</v>
      </c>
      <c r="T234">
        <v>1</v>
      </c>
      <c r="U234">
        <v>3636.4389823400002</v>
      </c>
      <c r="V234">
        <v>26245</v>
      </c>
      <c r="W234">
        <v>12.407224373648701</v>
      </c>
    </row>
    <row r="235" spans="1:23" x14ac:dyDescent="0.2">
      <c r="A235">
        <v>20</v>
      </c>
      <c r="B235">
        <v>1</v>
      </c>
      <c r="C235">
        <v>0.3</v>
      </c>
      <c r="D235">
        <v>13</v>
      </c>
      <c r="E235">
        <v>100</v>
      </c>
      <c r="F235">
        <v>3.4566352540089301E-2</v>
      </c>
      <c r="G235" s="7">
        <v>1</v>
      </c>
      <c r="H235">
        <v>30065.921055881001</v>
      </c>
      <c r="I235">
        <v>7218</v>
      </c>
      <c r="J235">
        <v>1.7325951181899946E-2</v>
      </c>
      <c r="K235">
        <v>7223</v>
      </c>
      <c r="L235">
        <v>3.4566352539781603E-2</v>
      </c>
      <c r="M235">
        <v>1</v>
      </c>
      <c r="N235">
        <v>3421.6015674310001</v>
      </c>
      <c r="O235">
        <v>101</v>
      </c>
      <c r="P235">
        <v>3.5177220218015302E-2</v>
      </c>
      <c r="Q235">
        <v>20</v>
      </c>
      <c r="R235">
        <v>922</v>
      </c>
      <c r="S235">
        <v>0.118627280126611</v>
      </c>
      <c r="T235">
        <v>1</v>
      </c>
      <c r="U235">
        <v>3612.792339136</v>
      </c>
      <c r="V235">
        <v>67271</v>
      </c>
      <c r="W235">
        <v>1.44822942696475</v>
      </c>
    </row>
    <row r="236" spans="1:23" x14ac:dyDescent="0.2">
      <c r="A236">
        <v>20</v>
      </c>
      <c r="B236">
        <v>1</v>
      </c>
      <c r="C236">
        <v>0.3</v>
      </c>
      <c r="D236">
        <v>14</v>
      </c>
      <c r="E236">
        <v>100</v>
      </c>
      <c r="F236">
        <v>0.28434813097878298</v>
      </c>
      <c r="G236" s="7">
        <v>1</v>
      </c>
      <c r="H236">
        <v>30097.092340464002</v>
      </c>
      <c r="I236">
        <v>5852</v>
      </c>
      <c r="J236">
        <v>2.2768090899621007E-2</v>
      </c>
      <c r="K236">
        <v>5857</v>
      </c>
      <c r="L236">
        <v>0.28434813097904998</v>
      </c>
      <c r="M236">
        <v>1</v>
      </c>
      <c r="N236">
        <v>3451.9290321550002</v>
      </c>
      <c r="O236">
        <v>104</v>
      </c>
      <c r="P236">
        <v>2.3606627135910298E-2</v>
      </c>
      <c r="Q236">
        <v>20</v>
      </c>
      <c r="R236">
        <v>939</v>
      </c>
      <c r="S236">
        <v>0.47785130928972303</v>
      </c>
      <c r="T236">
        <v>1</v>
      </c>
      <c r="U236">
        <v>3610.0979654359999</v>
      </c>
      <c r="V236">
        <v>64483</v>
      </c>
      <c r="W236">
        <v>0.94463963090675995</v>
      </c>
    </row>
    <row r="237" spans="1:23" x14ac:dyDescent="0.2">
      <c r="A237">
        <v>20</v>
      </c>
      <c r="B237">
        <v>1</v>
      </c>
      <c r="C237">
        <v>0.3</v>
      </c>
      <c r="D237">
        <v>15</v>
      </c>
      <c r="E237">
        <v>100</v>
      </c>
      <c r="F237" s="7">
        <v>4.4092476700845602E-2</v>
      </c>
      <c r="G237">
        <v>1</v>
      </c>
      <c r="H237">
        <v>30097.382841798</v>
      </c>
      <c r="I237">
        <v>4967</v>
      </c>
      <c r="J237">
        <v>2.3954727887885996E-2</v>
      </c>
      <c r="K237">
        <v>4968</v>
      </c>
      <c r="L237">
        <v>4.4092476701114297E-2</v>
      </c>
      <c r="M237">
        <v>1</v>
      </c>
      <c r="N237">
        <v>3489.8610271719999</v>
      </c>
      <c r="O237">
        <v>1</v>
      </c>
      <c r="P237">
        <v>4.2506213789238197E-2</v>
      </c>
      <c r="Q237">
        <v>20</v>
      </c>
      <c r="R237">
        <v>896</v>
      </c>
      <c r="S237">
        <v>0.256728065533607</v>
      </c>
      <c r="T237">
        <v>1</v>
      </c>
      <c r="U237">
        <v>3612.3926446790001</v>
      </c>
      <c r="V237">
        <v>53287</v>
      </c>
      <c r="W237">
        <v>2.8150802103405401</v>
      </c>
    </row>
    <row r="238" spans="1:23" x14ac:dyDescent="0.2">
      <c r="A238">
        <v>20</v>
      </c>
      <c r="B238">
        <v>1</v>
      </c>
      <c r="C238">
        <v>0.3</v>
      </c>
      <c r="D238">
        <v>16</v>
      </c>
      <c r="E238">
        <v>100</v>
      </c>
      <c r="F238">
        <v>4.7082020220716302E-2</v>
      </c>
      <c r="G238">
        <v>1</v>
      </c>
      <c r="H238">
        <v>30085.357665545002</v>
      </c>
      <c r="I238">
        <v>4912</v>
      </c>
      <c r="J238">
        <v>1.566054921940202E-2</v>
      </c>
      <c r="K238">
        <v>4916</v>
      </c>
      <c r="L238">
        <v>4.7082020220712097E-2</v>
      </c>
      <c r="M238">
        <v>1</v>
      </c>
      <c r="N238">
        <v>3599.3124682930002</v>
      </c>
      <c r="O238">
        <v>63</v>
      </c>
      <c r="P238">
        <v>1.7788683094948798E-2</v>
      </c>
      <c r="Q238">
        <v>20</v>
      </c>
      <c r="R238">
        <v>583</v>
      </c>
      <c r="S238">
        <v>9.2377010726154701E-2</v>
      </c>
      <c r="T238">
        <v>1</v>
      </c>
      <c r="U238">
        <v>3613.0236404930001</v>
      </c>
      <c r="V238">
        <v>57157</v>
      </c>
      <c r="W238">
        <v>0.262903304713553</v>
      </c>
    </row>
    <row r="239" spans="1:23" x14ac:dyDescent="0.2">
      <c r="A239">
        <v>20</v>
      </c>
      <c r="B239">
        <v>1</v>
      </c>
      <c r="C239">
        <v>0.3</v>
      </c>
      <c r="D239">
        <v>17</v>
      </c>
      <c r="E239">
        <v>100</v>
      </c>
      <c r="F239" s="7">
        <v>2.6135921659087898E-2</v>
      </c>
      <c r="G239">
        <v>1</v>
      </c>
      <c r="H239">
        <v>30108.056596783001</v>
      </c>
      <c r="I239">
        <v>6512</v>
      </c>
      <c r="J239">
        <v>8.8934447414139584E-3</v>
      </c>
      <c r="K239">
        <v>6517</v>
      </c>
      <c r="L239">
        <v>2.6135921659594299E-2</v>
      </c>
      <c r="M239">
        <v>1</v>
      </c>
      <c r="N239">
        <v>292.90182318799998</v>
      </c>
      <c r="O239">
        <v>39</v>
      </c>
      <c r="P239">
        <v>5.7365771544366497E-3</v>
      </c>
      <c r="Q239">
        <v>4</v>
      </c>
      <c r="R239">
        <v>39</v>
      </c>
      <c r="S239">
        <v>1.3391770031949899</v>
      </c>
      <c r="T239">
        <v>1</v>
      </c>
      <c r="U239">
        <v>3610.876438842</v>
      </c>
      <c r="V239">
        <v>55631</v>
      </c>
      <c r="W239">
        <v>3.1157315599394302</v>
      </c>
    </row>
    <row r="240" spans="1:23" x14ac:dyDescent="0.2">
      <c r="A240">
        <v>20</v>
      </c>
      <c r="B240">
        <v>1</v>
      </c>
      <c r="C240">
        <v>0.3</v>
      </c>
      <c r="D240">
        <v>18</v>
      </c>
      <c r="E240">
        <v>100</v>
      </c>
      <c r="F240" s="7">
        <v>1.07494642382275E-2</v>
      </c>
      <c r="G240">
        <v>1</v>
      </c>
      <c r="H240">
        <v>18815.227174723001</v>
      </c>
      <c r="I240">
        <v>10754</v>
      </c>
      <c r="J240" s="1">
        <v>3.3714088880643001E-5</v>
      </c>
      <c r="K240">
        <v>10309</v>
      </c>
      <c r="L240">
        <v>1.01767504590383E-2</v>
      </c>
      <c r="M240">
        <v>1</v>
      </c>
      <c r="N240">
        <v>205.53383200499999</v>
      </c>
      <c r="O240">
        <v>1</v>
      </c>
      <c r="P240">
        <v>3.7453810866560598E-3</v>
      </c>
      <c r="Q240">
        <v>4</v>
      </c>
      <c r="R240">
        <v>1</v>
      </c>
      <c r="S240">
        <v>0.14376145261172901</v>
      </c>
      <c r="T240">
        <v>1</v>
      </c>
      <c r="U240">
        <v>3611.8744018269999</v>
      </c>
      <c r="V240">
        <v>75181</v>
      </c>
      <c r="W240">
        <v>0.59270051355569797</v>
      </c>
    </row>
    <row r="241" spans="1:23" x14ac:dyDescent="0.2">
      <c r="A241">
        <v>20</v>
      </c>
      <c r="B241">
        <v>1</v>
      </c>
      <c r="C241">
        <v>0.3</v>
      </c>
      <c r="D241">
        <v>19</v>
      </c>
      <c r="E241">
        <v>100</v>
      </c>
      <c r="F241">
        <v>6.0396988513460599E-2</v>
      </c>
      <c r="G241" s="7">
        <v>1</v>
      </c>
      <c r="H241">
        <v>30039.152198674001</v>
      </c>
      <c r="I241">
        <v>6310</v>
      </c>
      <c r="J241">
        <v>5.586818892801293E-2</v>
      </c>
      <c r="K241">
        <v>6315</v>
      </c>
      <c r="L241">
        <v>6.0396988513472E-2</v>
      </c>
      <c r="M241">
        <v>1</v>
      </c>
      <c r="N241">
        <v>3621.0251067469999</v>
      </c>
      <c r="O241">
        <v>98</v>
      </c>
      <c r="P241">
        <v>3.0406440795559299E-2</v>
      </c>
      <c r="Q241">
        <v>20</v>
      </c>
      <c r="R241">
        <v>722</v>
      </c>
      <c r="S241">
        <v>0.259888190698431</v>
      </c>
      <c r="T241">
        <v>1</v>
      </c>
      <c r="U241">
        <v>3611.724839384</v>
      </c>
      <c r="V241">
        <v>47483</v>
      </c>
      <c r="W241">
        <v>1.12992640225159</v>
      </c>
    </row>
    <row r="242" spans="1:23" x14ac:dyDescent="0.2">
      <c r="A242">
        <v>20</v>
      </c>
      <c r="B242">
        <v>1</v>
      </c>
      <c r="C242">
        <v>0.3</v>
      </c>
      <c r="D242">
        <v>20</v>
      </c>
      <c r="E242">
        <v>100</v>
      </c>
      <c r="F242">
        <v>4.2610892377649097E-2</v>
      </c>
      <c r="G242" s="7">
        <v>1</v>
      </c>
      <c r="H242">
        <v>30099.280946878</v>
      </c>
      <c r="I242">
        <v>5570</v>
      </c>
      <c r="J242">
        <v>4.1583094101351969E-2</v>
      </c>
      <c r="K242">
        <v>5571</v>
      </c>
      <c r="L242">
        <v>4.2610892377701097E-2</v>
      </c>
      <c r="M242">
        <v>1</v>
      </c>
      <c r="N242">
        <v>3641.4327423489999</v>
      </c>
      <c r="O242">
        <v>42</v>
      </c>
      <c r="P242">
        <v>2.69419061608978E-2</v>
      </c>
      <c r="Q242">
        <v>20</v>
      </c>
      <c r="R242">
        <v>677</v>
      </c>
      <c r="S242">
        <v>7.2202990354391094E-2</v>
      </c>
      <c r="T242">
        <v>1</v>
      </c>
      <c r="U242">
        <v>3609.7488526329998</v>
      </c>
      <c r="V242">
        <v>65246</v>
      </c>
      <c r="W242">
        <v>0.41306572276035702</v>
      </c>
    </row>
    <row r="243" spans="1:23" x14ac:dyDescent="0.2">
      <c r="F243" s="7"/>
    </row>
    <row r="244" spans="1:23" x14ac:dyDescent="0.2">
      <c r="F244"/>
      <c r="I244" s="1"/>
    </row>
    <row r="245" spans="1:23" x14ac:dyDescent="0.2">
      <c r="F245"/>
    </row>
    <row r="246" spans="1:23" x14ac:dyDescent="0.2">
      <c r="F246"/>
    </row>
    <row r="271" spans="16:16" x14ac:dyDescent="0.2">
      <c r="P271" s="1"/>
    </row>
    <row r="278" spans="10:16" x14ac:dyDescent="0.2">
      <c r="J278" s="1"/>
      <c r="P278" s="1"/>
    </row>
    <row r="298" spans="16:16" x14ac:dyDescent="0.2">
      <c r="P298" s="1"/>
    </row>
    <row r="299" spans="16:16" x14ac:dyDescent="0.2">
      <c r="P299" s="1"/>
    </row>
    <row r="322" spans="10:16" x14ac:dyDescent="0.2">
      <c r="P322" s="1"/>
    </row>
    <row r="331" spans="10:16" x14ac:dyDescent="0.2">
      <c r="J331" s="1"/>
      <c r="P331" s="1"/>
    </row>
    <row r="347" spans="16:16" x14ac:dyDescent="0.2">
      <c r="P347" s="1"/>
    </row>
    <row r="358" spans="10:16" x14ac:dyDescent="0.2">
      <c r="P358" s="1"/>
    </row>
    <row r="360" spans="10:16" x14ac:dyDescent="0.2">
      <c r="J360" s="1"/>
    </row>
    <row r="418" spans="10:10" x14ac:dyDescent="0.2">
      <c r="J418" s="1"/>
    </row>
    <row r="422" spans="10:10" x14ac:dyDescent="0.2">
      <c r="J422" s="1"/>
    </row>
    <row r="433" spans="10:10" x14ac:dyDescent="0.2">
      <c r="J433" s="1"/>
    </row>
    <row r="438" spans="10:10" x14ac:dyDescent="0.2">
      <c r="J438" s="1"/>
    </row>
    <row r="456" spans="10:10" x14ac:dyDescent="0.2">
      <c r="J456" s="1"/>
    </row>
    <row r="481" spans="10:10" x14ac:dyDescent="0.2">
      <c r="J481" s="1"/>
    </row>
    <row r="510" spans="16:16" x14ac:dyDescent="0.2">
      <c r="P510" s="1"/>
    </row>
    <row r="514" spans="1:17" x14ac:dyDescent="0.2">
      <c r="A514" s="4"/>
      <c r="B514" s="4"/>
      <c r="C514" s="4"/>
      <c r="D514" s="4"/>
      <c r="E514" s="4"/>
      <c r="F514" s="6"/>
      <c r="G514" s="4"/>
      <c r="H514" s="4"/>
      <c r="I514" s="4"/>
      <c r="J514" s="4"/>
      <c r="K514" s="4"/>
      <c r="L514" s="6"/>
      <c r="M514" s="4"/>
      <c r="N514" s="4"/>
      <c r="O514" s="4"/>
      <c r="P514" s="4"/>
      <c r="Q514" s="4"/>
    </row>
    <row r="515" spans="1:17" x14ac:dyDescent="0.2">
      <c r="E515" s="4"/>
    </row>
    <row r="516" spans="1:17" x14ac:dyDescent="0.2">
      <c r="E516" s="4"/>
    </row>
    <row r="517" spans="1:17" x14ac:dyDescent="0.2">
      <c r="E517" s="4"/>
    </row>
    <row r="518" spans="1:17" x14ac:dyDescent="0.2">
      <c r="E518" s="4"/>
    </row>
    <row r="519" spans="1:17" x14ac:dyDescent="0.2">
      <c r="E519" s="4"/>
    </row>
    <row r="520" spans="1:17" x14ac:dyDescent="0.2">
      <c r="E520" s="4"/>
    </row>
    <row r="521" spans="1:17" x14ac:dyDescent="0.2">
      <c r="E521" s="4"/>
    </row>
    <row r="522" spans="1:17" x14ac:dyDescent="0.2">
      <c r="E522" s="4"/>
    </row>
    <row r="523" spans="1:17" x14ac:dyDescent="0.2">
      <c r="E523" s="4"/>
    </row>
    <row r="526" spans="1:17" x14ac:dyDescent="0.2">
      <c r="P526" s="1"/>
    </row>
    <row r="586" ht="17" customHeight="1" x14ac:dyDescent="0.2"/>
    <row r="588" ht="15" customHeight="1" x14ac:dyDescent="0.2"/>
    <row r="607" spans="16:16" x14ac:dyDescent="0.2">
      <c r="P607" s="1"/>
    </row>
    <row r="620" spans="16:16" x14ac:dyDescent="0.2">
      <c r="P620" s="1"/>
    </row>
    <row r="622" spans="16:16" x14ac:dyDescent="0.2">
      <c r="P622" s="1"/>
    </row>
    <row r="640" spans="16:16" x14ac:dyDescent="0.2">
      <c r="P640" s="1"/>
    </row>
    <row r="701" spans="1:17" x14ac:dyDescent="0.2">
      <c r="A701" s="4"/>
      <c r="B701" s="4"/>
      <c r="C701" s="4"/>
      <c r="D701" s="4"/>
      <c r="E701" s="4"/>
      <c r="F701" s="6"/>
      <c r="G701" s="4"/>
      <c r="H701" s="4"/>
      <c r="I701" s="4"/>
      <c r="J701" s="4"/>
      <c r="K701" s="4"/>
      <c r="L701" s="6"/>
      <c r="M701" s="4"/>
      <c r="N701" s="4"/>
      <c r="O701" s="4"/>
      <c r="P701" s="4"/>
      <c r="Q701" s="4"/>
    </row>
    <row r="702" spans="1:17" x14ac:dyDescent="0.2">
      <c r="A702" s="4"/>
      <c r="B702" s="4"/>
      <c r="C702" s="4"/>
      <c r="D702" s="4"/>
      <c r="E702" s="4"/>
      <c r="F702" s="6"/>
      <c r="G702" s="4"/>
      <c r="H702" s="4"/>
      <c r="I702" s="4"/>
      <c r="J702" s="4"/>
      <c r="K702" s="4"/>
      <c r="L702" s="6"/>
      <c r="M702" s="4"/>
      <c r="N702" s="4"/>
      <c r="O702" s="4"/>
      <c r="P702" s="4"/>
      <c r="Q702" s="4"/>
    </row>
    <row r="703" spans="1:17" x14ac:dyDescent="0.2">
      <c r="A703" s="4"/>
      <c r="B703" s="4"/>
      <c r="C703" s="4"/>
      <c r="D703" s="4"/>
      <c r="E703" s="4"/>
      <c r="F703" s="6"/>
      <c r="G703" s="4"/>
      <c r="H703" s="4"/>
      <c r="I703" s="4"/>
      <c r="J703" s="4"/>
      <c r="K703" s="4"/>
      <c r="L703" s="6"/>
      <c r="M703" s="4"/>
      <c r="N703" s="4"/>
      <c r="O703" s="4"/>
      <c r="P703" s="4"/>
      <c r="Q703" s="4"/>
    </row>
    <row r="704" spans="1:17" x14ac:dyDescent="0.2">
      <c r="A704" s="4"/>
      <c r="B704" s="4"/>
      <c r="C704" s="4"/>
      <c r="D704" s="4"/>
      <c r="E704" s="4"/>
      <c r="F704" s="6"/>
      <c r="G704" s="4"/>
      <c r="H704" s="4"/>
      <c r="I704" s="4"/>
      <c r="J704" s="4"/>
      <c r="K704" s="4"/>
      <c r="L704" s="6"/>
      <c r="M704" s="4"/>
      <c r="N704" s="4"/>
      <c r="O704" s="4"/>
      <c r="P704" s="4"/>
      <c r="Q704" s="4"/>
    </row>
    <row r="705" spans="1:17" x14ac:dyDescent="0.2">
      <c r="A705" s="4"/>
      <c r="B705" s="4"/>
      <c r="C705" s="4"/>
      <c r="D705" s="4"/>
      <c r="E705" s="4"/>
      <c r="F705" s="6"/>
      <c r="G705" s="4"/>
      <c r="H705" s="4"/>
      <c r="I705" s="4"/>
      <c r="J705" s="4"/>
      <c r="K705" s="4"/>
      <c r="L705" s="6"/>
      <c r="M705" s="4"/>
      <c r="N705" s="4"/>
      <c r="O705" s="4"/>
      <c r="P705" s="4"/>
      <c r="Q705" s="4"/>
    </row>
    <row r="706" spans="1:17" x14ac:dyDescent="0.2">
      <c r="A706" s="4"/>
      <c r="B706" s="4"/>
      <c r="C706" s="4"/>
      <c r="D706" s="4"/>
      <c r="E706" s="4"/>
      <c r="F706" s="6"/>
      <c r="G706" s="4"/>
      <c r="H706" s="4"/>
      <c r="I706" s="4"/>
      <c r="J706" s="4"/>
      <c r="K706" s="4"/>
      <c r="L706" s="6"/>
      <c r="M706" s="4"/>
      <c r="N706" s="4"/>
      <c r="O706" s="4"/>
      <c r="P706" s="4"/>
      <c r="Q706" s="4"/>
    </row>
    <row r="707" spans="1:17" x14ac:dyDescent="0.2">
      <c r="A707" s="4"/>
      <c r="B707" s="4"/>
      <c r="C707" s="4"/>
      <c r="D707" s="4"/>
      <c r="E707" s="4"/>
      <c r="F707" s="6"/>
      <c r="G707" s="4"/>
      <c r="H707" s="4"/>
      <c r="I707" s="4"/>
      <c r="J707" s="4"/>
      <c r="K707" s="4"/>
      <c r="L707" s="6"/>
      <c r="M707" s="4"/>
      <c r="N707" s="4"/>
      <c r="O707" s="4"/>
      <c r="P707" s="4"/>
      <c r="Q707" s="4"/>
    </row>
    <row r="708" spans="1:17" x14ac:dyDescent="0.2">
      <c r="A708" s="4"/>
      <c r="B708" s="4"/>
      <c r="C708" s="4"/>
      <c r="D708" s="4"/>
      <c r="E708" s="4"/>
      <c r="F708" s="6"/>
      <c r="G708" s="4"/>
      <c r="H708" s="4"/>
      <c r="I708" s="4"/>
      <c r="J708" s="4"/>
      <c r="K708" s="4"/>
      <c r="L708" s="6"/>
      <c r="M708" s="4"/>
      <c r="N708" s="4"/>
      <c r="O708" s="4"/>
      <c r="P708" s="4"/>
      <c r="Q708" s="4"/>
    </row>
    <row r="776" spans="6:12" x14ac:dyDescent="0.2">
      <c r="F776" s="7"/>
      <c r="L776" s="7"/>
    </row>
    <row r="777" spans="6:12" x14ac:dyDescent="0.2">
      <c r="F777" s="7"/>
      <c r="L777" s="7"/>
    </row>
    <row r="778" spans="6:12" x14ac:dyDescent="0.2">
      <c r="F778" s="7"/>
      <c r="L778" s="7"/>
    </row>
    <row r="779" spans="6:12" x14ac:dyDescent="0.2">
      <c r="F779" s="7"/>
      <c r="L779" s="7"/>
    </row>
    <row r="780" spans="6:12" x14ac:dyDescent="0.2">
      <c r="F780" s="7"/>
      <c r="L780" s="7"/>
    </row>
    <row r="781" spans="6:12" x14ac:dyDescent="0.2">
      <c r="F781" s="7"/>
      <c r="L781" s="7"/>
    </row>
    <row r="782" spans="6:12" x14ac:dyDescent="0.2">
      <c r="F782" s="7"/>
      <c r="L782" s="7"/>
    </row>
    <row r="783" spans="6:12" x14ac:dyDescent="0.2">
      <c r="F783" s="7"/>
      <c r="L783" s="7"/>
    </row>
    <row r="784" spans="6:12" x14ac:dyDescent="0.2">
      <c r="F784" s="7"/>
      <c r="L784" s="7"/>
    </row>
    <row r="785" spans="6:12" x14ac:dyDescent="0.2">
      <c r="F785" s="7"/>
      <c r="L785" s="7"/>
    </row>
    <row r="786" spans="6:12" x14ac:dyDescent="0.2">
      <c r="F786" s="7"/>
      <c r="L786" s="7"/>
    </row>
    <row r="787" spans="6:12" x14ac:dyDescent="0.2">
      <c r="F787" s="7"/>
      <c r="L787" s="7"/>
    </row>
    <row r="788" spans="6:12" x14ac:dyDescent="0.2">
      <c r="F788" s="7"/>
      <c r="L788" s="7"/>
    </row>
    <row r="789" spans="6:12" x14ac:dyDescent="0.2">
      <c r="F789" s="7"/>
      <c r="L789" s="7"/>
    </row>
    <row r="790" spans="6:12" x14ac:dyDescent="0.2">
      <c r="F790" s="7"/>
      <c r="L790" s="7"/>
    </row>
    <row r="791" spans="6:12" x14ac:dyDescent="0.2">
      <c r="F791" s="7"/>
      <c r="L791" s="7"/>
    </row>
    <row r="792" spans="6:12" x14ac:dyDescent="0.2">
      <c r="F792" s="7"/>
      <c r="L792" s="7"/>
    </row>
    <row r="793" spans="6:12" x14ac:dyDescent="0.2">
      <c r="F793" s="7"/>
      <c r="L793" s="7"/>
    </row>
    <row r="794" spans="6:12" x14ac:dyDescent="0.2">
      <c r="F794" s="7"/>
      <c r="L794" s="7"/>
    </row>
    <row r="795" spans="6:12" x14ac:dyDescent="0.2">
      <c r="F795" s="7"/>
      <c r="L795" s="7"/>
    </row>
    <row r="796" spans="6:12" x14ac:dyDescent="0.2">
      <c r="F796" s="7"/>
      <c r="L796" s="7"/>
    </row>
    <row r="797" spans="6:12" x14ac:dyDescent="0.2">
      <c r="F797" s="7"/>
      <c r="L797" s="7"/>
    </row>
    <row r="798" spans="6:12" x14ac:dyDescent="0.2">
      <c r="F798" s="7"/>
      <c r="L798" s="7"/>
    </row>
    <row r="799" spans="6:12" x14ac:dyDescent="0.2">
      <c r="F799" s="7"/>
      <c r="L799" s="7"/>
    </row>
    <row r="800" spans="6:12" x14ac:dyDescent="0.2">
      <c r="F800" s="7"/>
      <c r="L800" s="7"/>
    </row>
    <row r="801" spans="6:12" x14ac:dyDescent="0.2">
      <c r="F801" s="7"/>
      <c r="L801" s="7"/>
    </row>
    <row r="802" spans="6:12" x14ac:dyDescent="0.2">
      <c r="F802" s="7"/>
      <c r="L802" s="7"/>
    </row>
    <row r="803" spans="6:12" x14ac:dyDescent="0.2">
      <c r="F803" s="7"/>
      <c r="L803" s="7"/>
    </row>
    <row r="804" spans="6:12" x14ac:dyDescent="0.2">
      <c r="F804" s="7"/>
      <c r="L804" s="7"/>
    </row>
    <row r="805" spans="6:12" x14ac:dyDescent="0.2">
      <c r="F805" s="7"/>
      <c r="L805" s="7"/>
    </row>
    <row r="806" spans="6:12" x14ac:dyDescent="0.2">
      <c r="F806" s="7"/>
      <c r="L806" s="7"/>
    </row>
    <row r="807" spans="6:12" x14ac:dyDescent="0.2">
      <c r="F807" s="7"/>
      <c r="L807" s="7"/>
    </row>
    <row r="808" spans="6:12" x14ac:dyDescent="0.2">
      <c r="F808" s="7"/>
      <c r="L808" s="7"/>
    </row>
    <row r="809" spans="6:12" x14ac:dyDescent="0.2">
      <c r="F809" s="7"/>
      <c r="L809" s="7"/>
    </row>
    <row r="810" spans="6:12" x14ac:dyDescent="0.2">
      <c r="F810"/>
      <c r="L810"/>
    </row>
    <row r="811" spans="6:12" x14ac:dyDescent="0.2">
      <c r="F811"/>
      <c r="L811"/>
    </row>
    <row r="812" spans="6:12" x14ac:dyDescent="0.2">
      <c r="F812"/>
      <c r="L812"/>
    </row>
    <row r="813" spans="6:12" x14ac:dyDescent="0.2">
      <c r="F813"/>
      <c r="L813"/>
    </row>
    <row r="814" spans="6:12" x14ac:dyDescent="0.2">
      <c r="F814"/>
      <c r="L814"/>
    </row>
    <row r="815" spans="6:12" x14ac:dyDescent="0.2">
      <c r="F815"/>
      <c r="L815"/>
    </row>
    <row r="816" spans="6:12" x14ac:dyDescent="0.2">
      <c r="F816"/>
      <c r="L816"/>
    </row>
    <row r="817" spans="6:12" x14ac:dyDescent="0.2">
      <c r="F817"/>
      <c r="L817"/>
    </row>
    <row r="818" spans="6:12" x14ac:dyDescent="0.2">
      <c r="F818"/>
      <c r="L818"/>
    </row>
    <row r="819" spans="6:12" x14ac:dyDescent="0.2">
      <c r="F819"/>
      <c r="L819"/>
    </row>
    <row r="820" spans="6:12" x14ac:dyDescent="0.2">
      <c r="F820"/>
      <c r="L820"/>
    </row>
    <row r="821" spans="6:12" x14ac:dyDescent="0.2">
      <c r="F821"/>
      <c r="L821"/>
    </row>
    <row r="822" spans="6:12" x14ac:dyDescent="0.2">
      <c r="F822"/>
      <c r="L822"/>
    </row>
    <row r="823" spans="6:12" x14ac:dyDescent="0.2">
      <c r="F823"/>
      <c r="L823"/>
    </row>
    <row r="824" spans="6:12" x14ac:dyDescent="0.2">
      <c r="F824"/>
      <c r="L824"/>
    </row>
    <row r="825" spans="6:12" x14ac:dyDescent="0.2">
      <c r="F825"/>
      <c r="L825"/>
    </row>
    <row r="826" spans="6:12" x14ac:dyDescent="0.2">
      <c r="F826"/>
      <c r="L826"/>
    </row>
    <row r="827" spans="6:12" x14ac:dyDescent="0.2">
      <c r="F827"/>
      <c r="L827"/>
    </row>
    <row r="828" spans="6:12" x14ac:dyDescent="0.2">
      <c r="F828"/>
      <c r="L828"/>
    </row>
    <row r="829" spans="6:12" x14ac:dyDescent="0.2">
      <c r="F829"/>
      <c r="L829"/>
    </row>
    <row r="830" spans="6:12" x14ac:dyDescent="0.2">
      <c r="F830"/>
      <c r="L830"/>
    </row>
    <row r="831" spans="6:12" x14ac:dyDescent="0.2">
      <c r="F831"/>
      <c r="L831"/>
    </row>
    <row r="832" spans="6:12" x14ac:dyDescent="0.2">
      <c r="F832"/>
      <c r="L832"/>
    </row>
    <row r="833" spans="6:12" x14ac:dyDescent="0.2">
      <c r="F833"/>
      <c r="L833"/>
    </row>
    <row r="834" spans="6:12" x14ac:dyDescent="0.2">
      <c r="F834"/>
      <c r="L834"/>
    </row>
    <row r="835" spans="6:12" x14ac:dyDescent="0.2">
      <c r="F835"/>
      <c r="L835"/>
    </row>
    <row r="836" spans="6:12" x14ac:dyDescent="0.2">
      <c r="F836"/>
      <c r="L836"/>
    </row>
    <row r="837" spans="6:12" x14ac:dyDescent="0.2">
      <c r="F837"/>
      <c r="L837"/>
    </row>
    <row r="838" spans="6:12" x14ac:dyDescent="0.2">
      <c r="F838"/>
      <c r="L838"/>
    </row>
    <row r="839" spans="6:12" x14ac:dyDescent="0.2">
      <c r="F839"/>
      <c r="L839"/>
    </row>
    <row r="840" spans="6:12" x14ac:dyDescent="0.2">
      <c r="F840"/>
      <c r="L840"/>
    </row>
    <row r="841" spans="6:12" x14ac:dyDescent="0.2">
      <c r="F841"/>
      <c r="L841"/>
    </row>
    <row r="842" spans="6:12" x14ac:dyDescent="0.2">
      <c r="F842"/>
      <c r="L842"/>
    </row>
    <row r="843" spans="6:12" x14ac:dyDescent="0.2">
      <c r="F843"/>
      <c r="L843"/>
    </row>
    <row r="844" spans="6:12" x14ac:dyDescent="0.2">
      <c r="F844"/>
      <c r="L844"/>
    </row>
    <row r="845" spans="6:12" x14ac:dyDescent="0.2">
      <c r="F845"/>
      <c r="L845"/>
    </row>
    <row r="846" spans="6:12" x14ac:dyDescent="0.2">
      <c r="F846"/>
      <c r="L846"/>
    </row>
    <row r="847" spans="6:12" x14ac:dyDescent="0.2">
      <c r="F847"/>
      <c r="L847"/>
    </row>
    <row r="848" spans="6:12" x14ac:dyDescent="0.2">
      <c r="F848"/>
      <c r="L848"/>
    </row>
    <row r="849" spans="6:12" x14ac:dyDescent="0.2">
      <c r="F849"/>
      <c r="L849"/>
    </row>
    <row r="850" spans="6:12" x14ac:dyDescent="0.2">
      <c r="F850"/>
      <c r="L850"/>
    </row>
    <row r="851" spans="6:12" x14ac:dyDescent="0.2">
      <c r="F851"/>
      <c r="L851"/>
    </row>
    <row r="852" spans="6:12" x14ac:dyDescent="0.2">
      <c r="F852"/>
      <c r="L852"/>
    </row>
    <row r="853" spans="6:12" x14ac:dyDescent="0.2">
      <c r="F853"/>
      <c r="L853"/>
    </row>
    <row r="854" spans="6:12" x14ac:dyDescent="0.2">
      <c r="F854"/>
      <c r="L854"/>
    </row>
    <row r="855" spans="6:12" x14ac:dyDescent="0.2">
      <c r="F855"/>
      <c r="L855"/>
    </row>
    <row r="856" spans="6:12" x14ac:dyDescent="0.2">
      <c r="F856"/>
      <c r="L856"/>
    </row>
    <row r="857" spans="6:12" x14ac:dyDescent="0.2">
      <c r="F857"/>
      <c r="L857"/>
    </row>
    <row r="858" spans="6:12" x14ac:dyDescent="0.2">
      <c r="F858"/>
      <c r="L858"/>
    </row>
    <row r="859" spans="6:12" x14ac:dyDescent="0.2">
      <c r="F859"/>
      <c r="L859"/>
    </row>
    <row r="860" spans="6:12" x14ac:dyDescent="0.2">
      <c r="F860"/>
      <c r="L860"/>
    </row>
    <row r="861" spans="6:12" x14ac:dyDescent="0.2">
      <c r="F861"/>
      <c r="L861"/>
    </row>
    <row r="862" spans="6:12" x14ac:dyDescent="0.2">
      <c r="F862"/>
      <c r="L862"/>
    </row>
    <row r="863" spans="6:12" x14ac:dyDescent="0.2">
      <c r="F863"/>
      <c r="L863"/>
    </row>
    <row r="864" spans="6:12" x14ac:dyDescent="0.2">
      <c r="F864"/>
      <c r="L864"/>
    </row>
    <row r="865" spans="6:16" x14ac:dyDescent="0.2">
      <c r="F865"/>
      <c r="L865"/>
    </row>
    <row r="866" spans="6:16" x14ac:dyDescent="0.2">
      <c r="F866"/>
      <c r="L866"/>
    </row>
    <row r="867" spans="6:16" x14ac:dyDescent="0.2">
      <c r="F867"/>
      <c r="J867" s="1"/>
      <c r="L867"/>
      <c r="P867" s="1"/>
    </row>
    <row r="868" spans="6:16" x14ac:dyDescent="0.2">
      <c r="F868"/>
      <c r="J868" s="1"/>
      <c r="L868"/>
      <c r="P868" s="1"/>
    </row>
    <row r="869" spans="6:16" x14ac:dyDescent="0.2">
      <c r="F869"/>
      <c r="L869"/>
    </row>
    <row r="870" spans="6:16" x14ac:dyDescent="0.2">
      <c r="F870"/>
      <c r="L870"/>
    </row>
    <row r="871" spans="6:16" x14ac:dyDescent="0.2">
      <c r="F871"/>
      <c r="L871"/>
    </row>
    <row r="872" spans="6:16" x14ac:dyDescent="0.2">
      <c r="F872"/>
      <c r="L872"/>
    </row>
    <row r="873" spans="6:16" x14ac:dyDescent="0.2">
      <c r="F873"/>
      <c r="L873"/>
    </row>
    <row r="874" spans="6:16" x14ac:dyDescent="0.2">
      <c r="F874"/>
      <c r="L874"/>
    </row>
    <row r="875" spans="6:16" x14ac:dyDescent="0.2">
      <c r="F875"/>
      <c r="L875"/>
    </row>
    <row r="876" spans="6:16" x14ac:dyDescent="0.2">
      <c r="F876"/>
      <c r="L876"/>
    </row>
    <row r="877" spans="6:16" x14ac:dyDescent="0.2">
      <c r="F877"/>
      <c r="J877" s="1"/>
      <c r="L877"/>
      <c r="P877" s="1"/>
    </row>
    <row r="878" spans="6:16" x14ac:dyDescent="0.2">
      <c r="F878"/>
      <c r="L878"/>
    </row>
    <row r="879" spans="6:16" x14ac:dyDescent="0.2">
      <c r="F879"/>
      <c r="L879"/>
    </row>
    <row r="880" spans="6:16" x14ac:dyDescent="0.2">
      <c r="F880"/>
      <c r="J880" s="1"/>
      <c r="L880"/>
      <c r="P880" s="1"/>
    </row>
    <row r="881" spans="6:16" x14ac:dyDescent="0.2">
      <c r="F881"/>
      <c r="L881"/>
      <c r="P881" s="1"/>
    </row>
    <row r="882" spans="6:16" x14ac:dyDescent="0.2">
      <c r="F882"/>
      <c r="L882"/>
    </row>
    <row r="883" spans="6:16" x14ac:dyDescent="0.2">
      <c r="F883"/>
      <c r="J883" s="1"/>
      <c r="L883"/>
      <c r="P883" s="1"/>
    </row>
    <row r="884" spans="6:16" x14ac:dyDescent="0.2">
      <c r="F884"/>
      <c r="L884"/>
    </row>
    <row r="885" spans="6:16" x14ac:dyDescent="0.2">
      <c r="F885"/>
      <c r="L885"/>
    </row>
    <row r="886" spans="6:16" x14ac:dyDescent="0.2">
      <c r="F886"/>
      <c r="J886" s="1"/>
      <c r="L886"/>
      <c r="P886" s="1"/>
    </row>
    <row r="887" spans="6:16" x14ac:dyDescent="0.2">
      <c r="F887"/>
      <c r="J887" s="1"/>
      <c r="L887"/>
      <c r="P887" s="1"/>
    </row>
    <row r="888" spans="6:16" x14ac:dyDescent="0.2">
      <c r="F888"/>
      <c r="L888"/>
    </row>
    <row r="889" spans="6:16" x14ac:dyDescent="0.2">
      <c r="F889"/>
      <c r="L889"/>
    </row>
    <row r="890" spans="6:16" x14ac:dyDescent="0.2">
      <c r="F890"/>
      <c r="J890" s="1"/>
      <c r="L890"/>
      <c r="P890" s="1"/>
    </row>
    <row r="891" spans="6:16" x14ac:dyDescent="0.2">
      <c r="F891"/>
      <c r="L891"/>
    </row>
    <row r="892" spans="6:16" x14ac:dyDescent="0.2">
      <c r="F892"/>
      <c r="L892"/>
    </row>
    <row r="893" spans="6:16" x14ac:dyDescent="0.2">
      <c r="F893"/>
      <c r="J893" s="1"/>
      <c r="L893"/>
      <c r="P893" s="1"/>
    </row>
    <row r="894" spans="6:16" x14ac:dyDescent="0.2">
      <c r="F894"/>
      <c r="L894"/>
    </row>
    <row r="895" spans="6:16" x14ac:dyDescent="0.2">
      <c r="F895"/>
      <c r="L895"/>
    </row>
    <row r="896" spans="6:16" x14ac:dyDescent="0.2">
      <c r="F896"/>
      <c r="L896"/>
    </row>
    <row r="897" spans="6:16" x14ac:dyDescent="0.2">
      <c r="F897"/>
      <c r="L897"/>
    </row>
    <row r="898" spans="6:16" x14ac:dyDescent="0.2">
      <c r="F898"/>
      <c r="L898"/>
    </row>
    <row r="899" spans="6:16" x14ac:dyDescent="0.2">
      <c r="F899"/>
      <c r="L899"/>
    </row>
    <row r="900" spans="6:16" x14ac:dyDescent="0.2">
      <c r="F900"/>
      <c r="J900" s="1"/>
      <c r="L900"/>
      <c r="P900" s="1"/>
    </row>
    <row r="901" spans="6:16" x14ac:dyDescent="0.2">
      <c r="F901"/>
      <c r="J901" s="1"/>
      <c r="L901"/>
      <c r="P901" s="1"/>
    </row>
    <row r="902" spans="6:16" x14ac:dyDescent="0.2">
      <c r="F902"/>
      <c r="J902" s="1"/>
      <c r="L902"/>
      <c r="P902" s="1"/>
    </row>
    <row r="903" spans="6:16" x14ac:dyDescent="0.2">
      <c r="F903"/>
      <c r="L903"/>
    </row>
    <row r="904" spans="6:16" x14ac:dyDescent="0.2">
      <c r="F904"/>
      <c r="L904"/>
    </row>
    <row r="905" spans="6:16" x14ac:dyDescent="0.2">
      <c r="F905"/>
      <c r="L905"/>
    </row>
    <row r="906" spans="6:16" x14ac:dyDescent="0.2">
      <c r="F906"/>
      <c r="J906" s="1"/>
      <c r="L906"/>
      <c r="P906" s="1"/>
    </row>
    <row r="907" spans="6:16" x14ac:dyDescent="0.2">
      <c r="F907"/>
      <c r="L907"/>
    </row>
    <row r="908" spans="6:16" x14ac:dyDescent="0.2">
      <c r="F908"/>
      <c r="L908"/>
    </row>
    <row r="909" spans="6:16" x14ac:dyDescent="0.2">
      <c r="F909"/>
      <c r="J909" s="1"/>
      <c r="L909"/>
      <c r="P909" s="1"/>
    </row>
    <row r="910" spans="6:16" x14ac:dyDescent="0.2">
      <c r="F910"/>
      <c r="L910"/>
    </row>
    <row r="911" spans="6:16" x14ac:dyDescent="0.2">
      <c r="F911"/>
      <c r="L911"/>
    </row>
    <row r="912" spans="6:16" x14ac:dyDescent="0.2">
      <c r="F912"/>
      <c r="L912"/>
    </row>
    <row r="913" spans="6:16" x14ac:dyDescent="0.2">
      <c r="F913"/>
      <c r="L913"/>
    </row>
    <row r="914" spans="6:16" x14ac:dyDescent="0.2">
      <c r="F914"/>
      <c r="L914"/>
    </row>
    <row r="915" spans="6:16" x14ac:dyDescent="0.2">
      <c r="F915"/>
      <c r="L915"/>
    </row>
    <row r="916" spans="6:16" x14ac:dyDescent="0.2">
      <c r="F916"/>
      <c r="J916" s="1"/>
      <c r="L916"/>
    </row>
    <row r="917" spans="6:16" x14ac:dyDescent="0.2">
      <c r="F917"/>
      <c r="J917" s="1"/>
      <c r="L917"/>
    </row>
    <row r="918" spans="6:16" x14ac:dyDescent="0.2">
      <c r="F918"/>
      <c r="L918"/>
    </row>
    <row r="919" spans="6:16" x14ac:dyDescent="0.2">
      <c r="F919"/>
      <c r="L919"/>
    </row>
    <row r="920" spans="6:16" x14ac:dyDescent="0.2">
      <c r="F920"/>
      <c r="L920"/>
    </row>
    <row r="921" spans="6:16" x14ac:dyDescent="0.2">
      <c r="F921"/>
      <c r="J921" s="1"/>
      <c r="L921"/>
    </row>
    <row r="922" spans="6:16" x14ac:dyDescent="0.2">
      <c r="F922"/>
      <c r="L922"/>
    </row>
    <row r="923" spans="6:16" x14ac:dyDescent="0.2">
      <c r="F923"/>
      <c r="L923"/>
      <c r="P923" s="1"/>
    </row>
    <row r="924" spans="6:16" x14ac:dyDescent="0.2">
      <c r="F924"/>
      <c r="L924"/>
    </row>
    <row r="925" spans="6:16" x14ac:dyDescent="0.2">
      <c r="F925"/>
      <c r="L925"/>
    </row>
    <row r="926" spans="6:16" x14ac:dyDescent="0.2">
      <c r="F926"/>
      <c r="L926"/>
    </row>
    <row r="927" spans="6:16" x14ac:dyDescent="0.2">
      <c r="F927"/>
      <c r="J927" s="1"/>
      <c r="L927"/>
    </row>
    <row r="928" spans="6:16" x14ac:dyDescent="0.2">
      <c r="F928"/>
      <c r="L928"/>
    </row>
    <row r="929" spans="6:16" x14ac:dyDescent="0.2">
      <c r="F929"/>
      <c r="J929" s="1"/>
      <c r="L929"/>
      <c r="P929" s="1"/>
    </row>
    <row r="930" spans="6:16" x14ac:dyDescent="0.2">
      <c r="F930"/>
      <c r="J930" s="1"/>
      <c r="L930"/>
      <c r="P930" s="1"/>
    </row>
    <row r="931" spans="6:16" x14ac:dyDescent="0.2">
      <c r="F931"/>
      <c r="L931"/>
    </row>
    <row r="932" spans="6:16" x14ac:dyDescent="0.2">
      <c r="F932"/>
      <c r="L932"/>
    </row>
    <row r="933" spans="6:16" x14ac:dyDescent="0.2">
      <c r="F933"/>
      <c r="L933"/>
    </row>
    <row r="934" spans="6:16" x14ac:dyDescent="0.2">
      <c r="F934"/>
      <c r="L934"/>
    </row>
    <row r="935" spans="6:16" x14ac:dyDescent="0.2">
      <c r="F935"/>
      <c r="L935"/>
    </row>
    <row r="936" spans="6:16" x14ac:dyDescent="0.2">
      <c r="F936"/>
      <c r="L936"/>
    </row>
    <row r="937" spans="6:16" x14ac:dyDescent="0.2">
      <c r="F937"/>
      <c r="L937"/>
    </row>
    <row r="938" spans="6:16" x14ac:dyDescent="0.2">
      <c r="F938"/>
      <c r="L938"/>
    </row>
    <row r="939" spans="6:16" x14ac:dyDescent="0.2">
      <c r="F939"/>
      <c r="L939"/>
    </row>
    <row r="940" spans="6:16" x14ac:dyDescent="0.2">
      <c r="F940"/>
      <c r="L940"/>
    </row>
    <row r="941" spans="6:16" x14ac:dyDescent="0.2">
      <c r="F941"/>
      <c r="L941"/>
    </row>
    <row r="942" spans="6:16" x14ac:dyDescent="0.2">
      <c r="F942"/>
      <c r="L942"/>
    </row>
    <row r="943" spans="6:16" x14ac:dyDescent="0.2">
      <c r="F943"/>
      <c r="L943"/>
    </row>
    <row r="944" spans="6:16" x14ac:dyDescent="0.2">
      <c r="F944"/>
      <c r="L944"/>
    </row>
    <row r="945" spans="6:16" x14ac:dyDescent="0.2">
      <c r="F945"/>
      <c r="L945"/>
    </row>
    <row r="946" spans="6:16" x14ac:dyDescent="0.2">
      <c r="F946"/>
      <c r="L946"/>
    </row>
    <row r="947" spans="6:16" x14ac:dyDescent="0.2">
      <c r="F947"/>
      <c r="L947"/>
      <c r="P947" s="1"/>
    </row>
    <row r="948" spans="6:16" x14ac:dyDescent="0.2">
      <c r="F948"/>
      <c r="L948"/>
    </row>
    <row r="949" spans="6:16" x14ac:dyDescent="0.2">
      <c r="F949"/>
      <c r="J949" s="1"/>
      <c r="L949"/>
      <c r="P949" s="1"/>
    </row>
    <row r="950" spans="6:16" x14ac:dyDescent="0.2">
      <c r="F950"/>
      <c r="J950" s="1"/>
      <c r="L950"/>
      <c r="P950" s="1"/>
    </row>
    <row r="951" spans="6:16" x14ac:dyDescent="0.2">
      <c r="F951"/>
      <c r="J951" s="1"/>
      <c r="L951"/>
      <c r="P951" s="1"/>
    </row>
    <row r="952" spans="6:16" x14ac:dyDescent="0.2">
      <c r="F952"/>
      <c r="L952"/>
    </row>
    <row r="953" spans="6:16" x14ac:dyDescent="0.2">
      <c r="F953"/>
      <c r="L953"/>
    </row>
    <row r="954" spans="6:16" x14ac:dyDescent="0.2">
      <c r="F954"/>
      <c r="L954"/>
    </row>
    <row r="955" spans="6:16" x14ac:dyDescent="0.2">
      <c r="F955"/>
      <c r="L955"/>
    </row>
    <row r="956" spans="6:16" x14ac:dyDescent="0.2">
      <c r="F956"/>
      <c r="J956" s="1"/>
      <c r="L956"/>
      <c r="P956" s="1"/>
    </row>
    <row r="957" spans="6:16" x14ac:dyDescent="0.2">
      <c r="F957"/>
      <c r="J957" s="1"/>
      <c r="L957"/>
      <c r="P957" s="1"/>
    </row>
    <row r="958" spans="6:16" x14ac:dyDescent="0.2">
      <c r="F958"/>
      <c r="J958" s="1"/>
      <c r="L958"/>
      <c r="P958" s="1"/>
    </row>
    <row r="959" spans="6:16" x14ac:dyDescent="0.2">
      <c r="F959"/>
      <c r="L959"/>
    </row>
    <row r="960" spans="6:16" x14ac:dyDescent="0.2">
      <c r="F960"/>
      <c r="J960" s="1"/>
      <c r="L960"/>
      <c r="P960" s="1"/>
    </row>
    <row r="961" spans="6:16" x14ac:dyDescent="0.2">
      <c r="F961"/>
      <c r="L961"/>
    </row>
    <row r="962" spans="6:16" x14ac:dyDescent="0.2">
      <c r="F962"/>
      <c r="J962" s="1"/>
      <c r="L962"/>
      <c r="P962" s="1"/>
    </row>
    <row r="963" spans="6:16" x14ac:dyDescent="0.2">
      <c r="F963"/>
      <c r="L963"/>
    </row>
    <row r="964" spans="6:16" x14ac:dyDescent="0.2">
      <c r="F964"/>
      <c r="L964"/>
    </row>
    <row r="965" spans="6:16" x14ac:dyDescent="0.2">
      <c r="F965"/>
      <c r="L965"/>
    </row>
    <row r="966" spans="6:16" x14ac:dyDescent="0.2">
      <c r="F966"/>
      <c r="J966" s="1"/>
      <c r="L966"/>
    </row>
    <row r="967" spans="6:16" x14ac:dyDescent="0.2">
      <c r="F967"/>
      <c r="J967" s="1"/>
      <c r="L967"/>
      <c r="P967" s="1"/>
    </row>
    <row r="968" spans="6:16" x14ac:dyDescent="0.2">
      <c r="F968"/>
      <c r="L968"/>
    </row>
    <row r="969" spans="6:16" x14ac:dyDescent="0.2">
      <c r="F969"/>
      <c r="L969"/>
    </row>
    <row r="970" spans="6:16" x14ac:dyDescent="0.2">
      <c r="F970"/>
      <c r="J970" s="1"/>
      <c r="L970"/>
      <c r="P970" s="1"/>
    </row>
    <row r="971" spans="6:16" x14ac:dyDescent="0.2">
      <c r="F971"/>
      <c r="J971" s="1"/>
      <c r="L971"/>
      <c r="P971" s="1"/>
    </row>
    <row r="972" spans="6:16" x14ac:dyDescent="0.2">
      <c r="F972"/>
      <c r="L972"/>
    </row>
    <row r="973" spans="6:16" x14ac:dyDescent="0.2">
      <c r="F973"/>
      <c r="J973" s="1"/>
      <c r="L973"/>
    </row>
    <row r="974" spans="6:16" x14ac:dyDescent="0.2">
      <c r="F974"/>
      <c r="L974"/>
    </row>
    <row r="975" spans="6:16" x14ac:dyDescent="0.2">
      <c r="F975"/>
      <c r="L975"/>
    </row>
    <row r="976" spans="6:16" x14ac:dyDescent="0.2">
      <c r="F976"/>
      <c r="L976"/>
    </row>
    <row r="977" spans="6:16" x14ac:dyDescent="0.2">
      <c r="F977"/>
      <c r="L977"/>
      <c r="P977" s="1"/>
    </row>
    <row r="978" spans="6:16" x14ac:dyDescent="0.2">
      <c r="F978"/>
      <c r="L978"/>
    </row>
    <row r="979" spans="6:16" x14ac:dyDescent="0.2">
      <c r="F979"/>
      <c r="L979"/>
    </row>
    <row r="980" spans="6:16" x14ac:dyDescent="0.2">
      <c r="F980"/>
      <c r="J980" s="1"/>
      <c r="L980"/>
      <c r="P980" s="1"/>
    </row>
    <row r="981" spans="6:16" x14ac:dyDescent="0.2">
      <c r="F981"/>
      <c r="L981"/>
    </row>
    <row r="982" spans="6:16" x14ac:dyDescent="0.2">
      <c r="F982"/>
      <c r="L982"/>
    </row>
    <row r="983" spans="6:16" x14ac:dyDescent="0.2">
      <c r="F983"/>
      <c r="L983"/>
    </row>
    <row r="984" spans="6:16" x14ac:dyDescent="0.2">
      <c r="F984"/>
      <c r="L984"/>
    </row>
    <row r="985" spans="6:16" x14ac:dyDescent="0.2">
      <c r="F985"/>
      <c r="J985" s="1"/>
      <c r="L985"/>
    </row>
    <row r="986" spans="6:16" x14ac:dyDescent="0.2">
      <c r="F986"/>
      <c r="L986"/>
    </row>
    <row r="987" spans="6:16" x14ac:dyDescent="0.2">
      <c r="F987"/>
      <c r="L987"/>
    </row>
    <row r="988" spans="6:16" x14ac:dyDescent="0.2">
      <c r="F988"/>
      <c r="L988"/>
    </row>
    <row r="989" spans="6:16" x14ac:dyDescent="0.2">
      <c r="F989"/>
      <c r="L989"/>
    </row>
    <row r="990" spans="6:16" x14ac:dyDescent="0.2">
      <c r="F990"/>
      <c r="J990" s="1"/>
      <c r="L990"/>
      <c r="P990" s="1"/>
    </row>
    <row r="991" spans="6:16" x14ac:dyDescent="0.2">
      <c r="F991"/>
      <c r="L991"/>
    </row>
    <row r="992" spans="6:16" x14ac:dyDescent="0.2">
      <c r="F992"/>
      <c r="L992"/>
    </row>
    <row r="993" spans="6:12" x14ac:dyDescent="0.2">
      <c r="F993"/>
      <c r="L993"/>
    </row>
    <row r="994" spans="6:12" x14ac:dyDescent="0.2">
      <c r="F994"/>
      <c r="L994"/>
    </row>
    <row r="995" spans="6:12" x14ac:dyDescent="0.2">
      <c r="F995"/>
      <c r="L995"/>
    </row>
    <row r="996" spans="6:12" x14ac:dyDescent="0.2">
      <c r="F996"/>
      <c r="L996"/>
    </row>
    <row r="997" spans="6:12" x14ac:dyDescent="0.2">
      <c r="F997"/>
      <c r="L997"/>
    </row>
    <row r="998" spans="6:12" x14ac:dyDescent="0.2">
      <c r="F998"/>
      <c r="L998"/>
    </row>
    <row r="999" spans="6:12" x14ac:dyDescent="0.2">
      <c r="F999"/>
      <c r="L999"/>
    </row>
    <row r="1000" spans="6:12" x14ac:dyDescent="0.2">
      <c r="F1000"/>
      <c r="L1000"/>
    </row>
    <row r="1001" spans="6:12" x14ac:dyDescent="0.2">
      <c r="F1001"/>
      <c r="L1001"/>
    </row>
    <row r="1002" spans="6:12" x14ac:dyDescent="0.2">
      <c r="F1002"/>
      <c r="L1002"/>
    </row>
    <row r="1003" spans="6:12" x14ac:dyDescent="0.2">
      <c r="F1003"/>
      <c r="J1003" s="1"/>
      <c r="L1003"/>
    </row>
    <row r="1004" spans="6:12" x14ac:dyDescent="0.2">
      <c r="F1004"/>
      <c r="L1004"/>
    </row>
    <row r="1005" spans="6:12" x14ac:dyDescent="0.2">
      <c r="F1005"/>
      <c r="L1005"/>
    </row>
    <row r="1006" spans="6:12" x14ac:dyDescent="0.2">
      <c r="F1006"/>
      <c r="L1006"/>
    </row>
    <row r="1007" spans="6:12" x14ac:dyDescent="0.2">
      <c r="F1007"/>
      <c r="L1007"/>
    </row>
    <row r="1008" spans="6:12" x14ac:dyDescent="0.2">
      <c r="F1008"/>
      <c r="L1008"/>
    </row>
    <row r="1009" spans="6:16" x14ac:dyDescent="0.2">
      <c r="F1009"/>
      <c r="L1009"/>
    </row>
    <row r="1010" spans="6:16" x14ac:dyDescent="0.2">
      <c r="F1010"/>
      <c r="J1010" s="1"/>
      <c r="L1010"/>
      <c r="P1010" s="1"/>
    </row>
    <row r="1011" spans="6:16" x14ac:dyDescent="0.2">
      <c r="F1011"/>
      <c r="L1011"/>
      <c r="P1011" s="1"/>
    </row>
    <row r="1012" spans="6:16" x14ac:dyDescent="0.2">
      <c r="F1012"/>
      <c r="L1012"/>
    </row>
    <row r="1013" spans="6:16" x14ac:dyDescent="0.2">
      <c r="F1013"/>
      <c r="L1013"/>
    </row>
    <row r="1014" spans="6:16" x14ac:dyDescent="0.2">
      <c r="F1014"/>
      <c r="L1014"/>
    </row>
    <row r="1015" spans="6:16" x14ac:dyDescent="0.2">
      <c r="F1015"/>
      <c r="L1015"/>
    </row>
    <row r="1016" spans="6:16" x14ac:dyDescent="0.2">
      <c r="F1016"/>
      <c r="L1016"/>
    </row>
    <row r="1017" spans="6:16" x14ac:dyDescent="0.2">
      <c r="F1017"/>
      <c r="L1017"/>
    </row>
    <row r="1018" spans="6:16" x14ac:dyDescent="0.2">
      <c r="F1018"/>
      <c r="L1018"/>
    </row>
    <row r="1019" spans="6:16" x14ac:dyDescent="0.2">
      <c r="F1019"/>
      <c r="L1019"/>
    </row>
    <row r="1020" spans="6:16" x14ac:dyDescent="0.2">
      <c r="F1020"/>
      <c r="L1020"/>
    </row>
    <row r="1021" spans="6:16" x14ac:dyDescent="0.2">
      <c r="F1021"/>
      <c r="L1021"/>
    </row>
    <row r="1022" spans="6:16" x14ac:dyDescent="0.2">
      <c r="F1022"/>
      <c r="L1022"/>
    </row>
    <row r="1023" spans="6:16" x14ac:dyDescent="0.2">
      <c r="F1023"/>
      <c r="L1023"/>
    </row>
    <row r="1024" spans="6:16" x14ac:dyDescent="0.2">
      <c r="F1024"/>
      <c r="L1024"/>
    </row>
    <row r="1025" spans="6:12" x14ac:dyDescent="0.2">
      <c r="F1025"/>
      <c r="L1025"/>
    </row>
    <row r="1026" spans="6:12" x14ac:dyDescent="0.2">
      <c r="F1026"/>
      <c r="L1026"/>
    </row>
    <row r="1027" spans="6:12" x14ac:dyDescent="0.2">
      <c r="F1027"/>
      <c r="L1027"/>
    </row>
    <row r="1028" spans="6:12" x14ac:dyDescent="0.2">
      <c r="F1028"/>
      <c r="L1028"/>
    </row>
    <row r="1029" spans="6:12" x14ac:dyDescent="0.2">
      <c r="F1029"/>
      <c r="L1029"/>
    </row>
    <row r="1030" spans="6:12" x14ac:dyDescent="0.2">
      <c r="F1030"/>
      <c r="L1030"/>
    </row>
    <row r="1031" spans="6:12" x14ac:dyDescent="0.2">
      <c r="F1031"/>
      <c r="L1031"/>
    </row>
    <row r="1032" spans="6:12" x14ac:dyDescent="0.2">
      <c r="F1032"/>
      <c r="L1032"/>
    </row>
    <row r="1033" spans="6:12" x14ac:dyDescent="0.2">
      <c r="F1033"/>
      <c r="L1033"/>
    </row>
    <row r="1034" spans="6:12" x14ac:dyDescent="0.2">
      <c r="F1034"/>
      <c r="L1034"/>
    </row>
    <row r="1035" spans="6:12" x14ac:dyDescent="0.2">
      <c r="F1035"/>
      <c r="L1035"/>
    </row>
    <row r="1036" spans="6:12" x14ac:dyDescent="0.2">
      <c r="F1036"/>
      <c r="L1036"/>
    </row>
    <row r="1037" spans="6:12" x14ac:dyDescent="0.2">
      <c r="F1037"/>
      <c r="L1037"/>
    </row>
    <row r="1038" spans="6:12" x14ac:dyDescent="0.2">
      <c r="F1038"/>
      <c r="L1038"/>
    </row>
    <row r="1039" spans="6:12" x14ac:dyDescent="0.2">
      <c r="F1039"/>
      <c r="L1039"/>
    </row>
    <row r="1040" spans="6:12" x14ac:dyDescent="0.2">
      <c r="F1040"/>
      <c r="L1040"/>
    </row>
    <row r="1041" spans="6:12" x14ac:dyDescent="0.2">
      <c r="F1041"/>
      <c r="L1041"/>
    </row>
    <row r="1042" spans="6:12" x14ac:dyDescent="0.2">
      <c r="F1042"/>
      <c r="L1042"/>
    </row>
    <row r="1043" spans="6:12" x14ac:dyDescent="0.2">
      <c r="F1043"/>
      <c r="L1043"/>
    </row>
    <row r="1044" spans="6:12" x14ac:dyDescent="0.2">
      <c r="F1044"/>
      <c r="L1044"/>
    </row>
    <row r="1045" spans="6:12" x14ac:dyDescent="0.2">
      <c r="F1045"/>
      <c r="L1045"/>
    </row>
    <row r="1046" spans="6:12" x14ac:dyDescent="0.2">
      <c r="F1046"/>
      <c r="L1046"/>
    </row>
    <row r="1047" spans="6:12" x14ac:dyDescent="0.2">
      <c r="F1047"/>
      <c r="L1047"/>
    </row>
    <row r="1048" spans="6:12" x14ac:dyDescent="0.2">
      <c r="F1048"/>
      <c r="L1048"/>
    </row>
    <row r="1049" spans="6:12" x14ac:dyDescent="0.2">
      <c r="F1049"/>
      <c r="L1049"/>
    </row>
    <row r="1050" spans="6:12" x14ac:dyDescent="0.2">
      <c r="F1050"/>
      <c r="L1050"/>
    </row>
    <row r="1051" spans="6:12" x14ac:dyDescent="0.2">
      <c r="F1051"/>
      <c r="L1051"/>
    </row>
    <row r="1052" spans="6:12" x14ac:dyDescent="0.2">
      <c r="F1052"/>
      <c r="L1052"/>
    </row>
    <row r="1053" spans="6:12" x14ac:dyDescent="0.2">
      <c r="F1053"/>
      <c r="L1053"/>
    </row>
    <row r="1054" spans="6:12" x14ac:dyDescent="0.2">
      <c r="F1054"/>
      <c r="L1054"/>
    </row>
    <row r="1055" spans="6:12" x14ac:dyDescent="0.2">
      <c r="F1055"/>
      <c r="L1055"/>
    </row>
    <row r="1056" spans="6:12" x14ac:dyDescent="0.2">
      <c r="F1056"/>
      <c r="L1056"/>
    </row>
    <row r="1057" spans="6:12" x14ac:dyDescent="0.2">
      <c r="F1057"/>
      <c r="L1057"/>
    </row>
    <row r="1058" spans="6:12" x14ac:dyDescent="0.2">
      <c r="F1058"/>
      <c r="L1058"/>
    </row>
    <row r="1059" spans="6:12" x14ac:dyDescent="0.2">
      <c r="F1059"/>
      <c r="L1059"/>
    </row>
    <row r="1060" spans="6:12" x14ac:dyDescent="0.2">
      <c r="F1060"/>
      <c r="L1060"/>
    </row>
    <row r="1061" spans="6:12" x14ac:dyDescent="0.2">
      <c r="F1061"/>
      <c r="L1061"/>
    </row>
    <row r="1062" spans="6:12" x14ac:dyDescent="0.2">
      <c r="F1062"/>
      <c r="L1062"/>
    </row>
    <row r="1063" spans="6:12" x14ac:dyDescent="0.2">
      <c r="F1063"/>
      <c r="L1063"/>
    </row>
    <row r="1064" spans="6:12" x14ac:dyDescent="0.2">
      <c r="F1064"/>
      <c r="L1064"/>
    </row>
    <row r="1065" spans="6:12" x14ac:dyDescent="0.2">
      <c r="F1065"/>
      <c r="L1065"/>
    </row>
    <row r="1066" spans="6:12" x14ac:dyDescent="0.2">
      <c r="F1066"/>
      <c r="L1066"/>
    </row>
    <row r="1067" spans="6:12" x14ac:dyDescent="0.2">
      <c r="F1067"/>
      <c r="L1067"/>
    </row>
    <row r="1068" spans="6:12" x14ac:dyDescent="0.2">
      <c r="F1068"/>
      <c r="L1068"/>
    </row>
    <row r="1069" spans="6:12" x14ac:dyDescent="0.2">
      <c r="F1069"/>
      <c r="L1069"/>
    </row>
    <row r="1070" spans="6:12" x14ac:dyDescent="0.2">
      <c r="F1070"/>
      <c r="L1070"/>
    </row>
    <row r="1071" spans="6:12" x14ac:dyDescent="0.2">
      <c r="F1071"/>
      <c r="L1071"/>
    </row>
    <row r="1072" spans="6:12" x14ac:dyDescent="0.2">
      <c r="F1072"/>
      <c r="L1072"/>
    </row>
    <row r="1073" spans="6:12" x14ac:dyDescent="0.2">
      <c r="F1073"/>
      <c r="L1073"/>
    </row>
    <row r="1074" spans="6:12" x14ac:dyDescent="0.2">
      <c r="F1074"/>
      <c r="L1074"/>
    </row>
    <row r="1075" spans="6:12" x14ac:dyDescent="0.2">
      <c r="F1075"/>
      <c r="L1075"/>
    </row>
    <row r="1076" spans="6:12" x14ac:dyDescent="0.2">
      <c r="F1076"/>
      <c r="L1076"/>
    </row>
    <row r="1077" spans="6:12" x14ac:dyDescent="0.2">
      <c r="F1077"/>
      <c r="L1077"/>
    </row>
    <row r="1078" spans="6:12" x14ac:dyDescent="0.2">
      <c r="F1078"/>
      <c r="L1078"/>
    </row>
    <row r="1079" spans="6:12" x14ac:dyDescent="0.2">
      <c r="F1079"/>
      <c r="L1079"/>
    </row>
    <row r="1080" spans="6:12" x14ac:dyDescent="0.2">
      <c r="F1080"/>
      <c r="L1080"/>
    </row>
    <row r="1081" spans="6:12" x14ac:dyDescent="0.2">
      <c r="F1081"/>
      <c r="L1081"/>
    </row>
    <row r="1082" spans="6:12" x14ac:dyDescent="0.2">
      <c r="F1082"/>
      <c r="L1082"/>
    </row>
    <row r="1083" spans="6:12" x14ac:dyDescent="0.2">
      <c r="F1083"/>
      <c r="L1083"/>
    </row>
    <row r="1084" spans="6:12" x14ac:dyDescent="0.2">
      <c r="F1084"/>
      <c r="L1084"/>
    </row>
    <row r="1085" spans="6:12" x14ac:dyDescent="0.2">
      <c r="F1085"/>
      <c r="L1085"/>
    </row>
    <row r="1086" spans="6:12" x14ac:dyDescent="0.2">
      <c r="F1086"/>
      <c r="L1086"/>
    </row>
    <row r="1087" spans="6:12" x14ac:dyDescent="0.2">
      <c r="F1087"/>
      <c r="L1087"/>
    </row>
    <row r="1088" spans="6:12" x14ac:dyDescent="0.2">
      <c r="F1088"/>
      <c r="L1088"/>
    </row>
    <row r="1089" spans="6:12" x14ac:dyDescent="0.2">
      <c r="F1089"/>
      <c r="L1089"/>
    </row>
    <row r="1090" spans="6:12" x14ac:dyDescent="0.2">
      <c r="F1090"/>
      <c r="L1090"/>
    </row>
    <row r="1091" spans="6:12" x14ac:dyDescent="0.2">
      <c r="F1091"/>
      <c r="L1091"/>
    </row>
    <row r="1092" spans="6:12" x14ac:dyDescent="0.2">
      <c r="F1092"/>
      <c r="L1092"/>
    </row>
    <row r="1093" spans="6:12" x14ac:dyDescent="0.2">
      <c r="F1093"/>
      <c r="L1093"/>
    </row>
    <row r="1094" spans="6:12" x14ac:dyDescent="0.2">
      <c r="F1094"/>
      <c r="L1094"/>
    </row>
    <row r="1095" spans="6:12" x14ac:dyDescent="0.2">
      <c r="F1095"/>
      <c r="L1095"/>
    </row>
    <row r="1096" spans="6:12" x14ac:dyDescent="0.2">
      <c r="F1096"/>
      <c r="L1096"/>
    </row>
    <row r="1097" spans="6:12" x14ac:dyDescent="0.2">
      <c r="F1097"/>
      <c r="L1097"/>
    </row>
    <row r="1098" spans="6:12" x14ac:dyDescent="0.2">
      <c r="F1098"/>
      <c r="L1098"/>
    </row>
    <row r="1099" spans="6:12" x14ac:dyDescent="0.2">
      <c r="F1099"/>
      <c r="L1099"/>
    </row>
    <row r="1100" spans="6:12" x14ac:dyDescent="0.2">
      <c r="F1100"/>
      <c r="L1100"/>
    </row>
    <row r="1101" spans="6:12" x14ac:dyDescent="0.2">
      <c r="F1101"/>
      <c r="L1101"/>
    </row>
    <row r="1102" spans="6:12" x14ac:dyDescent="0.2">
      <c r="F1102"/>
      <c r="L1102"/>
    </row>
    <row r="1103" spans="6:12" x14ac:dyDescent="0.2">
      <c r="F1103"/>
      <c r="L1103"/>
    </row>
    <row r="1104" spans="6:12" x14ac:dyDescent="0.2">
      <c r="F1104"/>
      <c r="L1104"/>
    </row>
    <row r="1105" spans="6:12" x14ac:dyDescent="0.2">
      <c r="F1105"/>
      <c r="L1105"/>
    </row>
    <row r="1106" spans="6:12" x14ac:dyDescent="0.2">
      <c r="F1106"/>
      <c r="L1106"/>
    </row>
    <row r="1107" spans="6:12" x14ac:dyDescent="0.2">
      <c r="F1107"/>
      <c r="L1107"/>
    </row>
    <row r="1108" spans="6:12" x14ac:dyDescent="0.2">
      <c r="F1108"/>
      <c r="L1108"/>
    </row>
    <row r="1109" spans="6:12" x14ac:dyDescent="0.2">
      <c r="F1109"/>
      <c r="L1109"/>
    </row>
    <row r="1110" spans="6:12" x14ac:dyDescent="0.2">
      <c r="F1110"/>
      <c r="L1110"/>
    </row>
    <row r="1111" spans="6:12" x14ac:dyDescent="0.2">
      <c r="F1111"/>
      <c r="L1111"/>
    </row>
    <row r="1112" spans="6:12" x14ac:dyDescent="0.2">
      <c r="F1112"/>
      <c r="L1112"/>
    </row>
    <row r="1113" spans="6:12" x14ac:dyDescent="0.2">
      <c r="F1113"/>
      <c r="L1113"/>
    </row>
    <row r="1114" spans="6:12" x14ac:dyDescent="0.2">
      <c r="F1114"/>
      <c r="L1114"/>
    </row>
    <row r="1115" spans="6:12" x14ac:dyDescent="0.2">
      <c r="F1115"/>
      <c r="L1115"/>
    </row>
    <row r="1116" spans="6:12" x14ac:dyDescent="0.2">
      <c r="F1116"/>
      <c r="L1116"/>
    </row>
    <row r="1117" spans="6:12" x14ac:dyDescent="0.2">
      <c r="F1117"/>
      <c r="L1117"/>
    </row>
    <row r="1118" spans="6:12" x14ac:dyDescent="0.2">
      <c r="F1118"/>
      <c r="L1118"/>
    </row>
    <row r="1119" spans="6:12" x14ac:dyDescent="0.2">
      <c r="F1119"/>
      <c r="L1119"/>
    </row>
    <row r="1120" spans="6:12" x14ac:dyDescent="0.2">
      <c r="F1120"/>
      <c r="L1120"/>
    </row>
    <row r="1121" spans="6:12" x14ac:dyDescent="0.2">
      <c r="F1121"/>
      <c r="L1121"/>
    </row>
    <row r="1122" spans="6:12" x14ac:dyDescent="0.2">
      <c r="F1122"/>
      <c r="L1122"/>
    </row>
    <row r="1123" spans="6:12" x14ac:dyDescent="0.2">
      <c r="F1123"/>
      <c r="L1123"/>
    </row>
    <row r="1124" spans="6:12" x14ac:dyDescent="0.2">
      <c r="F1124"/>
      <c r="L1124"/>
    </row>
    <row r="1125" spans="6:12" x14ac:dyDescent="0.2">
      <c r="F1125"/>
      <c r="L1125"/>
    </row>
    <row r="1126" spans="6:12" x14ac:dyDescent="0.2">
      <c r="F1126"/>
      <c r="L1126"/>
    </row>
    <row r="1127" spans="6:12" x14ac:dyDescent="0.2">
      <c r="F1127"/>
      <c r="L1127"/>
    </row>
    <row r="1128" spans="6:12" x14ac:dyDescent="0.2">
      <c r="F1128"/>
      <c r="L1128"/>
    </row>
    <row r="1129" spans="6:12" x14ac:dyDescent="0.2">
      <c r="F1129"/>
      <c r="L1129"/>
    </row>
    <row r="1130" spans="6:12" x14ac:dyDescent="0.2">
      <c r="F1130"/>
      <c r="L1130"/>
    </row>
    <row r="1131" spans="6:12" x14ac:dyDescent="0.2">
      <c r="F1131"/>
      <c r="L1131"/>
    </row>
    <row r="1132" spans="6:12" x14ac:dyDescent="0.2">
      <c r="F1132"/>
      <c r="L1132"/>
    </row>
    <row r="1133" spans="6:12" x14ac:dyDescent="0.2">
      <c r="F1133"/>
      <c r="L1133"/>
    </row>
    <row r="1134" spans="6:12" x14ac:dyDescent="0.2">
      <c r="F1134"/>
      <c r="L1134"/>
    </row>
    <row r="1135" spans="6:12" x14ac:dyDescent="0.2">
      <c r="F1135"/>
      <c r="L1135"/>
    </row>
    <row r="1136" spans="6:12" x14ac:dyDescent="0.2">
      <c r="F1136"/>
      <c r="L1136"/>
    </row>
    <row r="1137" spans="6:12" x14ac:dyDescent="0.2">
      <c r="F1137"/>
      <c r="L1137"/>
    </row>
    <row r="1138" spans="6:12" x14ac:dyDescent="0.2">
      <c r="F1138"/>
      <c r="L1138"/>
    </row>
    <row r="1139" spans="6:12" x14ac:dyDescent="0.2">
      <c r="F1139"/>
      <c r="L1139"/>
    </row>
    <row r="1140" spans="6:12" x14ac:dyDescent="0.2">
      <c r="F1140"/>
      <c r="L1140"/>
    </row>
    <row r="1141" spans="6:12" x14ac:dyDescent="0.2">
      <c r="F1141"/>
      <c r="L1141"/>
    </row>
    <row r="1142" spans="6:12" x14ac:dyDescent="0.2">
      <c r="F1142"/>
      <c r="L1142"/>
    </row>
    <row r="1143" spans="6:12" x14ac:dyDescent="0.2">
      <c r="F1143"/>
      <c r="L1143"/>
    </row>
    <row r="1144" spans="6:12" x14ac:dyDescent="0.2">
      <c r="F1144"/>
      <c r="L1144"/>
    </row>
    <row r="1145" spans="6:12" x14ac:dyDescent="0.2">
      <c r="F1145"/>
      <c r="L1145"/>
    </row>
    <row r="1146" spans="6:12" x14ac:dyDescent="0.2">
      <c r="F1146"/>
      <c r="L1146"/>
    </row>
    <row r="1147" spans="6:12" x14ac:dyDescent="0.2">
      <c r="F1147"/>
      <c r="L1147"/>
    </row>
    <row r="1148" spans="6:12" x14ac:dyDescent="0.2">
      <c r="F1148"/>
      <c r="L1148"/>
    </row>
    <row r="1149" spans="6:12" x14ac:dyDescent="0.2">
      <c r="F1149"/>
      <c r="L1149"/>
    </row>
    <row r="1150" spans="6:12" x14ac:dyDescent="0.2">
      <c r="F1150"/>
      <c r="L1150"/>
    </row>
    <row r="1151" spans="6:12" x14ac:dyDescent="0.2">
      <c r="F1151"/>
      <c r="L1151"/>
    </row>
    <row r="1152" spans="6:12" x14ac:dyDescent="0.2">
      <c r="F1152"/>
      <c r="L1152"/>
    </row>
    <row r="1153" spans="6:12" x14ac:dyDescent="0.2">
      <c r="F1153"/>
      <c r="L1153"/>
    </row>
    <row r="1154" spans="6:12" x14ac:dyDescent="0.2">
      <c r="F1154"/>
      <c r="L1154"/>
    </row>
    <row r="1155" spans="6:12" x14ac:dyDescent="0.2">
      <c r="F1155"/>
      <c r="L1155"/>
    </row>
    <row r="1156" spans="6:12" x14ac:dyDescent="0.2">
      <c r="F1156"/>
      <c r="L1156"/>
    </row>
    <row r="1157" spans="6:12" x14ac:dyDescent="0.2">
      <c r="F1157"/>
      <c r="L1157"/>
    </row>
    <row r="1158" spans="6:12" x14ac:dyDescent="0.2">
      <c r="F1158"/>
      <c r="L1158"/>
    </row>
    <row r="1159" spans="6:12" x14ac:dyDescent="0.2">
      <c r="F1159"/>
      <c r="L1159"/>
    </row>
    <row r="1160" spans="6:12" x14ac:dyDescent="0.2">
      <c r="F1160"/>
      <c r="L1160"/>
    </row>
    <row r="1161" spans="6:12" x14ac:dyDescent="0.2">
      <c r="F1161"/>
      <c r="L1161"/>
    </row>
    <row r="1162" spans="6:12" x14ac:dyDescent="0.2">
      <c r="F1162"/>
      <c r="L1162"/>
    </row>
    <row r="1163" spans="6:12" x14ac:dyDescent="0.2">
      <c r="F1163"/>
      <c r="L1163"/>
    </row>
    <row r="1164" spans="6:12" x14ac:dyDescent="0.2">
      <c r="F1164"/>
      <c r="L1164"/>
    </row>
    <row r="1165" spans="6:12" x14ac:dyDescent="0.2">
      <c r="F1165"/>
      <c r="L1165"/>
    </row>
    <row r="1166" spans="6:12" x14ac:dyDescent="0.2">
      <c r="F1166"/>
      <c r="L1166"/>
    </row>
    <row r="1167" spans="6:12" x14ac:dyDescent="0.2">
      <c r="F1167"/>
      <c r="L1167"/>
    </row>
    <row r="1168" spans="6:12" x14ac:dyDescent="0.2">
      <c r="F1168"/>
      <c r="L1168"/>
    </row>
    <row r="1169" spans="6:12" x14ac:dyDescent="0.2">
      <c r="F1169"/>
      <c r="L1169"/>
    </row>
    <row r="1170" spans="6:12" x14ac:dyDescent="0.2">
      <c r="F1170"/>
      <c r="L1170"/>
    </row>
    <row r="1171" spans="6:12" x14ac:dyDescent="0.2">
      <c r="F1171"/>
      <c r="L1171"/>
    </row>
    <row r="1172" spans="6:12" x14ac:dyDescent="0.2">
      <c r="F1172"/>
      <c r="L1172"/>
    </row>
    <row r="1173" spans="6:12" x14ac:dyDescent="0.2">
      <c r="F1173"/>
      <c r="L1173"/>
    </row>
    <row r="1174" spans="6:12" x14ac:dyDescent="0.2">
      <c r="F1174"/>
      <c r="L1174"/>
    </row>
    <row r="1175" spans="6:12" x14ac:dyDescent="0.2">
      <c r="F1175"/>
      <c r="L1175"/>
    </row>
    <row r="1176" spans="6:12" x14ac:dyDescent="0.2">
      <c r="F1176"/>
      <c r="L1176"/>
    </row>
    <row r="1177" spans="6:12" x14ac:dyDescent="0.2">
      <c r="F1177"/>
      <c r="L1177"/>
    </row>
    <row r="1178" spans="6:12" x14ac:dyDescent="0.2">
      <c r="F1178"/>
      <c r="L1178"/>
    </row>
    <row r="1179" spans="6:12" x14ac:dyDescent="0.2">
      <c r="F1179"/>
      <c r="L1179"/>
    </row>
    <row r="1180" spans="6:12" x14ac:dyDescent="0.2">
      <c r="F1180"/>
      <c r="L1180"/>
    </row>
    <row r="1181" spans="6:12" x14ac:dyDescent="0.2">
      <c r="F1181"/>
      <c r="L1181"/>
    </row>
    <row r="1182" spans="6:12" x14ac:dyDescent="0.2">
      <c r="F1182"/>
      <c r="L1182"/>
    </row>
    <row r="1183" spans="6:12" x14ac:dyDescent="0.2">
      <c r="F1183"/>
      <c r="L1183"/>
    </row>
    <row r="1184" spans="6:12" x14ac:dyDescent="0.2">
      <c r="F1184"/>
      <c r="L1184"/>
    </row>
    <row r="1185" spans="6:12" x14ac:dyDescent="0.2">
      <c r="F1185"/>
      <c r="L1185"/>
    </row>
    <row r="1186" spans="6:12" x14ac:dyDescent="0.2">
      <c r="F1186"/>
      <c r="L1186"/>
    </row>
    <row r="1187" spans="6:12" x14ac:dyDescent="0.2">
      <c r="F1187"/>
      <c r="L1187"/>
    </row>
    <row r="1188" spans="6:12" x14ac:dyDescent="0.2">
      <c r="F1188"/>
      <c r="L1188"/>
    </row>
    <row r="1189" spans="6:12" x14ac:dyDescent="0.2">
      <c r="F1189"/>
      <c r="L1189"/>
    </row>
    <row r="1190" spans="6:12" x14ac:dyDescent="0.2">
      <c r="F1190"/>
      <c r="L1190"/>
    </row>
    <row r="1191" spans="6:12" x14ac:dyDescent="0.2">
      <c r="F1191"/>
      <c r="L1191"/>
    </row>
    <row r="1192" spans="6:12" x14ac:dyDescent="0.2">
      <c r="F1192"/>
      <c r="L1192"/>
    </row>
    <row r="1193" spans="6:12" x14ac:dyDescent="0.2">
      <c r="F1193"/>
      <c r="L1193"/>
    </row>
    <row r="1194" spans="6:12" x14ac:dyDescent="0.2">
      <c r="F1194"/>
      <c r="L1194"/>
    </row>
    <row r="1195" spans="6:12" x14ac:dyDescent="0.2">
      <c r="F1195"/>
      <c r="L1195"/>
    </row>
    <row r="1196" spans="6:12" x14ac:dyDescent="0.2">
      <c r="F1196"/>
      <c r="L1196"/>
    </row>
    <row r="1197" spans="6:12" x14ac:dyDescent="0.2">
      <c r="F1197"/>
      <c r="L1197"/>
    </row>
    <row r="1198" spans="6:12" x14ac:dyDescent="0.2">
      <c r="F1198"/>
      <c r="L1198"/>
    </row>
    <row r="1199" spans="6:12" x14ac:dyDescent="0.2">
      <c r="F1199"/>
      <c r="L1199"/>
    </row>
    <row r="1200" spans="6:12" x14ac:dyDescent="0.2">
      <c r="F1200"/>
      <c r="L1200"/>
    </row>
    <row r="1201" spans="6:16" x14ac:dyDescent="0.2">
      <c r="F1201"/>
      <c r="L1201"/>
    </row>
    <row r="1202" spans="6:16" x14ac:dyDescent="0.2">
      <c r="F1202"/>
      <c r="L1202"/>
    </row>
    <row r="1203" spans="6:16" x14ac:dyDescent="0.2">
      <c r="F1203"/>
      <c r="L1203"/>
    </row>
    <row r="1204" spans="6:16" x14ac:dyDescent="0.2">
      <c r="F1204"/>
      <c r="L1204"/>
    </row>
    <row r="1205" spans="6:16" x14ac:dyDescent="0.2">
      <c r="F1205"/>
      <c r="L1205"/>
    </row>
    <row r="1206" spans="6:16" x14ac:dyDescent="0.2">
      <c r="F1206"/>
      <c r="L1206"/>
      <c r="P1206" s="1"/>
    </row>
    <row r="1207" spans="6:16" x14ac:dyDescent="0.2">
      <c r="F1207"/>
      <c r="L1207"/>
    </row>
    <row r="1208" spans="6:16" x14ac:dyDescent="0.2">
      <c r="F1208"/>
      <c r="L1208"/>
      <c r="P1208" s="1"/>
    </row>
    <row r="1209" spans="6:16" x14ac:dyDescent="0.2">
      <c r="F1209"/>
      <c r="L1209"/>
    </row>
    <row r="1210" spans="6:16" x14ac:dyDescent="0.2">
      <c r="F1210"/>
      <c r="L1210"/>
    </row>
    <row r="1211" spans="6:16" x14ac:dyDescent="0.2">
      <c r="F1211"/>
      <c r="L1211"/>
      <c r="P1211" s="1"/>
    </row>
    <row r="1212" spans="6:16" x14ac:dyDescent="0.2">
      <c r="F1212"/>
      <c r="L1212"/>
    </row>
    <row r="1213" spans="6:16" x14ac:dyDescent="0.2">
      <c r="F1213"/>
      <c r="L1213"/>
    </row>
    <row r="1214" spans="6:16" x14ac:dyDescent="0.2">
      <c r="F1214"/>
      <c r="L1214"/>
    </row>
    <row r="1215" spans="6:16" x14ac:dyDescent="0.2">
      <c r="F1215"/>
      <c r="L1215"/>
    </row>
    <row r="1216" spans="6:16" x14ac:dyDescent="0.2">
      <c r="F1216"/>
      <c r="L1216"/>
    </row>
    <row r="1217" spans="6:16" x14ac:dyDescent="0.2">
      <c r="F1217"/>
      <c r="L1217"/>
      <c r="P1217" s="1"/>
    </row>
    <row r="1218" spans="6:16" x14ac:dyDescent="0.2">
      <c r="F1218"/>
      <c r="L1218"/>
      <c r="P1218" s="1"/>
    </row>
    <row r="1219" spans="6:16" x14ac:dyDescent="0.2">
      <c r="F1219"/>
      <c r="L1219"/>
    </row>
    <row r="1220" spans="6:16" x14ac:dyDescent="0.2">
      <c r="F1220"/>
      <c r="L1220"/>
    </row>
    <row r="1221" spans="6:16" x14ac:dyDescent="0.2">
      <c r="F1221"/>
      <c r="L1221"/>
    </row>
    <row r="1222" spans="6:16" x14ac:dyDescent="0.2">
      <c r="F1222"/>
      <c r="L1222"/>
      <c r="P1222" s="1"/>
    </row>
    <row r="1223" spans="6:16" x14ac:dyDescent="0.2">
      <c r="F1223"/>
      <c r="L1223"/>
    </row>
    <row r="1224" spans="6:16" x14ac:dyDescent="0.2">
      <c r="F1224"/>
      <c r="L1224"/>
    </row>
    <row r="1225" spans="6:16" x14ac:dyDescent="0.2">
      <c r="F1225"/>
      <c r="L1225"/>
    </row>
    <row r="1226" spans="6:16" x14ac:dyDescent="0.2">
      <c r="F1226"/>
      <c r="L1226"/>
    </row>
    <row r="1227" spans="6:16" x14ac:dyDescent="0.2">
      <c r="F1227"/>
      <c r="L1227"/>
    </row>
    <row r="1228" spans="6:16" x14ac:dyDescent="0.2">
      <c r="F1228"/>
      <c r="L1228"/>
    </row>
    <row r="1229" spans="6:16" x14ac:dyDescent="0.2">
      <c r="F1229"/>
      <c r="L1229"/>
    </row>
    <row r="1230" spans="6:16" x14ac:dyDescent="0.2">
      <c r="F1230"/>
      <c r="L1230"/>
    </row>
    <row r="1231" spans="6:16" x14ac:dyDescent="0.2">
      <c r="F1231"/>
      <c r="L1231"/>
    </row>
    <row r="1232" spans="6:16" x14ac:dyDescent="0.2">
      <c r="F1232"/>
      <c r="L1232"/>
    </row>
    <row r="1233" spans="6:16" x14ac:dyDescent="0.2">
      <c r="F1233"/>
      <c r="L1233"/>
      <c r="P1233" s="1"/>
    </row>
    <row r="1234" spans="6:16" x14ac:dyDescent="0.2">
      <c r="F1234"/>
      <c r="L1234"/>
      <c r="P1234" s="1"/>
    </row>
    <row r="1235" spans="6:16" x14ac:dyDescent="0.2">
      <c r="F1235"/>
      <c r="L1235"/>
      <c r="P1235" s="1"/>
    </row>
    <row r="1236" spans="6:16" x14ac:dyDescent="0.2">
      <c r="F1236"/>
      <c r="L1236"/>
      <c r="P1236" s="1"/>
    </row>
    <row r="1237" spans="6:16" x14ac:dyDescent="0.2">
      <c r="F1237"/>
      <c r="L1237"/>
    </row>
    <row r="1238" spans="6:16" x14ac:dyDescent="0.2">
      <c r="F1238"/>
      <c r="L1238"/>
    </row>
    <row r="1239" spans="6:16" x14ac:dyDescent="0.2">
      <c r="F1239"/>
      <c r="L1239"/>
    </row>
    <row r="1240" spans="6:16" x14ac:dyDescent="0.2">
      <c r="F1240"/>
      <c r="L1240"/>
    </row>
    <row r="1241" spans="6:16" x14ac:dyDescent="0.2">
      <c r="F1241"/>
      <c r="L1241"/>
      <c r="P1241" s="1"/>
    </row>
    <row r="1242" spans="6:16" x14ac:dyDescent="0.2">
      <c r="F1242"/>
      <c r="L1242"/>
    </row>
    <row r="1243" spans="6:16" x14ac:dyDescent="0.2">
      <c r="F1243"/>
      <c r="L1243"/>
    </row>
    <row r="1244" spans="6:16" x14ac:dyDescent="0.2">
      <c r="F1244"/>
      <c r="L1244"/>
    </row>
    <row r="1245" spans="6:16" x14ac:dyDescent="0.2">
      <c r="F1245"/>
      <c r="L1245"/>
      <c r="P1245" s="1"/>
    </row>
    <row r="1246" spans="6:16" x14ac:dyDescent="0.2">
      <c r="F1246"/>
      <c r="L1246"/>
      <c r="P1246" s="1"/>
    </row>
    <row r="1247" spans="6:16" x14ac:dyDescent="0.2">
      <c r="F1247"/>
      <c r="L1247"/>
    </row>
    <row r="1248" spans="6:16" x14ac:dyDescent="0.2">
      <c r="F1248"/>
      <c r="L1248"/>
      <c r="P1248" s="1"/>
    </row>
    <row r="1249" spans="6:16" x14ac:dyDescent="0.2">
      <c r="F1249"/>
      <c r="L1249"/>
    </row>
    <row r="1250" spans="6:16" x14ac:dyDescent="0.2">
      <c r="F1250"/>
      <c r="L1250"/>
      <c r="P1250" s="1"/>
    </row>
    <row r="1251" spans="6:16" x14ac:dyDescent="0.2">
      <c r="F1251"/>
      <c r="L1251"/>
      <c r="P1251" s="1"/>
    </row>
    <row r="1252" spans="6:16" x14ac:dyDescent="0.2">
      <c r="F1252"/>
      <c r="L1252"/>
    </row>
    <row r="1253" spans="6:16" x14ac:dyDescent="0.2">
      <c r="F1253"/>
      <c r="L1253"/>
    </row>
    <row r="1254" spans="6:16" x14ac:dyDescent="0.2">
      <c r="F1254"/>
      <c r="L1254"/>
      <c r="P1254" s="1"/>
    </row>
    <row r="1255" spans="6:16" x14ac:dyDescent="0.2">
      <c r="F1255"/>
      <c r="L1255"/>
    </row>
    <row r="1256" spans="6:16" x14ac:dyDescent="0.2">
      <c r="F1256"/>
      <c r="L1256"/>
    </row>
    <row r="1257" spans="6:16" x14ac:dyDescent="0.2">
      <c r="F1257"/>
      <c r="L1257"/>
    </row>
    <row r="1258" spans="6:16" x14ac:dyDescent="0.2">
      <c r="F1258"/>
      <c r="L1258"/>
    </row>
    <row r="1259" spans="6:16" x14ac:dyDescent="0.2">
      <c r="F1259"/>
      <c r="L1259"/>
    </row>
    <row r="1260" spans="6:16" x14ac:dyDescent="0.2">
      <c r="F1260"/>
      <c r="L1260"/>
    </row>
    <row r="1261" spans="6:16" x14ac:dyDescent="0.2">
      <c r="F1261"/>
      <c r="L1261"/>
    </row>
    <row r="1262" spans="6:16" x14ac:dyDescent="0.2">
      <c r="F1262"/>
      <c r="L1262"/>
    </row>
    <row r="1263" spans="6:16" x14ac:dyDescent="0.2">
      <c r="F1263"/>
      <c r="L1263"/>
    </row>
    <row r="1264" spans="6:16" x14ac:dyDescent="0.2">
      <c r="F1264"/>
      <c r="L1264"/>
    </row>
    <row r="1265" spans="6:12" x14ac:dyDescent="0.2">
      <c r="F1265"/>
      <c r="L1265"/>
    </row>
    <row r="1266" spans="6:12" x14ac:dyDescent="0.2">
      <c r="F1266"/>
      <c r="L1266"/>
    </row>
    <row r="1267" spans="6:12" x14ac:dyDescent="0.2">
      <c r="F1267"/>
      <c r="L1267"/>
    </row>
    <row r="1268" spans="6:12" x14ac:dyDescent="0.2">
      <c r="F1268"/>
      <c r="L1268"/>
    </row>
    <row r="1269" spans="6:12" x14ac:dyDescent="0.2">
      <c r="F1269"/>
      <c r="L1269"/>
    </row>
    <row r="1270" spans="6:12" x14ac:dyDescent="0.2">
      <c r="F1270"/>
      <c r="L1270"/>
    </row>
    <row r="1271" spans="6:12" x14ac:dyDescent="0.2">
      <c r="F1271"/>
      <c r="L1271"/>
    </row>
    <row r="1272" spans="6:12" x14ac:dyDescent="0.2">
      <c r="F1272"/>
      <c r="L1272"/>
    </row>
    <row r="1273" spans="6:12" x14ac:dyDescent="0.2">
      <c r="F1273"/>
      <c r="L1273"/>
    </row>
    <row r="1274" spans="6:12" x14ac:dyDescent="0.2">
      <c r="F1274"/>
      <c r="L1274"/>
    </row>
    <row r="1275" spans="6:12" x14ac:dyDescent="0.2">
      <c r="F1275"/>
      <c r="L1275"/>
    </row>
    <row r="1276" spans="6:12" x14ac:dyDescent="0.2">
      <c r="F1276"/>
      <c r="L1276"/>
    </row>
    <row r="1277" spans="6:12" x14ac:dyDescent="0.2">
      <c r="F1277"/>
      <c r="L1277"/>
    </row>
    <row r="1278" spans="6:12" x14ac:dyDescent="0.2">
      <c r="F1278"/>
      <c r="L1278"/>
    </row>
    <row r="1279" spans="6:12" x14ac:dyDescent="0.2">
      <c r="F1279"/>
      <c r="L1279"/>
    </row>
    <row r="1280" spans="6:12" x14ac:dyDescent="0.2">
      <c r="F1280"/>
      <c r="L1280"/>
    </row>
    <row r="1281" spans="6:16" x14ac:dyDescent="0.2">
      <c r="F1281"/>
      <c r="L1281"/>
    </row>
    <row r="1282" spans="6:16" x14ac:dyDescent="0.2">
      <c r="F1282"/>
      <c r="L1282"/>
      <c r="P1282" s="1"/>
    </row>
    <row r="1283" spans="6:16" x14ac:dyDescent="0.2">
      <c r="F1283"/>
      <c r="L1283"/>
    </row>
    <row r="1284" spans="6:16" x14ac:dyDescent="0.2">
      <c r="F1284"/>
      <c r="L1284"/>
      <c r="P1284" s="1"/>
    </row>
    <row r="1285" spans="6:16" x14ac:dyDescent="0.2">
      <c r="F1285"/>
      <c r="L1285"/>
    </row>
    <row r="1286" spans="6:16" x14ac:dyDescent="0.2">
      <c r="F1286"/>
      <c r="L1286"/>
      <c r="P1286" s="1"/>
    </row>
    <row r="1287" spans="6:16" x14ac:dyDescent="0.2">
      <c r="F1287"/>
      <c r="L1287"/>
    </row>
    <row r="1288" spans="6:16" x14ac:dyDescent="0.2">
      <c r="F1288"/>
      <c r="L1288"/>
      <c r="P1288" s="1"/>
    </row>
    <row r="1289" spans="6:16" x14ac:dyDescent="0.2">
      <c r="F1289"/>
      <c r="L1289"/>
      <c r="P1289" s="1"/>
    </row>
    <row r="1290" spans="6:16" x14ac:dyDescent="0.2">
      <c r="F1290"/>
      <c r="L1290"/>
      <c r="P1290" s="1"/>
    </row>
    <row r="1291" spans="6:16" x14ac:dyDescent="0.2">
      <c r="F1291"/>
      <c r="L1291"/>
    </row>
    <row r="1292" spans="6:16" x14ac:dyDescent="0.2">
      <c r="F1292"/>
      <c r="L1292"/>
    </row>
    <row r="1293" spans="6:16" x14ac:dyDescent="0.2">
      <c r="F1293"/>
      <c r="L1293"/>
    </row>
    <row r="1294" spans="6:16" x14ac:dyDescent="0.2">
      <c r="F1294"/>
      <c r="L1294"/>
    </row>
    <row r="1295" spans="6:16" x14ac:dyDescent="0.2">
      <c r="F1295"/>
      <c r="L1295"/>
    </row>
    <row r="1296" spans="6:16" x14ac:dyDescent="0.2">
      <c r="F1296"/>
      <c r="L1296"/>
    </row>
    <row r="1297" spans="6:16" x14ac:dyDescent="0.2">
      <c r="F1297"/>
      <c r="L1297"/>
    </row>
    <row r="1298" spans="6:16" x14ac:dyDescent="0.2">
      <c r="F1298"/>
      <c r="L1298"/>
    </row>
    <row r="1299" spans="6:16" x14ac:dyDescent="0.2">
      <c r="F1299"/>
      <c r="L1299"/>
    </row>
    <row r="1300" spans="6:16" x14ac:dyDescent="0.2">
      <c r="F1300"/>
      <c r="L1300"/>
    </row>
    <row r="1301" spans="6:16" x14ac:dyDescent="0.2">
      <c r="F1301"/>
      <c r="L1301"/>
    </row>
    <row r="1302" spans="6:16" x14ac:dyDescent="0.2">
      <c r="F1302"/>
      <c r="L1302"/>
    </row>
    <row r="1303" spans="6:16" x14ac:dyDescent="0.2">
      <c r="F1303"/>
      <c r="L1303"/>
    </row>
    <row r="1304" spans="6:16" x14ac:dyDescent="0.2">
      <c r="F1304"/>
      <c r="L1304"/>
    </row>
    <row r="1305" spans="6:16" x14ac:dyDescent="0.2">
      <c r="F1305"/>
      <c r="L1305"/>
    </row>
    <row r="1306" spans="6:16" x14ac:dyDescent="0.2">
      <c r="F1306"/>
      <c r="L1306"/>
    </row>
    <row r="1307" spans="6:16" x14ac:dyDescent="0.2">
      <c r="F1307"/>
      <c r="L1307"/>
    </row>
    <row r="1308" spans="6:16" x14ac:dyDescent="0.2">
      <c r="F1308"/>
      <c r="L1308"/>
    </row>
    <row r="1309" spans="6:16" x14ac:dyDescent="0.2">
      <c r="F1309"/>
      <c r="L1309"/>
    </row>
    <row r="1310" spans="6:16" x14ac:dyDescent="0.2">
      <c r="F1310"/>
      <c r="L1310"/>
    </row>
    <row r="1311" spans="6:16" x14ac:dyDescent="0.2">
      <c r="F1311"/>
      <c r="L1311"/>
    </row>
    <row r="1312" spans="6:16" x14ac:dyDescent="0.2">
      <c r="F1312"/>
      <c r="L1312"/>
      <c r="P1312" s="1"/>
    </row>
    <row r="1313" spans="6:16" x14ac:dyDescent="0.2">
      <c r="F1313"/>
      <c r="L1313"/>
    </row>
    <row r="1314" spans="6:16" x14ac:dyDescent="0.2">
      <c r="F1314"/>
      <c r="L1314"/>
    </row>
    <row r="1315" spans="6:16" x14ac:dyDescent="0.2">
      <c r="F1315"/>
      <c r="L1315"/>
    </row>
    <row r="1316" spans="6:16" x14ac:dyDescent="0.2">
      <c r="F1316"/>
      <c r="L1316"/>
      <c r="P1316" s="1"/>
    </row>
    <row r="1317" spans="6:16" x14ac:dyDescent="0.2">
      <c r="F1317"/>
      <c r="L1317"/>
    </row>
    <row r="1318" spans="6:16" x14ac:dyDescent="0.2">
      <c r="F1318"/>
      <c r="L1318"/>
    </row>
    <row r="1319" spans="6:16" x14ac:dyDescent="0.2">
      <c r="F1319"/>
      <c r="L1319"/>
    </row>
    <row r="1320" spans="6:16" x14ac:dyDescent="0.2">
      <c r="F1320"/>
      <c r="L1320"/>
    </row>
    <row r="1321" spans="6:16" x14ac:dyDescent="0.2">
      <c r="F1321"/>
      <c r="L1321"/>
    </row>
    <row r="1322" spans="6:16" x14ac:dyDescent="0.2">
      <c r="F1322"/>
      <c r="L1322"/>
    </row>
    <row r="1323" spans="6:16" x14ac:dyDescent="0.2">
      <c r="F1323"/>
      <c r="L1323"/>
    </row>
    <row r="1324" spans="6:16" x14ac:dyDescent="0.2">
      <c r="F1324"/>
      <c r="L1324"/>
    </row>
    <row r="1325" spans="6:16" x14ac:dyDescent="0.2">
      <c r="F1325"/>
      <c r="L1325"/>
      <c r="P1325" s="1"/>
    </row>
    <row r="1326" spans="6:16" x14ac:dyDescent="0.2">
      <c r="F1326"/>
      <c r="L1326"/>
    </row>
    <row r="1327" spans="6:16" x14ac:dyDescent="0.2">
      <c r="F1327"/>
      <c r="L1327"/>
    </row>
    <row r="1328" spans="6:16" x14ac:dyDescent="0.2">
      <c r="F1328"/>
      <c r="L1328"/>
    </row>
    <row r="1329" spans="6:12" x14ac:dyDescent="0.2">
      <c r="F1329"/>
      <c r="L1329"/>
    </row>
    <row r="1330" spans="6:12" x14ac:dyDescent="0.2">
      <c r="F1330"/>
      <c r="L1330"/>
    </row>
    <row r="1331" spans="6:12" x14ac:dyDescent="0.2">
      <c r="F1331"/>
      <c r="L1331"/>
    </row>
    <row r="1332" spans="6:12" x14ac:dyDescent="0.2">
      <c r="F1332"/>
      <c r="L1332"/>
    </row>
    <row r="1333" spans="6:12" x14ac:dyDescent="0.2">
      <c r="F1333"/>
      <c r="L1333"/>
    </row>
    <row r="1334" spans="6:12" x14ac:dyDescent="0.2">
      <c r="F1334"/>
      <c r="L1334"/>
    </row>
    <row r="1335" spans="6:12" x14ac:dyDescent="0.2">
      <c r="F1335"/>
      <c r="L1335"/>
    </row>
    <row r="1336" spans="6:12" x14ac:dyDescent="0.2">
      <c r="F1336"/>
      <c r="L1336"/>
    </row>
    <row r="1337" spans="6:12" x14ac:dyDescent="0.2">
      <c r="F1337"/>
      <c r="L1337"/>
    </row>
    <row r="1338" spans="6:12" x14ac:dyDescent="0.2">
      <c r="F1338"/>
      <c r="L1338"/>
    </row>
    <row r="1339" spans="6:12" x14ac:dyDescent="0.2">
      <c r="F1339"/>
      <c r="L1339"/>
    </row>
    <row r="1340" spans="6:12" x14ac:dyDescent="0.2">
      <c r="F1340"/>
      <c r="L1340"/>
    </row>
    <row r="1341" spans="6:12" x14ac:dyDescent="0.2">
      <c r="F1341"/>
      <c r="L1341"/>
    </row>
    <row r="1342" spans="6:12" x14ac:dyDescent="0.2">
      <c r="F1342"/>
      <c r="L1342"/>
    </row>
    <row r="1343" spans="6:12" x14ac:dyDescent="0.2">
      <c r="F1343"/>
      <c r="L1343"/>
    </row>
    <row r="1344" spans="6:12" x14ac:dyDescent="0.2">
      <c r="F1344"/>
      <c r="L1344"/>
    </row>
    <row r="1345" spans="1:17" x14ac:dyDescent="0.2">
      <c r="F1345"/>
      <c r="L1345"/>
    </row>
    <row r="1346" spans="1:17" x14ac:dyDescent="0.2">
      <c r="F1346"/>
      <c r="L1346"/>
    </row>
    <row r="1347" spans="1:17" x14ac:dyDescent="0.2">
      <c r="F1347"/>
      <c r="L1347"/>
    </row>
    <row r="1348" spans="1:17" x14ac:dyDescent="0.2">
      <c r="F1348"/>
      <c r="L1348"/>
    </row>
    <row r="1349" spans="1:17" x14ac:dyDescent="0.2">
      <c r="F1349"/>
      <c r="L1349"/>
    </row>
    <row r="1350" spans="1:17" x14ac:dyDescent="0.2">
      <c r="F1350"/>
      <c r="L1350"/>
    </row>
    <row r="1351" spans="1:17" x14ac:dyDescent="0.2">
      <c r="F1351"/>
      <c r="L1351"/>
    </row>
    <row r="1352" spans="1:17" x14ac:dyDescent="0.2">
      <c r="F1352"/>
      <c r="L1352"/>
    </row>
    <row r="1353" spans="1:17" x14ac:dyDescent="0.2">
      <c r="A1353" s="4"/>
      <c r="B1353" s="4"/>
      <c r="C1353" s="4"/>
      <c r="D1353" s="4"/>
      <c r="E1353" s="4"/>
      <c r="F1353" s="4"/>
      <c r="G1353" s="4"/>
      <c r="H1353" s="4"/>
      <c r="I1353" s="4"/>
      <c r="J1353" s="4"/>
      <c r="K1353" s="4"/>
      <c r="L1353" s="4"/>
      <c r="M1353" s="4"/>
      <c r="N1353" s="4"/>
      <c r="O1353" s="4"/>
      <c r="P1353" s="4"/>
      <c r="Q1353" s="4"/>
    </row>
    <row r="1354" spans="1:17" x14ac:dyDescent="0.2">
      <c r="A1354" s="4"/>
      <c r="B1354" s="4"/>
      <c r="C1354" s="4"/>
      <c r="D1354" s="4"/>
      <c r="E1354" s="4"/>
      <c r="F1354" s="4"/>
      <c r="G1354" s="4"/>
      <c r="H1354" s="4"/>
      <c r="I1354" s="4"/>
      <c r="J1354" s="4"/>
      <c r="K1354" s="4"/>
      <c r="L1354" s="4"/>
      <c r="M1354" s="4"/>
      <c r="N1354" s="4"/>
      <c r="O1354" s="4"/>
      <c r="P1354" s="4"/>
      <c r="Q1354" s="4"/>
    </row>
    <row r="1355" spans="1:17" x14ac:dyDescent="0.2">
      <c r="A1355" s="4"/>
      <c r="B1355" s="4"/>
      <c r="C1355" s="4"/>
      <c r="D1355" s="4"/>
      <c r="E1355" s="4"/>
      <c r="F1355" s="4"/>
      <c r="G1355" s="4"/>
      <c r="H1355" s="4"/>
      <c r="I1355" s="4"/>
      <c r="J1355" s="4"/>
      <c r="K1355" s="4"/>
      <c r="L1355" s="4"/>
      <c r="M1355" s="4"/>
      <c r="N1355" s="4"/>
      <c r="O1355" s="4"/>
      <c r="P1355" s="4"/>
      <c r="Q1355" s="4"/>
    </row>
    <row r="1356" spans="1:17" x14ac:dyDescent="0.2">
      <c r="A1356" s="4"/>
      <c r="B1356" s="4"/>
      <c r="C1356" s="4"/>
      <c r="D1356" s="4"/>
      <c r="E1356" s="4"/>
      <c r="F1356" s="4"/>
      <c r="G1356" s="4"/>
      <c r="H1356" s="4"/>
      <c r="I1356" s="4"/>
      <c r="J1356" s="4"/>
      <c r="K1356" s="4"/>
      <c r="L1356" s="4"/>
      <c r="M1356" s="4"/>
      <c r="N1356" s="4"/>
      <c r="O1356" s="4"/>
      <c r="P1356" s="4"/>
      <c r="Q1356" s="4"/>
    </row>
    <row r="1357" spans="1:17" x14ac:dyDescent="0.2">
      <c r="F1357"/>
      <c r="L1357"/>
    </row>
    <row r="1358" spans="1:17" x14ac:dyDescent="0.2">
      <c r="F1358"/>
      <c r="L1358"/>
    </row>
    <row r="1359" spans="1:17" x14ac:dyDescent="0.2">
      <c r="F1359"/>
      <c r="L1359"/>
    </row>
    <row r="1360" spans="1:17" x14ac:dyDescent="0.2">
      <c r="F1360"/>
      <c r="L1360"/>
    </row>
    <row r="1361" spans="6:12" x14ac:dyDescent="0.2">
      <c r="F1361"/>
      <c r="L1361"/>
    </row>
    <row r="1362" spans="6:12" x14ac:dyDescent="0.2">
      <c r="F1362"/>
      <c r="L1362"/>
    </row>
    <row r="1363" spans="6:12" x14ac:dyDescent="0.2">
      <c r="F1363"/>
      <c r="L1363"/>
    </row>
    <row r="1364" spans="6:12" x14ac:dyDescent="0.2">
      <c r="F1364"/>
      <c r="L1364"/>
    </row>
    <row r="1365" spans="6:12" x14ac:dyDescent="0.2">
      <c r="F1365"/>
      <c r="L1365"/>
    </row>
    <row r="1366" spans="6:12" x14ac:dyDescent="0.2">
      <c r="F1366"/>
      <c r="L1366"/>
    </row>
    <row r="1367" spans="6:12" x14ac:dyDescent="0.2">
      <c r="F1367"/>
      <c r="L1367"/>
    </row>
    <row r="1368" spans="6:12" x14ac:dyDescent="0.2">
      <c r="F1368"/>
      <c r="L1368"/>
    </row>
    <row r="1369" spans="6:12" x14ac:dyDescent="0.2">
      <c r="F1369"/>
      <c r="L1369"/>
    </row>
    <row r="1370" spans="6:12" x14ac:dyDescent="0.2">
      <c r="F1370"/>
      <c r="L1370"/>
    </row>
    <row r="1371" spans="6:12" x14ac:dyDescent="0.2">
      <c r="F1371"/>
      <c r="L1371"/>
    </row>
    <row r="1372" spans="6:12" x14ac:dyDescent="0.2">
      <c r="F1372"/>
      <c r="L1372"/>
    </row>
    <row r="1373" spans="6:12" x14ac:dyDescent="0.2">
      <c r="F1373"/>
      <c r="L1373"/>
    </row>
    <row r="1374" spans="6:12" x14ac:dyDescent="0.2">
      <c r="F1374"/>
      <c r="L1374"/>
    </row>
    <row r="1375" spans="6:12" x14ac:dyDescent="0.2">
      <c r="F1375"/>
      <c r="L1375"/>
    </row>
    <row r="1376" spans="6:12" x14ac:dyDescent="0.2">
      <c r="F1376"/>
      <c r="L1376"/>
    </row>
    <row r="1377" spans="6:16" x14ac:dyDescent="0.2">
      <c r="F1377"/>
      <c r="L1377"/>
    </row>
    <row r="1378" spans="6:16" x14ac:dyDescent="0.2">
      <c r="F1378"/>
      <c r="L1378"/>
    </row>
    <row r="1379" spans="6:16" x14ac:dyDescent="0.2">
      <c r="F1379"/>
      <c r="L1379"/>
      <c r="P1379" s="1"/>
    </row>
    <row r="1380" spans="6:16" x14ac:dyDescent="0.2">
      <c r="F1380"/>
      <c r="L1380"/>
      <c r="P1380" s="1"/>
    </row>
    <row r="1381" spans="6:16" x14ac:dyDescent="0.2">
      <c r="F1381"/>
      <c r="L1381"/>
    </row>
    <row r="1382" spans="6:16" x14ac:dyDescent="0.2">
      <c r="F1382"/>
      <c r="L1382"/>
      <c r="P1382" s="1"/>
    </row>
    <row r="1383" spans="6:16" x14ac:dyDescent="0.2">
      <c r="F1383"/>
      <c r="L1383"/>
      <c r="P1383" s="1"/>
    </row>
    <row r="1384" spans="6:16" x14ac:dyDescent="0.2">
      <c r="F1384"/>
      <c r="L1384"/>
      <c r="P1384" s="1"/>
    </row>
    <row r="1385" spans="6:16" x14ac:dyDescent="0.2">
      <c r="F1385"/>
      <c r="L1385"/>
    </row>
    <row r="1386" spans="6:16" x14ac:dyDescent="0.2">
      <c r="F1386"/>
      <c r="L1386"/>
    </row>
    <row r="1387" spans="6:16" x14ac:dyDescent="0.2">
      <c r="F1387"/>
      <c r="L1387"/>
    </row>
    <row r="1388" spans="6:16" x14ac:dyDescent="0.2">
      <c r="F1388"/>
      <c r="L1388"/>
    </row>
    <row r="1389" spans="6:16" x14ac:dyDescent="0.2">
      <c r="F1389"/>
      <c r="L1389"/>
      <c r="P1389" s="1"/>
    </row>
    <row r="1390" spans="6:16" x14ac:dyDescent="0.2">
      <c r="F1390"/>
      <c r="L1390"/>
    </row>
    <row r="1391" spans="6:16" x14ac:dyDescent="0.2">
      <c r="F1391"/>
      <c r="L1391"/>
    </row>
    <row r="1392" spans="6:16" x14ac:dyDescent="0.2">
      <c r="F1392"/>
      <c r="L1392"/>
      <c r="P1392" s="1"/>
    </row>
    <row r="1393" spans="6:16" x14ac:dyDescent="0.2">
      <c r="F1393"/>
      <c r="L1393"/>
    </row>
    <row r="1394" spans="6:16" x14ac:dyDescent="0.2">
      <c r="F1394"/>
      <c r="L1394"/>
    </row>
    <row r="1395" spans="6:16" x14ac:dyDescent="0.2">
      <c r="F1395"/>
      <c r="L1395"/>
    </row>
    <row r="1396" spans="6:16" x14ac:dyDescent="0.2">
      <c r="F1396"/>
      <c r="L1396"/>
    </row>
    <row r="1397" spans="6:16" x14ac:dyDescent="0.2">
      <c r="F1397"/>
      <c r="L1397"/>
    </row>
    <row r="1398" spans="6:16" x14ac:dyDescent="0.2">
      <c r="F1398"/>
      <c r="L1398"/>
    </row>
    <row r="1399" spans="6:16" x14ac:dyDescent="0.2">
      <c r="F1399"/>
      <c r="L1399"/>
    </row>
    <row r="1400" spans="6:16" x14ac:dyDescent="0.2">
      <c r="F1400"/>
      <c r="L1400"/>
    </row>
    <row r="1401" spans="6:16" x14ac:dyDescent="0.2">
      <c r="F1401"/>
      <c r="L1401"/>
    </row>
    <row r="1402" spans="6:16" x14ac:dyDescent="0.2">
      <c r="F1402"/>
      <c r="L1402"/>
    </row>
    <row r="1403" spans="6:16" x14ac:dyDescent="0.2">
      <c r="F1403"/>
      <c r="L1403"/>
    </row>
    <row r="1404" spans="6:16" x14ac:dyDescent="0.2">
      <c r="F1404"/>
      <c r="L1404"/>
      <c r="P1404" s="1"/>
    </row>
    <row r="1405" spans="6:16" x14ac:dyDescent="0.2">
      <c r="F1405"/>
      <c r="L1405"/>
      <c r="P1405" s="1"/>
    </row>
    <row r="1406" spans="6:16" x14ac:dyDescent="0.2">
      <c r="F1406"/>
      <c r="L1406"/>
    </row>
    <row r="1407" spans="6:16" x14ac:dyDescent="0.2">
      <c r="F1407"/>
      <c r="L1407"/>
    </row>
    <row r="1408" spans="6:16" x14ac:dyDescent="0.2">
      <c r="F1408"/>
      <c r="L1408"/>
    </row>
    <row r="1409" spans="6:12" x14ac:dyDescent="0.2">
      <c r="F1409"/>
      <c r="L1409"/>
    </row>
    <row r="1410" spans="6:12" x14ac:dyDescent="0.2">
      <c r="F1410"/>
      <c r="L1410"/>
    </row>
    <row r="1411" spans="6:12" x14ac:dyDescent="0.2">
      <c r="F1411"/>
      <c r="L1411"/>
    </row>
    <row r="1412" spans="6:12" x14ac:dyDescent="0.2">
      <c r="F1412"/>
      <c r="L1412"/>
    </row>
    <row r="1413" spans="6:12" x14ac:dyDescent="0.2">
      <c r="F1413"/>
      <c r="L1413"/>
    </row>
    <row r="1414" spans="6:12" x14ac:dyDescent="0.2">
      <c r="F1414"/>
      <c r="L1414"/>
    </row>
    <row r="1415" spans="6:12" x14ac:dyDescent="0.2">
      <c r="F1415"/>
      <c r="L1415"/>
    </row>
    <row r="1416" spans="6:12" x14ac:dyDescent="0.2">
      <c r="F1416"/>
      <c r="L1416"/>
    </row>
    <row r="1417" spans="6:12" x14ac:dyDescent="0.2">
      <c r="F1417"/>
      <c r="L1417"/>
    </row>
    <row r="1418" spans="6:12" x14ac:dyDescent="0.2">
      <c r="F1418"/>
      <c r="L1418"/>
    </row>
    <row r="1419" spans="6:12" x14ac:dyDescent="0.2">
      <c r="F1419"/>
      <c r="L1419"/>
    </row>
    <row r="1420" spans="6:12" x14ac:dyDescent="0.2">
      <c r="F1420"/>
      <c r="L1420"/>
    </row>
    <row r="1421" spans="6:12" x14ac:dyDescent="0.2">
      <c r="F1421"/>
      <c r="L1421"/>
    </row>
    <row r="1422" spans="6:12" x14ac:dyDescent="0.2">
      <c r="F1422"/>
      <c r="L1422"/>
    </row>
    <row r="1423" spans="6:12" x14ac:dyDescent="0.2">
      <c r="F1423"/>
      <c r="L1423"/>
    </row>
    <row r="1424" spans="6:12" x14ac:dyDescent="0.2">
      <c r="F1424"/>
      <c r="L1424"/>
    </row>
    <row r="1425" spans="6:16" x14ac:dyDescent="0.2">
      <c r="F1425"/>
      <c r="L1425"/>
    </row>
    <row r="1426" spans="6:16" x14ac:dyDescent="0.2">
      <c r="F1426"/>
      <c r="L1426"/>
    </row>
    <row r="1427" spans="6:16" x14ac:dyDescent="0.2">
      <c r="F1427"/>
      <c r="L1427"/>
    </row>
    <row r="1428" spans="6:16" x14ac:dyDescent="0.2">
      <c r="F1428"/>
      <c r="L1428"/>
    </row>
    <row r="1429" spans="6:16" x14ac:dyDescent="0.2">
      <c r="F1429"/>
      <c r="L1429"/>
    </row>
    <row r="1430" spans="6:16" x14ac:dyDescent="0.2">
      <c r="F1430"/>
      <c r="L1430"/>
    </row>
    <row r="1431" spans="6:16" x14ac:dyDescent="0.2">
      <c r="F1431"/>
      <c r="L1431"/>
    </row>
    <row r="1432" spans="6:16" x14ac:dyDescent="0.2">
      <c r="F1432"/>
      <c r="L1432"/>
    </row>
    <row r="1433" spans="6:16" x14ac:dyDescent="0.2">
      <c r="F1433"/>
      <c r="L1433"/>
    </row>
    <row r="1434" spans="6:16" x14ac:dyDescent="0.2">
      <c r="F1434"/>
      <c r="L1434"/>
      <c r="P1434" s="1"/>
    </row>
    <row r="1435" spans="6:16" x14ac:dyDescent="0.2">
      <c r="F1435"/>
      <c r="L1435"/>
    </row>
    <row r="1436" spans="6:16" x14ac:dyDescent="0.2">
      <c r="F1436"/>
      <c r="L1436"/>
      <c r="P1436" s="1"/>
    </row>
    <row r="1437" spans="6:16" x14ac:dyDescent="0.2">
      <c r="F1437"/>
      <c r="L1437"/>
    </row>
    <row r="1438" spans="6:16" x14ac:dyDescent="0.2">
      <c r="F1438"/>
      <c r="L1438"/>
      <c r="P1438" s="1"/>
    </row>
    <row r="1439" spans="6:16" x14ac:dyDescent="0.2">
      <c r="F1439"/>
      <c r="L1439"/>
      <c r="P1439" s="1"/>
    </row>
    <row r="1440" spans="6:16" x14ac:dyDescent="0.2">
      <c r="F1440"/>
      <c r="L1440"/>
    </row>
    <row r="1441" spans="1:17" x14ac:dyDescent="0.2">
      <c r="F1441"/>
      <c r="L1441"/>
    </row>
    <row r="1442" spans="1:17" x14ac:dyDescent="0.2">
      <c r="F1442"/>
      <c r="L1442"/>
    </row>
    <row r="1443" spans="1:17" x14ac:dyDescent="0.2">
      <c r="F1443"/>
      <c r="L1443"/>
      <c r="P1443" s="1"/>
    </row>
    <row r="1444" spans="1:17" x14ac:dyDescent="0.2">
      <c r="A1444" s="4"/>
      <c r="B1444" s="4"/>
      <c r="C1444" s="4"/>
      <c r="D1444" s="4"/>
      <c r="F1444" s="4"/>
      <c r="G1444" s="4"/>
      <c r="H1444" s="4"/>
      <c r="I1444" s="4"/>
      <c r="J1444" s="4"/>
      <c r="K1444" s="4"/>
      <c r="L1444" s="4"/>
      <c r="M1444" s="4"/>
      <c r="N1444" s="4"/>
      <c r="O1444" s="4"/>
      <c r="P1444" s="8"/>
      <c r="Q1444" s="4"/>
    </row>
    <row r="1445" spans="1:17" x14ac:dyDescent="0.2">
      <c r="A1445" s="4"/>
      <c r="B1445" s="4"/>
      <c r="C1445" s="4"/>
      <c r="D1445" s="4"/>
      <c r="F1445" s="4"/>
      <c r="G1445" s="4"/>
      <c r="H1445" s="4"/>
      <c r="I1445" s="4"/>
      <c r="J1445" s="4"/>
      <c r="K1445" s="4"/>
      <c r="L1445" s="4"/>
      <c r="M1445" s="4"/>
      <c r="N1445" s="4"/>
      <c r="O1445" s="4"/>
      <c r="P1445" s="4"/>
      <c r="Q1445" s="4"/>
    </row>
    <row r="1446" spans="1:17" x14ac:dyDescent="0.2">
      <c r="F1446"/>
      <c r="L1446"/>
    </row>
    <row r="1447" spans="1:17" x14ac:dyDescent="0.2">
      <c r="F1447"/>
      <c r="L1447"/>
    </row>
    <row r="1448" spans="1:17" x14ac:dyDescent="0.2">
      <c r="F1448"/>
      <c r="L1448"/>
    </row>
    <row r="1449" spans="1:17" x14ac:dyDescent="0.2">
      <c r="F1449"/>
      <c r="L1449"/>
      <c r="P1449" s="1"/>
    </row>
    <row r="1450" spans="1:17" x14ac:dyDescent="0.2">
      <c r="F1450"/>
      <c r="L1450"/>
    </row>
    <row r="1451" spans="1:17" x14ac:dyDescent="0.2">
      <c r="F1451"/>
      <c r="L1451"/>
    </row>
    <row r="1452" spans="1:17" x14ac:dyDescent="0.2">
      <c r="F1452"/>
      <c r="L1452"/>
    </row>
    <row r="1453" spans="1:17" x14ac:dyDescent="0.2">
      <c r="F1453"/>
      <c r="L1453"/>
    </row>
    <row r="1454" spans="1:17" x14ac:dyDescent="0.2">
      <c r="F1454"/>
      <c r="L1454"/>
    </row>
    <row r="1455" spans="1:17" x14ac:dyDescent="0.2">
      <c r="F1455"/>
      <c r="L1455"/>
    </row>
    <row r="1456" spans="1:17" x14ac:dyDescent="0.2">
      <c r="F1456"/>
      <c r="L1456"/>
    </row>
    <row r="1457" spans="6:16" x14ac:dyDescent="0.2">
      <c r="F1457"/>
      <c r="L1457"/>
    </row>
    <row r="1458" spans="6:16" x14ac:dyDescent="0.2">
      <c r="F1458"/>
      <c r="L1458"/>
    </row>
    <row r="1459" spans="6:16" x14ac:dyDescent="0.2">
      <c r="F1459"/>
      <c r="L1459"/>
    </row>
    <row r="1460" spans="6:16" x14ac:dyDescent="0.2">
      <c r="F1460"/>
      <c r="L1460"/>
    </row>
    <row r="1461" spans="6:16" x14ac:dyDescent="0.2">
      <c r="F1461"/>
      <c r="L1461"/>
    </row>
    <row r="1462" spans="6:16" x14ac:dyDescent="0.2">
      <c r="F1462"/>
      <c r="L1462"/>
      <c r="P1462" s="1"/>
    </row>
    <row r="1463" spans="6:16" x14ac:dyDescent="0.2">
      <c r="F1463"/>
      <c r="L1463"/>
    </row>
    <row r="1464" spans="6:16" x14ac:dyDescent="0.2">
      <c r="F1464"/>
      <c r="L1464"/>
    </row>
    <row r="1465" spans="6:16" x14ac:dyDescent="0.2">
      <c r="F1465"/>
      <c r="L1465"/>
    </row>
    <row r="1466" spans="6:16" x14ac:dyDescent="0.2">
      <c r="F1466"/>
      <c r="L1466"/>
    </row>
    <row r="1467" spans="6:16" x14ac:dyDescent="0.2">
      <c r="F1467"/>
      <c r="L1467"/>
    </row>
    <row r="1468" spans="6:16" x14ac:dyDescent="0.2">
      <c r="F1468"/>
      <c r="L1468"/>
    </row>
    <row r="1469" spans="6:16" x14ac:dyDescent="0.2">
      <c r="F1469"/>
      <c r="L1469"/>
    </row>
    <row r="1470" spans="6:16" x14ac:dyDescent="0.2">
      <c r="F1470"/>
      <c r="L1470"/>
    </row>
    <row r="1471" spans="6:16" x14ac:dyDescent="0.2">
      <c r="F1471"/>
      <c r="L1471"/>
    </row>
    <row r="1472" spans="6:16" x14ac:dyDescent="0.2">
      <c r="F1472"/>
      <c r="L1472"/>
    </row>
    <row r="1473" spans="6:12" x14ac:dyDescent="0.2">
      <c r="F1473"/>
      <c r="L1473"/>
    </row>
    <row r="1474" spans="6:12" x14ac:dyDescent="0.2">
      <c r="F1474"/>
      <c r="L1474"/>
    </row>
    <row r="1475" spans="6:12" x14ac:dyDescent="0.2">
      <c r="F1475"/>
      <c r="L1475"/>
    </row>
    <row r="1476" spans="6:12" x14ac:dyDescent="0.2">
      <c r="F1476"/>
      <c r="L1476"/>
    </row>
    <row r="1477" spans="6:12" x14ac:dyDescent="0.2">
      <c r="F1477"/>
      <c r="L1477"/>
    </row>
    <row r="1478" spans="6:12" ht="15" customHeight="1" x14ac:dyDescent="0.2">
      <c r="F1478"/>
      <c r="L1478"/>
    </row>
    <row r="1479" spans="6:12" x14ac:dyDescent="0.2">
      <c r="F1479"/>
      <c r="L1479"/>
    </row>
    <row r="1480" spans="6:12" x14ac:dyDescent="0.2">
      <c r="F1480"/>
      <c r="L1480"/>
    </row>
    <row r="1481" spans="6:12" x14ac:dyDescent="0.2">
      <c r="F1481"/>
      <c r="L1481"/>
    </row>
    <row r="1482" spans="6:12" x14ac:dyDescent="0.2">
      <c r="F1482"/>
      <c r="L1482"/>
    </row>
    <row r="1483" spans="6:12" x14ac:dyDescent="0.2">
      <c r="F1483"/>
      <c r="L1483"/>
    </row>
    <row r="1484" spans="6:12" x14ac:dyDescent="0.2">
      <c r="F1484"/>
      <c r="L1484"/>
    </row>
    <row r="1485" spans="6:12" x14ac:dyDescent="0.2">
      <c r="F1485"/>
      <c r="L1485"/>
    </row>
    <row r="1486" spans="6:12" x14ac:dyDescent="0.2">
      <c r="F1486"/>
      <c r="L1486"/>
    </row>
    <row r="1487" spans="6:12" x14ac:dyDescent="0.2">
      <c r="F1487"/>
      <c r="L1487"/>
    </row>
    <row r="1488" spans="6:12" x14ac:dyDescent="0.2">
      <c r="F1488"/>
      <c r="L1488"/>
    </row>
    <row r="1489" spans="6:12" x14ac:dyDescent="0.2">
      <c r="F1489"/>
      <c r="L1489"/>
    </row>
    <row r="1490" spans="6:12" x14ac:dyDescent="0.2">
      <c r="F1490"/>
      <c r="L1490"/>
    </row>
    <row r="1491" spans="6:12" x14ac:dyDescent="0.2">
      <c r="F1491"/>
      <c r="L1491"/>
    </row>
    <row r="1492" spans="6:12" x14ac:dyDescent="0.2">
      <c r="F1492"/>
      <c r="L1492"/>
    </row>
    <row r="1493" spans="6:12" x14ac:dyDescent="0.2">
      <c r="F1493"/>
      <c r="L1493"/>
    </row>
    <row r="1494" spans="6:12" x14ac:dyDescent="0.2">
      <c r="F1494"/>
      <c r="L1494"/>
    </row>
    <row r="1495" spans="6:12" x14ac:dyDescent="0.2">
      <c r="F1495"/>
      <c r="L1495"/>
    </row>
    <row r="1496" spans="6:12" x14ac:dyDescent="0.2">
      <c r="F1496"/>
      <c r="L1496"/>
    </row>
    <row r="1497" spans="6:12" x14ac:dyDescent="0.2">
      <c r="F1497"/>
      <c r="L1497"/>
    </row>
    <row r="1498" spans="6:12" x14ac:dyDescent="0.2">
      <c r="F1498"/>
      <c r="L1498"/>
    </row>
    <row r="1499" spans="6:12" x14ac:dyDescent="0.2">
      <c r="F1499"/>
      <c r="L1499"/>
    </row>
    <row r="1500" spans="6:12" x14ac:dyDescent="0.2">
      <c r="F1500"/>
      <c r="L1500"/>
    </row>
    <row r="1501" spans="6:12" x14ac:dyDescent="0.2">
      <c r="F1501"/>
      <c r="L1501"/>
    </row>
    <row r="1502" spans="6:12" x14ac:dyDescent="0.2">
      <c r="F1502"/>
      <c r="L1502"/>
    </row>
    <row r="1503" spans="6:12" x14ac:dyDescent="0.2">
      <c r="F1503"/>
      <c r="L1503"/>
    </row>
    <row r="1504" spans="6:12" x14ac:dyDescent="0.2">
      <c r="F1504"/>
      <c r="L1504"/>
    </row>
    <row r="1505" spans="6:12" x14ac:dyDescent="0.2">
      <c r="F1505"/>
      <c r="L1505"/>
    </row>
    <row r="1506" spans="6:12" x14ac:dyDescent="0.2">
      <c r="F1506"/>
      <c r="L1506"/>
    </row>
    <row r="1507" spans="6:12" x14ac:dyDescent="0.2">
      <c r="F1507"/>
      <c r="L1507"/>
    </row>
    <row r="1508" spans="6:12" x14ac:dyDescent="0.2">
      <c r="F1508"/>
      <c r="L1508"/>
    </row>
    <row r="1509" spans="6:12" x14ac:dyDescent="0.2">
      <c r="F1509"/>
      <c r="L1509"/>
    </row>
    <row r="1510" spans="6:12" x14ac:dyDescent="0.2">
      <c r="F1510"/>
      <c r="L1510"/>
    </row>
    <row r="1511" spans="6:12" x14ac:dyDescent="0.2">
      <c r="F1511"/>
      <c r="L1511"/>
    </row>
    <row r="1512" spans="6:12" x14ac:dyDescent="0.2">
      <c r="F1512"/>
      <c r="L1512"/>
    </row>
    <row r="1513" spans="6:12" x14ac:dyDescent="0.2">
      <c r="F1513"/>
      <c r="L1513"/>
    </row>
    <row r="1514" spans="6:12" x14ac:dyDescent="0.2">
      <c r="F1514"/>
      <c r="L1514"/>
    </row>
    <row r="1515" spans="6:12" x14ac:dyDescent="0.2">
      <c r="F1515"/>
      <c r="L1515"/>
    </row>
    <row r="1516" spans="6:12" x14ac:dyDescent="0.2">
      <c r="F1516"/>
      <c r="L1516"/>
    </row>
    <row r="1517" spans="6:12" x14ac:dyDescent="0.2">
      <c r="F1517"/>
      <c r="L1517"/>
    </row>
    <row r="1518" spans="6:12" x14ac:dyDescent="0.2">
      <c r="F1518"/>
      <c r="L1518"/>
    </row>
    <row r="1519" spans="6:12" x14ac:dyDescent="0.2">
      <c r="F1519"/>
      <c r="L1519"/>
    </row>
    <row r="1520" spans="6:12" x14ac:dyDescent="0.2">
      <c r="F1520"/>
      <c r="L1520"/>
    </row>
    <row r="1521" spans="6:12" x14ac:dyDescent="0.2">
      <c r="F1521"/>
      <c r="L1521"/>
    </row>
    <row r="1522" spans="6:12" x14ac:dyDescent="0.2">
      <c r="F1522"/>
      <c r="L1522"/>
    </row>
    <row r="1523" spans="6:12" x14ac:dyDescent="0.2">
      <c r="F1523"/>
      <c r="L1523"/>
    </row>
    <row r="1524" spans="6:12" x14ac:dyDescent="0.2">
      <c r="F1524"/>
      <c r="L1524"/>
    </row>
    <row r="1525" spans="6:12" x14ac:dyDescent="0.2">
      <c r="F1525"/>
      <c r="L1525"/>
    </row>
    <row r="1526" spans="6:12" x14ac:dyDescent="0.2">
      <c r="F1526"/>
      <c r="L1526"/>
    </row>
    <row r="1527" spans="6:12" x14ac:dyDescent="0.2">
      <c r="F1527"/>
      <c r="L1527"/>
    </row>
    <row r="1528" spans="6:12" x14ac:dyDescent="0.2">
      <c r="F1528"/>
      <c r="L1528"/>
    </row>
    <row r="1529" spans="6:12" x14ac:dyDescent="0.2">
      <c r="F1529"/>
      <c r="L1529"/>
    </row>
    <row r="1530" spans="6:12" x14ac:dyDescent="0.2">
      <c r="F1530"/>
      <c r="L1530"/>
    </row>
    <row r="1531" spans="6:12" x14ac:dyDescent="0.2">
      <c r="F1531"/>
      <c r="L1531"/>
    </row>
    <row r="1532" spans="6:12" x14ac:dyDescent="0.2">
      <c r="F1532"/>
      <c r="L1532"/>
    </row>
    <row r="1533" spans="6:12" x14ac:dyDescent="0.2">
      <c r="F1533"/>
      <c r="L1533"/>
    </row>
    <row r="1534" spans="6:12" x14ac:dyDescent="0.2">
      <c r="F1534"/>
      <c r="L1534"/>
    </row>
    <row r="1535" spans="6:12" x14ac:dyDescent="0.2">
      <c r="F1535"/>
      <c r="L1535"/>
    </row>
    <row r="1536" spans="6:12" x14ac:dyDescent="0.2">
      <c r="F1536"/>
      <c r="L1536"/>
    </row>
    <row r="1537" spans="6:12" x14ac:dyDescent="0.2">
      <c r="F1537"/>
      <c r="L1537"/>
    </row>
    <row r="1538" spans="6:12" x14ac:dyDescent="0.2">
      <c r="F1538"/>
      <c r="L1538"/>
    </row>
    <row r="1539" spans="6:12" x14ac:dyDescent="0.2">
      <c r="F1539"/>
      <c r="L1539"/>
    </row>
    <row r="1540" spans="6:12" x14ac:dyDescent="0.2">
      <c r="F1540"/>
      <c r="L1540"/>
    </row>
    <row r="1541" spans="6:12" x14ac:dyDescent="0.2">
      <c r="F1541"/>
      <c r="L1541"/>
    </row>
    <row r="1542" spans="6:12" x14ac:dyDescent="0.2">
      <c r="F1542"/>
      <c r="L1542"/>
    </row>
    <row r="1543" spans="6:12" x14ac:dyDescent="0.2">
      <c r="F1543"/>
      <c r="L1543"/>
    </row>
    <row r="1544" spans="6:12" x14ac:dyDescent="0.2">
      <c r="F1544"/>
      <c r="L1544"/>
    </row>
    <row r="1545" spans="6:12" x14ac:dyDescent="0.2">
      <c r="F1545"/>
      <c r="L1545"/>
    </row>
    <row r="1546" spans="6:12" x14ac:dyDescent="0.2">
      <c r="F1546"/>
      <c r="L1546"/>
    </row>
    <row r="1547" spans="6:12" x14ac:dyDescent="0.2">
      <c r="F1547"/>
      <c r="L1547"/>
    </row>
    <row r="1548" spans="6:12" x14ac:dyDescent="0.2">
      <c r="F1548"/>
      <c r="L1548"/>
    </row>
    <row r="1549" spans="6:12" x14ac:dyDescent="0.2">
      <c r="F1549"/>
      <c r="L1549"/>
    </row>
    <row r="1550" spans="6:12" x14ac:dyDescent="0.2">
      <c r="F1550"/>
      <c r="L1550"/>
    </row>
    <row r="1551" spans="6:12" x14ac:dyDescent="0.2">
      <c r="F1551"/>
      <c r="L1551"/>
    </row>
    <row r="1552" spans="6:12" x14ac:dyDescent="0.2">
      <c r="F1552"/>
      <c r="L1552"/>
    </row>
    <row r="1553" spans="6:12" x14ac:dyDescent="0.2">
      <c r="F1553"/>
      <c r="L1553"/>
    </row>
    <row r="1554" spans="6:12" x14ac:dyDescent="0.2">
      <c r="F1554"/>
      <c r="L1554"/>
    </row>
    <row r="1555" spans="6:12" x14ac:dyDescent="0.2">
      <c r="F1555"/>
      <c r="L1555"/>
    </row>
    <row r="1556" spans="6:12" x14ac:dyDescent="0.2">
      <c r="F1556"/>
      <c r="L1556"/>
    </row>
    <row r="1557" spans="6:12" x14ac:dyDescent="0.2">
      <c r="F1557"/>
      <c r="L1557"/>
    </row>
    <row r="1558" spans="6:12" x14ac:dyDescent="0.2">
      <c r="F1558"/>
      <c r="L1558"/>
    </row>
    <row r="1559" spans="6:12" x14ac:dyDescent="0.2">
      <c r="F1559"/>
      <c r="L1559"/>
    </row>
    <row r="1560" spans="6:12" x14ac:dyDescent="0.2">
      <c r="F1560"/>
      <c r="L1560"/>
    </row>
    <row r="1561" spans="6:12" x14ac:dyDescent="0.2">
      <c r="F1561"/>
      <c r="L1561"/>
    </row>
    <row r="1562" spans="6:12" x14ac:dyDescent="0.2">
      <c r="F1562"/>
      <c r="L1562"/>
    </row>
    <row r="1563" spans="6:12" x14ac:dyDescent="0.2">
      <c r="F1563"/>
      <c r="L1563"/>
    </row>
    <row r="1564" spans="6:12" x14ac:dyDescent="0.2">
      <c r="F1564"/>
      <c r="L1564"/>
    </row>
    <row r="1565" spans="6:12" x14ac:dyDescent="0.2">
      <c r="F1565"/>
      <c r="L1565"/>
    </row>
    <row r="1566" spans="6:12" x14ac:dyDescent="0.2">
      <c r="F1566"/>
      <c r="L1566"/>
    </row>
    <row r="1567" spans="6:12" x14ac:dyDescent="0.2">
      <c r="F1567"/>
      <c r="L1567"/>
    </row>
    <row r="1568" spans="6:12" x14ac:dyDescent="0.2">
      <c r="F1568"/>
      <c r="L1568"/>
    </row>
    <row r="1569" spans="6:16" x14ac:dyDescent="0.2">
      <c r="F1569"/>
      <c r="L1569"/>
    </row>
    <row r="1570" spans="6:16" x14ac:dyDescent="0.2">
      <c r="F1570"/>
      <c r="L1570"/>
      <c r="P1570" s="1"/>
    </row>
    <row r="1571" spans="6:16" x14ac:dyDescent="0.2">
      <c r="F1571"/>
      <c r="L1571"/>
    </row>
    <row r="1572" spans="6:16" x14ac:dyDescent="0.2">
      <c r="F1572"/>
      <c r="L1572"/>
    </row>
    <row r="1573" spans="6:16" x14ac:dyDescent="0.2">
      <c r="F1573"/>
      <c r="L1573"/>
    </row>
    <row r="1574" spans="6:16" x14ac:dyDescent="0.2">
      <c r="F1574"/>
      <c r="L1574"/>
    </row>
    <row r="1575" spans="6:16" x14ac:dyDescent="0.2">
      <c r="F1575"/>
      <c r="L1575"/>
    </row>
    <row r="1576" spans="6:16" x14ac:dyDescent="0.2">
      <c r="F1576"/>
      <c r="L1576"/>
    </row>
    <row r="1577" spans="6:16" x14ac:dyDescent="0.2">
      <c r="F1577"/>
      <c r="L1577"/>
    </row>
    <row r="1578" spans="6:16" x14ac:dyDescent="0.2">
      <c r="F1578"/>
      <c r="L1578"/>
    </row>
    <row r="1579" spans="6:16" x14ac:dyDescent="0.2">
      <c r="F1579"/>
      <c r="L1579"/>
    </row>
    <row r="1580" spans="6:16" x14ac:dyDescent="0.2">
      <c r="F1580"/>
      <c r="L1580"/>
    </row>
    <row r="1581" spans="6:16" x14ac:dyDescent="0.2">
      <c r="F1581"/>
      <c r="L1581"/>
    </row>
    <row r="1582" spans="6:16" x14ac:dyDescent="0.2">
      <c r="F1582"/>
      <c r="L1582"/>
    </row>
    <row r="1583" spans="6:16" x14ac:dyDescent="0.2">
      <c r="F1583"/>
      <c r="L1583"/>
    </row>
    <row r="1584" spans="6:16" x14ac:dyDescent="0.2">
      <c r="F1584"/>
      <c r="L1584"/>
    </row>
    <row r="1585" spans="6:12" x14ac:dyDescent="0.2">
      <c r="F1585"/>
      <c r="L1585"/>
    </row>
    <row r="1586" spans="6:12" x14ac:dyDescent="0.2">
      <c r="F1586"/>
      <c r="L1586"/>
    </row>
    <row r="1587" spans="6:12" x14ac:dyDescent="0.2">
      <c r="F1587"/>
      <c r="L1587"/>
    </row>
    <row r="1588" spans="6:12" x14ac:dyDescent="0.2">
      <c r="F1588"/>
      <c r="L1588"/>
    </row>
    <row r="1589" spans="6:12" x14ac:dyDescent="0.2">
      <c r="F1589"/>
      <c r="L1589"/>
    </row>
    <row r="1590" spans="6:12" x14ac:dyDescent="0.2">
      <c r="F1590"/>
      <c r="L1590"/>
    </row>
    <row r="1591" spans="6:12" x14ac:dyDescent="0.2">
      <c r="F1591"/>
      <c r="L1591"/>
    </row>
    <row r="1592" spans="6:12" x14ac:dyDescent="0.2">
      <c r="F1592"/>
      <c r="L1592"/>
    </row>
    <row r="1593" spans="6:12" x14ac:dyDescent="0.2">
      <c r="F1593"/>
      <c r="L1593"/>
    </row>
    <row r="1594" spans="6:12" x14ac:dyDescent="0.2">
      <c r="F1594"/>
      <c r="L1594"/>
    </row>
    <row r="1595" spans="6:12" x14ac:dyDescent="0.2">
      <c r="F1595"/>
      <c r="L1595"/>
    </row>
    <row r="1596" spans="6:12" x14ac:dyDescent="0.2">
      <c r="F1596"/>
      <c r="L1596"/>
    </row>
    <row r="1597" spans="6:12" x14ac:dyDescent="0.2">
      <c r="F1597"/>
      <c r="L1597"/>
    </row>
    <row r="1598" spans="6:12" x14ac:dyDescent="0.2">
      <c r="F1598"/>
      <c r="L1598"/>
    </row>
    <row r="1599" spans="6:12" x14ac:dyDescent="0.2">
      <c r="F1599"/>
      <c r="L1599"/>
    </row>
    <row r="1600" spans="6:12" x14ac:dyDescent="0.2">
      <c r="F1600"/>
      <c r="L1600"/>
    </row>
    <row r="1601" spans="6:12" x14ac:dyDescent="0.2">
      <c r="F1601"/>
      <c r="L1601"/>
    </row>
    <row r="1602" spans="6:12" x14ac:dyDescent="0.2">
      <c r="F1602"/>
      <c r="L1602"/>
    </row>
    <row r="1603" spans="6:12" x14ac:dyDescent="0.2">
      <c r="F1603"/>
      <c r="L1603"/>
    </row>
    <row r="1604" spans="6:12" x14ac:dyDescent="0.2">
      <c r="F1604"/>
      <c r="L1604"/>
    </row>
    <row r="1605" spans="6:12" x14ac:dyDescent="0.2">
      <c r="F1605"/>
      <c r="L1605"/>
    </row>
    <row r="1606" spans="6:12" x14ac:dyDescent="0.2">
      <c r="F1606"/>
      <c r="L1606"/>
    </row>
    <row r="1607" spans="6:12" x14ac:dyDescent="0.2">
      <c r="F1607"/>
      <c r="L1607"/>
    </row>
    <row r="1608" spans="6:12" x14ac:dyDescent="0.2">
      <c r="F1608"/>
      <c r="L1608"/>
    </row>
    <row r="1609" spans="6:12" x14ac:dyDescent="0.2">
      <c r="F1609"/>
      <c r="L1609"/>
    </row>
    <row r="1610" spans="6:12" x14ac:dyDescent="0.2">
      <c r="F1610"/>
      <c r="L1610"/>
    </row>
    <row r="1611" spans="6:12" x14ac:dyDescent="0.2">
      <c r="F1611"/>
      <c r="L1611"/>
    </row>
    <row r="1612" spans="6:12" x14ac:dyDescent="0.2">
      <c r="F1612"/>
      <c r="L1612"/>
    </row>
    <row r="1613" spans="6:12" x14ac:dyDescent="0.2">
      <c r="F1613"/>
      <c r="L1613"/>
    </row>
    <row r="1614" spans="6:12" x14ac:dyDescent="0.2">
      <c r="F1614"/>
      <c r="L1614"/>
    </row>
    <row r="1615" spans="6:12" x14ac:dyDescent="0.2">
      <c r="F1615"/>
      <c r="L1615"/>
    </row>
    <row r="1616" spans="6:12" x14ac:dyDescent="0.2">
      <c r="F1616"/>
      <c r="L1616"/>
    </row>
    <row r="1617" spans="6:12" x14ac:dyDescent="0.2">
      <c r="F1617"/>
      <c r="L1617"/>
    </row>
    <row r="1618" spans="6:12" x14ac:dyDescent="0.2">
      <c r="F1618"/>
      <c r="L1618"/>
    </row>
    <row r="1619" spans="6:12" x14ac:dyDescent="0.2">
      <c r="F1619"/>
      <c r="L1619"/>
    </row>
    <row r="1620" spans="6:12" x14ac:dyDescent="0.2">
      <c r="F1620"/>
      <c r="L1620"/>
    </row>
    <row r="1621" spans="6:12" x14ac:dyDescent="0.2">
      <c r="F1621"/>
      <c r="L1621"/>
    </row>
    <row r="1622" spans="6:12" x14ac:dyDescent="0.2">
      <c r="F1622"/>
      <c r="L1622"/>
    </row>
    <row r="1623" spans="6:12" x14ac:dyDescent="0.2">
      <c r="F1623"/>
      <c r="L1623"/>
    </row>
    <row r="1624" spans="6:12" x14ac:dyDescent="0.2">
      <c r="F1624"/>
      <c r="L1624"/>
    </row>
    <row r="1625" spans="6:12" x14ac:dyDescent="0.2">
      <c r="F1625"/>
      <c r="L1625"/>
    </row>
    <row r="1626" spans="6:12" x14ac:dyDescent="0.2">
      <c r="F1626"/>
      <c r="L1626"/>
    </row>
    <row r="1627" spans="6:12" x14ac:dyDescent="0.2">
      <c r="F1627"/>
      <c r="L1627"/>
    </row>
    <row r="1628" spans="6:12" x14ac:dyDescent="0.2">
      <c r="F1628"/>
      <c r="L1628"/>
    </row>
    <row r="1629" spans="6:12" x14ac:dyDescent="0.2">
      <c r="F1629"/>
      <c r="L1629"/>
    </row>
    <row r="1630" spans="6:12" x14ac:dyDescent="0.2">
      <c r="F1630"/>
      <c r="L1630"/>
    </row>
    <row r="1631" spans="6:12" x14ac:dyDescent="0.2">
      <c r="F1631"/>
      <c r="L1631"/>
    </row>
    <row r="1632" spans="6:12" x14ac:dyDescent="0.2">
      <c r="F1632"/>
      <c r="L1632"/>
    </row>
    <row r="1633" spans="6:12" x14ac:dyDescent="0.2">
      <c r="F1633"/>
      <c r="L1633"/>
    </row>
    <row r="1634" spans="6:12" x14ac:dyDescent="0.2">
      <c r="F1634"/>
      <c r="L1634"/>
    </row>
    <row r="1635" spans="6:12" x14ac:dyDescent="0.2">
      <c r="F1635"/>
      <c r="L1635"/>
    </row>
    <row r="1636" spans="6:12" x14ac:dyDescent="0.2">
      <c r="F1636"/>
      <c r="L1636"/>
    </row>
    <row r="1637" spans="6:12" x14ac:dyDescent="0.2">
      <c r="F1637"/>
      <c r="L1637"/>
    </row>
    <row r="1638" spans="6:12" x14ac:dyDescent="0.2">
      <c r="F1638"/>
      <c r="L1638"/>
    </row>
    <row r="1639" spans="6:12" x14ac:dyDescent="0.2">
      <c r="F1639"/>
      <c r="L1639"/>
    </row>
    <row r="1640" spans="6:12" x14ac:dyDescent="0.2">
      <c r="F1640"/>
      <c r="L1640"/>
    </row>
    <row r="1641" spans="6:12" x14ac:dyDescent="0.2">
      <c r="F1641"/>
      <c r="L1641"/>
    </row>
    <row r="1642" spans="6:12" x14ac:dyDescent="0.2">
      <c r="F1642"/>
      <c r="L1642"/>
    </row>
    <row r="1643" spans="6:12" x14ac:dyDescent="0.2">
      <c r="F1643"/>
      <c r="L1643"/>
    </row>
    <row r="1644" spans="6:12" x14ac:dyDescent="0.2">
      <c r="F1644"/>
      <c r="L1644"/>
    </row>
    <row r="1645" spans="6:12" x14ac:dyDescent="0.2">
      <c r="F1645"/>
      <c r="L1645"/>
    </row>
    <row r="1646" spans="6:12" x14ac:dyDescent="0.2">
      <c r="F1646"/>
      <c r="L1646"/>
    </row>
    <row r="1647" spans="6:12" x14ac:dyDescent="0.2">
      <c r="F1647"/>
      <c r="L1647"/>
    </row>
    <row r="1648" spans="6:12" x14ac:dyDescent="0.2">
      <c r="F1648"/>
      <c r="L1648"/>
    </row>
    <row r="1649" spans="6:12" x14ac:dyDescent="0.2">
      <c r="F1649"/>
      <c r="L1649"/>
    </row>
    <row r="1650" spans="6:12" x14ac:dyDescent="0.2">
      <c r="F1650"/>
      <c r="L1650"/>
    </row>
    <row r="1651" spans="6:12" x14ac:dyDescent="0.2">
      <c r="F1651"/>
      <c r="L1651"/>
    </row>
    <row r="1652" spans="6:12" x14ac:dyDescent="0.2">
      <c r="F1652"/>
      <c r="L1652"/>
    </row>
    <row r="1653" spans="6:12" x14ac:dyDescent="0.2">
      <c r="F1653"/>
      <c r="L1653"/>
    </row>
    <row r="1654" spans="6:12" x14ac:dyDescent="0.2">
      <c r="F1654"/>
      <c r="L1654"/>
    </row>
    <row r="1655" spans="6:12" x14ac:dyDescent="0.2">
      <c r="F1655"/>
      <c r="L1655"/>
    </row>
    <row r="1656" spans="6:12" x14ac:dyDescent="0.2">
      <c r="F1656"/>
      <c r="L1656"/>
    </row>
    <row r="1657" spans="6:12" x14ac:dyDescent="0.2">
      <c r="F1657"/>
      <c r="L1657"/>
    </row>
    <row r="1658" spans="6:12" x14ac:dyDescent="0.2">
      <c r="F1658"/>
      <c r="L1658"/>
    </row>
    <row r="1659" spans="6:12" x14ac:dyDescent="0.2">
      <c r="F1659"/>
      <c r="L1659"/>
    </row>
    <row r="1660" spans="6:12" x14ac:dyDescent="0.2">
      <c r="F1660"/>
      <c r="L1660"/>
    </row>
    <row r="1661" spans="6:12" x14ac:dyDescent="0.2">
      <c r="F1661"/>
      <c r="L1661"/>
    </row>
    <row r="1662" spans="6:12" x14ac:dyDescent="0.2">
      <c r="F1662"/>
      <c r="L1662"/>
    </row>
    <row r="1663" spans="6:12" x14ac:dyDescent="0.2">
      <c r="F1663"/>
      <c r="L1663"/>
    </row>
    <row r="1664" spans="6:12" x14ac:dyDescent="0.2">
      <c r="F1664"/>
      <c r="L1664"/>
    </row>
    <row r="1665" spans="6:12" x14ac:dyDescent="0.2">
      <c r="F1665"/>
      <c r="L1665"/>
    </row>
    <row r="1666" spans="6:12" x14ac:dyDescent="0.2">
      <c r="F1666"/>
      <c r="L1666"/>
    </row>
    <row r="1667" spans="6:12" x14ac:dyDescent="0.2">
      <c r="F1667"/>
      <c r="L1667"/>
    </row>
    <row r="1668" spans="6:12" x14ac:dyDescent="0.2">
      <c r="F1668"/>
      <c r="L1668"/>
    </row>
    <row r="1669" spans="6:12" x14ac:dyDescent="0.2">
      <c r="F1669"/>
      <c r="L1669"/>
    </row>
    <row r="1670" spans="6:12" x14ac:dyDescent="0.2">
      <c r="F1670"/>
      <c r="L1670"/>
    </row>
    <row r="1671" spans="6:12" x14ac:dyDescent="0.2">
      <c r="F1671"/>
      <c r="L1671"/>
    </row>
    <row r="1672" spans="6:12" x14ac:dyDescent="0.2">
      <c r="F1672"/>
      <c r="L1672"/>
    </row>
    <row r="1673" spans="6:12" x14ac:dyDescent="0.2">
      <c r="F1673"/>
      <c r="L1673"/>
    </row>
    <row r="1674" spans="6:12" x14ac:dyDescent="0.2">
      <c r="F1674"/>
      <c r="L1674"/>
    </row>
    <row r="1675" spans="6:12" x14ac:dyDescent="0.2">
      <c r="F1675"/>
      <c r="L1675"/>
    </row>
    <row r="1676" spans="6:12" x14ac:dyDescent="0.2">
      <c r="F1676"/>
      <c r="L1676"/>
    </row>
    <row r="1677" spans="6:12" x14ac:dyDescent="0.2">
      <c r="F1677"/>
      <c r="L1677"/>
    </row>
    <row r="1678" spans="6:12" x14ac:dyDescent="0.2">
      <c r="F1678"/>
      <c r="L1678"/>
    </row>
    <row r="1679" spans="6:12" x14ac:dyDescent="0.2">
      <c r="F1679"/>
      <c r="L1679"/>
    </row>
    <row r="1680" spans="6:12" x14ac:dyDescent="0.2">
      <c r="F1680"/>
      <c r="L1680"/>
    </row>
    <row r="1681" spans="6:12" x14ac:dyDescent="0.2">
      <c r="F1681"/>
      <c r="L1681"/>
    </row>
    <row r="1682" spans="6:12" x14ac:dyDescent="0.2">
      <c r="F1682"/>
      <c r="L1682"/>
    </row>
    <row r="1683" spans="6:12" x14ac:dyDescent="0.2">
      <c r="F1683"/>
      <c r="L1683"/>
    </row>
    <row r="1684" spans="6:12" x14ac:dyDescent="0.2">
      <c r="F1684"/>
      <c r="L1684"/>
    </row>
    <row r="1685" spans="6:12" x14ac:dyDescent="0.2">
      <c r="F1685"/>
      <c r="L1685"/>
    </row>
    <row r="1686" spans="6:12" x14ac:dyDescent="0.2">
      <c r="F1686"/>
      <c r="L1686"/>
    </row>
    <row r="1687" spans="6:12" x14ac:dyDescent="0.2">
      <c r="F1687"/>
      <c r="L1687"/>
    </row>
    <row r="1688" spans="6:12" x14ac:dyDescent="0.2">
      <c r="F1688"/>
      <c r="L1688"/>
    </row>
    <row r="1689" spans="6:12" x14ac:dyDescent="0.2">
      <c r="F1689"/>
      <c r="L1689"/>
    </row>
    <row r="1690" spans="6:12" x14ac:dyDescent="0.2">
      <c r="F1690"/>
      <c r="L1690"/>
    </row>
    <row r="1691" spans="6:12" x14ac:dyDescent="0.2">
      <c r="F1691"/>
      <c r="L1691"/>
    </row>
    <row r="1692" spans="6:12" x14ac:dyDescent="0.2">
      <c r="F1692"/>
      <c r="L1692"/>
    </row>
    <row r="1693" spans="6:12" x14ac:dyDescent="0.2">
      <c r="F1693"/>
      <c r="L1693"/>
    </row>
    <row r="1694" spans="6:12" x14ac:dyDescent="0.2">
      <c r="F1694"/>
      <c r="L1694"/>
    </row>
    <row r="1695" spans="6:12" x14ac:dyDescent="0.2">
      <c r="F1695"/>
      <c r="L1695"/>
    </row>
    <row r="1696" spans="6:12" x14ac:dyDescent="0.2">
      <c r="F1696"/>
      <c r="L1696"/>
    </row>
    <row r="1697" spans="1:17" x14ac:dyDescent="0.2">
      <c r="A1697" s="4"/>
      <c r="B1697" s="4"/>
      <c r="C1697" s="4"/>
      <c r="D1697" s="4"/>
      <c r="E1697" s="4"/>
      <c r="F1697" s="4"/>
      <c r="G1697" s="4"/>
      <c r="H1697" s="4"/>
      <c r="I1697" s="4"/>
      <c r="J1697" s="4"/>
      <c r="K1697" s="4"/>
      <c r="L1697" s="4"/>
      <c r="M1697" s="4"/>
      <c r="N1697" s="4"/>
      <c r="O1697" s="4"/>
      <c r="P1697" s="4"/>
      <c r="Q1697" s="4"/>
    </row>
    <row r="1698" spans="1:17" x14ac:dyDescent="0.2">
      <c r="A1698" s="4"/>
      <c r="B1698" s="4"/>
      <c r="C1698" s="4"/>
      <c r="D1698" s="4"/>
      <c r="E1698" s="4"/>
      <c r="F1698" s="4"/>
      <c r="G1698" s="4"/>
      <c r="H1698" s="4"/>
      <c r="I1698" s="4"/>
      <c r="J1698" s="4"/>
      <c r="K1698" s="4"/>
      <c r="L1698" s="4"/>
      <c r="M1698" s="4"/>
      <c r="N1698" s="4"/>
      <c r="O1698" s="4"/>
      <c r="P1698" s="4"/>
      <c r="Q1698" s="4"/>
    </row>
    <row r="1699" spans="1:17" x14ac:dyDescent="0.2">
      <c r="A1699" s="4"/>
      <c r="B1699" s="4"/>
      <c r="C1699" s="4"/>
      <c r="D1699" s="4"/>
      <c r="E1699" s="4"/>
      <c r="F1699" s="4"/>
      <c r="G1699" s="4"/>
      <c r="H1699" s="4"/>
      <c r="I1699" s="4"/>
      <c r="J1699" s="4"/>
      <c r="K1699" s="4"/>
      <c r="L1699" s="4"/>
      <c r="M1699" s="4"/>
      <c r="N1699" s="4"/>
      <c r="O1699" s="4"/>
      <c r="P1699" s="4"/>
      <c r="Q1699" s="4"/>
    </row>
    <row r="1700" spans="1:17" x14ac:dyDescent="0.2">
      <c r="A1700" s="4"/>
      <c r="B1700" s="4"/>
      <c r="C1700" s="4"/>
      <c r="D1700" s="4"/>
      <c r="E1700" s="4"/>
      <c r="F1700" s="4"/>
      <c r="G1700" s="4"/>
      <c r="H1700" s="4"/>
      <c r="I1700" s="4"/>
      <c r="J1700" s="4"/>
      <c r="K1700" s="4"/>
      <c r="L1700" s="4"/>
      <c r="M1700" s="4"/>
      <c r="N1700" s="4"/>
      <c r="O1700" s="4"/>
      <c r="P1700" s="4"/>
      <c r="Q1700" s="4"/>
    </row>
    <row r="1701" spans="1:17" x14ac:dyDescent="0.2">
      <c r="A1701" s="4"/>
      <c r="B1701" s="4"/>
      <c r="C1701" s="4"/>
      <c r="D1701" s="4"/>
      <c r="E1701" s="4"/>
      <c r="F1701" s="4"/>
      <c r="G1701" s="4"/>
      <c r="H1701" s="4"/>
      <c r="I1701" s="4"/>
      <c r="J1701" s="4"/>
      <c r="K1701" s="4"/>
      <c r="L1701" s="4"/>
      <c r="M1701" s="4"/>
      <c r="N1701" s="4"/>
      <c r="O1701" s="4"/>
      <c r="P1701" s="4"/>
      <c r="Q1701" s="4"/>
    </row>
    <row r="1702" spans="1:17" x14ac:dyDescent="0.2">
      <c r="A1702" s="4"/>
      <c r="B1702" s="4"/>
      <c r="C1702" s="4"/>
      <c r="D1702" s="4"/>
      <c r="E1702" s="4"/>
      <c r="F1702" s="4"/>
      <c r="G1702" s="4"/>
      <c r="H1702" s="4"/>
      <c r="I1702" s="4"/>
      <c r="J1702" s="4"/>
      <c r="K1702" s="4"/>
      <c r="L1702" s="4"/>
      <c r="M1702" s="4"/>
      <c r="N1702" s="4"/>
      <c r="O1702" s="4"/>
      <c r="P1702" s="4"/>
      <c r="Q1702" s="4"/>
    </row>
    <row r="1703" spans="1:17" x14ac:dyDescent="0.2">
      <c r="A1703" s="4"/>
      <c r="B1703" s="4"/>
      <c r="C1703" s="4"/>
      <c r="D1703" s="4"/>
      <c r="E1703" s="4"/>
      <c r="F1703" s="4"/>
      <c r="G1703" s="4"/>
      <c r="H1703" s="4"/>
      <c r="I1703" s="4"/>
      <c r="J1703" s="4"/>
      <c r="K1703" s="4"/>
      <c r="L1703" s="4"/>
      <c r="M1703" s="4"/>
      <c r="N1703" s="4"/>
      <c r="O1703" s="4"/>
      <c r="P1703" s="4"/>
      <c r="Q1703" s="4"/>
    </row>
    <row r="1704" spans="1:17" x14ac:dyDescent="0.2">
      <c r="A1704" s="4"/>
      <c r="B1704" s="4"/>
      <c r="C1704" s="4"/>
      <c r="D1704" s="4"/>
      <c r="E1704" s="4"/>
      <c r="F1704" s="4"/>
      <c r="G1704" s="4"/>
      <c r="H1704" s="4"/>
      <c r="I1704" s="4"/>
      <c r="J1704" s="4"/>
      <c r="K1704" s="4"/>
      <c r="L1704" s="4"/>
      <c r="M1704" s="4"/>
      <c r="N1704" s="4"/>
      <c r="O1704" s="4"/>
      <c r="P1704" s="4"/>
      <c r="Q1704" s="4"/>
    </row>
    <row r="1705" spans="1:17" x14ac:dyDescent="0.2">
      <c r="A1705" s="4"/>
      <c r="B1705" s="4"/>
      <c r="C1705" s="4"/>
      <c r="D1705" s="4"/>
      <c r="E1705" s="4"/>
      <c r="F1705" s="4"/>
      <c r="G1705" s="4"/>
      <c r="H1705" s="4"/>
      <c r="I1705" s="4"/>
      <c r="J1705" s="4"/>
      <c r="K1705" s="4"/>
      <c r="L1705" s="4"/>
      <c r="M1705" s="4"/>
      <c r="N1705" s="4"/>
      <c r="O1705" s="4"/>
      <c r="P1705" s="4"/>
      <c r="Q1705" s="4"/>
    </row>
    <row r="1706" spans="1:17" x14ac:dyDescent="0.2">
      <c r="A1706" s="4"/>
      <c r="B1706" s="4"/>
      <c r="C1706" s="4"/>
      <c r="D1706" s="4"/>
      <c r="E1706" s="4"/>
      <c r="F1706" s="4"/>
      <c r="G1706" s="4"/>
      <c r="H1706" s="4"/>
      <c r="I1706" s="4"/>
      <c r="J1706" s="4"/>
      <c r="K1706" s="4"/>
      <c r="L1706" s="4"/>
      <c r="M1706" s="4"/>
      <c r="N1706" s="4"/>
      <c r="O1706" s="4"/>
      <c r="P1706" s="4"/>
      <c r="Q1706" s="4"/>
    </row>
    <row r="1707" spans="1:17" x14ac:dyDescent="0.2">
      <c r="A1707" s="4"/>
      <c r="B1707" s="4"/>
      <c r="C1707" s="4"/>
      <c r="D1707" s="4"/>
      <c r="E1707" s="4"/>
      <c r="F1707" s="4"/>
      <c r="G1707" s="4"/>
      <c r="H1707" s="4"/>
      <c r="I1707" s="4"/>
      <c r="J1707" s="4"/>
      <c r="K1707" s="4"/>
      <c r="L1707" s="4"/>
      <c r="M1707" s="4"/>
      <c r="N1707" s="4"/>
      <c r="O1707" s="4"/>
      <c r="P1707" s="4"/>
      <c r="Q1707" s="4"/>
    </row>
    <row r="1708" spans="1:17" x14ac:dyDescent="0.2">
      <c r="A1708" s="4"/>
      <c r="B1708" s="4"/>
      <c r="C1708" s="4"/>
      <c r="D1708" s="4"/>
      <c r="E1708" s="4"/>
      <c r="F1708" s="4"/>
      <c r="G1708" s="4"/>
      <c r="H1708" s="4"/>
      <c r="I1708" s="4"/>
      <c r="J1708" s="4"/>
      <c r="K1708" s="4"/>
      <c r="L1708" s="4"/>
      <c r="M1708" s="4"/>
      <c r="N1708" s="4"/>
      <c r="O1708" s="4"/>
      <c r="P1708" s="4"/>
      <c r="Q1708" s="4"/>
    </row>
    <row r="1709" spans="1:17" x14ac:dyDescent="0.2">
      <c r="A1709" s="4"/>
      <c r="B1709" s="4"/>
      <c r="C1709" s="4"/>
      <c r="D1709" s="4"/>
      <c r="E1709" s="4"/>
      <c r="F1709" s="4"/>
      <c r="G1709" s="4"/>
      <c r="H1709" s="4"/>
      <c r="I1709" s="4"/>
      <c r="J1709" s="4"/>
      <c r="K1709" s="4"/>
      <c r="L1709" s="4"/>
      <c r="M1709" s="4"/>
      <c r="N1709" s="4"/>
      <c r="O1709" s="4"/>
      <c r="P1709" s="4"/>
      <c r="Q1709" s="4"/>
    </row>
    <row r="1710" spans="1:17" x14ac:dyDescent="0.2">
      <c r="A1710" s="4"/>
      <c r="B1710" s="4"/>
      <c r="C1710" s="4"/>
      <c r="D1710" s="4"/>
      <c r="E1710" s="4"/>
      <c r="F1710" s="4"/>
      <c r="G1710" s="4"/>
      <c r="H1710" s="4"/>
      <c r="I1710" s="4"/>
      <c r="J1710" s="4"/>
      <c r="K1710" s="4"/>
      <c r="L1710" s="4"/>
      <c r="M1710" s="4"/>
      <c r="N1710" s="4"/>
      <c r="O1710" s="4"/>
      <c r="P1710" s="4"/>
      <c r="Q1710" s="4"/>
    </row>
    <row r="1711" spans="1:17" x14ac:dyDescent="0.2">
      <c r="A1711" s="4"/>
      <c r="B1711" s="4"/>
      <c r="C1711" s="4"/>
      <c r="D1711" s="4"/>
      <c r="E1711" s="4"/>
      <c r="F1711" s="4"/>
      <c r="G1711" s="4"/>
      <c r="H1711" s="4"/>
      <c r="I1711" s="4"/>
      <c r="J1711" s="4"/>
      <c r="K1711" s="4"/>
      <c r="L1711" s="4"/>
      <c r="M1711" s="4"/>
      <c r="N1711" s="4"/>
      <c r="O1711" s="4"/>
      <c r="P1711" s="4"/>
      <c r="Q1711" s="4"/>
    </row>
    <row r="1712" spans="1:17" x14ac:dyDescent="0.2">
      <c r="A1712" s="4"/>
      <c r="B1712" s="4"/>
      <c r="C1712" s="4"/>
      <c r="D1712" s="4"/>
      <c r="E1712" s="4"/>
      <c r="F1712" s="4"/>
      <c r="G1712" s="4"/>
      <c r="H1712" s="4"/>
      <c r="I1712" s="4"/>
      <c r="J1712" s="4"/>
      <c r="K1712" s="4"/>
      <c r="L1712" s="4"/>
      <c r="M1712" s="4"/>
      <c r="N1712" s="4"/>
      <c r="O1712" s="4"/>
      <c r="P1712" s="4"/>
      <c r="Q1712" s="4"/>
    </row>
    <row r="1713" spans="1:17" x14ac:dyDescent="0.2">
      <c r="A1713" s="4"/>
      <c r="B1713" s="4"/>
      <c r="C1713" s="4"/>
      <c r="D1713" s="4"/>
      <c r="E1713" s="4"/>
      <c r="F1713" s="4"/>
      <c r="G1713" s="4"/>
      <c r="H1713" s="4"/>
      <c r="I1713" s="4"/>
      <c r="J1713" s="4"/>
      <c r="K1713" s="4"/>
      <c r="L1713" s="4"/>
      <c r="M1713" s="4"/>
      <c r="N1713" s="4"/>
      <c r="O1713" s="4"/>
      <c r="P1713" s="4"/>
      <c r="Q1713" s="4"/>
    </row>
    <row r="1714" spans="1:17" x14ac:dyDescent="0.2">
      <c r="A1714" s="4"/>
      <c r="B1714" s="4"/>
      <c r="C1714" s="4"/>
      <c r="D1714" s="4"/>
      <c r="E1714" s="4"/>
      <c r="F1714" s="4"/>
      <c r="G1714" s="4"/>
      <c r="H1714" s="4"/>
      <c r="I1714" s="4"/>
      <c r="J1714" s="4"/>
      <c r="K1714" s="4"/>
      <c r="L1714" s="4"/>
      <c r="M1714" s="4"/>
      <c r="N1714" s="4"/>
      <c r="O1714" s="4"/>
      <c r="P1714" s="4"/>
      <c r="Q1714" s="4"/>
    </row>
    <row r="1715" spans="1:17" x14ac:dyDescent="0.2">
      <c r="A1715" s="4"/>
      <c r="B1715" s="4"/>
      <c r="C1715" s="4"/>
      <c r="D1715" s="4"/>
      <c r="E1715" s="4"/>
      <c r="F1715" s="4"/>
      <c r="G1715" s="4"/>
      <c r="H1715" s="4"/>
      <c r="I1715" s="4"/>
      <c r="J1715" s="4"/>
      <c r="K1715" s="4"/>
      <c r="L1715" s="4"/>
      <c r="M1715" s="4"/>
      <c r="N1715" s="4"/>
      <c r="O1715" s="4"/>
      <c r="P1715" s="4"/>
      <c r="Q1715" s="4"/>
    </row>
    <row r="1716" spans="1:17" x14ac:dyDescent="0.2">
      <c r="A1716" s="4"/>
      <c r="B1716" s="4"/>
      <c r="C1716" s="4"/>
      <c r="D1716" s="4"/>
      <c r="E1716" s="4"/>
      <c r="F1716" s="4"/>
      <c r="G1716" s="4"/>
      <c r="H1716" s="4"/>
      <c r="I1716" s="4"/>
      <c r="J1716" s="4"/>
      <c r="K1716" s="4"/>
      <c r="L1716" s="4"/>
      <c r="M1716" s="4"/>
      <c r="N1716" s="4"/>
      <c r="O1716" s="4"/>
      <c r="P1716" s="4"/>
      <c r="Q1716" s="4"/>
    </row>
    <row r="1717" spans="1:17" x14ac:dyDescent="0.2">
      <c r="A1717" s="4"/>
      <c r="B1717" s="4"/>
      <c r="C1717" s="4"/>
      <c r="D1717" s="4"/>
      <c r="E1717" s="4"/>
      <c r="F1717" s="4"/>
      <c r="G1717" s="4"/>
      <c r="H1717" s="4"/>
      <c r="I1717" s="4"/>
      <c r="J1717" s="4"/>
      <c r="K1717" s="4"/>
      <c r="L1717" s="4"/>
      <c r="M1717" s="4"/>
      <c r="N1717" s="4"/>
      <c r="O1717" s="4"/>
      <c r="P1717" s="4"/>
      <c r="Q1717" s="4"/>
    </row>
    <row r="1718" spans="1:17" x14ac:dyDescent="0.2">
      <c r="A1718" s="4"/>
      <c r="B1718" s="4"/>
      <c r="C1718" s="4"/>
      <c r="D1718" s="4"/>
      <c r="E1718" s="4"/>
      <c r="F1718" s="4"/>
      <c r="G1718" s="4"/>
      <c r="H1718" s="4"/>
      <c r="I1718" s="4"/>
      <c r="J1718" s="4"/>
      <c r="K1718" s="4"/>
      <c r="L1718" s="4"/>
      <c r="M1718" s="4"/>
      <c r="N1718" s="4"/>
      <c r="O1718" s="4"/>
      <c r="P1718" s="4"/>
      <c r="Q1718" s="4"/>
    </row>
    <row r="1719" spans="1:17" x14ac:dyDescent="0.2">
      <c r="A1719" s="4"/>
      <c r="B1719" s="4"/>
      <c r="C1719" s="4"/>
      <c r="D1719" s="4"/>
      <c r="E1719" s="4"/>
      <c r="F1719" s="4"/>
      <c r="G1719" s="4"/>
      <c r="H1719" s="4"/>
      <c r="I1719" s="4"/>
      <c r="J1719" s="4"/>
      <c r="K1719" s="4"/>
      <c r="L1719" s="4"/>
      <c r="M1719" s="4"/>
      <c r="N1719" s="4"/>
      <c r="O1719" s="4"/>
      <c r="P1719" s="4"/>
      <c r="Q1719" s="4"/>
    </row>
    <row r="1720" spans="1:17" x14ac:dyDescent="0.2">
      <c r="A1720" s="4"/>
      <c r="B1720" s="4"/>
      <c r="C1720" s="4"/>
      <c r="D1720" s="4"/>
      <c r="E1720" s="4"/>
      <c r="F1720" s="4"/>
      <c r="G1720" s="4"/>
      <c r="H1720" s="4"/>
      <c r="I1720" s="4"/>
      <c r="J1720" s="4"/>
      <c r="K1720" s="4"/>
      <c r="L1720" s="4"/>
      <c r="M1720" s="4"/>
      <c r="N1720" s="4"/>
      <c r="O1720" s="4"/>
      <c r="P1720" s="4"/>
      <c r="Q1720" s="4"/>
    </row>
    <row r="1721" spans="1:17" x14ac:dyDescent="0.2">
      <c r="F1721"/>
      <c r="L1721"/>
    </row>
    <row r="1722" spans="1:17" x14ac:dyDescent="0.2">
      <c r="F1722"/>
      <c r="L1722"/>
    </row>
    <row r="1723" spans="1:17" x14ac:dyDescent="0.2">
      <c r="F1723"/>
      <c r="L1723"/>
    </row>
    <row r="1724" spans="1:17" x14ac:dyDescent="0.2">
      <c r="F1724"/>
      <c r="L1724"/>
      <c r="P1724" s="1"/>
    </row>
    <row r="1725" spans="1:17" x14ac:dyDescent="0.2">
      <c r="F1725"/>
      <c r="L1725"/>
    </row>
    <row r="1726" spans="1:17" x14ac:dyDescent="0.2">
      <c r="F1726"/>
      <c r="L1726"/>
    </row>
    <row r="1727" spans="1:17" x14ac:dyDescent="0.2">
      <c r="F1727"/>
      <c r="L1727"/>
    </row>
    <row r="1728" spans="1:17" x14ac:dyDescent="0.2">
      <c r="F1728"/>
      <c r="L1728"/>
    </row>
    <row r="1729" spans="6:12" x14ac:dyDescent="0.2">
      <c r="F1729"/>
      <c r="L1729"/>
    </row>
    <row r="1730" spans="6:12" x14ac:dyDescent="0.2">
      <c r="F1730"/>
      <c r="L1730"/>
    </row>
    <row r="1731" spans="6:12" x14ac:dyDescent="0.2">
      <c r="F1731"/>
      <c r="L1731"/>
    </row>
    <row r="1732" spans="6:12" x14ac:dyDescent="0.2">
      <c r="F1732"/>
      <c r="L1732"/>
    </row>
    <row r="1733" spans="6:12" x14ac:dyDescent="0.2">
      <c r="F1733"/>
      <c r="L1733"/>
    </row>
    <row r="1734" spans="6:12" x14ac:dyDescent="0.2">
      <c r="F1734"/>
      <c r="L1734"/>
    </row>
    <row r="1735" spans="6:12" x14ac:dyDescent="0.2">
      <c r="F1735"/>
      <c r="L1735"/>
    </row>
    <row r="1736" spans="6:12" x14ac:dyDescent="0.2">
      <c r="F1736"/>
      <c r="L1736"/>
    </row>
    <row r="1737" spans="6:12" x14ac:dyDescent="0.2">
      <c r="F1737"/>
      <c r="L1737"/>
    </row>
    <row r="1738" spans="6:12" x14ac:dyDescent="0.2">
      <c r="F1738"/>
      <c r="L1738"/>
    </row>
    <row r="1739" spans="6:12" x14ac:dyDescent="0.2">
      <c r="F1739"/>
      <c r="L1739"/>
    </row>
    <row r="1740" spans="6:12" x14ac:dyDescent="0.2">
      <c r="F1740"/>
      <c r="L1740"/>
    </row>
    <row r="1741" spans="6:12" x14ac:dyDescent="0.2">
      <c r="F1741"/>
      <c r="L1741"/>
    </row>
    <row r="1742" spans="6:12" x14ac:dyDescent="0.2">
      <c r="F1742"/>
      <c r="L1742"/>
    </row>
    <row r="1743" spans="6:12" x14ac:dyDescent="0.2">
      <c r="F1743"/>
      <c r="L1743"/>
    </row>
    <row r="1744" spans="6:12" x14ac:dyDescent="0.2">
      <c r="F1744"/>
      <c r="L1744"/>
    </row>
    <row r="1745" spans="6:12" x14ac:dyDescent="0.2">
      <c r="F1745"/>
      <c r="L1745"/>
    </row>
    <row r="1746" spans="6:12" x14ac:dyDescent="0.2">
      <c r="F1746"/>
      <c r="L1746"/>
    </row>
    <row r="1747" spans="6:12" x14ac:dyDescent="0.2">
      <c r="F1747"/>
      <c r="L1747"/>
    </row>
    <row r="1748" spans="6:12" x14ac:dyDescent="0.2">
      <c r="F1748"/>
      <c r="L1748"/>
    </row>
    <row r="1749" spans="6:12" x14ac:dyDescent="0.2">
      <c r="F1749"/>
      <c r="L1749"/>
    </row>
    <row r="1750" spans="6:12" x14ac:dyDescent="0.2">
      <c r="F1750"/>
      <c r="L1750"/>
    </row>
    <row r="1751" spans="6:12" x14ac:dyDescent="0.2">
      <c r="F1751"/>
      <c r="L1751"/>
    </row>
    <row r="1752" spans="6:12" x14ac:dyDescent="0.2">
      <c r="F1752"/>
      <c r="L1752"/>
    </row>
    <row r="1753" spans="6:12" x14ac:dyDescent="0.2">
      <c r="F1753"/>
      <c r="L1753"/>
    </row>
    <row r="1754" spans="6:12" x14ac:dyDescent="0.2">
      <c r="F1754"/>
      <c r="L1754"/>
    </row>
    <row r="1755" spans="6:12" x14ac:dyDescent="0.2">
      <c r="F1755"/>
      <c r="L1755"/>
    </row>
    <row r="1756" spans="6:12" x14ac:dyDescent="0.2">
      <c r="F1756"/>
      <c r="L1756"/>
    </row>
    <row r="1757" spans="6:12" x14ac:dyDescent="0.2">
      <c r="F1757"/>
      <c r="L1757"/>
    </row>
    <row r="1758" spans="6:12" x14ac:dyDescent="0.2">
      <c r="F1758"/>
      <c r="L1758"/>
    </row>
    <row r="1759" spans="6:12" x14ac:dyDescent="0.2">
      <c r="F1759"/>
      <c r="L1759"/>
    </row>
    <row r="1760" spans="6:12" x14ac:dyDescent="0.2">
      <c r="F1760"/>
      <c r="L1760"/>
    </row>
    <row r="1761" spans="1:17" x14ac:dyDescent="0.2">
      <c r="F1761"/>
      <c r="L1761"/>
    </row>
    <row r="1762" spans="1:17" x14ac:dyDescent="0.2">
      <c r="F1762"/>
      <c r="L1762"/>
    </row>
    <row r="1763" spans="1:17" x14ac:dyDescent="0.2">
      <c r="F1763"/>
      <c r="L1763"/>
    </row>
    <row r="1764" spans="1:17" x14ac:dyDescent="0.2">
      <c r="F1764"/>
      <c r="L1764"/>
    </row>
    <row r="1765" spans="1:17" x14ac:dyDescent="0.2">
      <c r="F1765"/>
      <c r="L1765"/>
    </row>
    <row r="1766" spans="1:17" x14ac:dyDescent="0.2">
      <c r="F1766"/>
      <c r="L1766"/>
    </row>
    <row r="1767" spans="1:17" x14ac:dyDescent="0.2">
      <c r="F1767"/>
      <c r="L1767"/>
    </row>
    <row r="1768" spans="1:17" x14ac:dyDescent="0.2">
      <c r="F1768"/>
      <c r="L1768"/>
    </row>
    <row r="1769" spans="1:17" x14ac:dyDescent="0.2">
      <c r="A1769" s="4"/>
      <c r="B1769" s="4"/>
      <c r="C1769" s="4"/>
      <c r="D1769" s="4"/>
      <c r="E1769" s="4"/>
      <c r="F1769" s="4"/>
      <c r="G1769" s="4"/>
      <c r="H1769" s="4"/>
      <c r="I1769" s="4"/>
      <c r="J1769" s="4"/>
      <c r="K1769" s="4"/>
      <c r="L1769" s="4"/>
      <c r="M1769" s="4"/>
      <c r="N1769" s="4"/>
      <c r="O1769" s="4"/>
      <c r="P1769" s="4"/>
      <c r="Q1769" s="4"/>
    </row>
    <row r="1770" spans="1:17" x14ac:dyDescent="0.2">
      <c r="A1770" s="4"/>
      <c r="B1770" s="4"/>
      <c r="C1770" s="4"/>
      <c r="D1770" s="4"/>
      <c r="E1770" s="4"/>
      <c r="F1770" s="4"/>
      <c r="G1770" s="4"/>
      <c r="H1770" s="4"/>
      <c r="I1770" s="4"/>
      <c r="J1770" s="4"/>
      <c r="K1770" s="4"/>
      <c r="L1770" s="4"/>
      <c r="M1770" s="4"/>
      <c r="N1770" s="4"/>
      <c r="O1770" s="4"/>
      <c r="P1770" s="4"/>
      <c r="Q1770" s="4"/>
    </row>
    <row r="1771" spans="1:17" x14ac:dyDescent="0.2">
      <c r="F1771"/>
      <c r="L1771"/>
    </row>
    <row r="1772" spans="1:17" x14ac:dyDescent="0.2">
      <c r="F1772"/>
      <c r="L1772"/>
    </row>
    <row r="1773" spans="1:17" x14ac:dyDescent="0.2">
      <c r="F1773"/>
      <c r="L1773"/>
    </row>
    <row r="1774" spans="1:17" x14ac:dyDescent="0.2">
      <c r="F1774"/>
      <c r="L1774"/>
    </row>
    <row r="1775" spans="1:17" x14ac:dyDescent="0.2">
      <c r="F1775"/>
      <c r="L1775"/>
    </row>
    <row r="1776" spans="1:17" x14ac:dyDescent="0.2">
      <c r="F1776"/>
      <c r="L1776"/>
    </row>
    <row r="1777" spans="6:12" x14ac:dyDescent="0.2">
      <c r="F1777"/>
      <c r="L1777"/>
    </row>
    <row r="1778" spans="6:12" x14ac:dyDescent="0.2">
      <c r="F1778"/>
      <c r="L1778"/>
    </row>
    <row r="1779" spans="6:12" x14ac:dyDescent="0.2">
      <c r="F1779"/>
      <c r="L1779"/>
    </row>
    <row r="1780" spans="6:12" x14ac:dyDescent="0.2">
      <c r="F1780"/>
      <c r="L1780"/>
    </row>
    <row r="1781" spans="6:12" x14ac:dyDescent="0.2">
      <c r="F1781"/>
      <c r="L1781"/>
    </row>
    <row r="1782" spans="6:12" x14ac:dyDescent="0.2">
      <c r="F1782"/>
      <c r="L1782"/>
    </row>
    <row r="1783" spans="6:12" x14ac:dyDescent="0.2">
      <c r="F1783"/>
      <c r="L1783"/>
    </row>
    <row r="1784" spans="6:12" x14ac:dyDescent="0.2">
      <c r="F1784"/>
      <c r="L1784"/>
    </row>
    <row r="1785" spans="6:12" x14ac:dyDescent="0.2">
      <c r="F1785"/>
      <c r="L1785"/>
    </row>
    <row r="1786" spans="6:12" x14ac:dyDescent="0.2">
      <c r="F1786"/>
      <c r="L1786"/>
    </row>
    <row r="1787" spans="6:12" x14ac:dyDescent="0.2">
      <c r="F1787"/>
      <c r="L1787"/>
    </row>
    <row r="1788" spans="6:12" x14ac:dyDescent="0.2">
      <c r="F1788"/>
      <c r="L1788"/>
    </row>
    <row r="1789" spans="6:12" x14ac:dyDescent="0.2">
      <c r="F1789"/>
      <c r="L1789"/>
    </row>
    <row r="1790" spans="6:12" x14ac:dyDescent="0.2">
      <c r="F1790"/>
      <c r="L1790"/>
    </row>
    <row r="1791" spans="6:12" x14ac:dyDescent="0.2">
      <c r="F1791"/>
      <c r="L1791"/>
    </row>
    <row r="1792" spans="6:12" x14ac:dyDescent="0.2">
      <c r="F1792"/>
      <c r="L1792"/>
    </row>
    <row r="1793" spans="6:12" x14ac:dyDescent="0.2">
      <c r="F1793"/>
      <c r="L1793"/>
    </row>
    <row r="1794" spans="6:12" x14ac:dyDescent="0.2">
      <c r="F1794"/>
      <c r="L1794"/>
    </row>
    <row r="1795" spans="6:12" x14ac:dyDescent="0.2">
      <c r="F1795"/>
      <c r="L1795"/>
    </row>
    <row r="1796" spans="6:12" x14ac:dyDescent="0.2">
      <c r="F1796"/>
      <c r="L1796"/>
    </row>
    <row r="1797" spans="6:12" x14ac:dyDescent="0.2">
      <c r="F1797"/>
      <c r="L1797"/>
    </row>
    <row r="1798" spans="6:12" x14ac:dyDescent="0.2">
      <c r="F1798"/>
      <c r="L1798"/>
    </row>
    <row r="1799" spans="6:12" x14ac:dyDescent="0.2">
      <c r="F1799"/>
      <c r="L1799"/>
    </row>
    <row r="1800" spans="6:12" x14ac:dyDescent="0.2">
      <c r="F1800"/>
      <c r="L1800"/>
    </row>
    <row r="1801" spans="6:12" x14ac:dyDescent="0.2">
      <c r="F1801"/>
      <c r="L1801"/>
    </row>
    <row r="1802" spans="6:12" x14ac:dyDescent="0.2">
      <c r="F1802"/>
      <c r="L1802"/>
    </row>
    <row r="1803" spans="6:12" x14ac:dyDescent="0.2">
      <c r="F1803"/>
      <c r="L1803"/>
    </row>
    <row r="1804" spans="6:12" x14ac:dyDescent="0.2">
      <c r="F1804"/>
      <c r="L1804"/>
    </row>
    <row r="1805" spans="6:12" x14ac:dyDescent="0.2">
      <c r="F1805"/>
      <c r="L1805"/>
    </row>
    <row r="1806" spans="6:12" x14ac:dyDescent="0.2">
      <c r="F1806"/>
      <c r="L1806"/>
    </row>
    <row r="1807" spans="6:12" x14ac:dyDescent="0.2">
      <c r="F1807"/>
      <c r="L1807"/>
    </row>
    <row r="1808" spans="6:12" x14ac:dyDescent="0.2">
      <c r="F1808"/>
      <c r="L1808"/>
    </row>
    <row r="1809" spans="1:17" x14ac:dyDescent="0.2">
      <c r="F1809"/>
      <c r="L1809"/>
    </row>
    <row r="1810" spans="1:17" x14ac:dyDescent="0.2">
      <c r="F1810"/>
      <c r="L1810"/>
    </row>
    <row r="1811" spans="1:17" x14ac:dyDescent="0.2">
      <c r="F1811"/>
      <c r="L1811"/>
    </row>
    <row r="1812" spans="1:17" x14ac:dyDescent="0.2">
      <c r="F1812"/>
      <c r="L1812"/>
    </row>
    <row r="1813" spans="1:17" x14ac:dyDescent="0.2">
      <c r="F1813"/>
      <c r="L1813"/>
    </row>
    <row r="1814" spans="1:17" x14ac:dyDescent="0.2">
      <c r="F1814"/>
      <c r="L1814"/>
    </row>
    <row r="1815" spans="1:17" x14ac:dyDescent="0.2">
      <c r="F1815"/>
      <c r="L1815"/>
    </row>
    <row r="1816" spans="1:17" x14ac:dyDescent="0.2">
      <c r="A1816" s="4"/>
      <c r="B1816" s="4"/>
      <c r="C1816" s="4"/>
      <c r="D1816" s="4"/>
      <c r="E1816" s="4"/>
      <c r="F1816" s="4"/>
      <c r="G1816" s="4"/>
      <c r="H1816" s="4"/>
      <c r="I1816" s="4"/>
      <c r="J1816" s="4"/>
      <c r="K1816" s="4"/>
      <c r="L1816" s="4"/>
      <c r="M1816" s="4"/>
      <c r="N1816" s="4"/>
      <c r="O1816" s="4"/>
      <c r="P1816" s="4"/>
      <c r="Q1816" s="4"/>
    </row>
    <row r="1817" spans="1:17" x14ac:dyDescent="0.2">
      <c r="A1817" s="4"/>
      <c r="B1817" s="4"/>
      <c r="C1817" s="4"/>
      <c r="D1817" s="4"/>
      <c r="E1817" s="4"/>
      <c r="F1817" s="4"/>
      <c r="G1817" s="4"/>
      <c r="H1817" s="4"/>
      <c r="I1817" s="4"/>
      <c r="J1817" s="4"/>
      <c r="K1817" s="4"/>
      <c r="L1817" s="4"/>
      <c r="M1817" s="4"/>
      <c r="N1817" s="4"/>
      <c r="O1817" s="4"/>
      <c r="P1817" s="4"/>
      <c r="Q1817" s="4"/>
    </row>
    <row r="1818" spans="1:17" x14ac:dyDescent="0.2">
      <c r="A1818" s="4"/>
      <c r="B1818" s="4"/>
      <c r="C1818" s="4"/>
      <c r="D1818" s="4"/>
      <c r="E1818" s="4"/>
      <c r="F1818" s="4"/>
      <c r="G1818" s="4"/>
      <c r="H1818" s="4"/>
      <c r="I1818" s="4"/>
      <c r="J1818" s="4"/>
      <c r="K1818" s="4"/>
      <c r="L1818" s="4"/>
      <c r="M1818" s="4"/>
      <c r="N1818" s="4"/>
      <c r="O1818" s="4"/>
      <c r="P1818" s="4"/>
      <c r="Q1818" s="4"/>
    </row>
    <row r="1819" spans="1:17" x14ac:dyDescent="0.2">
      <c r="A1819" s="4"/>
      <c r="B1819" s="4"/>
      <c r="C1819" s="4"/>
      <c r="D1819" s="4"/>
      <c r="E1819" s="4"/>
      <c r="F1819" s="4"/>
      <c r="G1819" s="4"/>
      <c r="H1819" s="4"/>
      <c r="I1819" s="4"/>
      <c r="J1819" s="4"/>
      <c r="K1819" s="4"/>
      <c r="L1819" s="4"/>
      <c r="M1819" s="4"/>
      <c r="N1819" s="4"/>
      <c r="O1819" s="4"/>
      <c r="P1819" s="4"/>
      <c r="Q1819" s="4"/>
    </row>
    <row r="1820" spans="1:17" x14ac:dyDescent="0.2">
      <c r="A1820" s="4"/>
      <c r="B1820" s="4"/>
      <c r="C1820" s="4"/>
      <c r="D1820" s="4"/>
      <c r="E1820" s="4"/>
      <c r="F1820" s="4"/>
      <c r="G1820" s="4"/>
      <c r="H1820" s="4"/>
      <c r="I1820" s="4"/>
      <c r="J1820" s="4"/>
      <c r="K1820" s="4"/>
      <c r="L1820" s="4"/>
      <c r="M1820" s="4"/>
      <c r="N1820" s="4"/>
      <c r="O1820" s="4"/>
      <c r="P1820" s="4"/>
      <c r="Q1820" s="4"/>
    </row>
    <row r="1821" spans="1:17" x14ac:dyDescent="0.2">
      <c r="A1821" s="4"/>
      <c r="B1821" s="4"/>
      <c r="C1821" s="4"/>
      <c r="D1821" s="4"/>
      <c r="E1821" s="4"/>
      <c r="F1821" s="4"/>
      <c r="G1821" s="4"/>
      <c r="H1821" s="4"/>
      <c r="I1821" s="4"/>
      <c r="J1821" s="4"/>
      <c r="K1821" s="4"/>
      <c r="L1821" s="4"/>
      <c r="M1821" s="4"/>
      <c r="N1821" s="4"/>
      <c r="O1821" s="4"/>
      <c r="P1821" s="4"/>
      <c r="Q1821" s="4"/>
    </row>
    <row r="1822" spans="1:17" x14ac:dyDescent="0.2">
      <c r="A1822" s="4"/>
      <c r="B1822" s="4"/>
      <c r="C1822" s="4"/>
      <c r="D1822" s="4"/>
      <c r="E1822" s="4"/>
      <c r="F1822" s="4"/>
      <c r="G1822" s="4"/>
      <c r="H1822" s="4"/>
      <c r="I1822" s="4"/>
      <c r="J1822" s="4"/>
      <c r="K1822" s="4"/>
      <c r="L1822" s="4"/>
      <c r="M1822" s="4"/>
      <c r="N1822" s="4"/>
      <c r="O1822" s="4"/>
      <c r="P1822" s="4"/>
      <c r="Q1822" s="4"/>
    </row>
    <row r="1823" spans="1:17" x14ac:dyDescent="0.2">
      <c r="A1823" s="4"/>
      <c r="B1823" s="4"/>
      <c r="C1823" s="4"/>
      <c r="D1823" s="4"/>
      <c r="E1823" s="4"/>
      <c r="F1823" s="4"/>
      <c r="G1823" s="4"/>
      <c r="H1823" s="4"/>
      <c r="I1823" s="4"/>
      <c r="J1823" s="4"/>
      <c r="K1823" s="4"/>
      <c r="L1823" s="4"/>
      <c r="M1823" s="4"/>
      <c r="N1823" s="4"/>
      <c r="O1823" s="4"/>
      <c r="P1823" s="4"/>
      <c r="Q1823" s="4"/>
    </row>
    <row r="1824" spans="1:17" x14ac:dyDescent="0.2">
      <c r="A1824" s="4"/>
      <c r="B1824" s="4"/>
      <c r="C1824" s="4"/>
      <c r="D1824" s="4"/>
      <c r="E1824" s="4"/>
      <c r="F1824" s="4"/>
      <c r="G1824" s="4"/>
      <c r="H1824" s="4"/>
      <c r="I1824" s="4"/>
      <c r="J1824" s="4"/>
      <c r="K1824" s="4"/>
      <c r="L1824" s="4"/>
      <c r="M1824" s="4"/>
      <c r="N1824" s="4"/>
      <c r="O1824" s="4"/>
      <c r="P1824" s="4"/>
      <c r="Q1824" s="4"/>
    </row>
    <row r="1825" spans="1:17" x14ac:dyDescent="0.2">
      <c r="A1825" s="4"/>
      <c r="B1825" s="4"/>
      <c r="C1825" s="4"/>
      <c r="D1825" s="4"/>
      <c r="E1825" s="4"/>
      <c r="F1825" s="4"/>
      <c r="G1825" s="4"/>
      <c r="H1825" s="4"/>
      <c r="I1825" s="4"/>
      <c r="J1825" s="4"/>
      <c r="K1825" s="4"/>
      <c r="L1825" s="4"/>
      <c r="M1825" s="4"/>
      <c r="N1825" s="4"/>
      <c r="O1825" s="4"/>
      <c r="P1825" s="4"/>
      <c r="Q1825" s="4"/>
    </row>
    <row r="1826" spans="1:17" x14ac:dyDescent="0.2">
      <c r="A1826" s="4"/>
      <c r="B1826" s="4"/>
      <c r="C1826" s="4"/>
      <c r="D1826" s="4"/>
      <c r="E1826" s="4"/>
      <c r="F1826" s="4"/>
      <c r="G1826" s="4"/>
      <c r="H1826" s="4"/>
      <c r="I1826" s="4"/>
      <c r="J1826" s="4"/>
      <c r="K1826" s="4"/>
      <c r="L1826" s="4"/>
      <c r="M1826" s="4"/>
      <c r="N1826" s="4"/>
      <c r="O1826" s="4"/>
      <c r="P1826" s="4"/>
      <c r="Q1826" s="4"/>
    </row>
    <row r="1827" spans="1:17" x14ac:dyDescent="0.2">
      <c r="A1827" s="4"/>
      <c r="B1827" s="4"/>
      <c r="C1827" s="4"/>
      <c r="D1827" s="4"/>
      <c r="E1827" s="4"/>
      <c r="F1827" s="4"/>
      <c r="G1827" s="4"/>
      <c r="H1827" s="4"/>
      <c r="I1827" s="4"/>
      <c r="J1827" s="4"/>
      <c r="K1827" s="4"/>
      <c r="L1827" s="4"/>
      <c r="M1827" s="4"/>
      <c r="N1827" s="4"/>
      <c r="O1827" s="4"/>
      <c r="P1827" s="4"/>
      <c r="Q1827" s="4"/>
    </row>
    <row r="1828" spans="1:17" x14ac:dyDescent="0.2">
      <c r="A1828" s="4"/>
      <c r="B1828" s="4"/>
      <c r="C1828" s="4"/>
      <c r="D1828" s="4"/>
      <c r="E1828" s="4"/>
      <c r="F1828" s="4"/>
      <c r="G1828" s="4"/>
      <c r="H1828" s="4"/>
      <c r="I1828" s="4"/>
      <c r="J1828" s="4"/>
      <c r="K1828" s="4"/>
      <c r="L1828" s="4"/>
      <c r="M1828" s="4"/>
      <c r="N1828" s="4"/>
      <c r="O1828" s="4"/>
      <c r="P1828" s="4"/>
      <c r="Q1828" s="4"/>
    </row>
    <row r="1829" spans="1:17" x14ac:dyDescent="0.2">
      <c r="A1829" s="4"/>
      <c r="B1829" s="4"/>
      <c r="C1829" s="4"/>
      <c r="D1829" s="4"/>
      <c r="E1829" s="4"/>
      <c r="F1829" s="4"/>
      <c r="G1829" s="4"/>
      <c r="H1829" s="4"/>
      <c r="I1829" s="4"/>
      <c r="J1829" s="4"/>
      <c r="K1829" s="4"/>
      <c r="L1829" s="4"/>
      <c r="M1829" s="4"/>
      <c r="N1829" s="4"/>
      <c r="O1829" s="4"/>
      <c r="P1829" s="4"/>
      <c r="Q1829" s="4"/>
    </row>
    <row r="1830" spans="1:17" x14ac:dyDescent="0.2">
      <c r="A1830" s="4"/>
      <c r="B1830" s="4"/>
      <c r="C1830" s="4"/>
      <c r="D1830" s="4"/>
      <c r="E1830" s="4"/>
      <c r="F1830" s="4"/>
      <c r="G1830" s="4"/>
      <c r="H1830" s="4"/>
      <c r="I1830" s="4"/>
      <c r="J1830" s="4"/>
      <c r="K1830" s="4"/>
      <c r="L1830" s="4"/>
      <c r="M1830" s="4"/>
      <c r="N1830" s="4"/>
      <c r="O1830" s="4"/>
      <c r="P1830" s="4"/>
      <c r="Q1830" s="4"/>
    </row>
    <row r="1831" spans="1:17" x14ac:dyDescent="0.2">
      <c r="A1831" s="4"/>
      <c r="B1831" s="4"/>
      <c r="C1831" s="4"/>
      <c r="D1831" s="4"/>
      <c r="E1831" s="4"/>
      <c r="F1831" s="4"/>
      <c r="G1831" s="4"/>
      <c r="H1831" s="4"/>
      <c r="I1831" s="4"/>
      <c r="J1831" s="4"/>
      <c r="K1831" s="4"/>
      <c r="L1831" s="4"/>
      <c r="M1831" s="4"/>
      <c r="N1831" s="4"/>
      <c r="O1831" s="4"/>
      <c r="P1831" s="4"/>
      <c r="Q1831" s="4"/>
    </row>
    <row r="1832" spans="1:17" x14ac:dyDescent="0.2">
      <c r="A1832" s="4"/>
      <c r="B1832" s="4"/>
      <c r="C1832" s="4"/>
      <c r="D1832" s="4"/>
      <c r="E1832" s="4"/>
      <c r="F1832" s="4"/>
      <c r="G1832" s="4"/>
      <c r="H1832" s="4"/>
      <c r="I1832" s="4"/>
      <c r="J1832" s="4"/>
      <c r="K1832" s="4"/>
      <c r="L1832" s="4"/>
      <c r="M1832" s="4"/>
      <c r="N1832" s="4"/>
      <c r="O1832" s="4"/>
      <c r="P1832" s="4"/>
      <c r="Q1832" s="4"/>
    </row>
    <row r="1833" spans="1:17" x14ac:dyDescent="0.2">
      <c r="A1833" s="4"/>
      <c r="B1833" s="4"/>
      <c r="C1833" s="4"/>
      <c r="D1833" s="4"/>
      <c r="E1833" s="4"/>
      <c r="F1833" s="4"/>
      <c r="G1833" s="4"/>
      <c r="H1833" s="4"/>
      <c r="I1833" s="4"/>
      <c r="J1833" s="4"/>
      <c r="K1833" s="4"/>
      <c r="L1833" s="4"/>
      <c r="M1833" s="4"/>
      <c r="N1833" s="4"/>
      <c r="O1833" s="4"/>
      <c r="P1833" s="4"/>
      <c r="Q1833" s="4"/>
    </row>
    <row r="1834" spans="1:17" x14ac:dyDescent="0.2">
      <c r="A1834" s="4"/>
      <c r="B1834" s="4"/>
      <c r="C1834" s="4"/>
      <c r="D1834" s="4"/>
      <c r="E1834" s="4"/>
      <c r="F1834" s="4"/>
      <c r="G1834" s="4"/>
      <c r="H1834" s="4"/>
      <c r="I1834" s="4"/>
      <c r="J1834" s="4"/>
      <c r="K1834" s="4"/>
      <c r="L1834" s="4"/>
      <c r="M1834" s="4"/>
      <c r="N1834" s="4"/>
      <c r="O1834" s="4"/>
      <c r="P1834" s="4"/>
      <c r="Q1834" s="4"/>
    </row>
    <row r="1835" spans="1:17" x14ac:dyDescent="0.2">
      <c r="A1835" s="4"/>
      <c r="B1835" s="4"/>
      <c r="C1835" s="4"/>
      <c r="D1835" s="4"/>
      <c r="E1835" s="4"/>
      <c r="F1835" s="4"/>
      <c r="G1835" s="4"/>
      <c r="H1835" s="4"/>
      <c r="I1835" s="4"/>
      <c r="J1835" s="4"/>
      <c r="K1835" s="4"/>
      <c r="L1835" s="4"/>
      <c r="M1835" s="4"/>
      <c r="N1835" s="4"/>
      <c r="O1835" s="4"/>
      <c r="P1835" s="4"/>
      <c r="Q1835" s="4"/>
    </row>
    <row r="1836" spans="1:17" x14ac:dyDescent="0.2">
      <c r="A1836" s="4"/>
      <c r="B1836" s="4"/>
      <c r="C1836" s="4"/>
      <c r="D1836" s="4"/>
      <c r="E1836" s="4"/>
      <c r="F1836" s="4"/>
      <c r="G1836" s="4"/>
      <c r="H1836" s="4"/>
      <c r="I1836" s="4"/>
      <c r="J1836" s="4"/>
      <c r="K1836" s="4"/>
      <c r="L1836" s="4"/>
      <c r="M1836" s="4"/>
      <c r="N1836" s="4"/>
      <c r="O1836" s="4"/>
      <c r="P1836" s="4"/>
      <c r="Q1836" s="4"/>
    </row>
    <row r="1837" spans="1:17" x14ac:dyDescent="0.2">
      <c r="A1837" s="4"/>
      <c r="B1837" s="4"/>
      <c r="C1837" s="4"/>
      <c r="D1837" s="4"/>
      <c r="E1837" s="4"/>
      <c r="F1837" s="4"/>
      <c r="G1837" s="4"/>
      <c r="H1837" s="4"/>
      <c r="I1837" s="4"/>
      <c r="J1837" s="4"/>
      <c r="K1837" s="4"/>
      <c r="L1837" s="4"/>
      <c r="M1837" s="4"/>
      <c r="N1837" s="4"/>
      <c r="O1837" s="4"/>
      <c r="P1837" s="4"/>
      <c r="Q1837" s="4"/>
    </row>
    <row r="1838" spans="1:17" x14ac:dyDescent="0.2">
      <c r="A1838" s="4"/>
      <c r="B1838" s="4"/>
      <c r="C1838" s="4"/>
      <c r="D1838" s="4"/>
      <c r="E1838" s="4"/>
      <c r="F1838" s="4"/>
      <c r="G1838" s="4"/>
      <c r="H1838" s="4"/>
      <c r="I1838" s="4"/>
      <c r="J1838" s="4"/>
      <c r="K1838" s="4"/>
      <c r="L1838" s="4"/>
      <c r="M1838" s="4"/>
      <c r="N1838" s="4"/>
      <c r="O1838" s="4"/>
      <c r="P1838" s="4"/>
      <c r="Q1838" s="4"/>
    </row>
    <row r="1839" spans="1:17" x14ac:dyDescent="0.2">
      <c r="A1839" s="4"/>
      <c r="B1839" s="4"/>
      <c r="C1839" s="4"/>
      <c r="D1839" s="4"/>
      <c r="E1839" s="4"/>
      <c r="F1839" s="4"/>
      <c r="G1839" s="4"/>
      <c r="H1839" s="4"/>
      <c r="I1839" s="4"/>
      <c r="J1839" s="4"/>
      <c r="K1839" s="4"/>
      <c r="L1839" s="4"/>
      <c r="M1839" s="4"/>
      <c r="N1839" s="4"/>
      <c r="O1839" s="4"/>
      <c r="P1839" s="4"/>
      <c r="Q1839" s="4"/>
    </row>
    <row r="1840" spans="1:17" x14ac:dyDescent="0.2">
      <c r="A1840" s="4"/>
      <c r="B1840" s="4"/>
      <c r="C1840" s="4"/>
      <c r="D1840" s="4"/>
      <c r="E1840" s="4"/>
      <c r="F1840" s="4"/>
      <c r="G1840" s="4"/>
      <c r="H1840" s="4"/>
      <c r="I1840" s="4"/>
      <c r="J1840" s="4"/>
      <c r="K1840" s="4"/>
      <c r="L1840" s="4"/>
      <c r="M1840" s="4"/>
      <c r="N1840" s="4"/>
      <c r="O1840" s="4"/>
      <c r="P1840" s="4"/>
      <c r="Q1840" s="4"/>
    </row>
    <row r="1841" spans="1:17" x14ac:dyDescent="0.2">
      <c r="A1841" s="4"/>
      <c r="B1841" s="4"/>
      <c r="C1841" s="4"/>
      <c r="D1841" s="4"/>
      <c r="E1841" s="4"/>
      <c r="F1841" s="4"/>
      <c r="G1841" s="4"/>
      <c r="H1841" s="4"/>
      <c r="I1841" s="4"/>
      <c r="J1841" s="4"/>
      <c r="K1841" s="4"/>
      <c r="L1841" s="4"/>
      <c r="M1841" s="4"/>
      <c r="N1841" s="4"/>
      <c r="O1841" s="4"/>
      <c r="P1841" s="4"/>
      <c r="Q1841" s="4"/>
    </row>
    <row r="1842" spans="1:17" x14ac:dyDescent="0.2">
      <c r="A1842" s="4"/>
      <c r="B1842" s="4"/>
      <c r="C1842" s="4"/>
      <c r="D1842" s="4"/>
      <c r="E1842" s="4"/>
      <c r="F1842" s="4"/>
      <c r="G1842" s="4"/>
      <c r="H1842" s="4"/>
      <c r="I1842" s="4"/>
      <c r="J1842" s="4"/>
      <c r="K1842" s="4"/>
      <c r="L1842" s="4"/>
      <c r="M1842" s="4"/>
      <c r="N1842" s="4"/>
      <c r="O1842" s="4"/>
      <c r="P1842" s="4"/>
      <c r="Q1842" s="4"/>
    </row>
    <row r="1843" spans="1:17" x14ac:dyDescent="0.2">
      <c r="A1843" s="4"/>
      <c r="B1843" s="4"/>
      <c r="C1843" s="4"/>
      <c r="D1843" s="4"/>
      <c r="E1843" s="4"/>
      <c r="F1843" s="4"/>
      <c r="G1843" s="4"/>
      <c r="H1843" s="4"/>
      <c r="I1843" s="4"/>
      <c r="J1843" s="4"/>
      <c r="K1843" s="4"/>
      <c r="L1843" s="4"/>
      <c r="M1843" s="4"/>
      <c r="N1843" s="4"/>
      <c r="O1843" s="4"/>
      <c r="P1843" s="4"/>
      <c r="Q1843" s="4"/>
    </row>
    <row r="1844" spans="1:17" x14ac:dyDescent="0.2">
      <c r="A1844" s="4"/>
      <c r="B1844" s="4"/>
      <c r="C1844" s="4"/>
      <c r="D1844" s="4"/>
      <c r="E1844" s="4"/>
      <c r="F1844" s="4"/>
      <c r="G1844" s="4"/>
      <c r="H1844" s="4"/>
      <c r="I1844" s="4"/>
      <c r="J1844" s="4"/>
      <c r="K1844" s="4"/>
      <c r="L1844" s="4"/>
      <c r="M1844" s="4"/>
      <c r="N1844" s="4"/>
      <c r="O1844" s="4"/>
      <c r="P1844" s="4"/>
      <c r="Q1844" s="4"/>
    </row>
    <row r="1845" spans="1:17" x14ac:dyDescent="0.2">
      <c r="A1845" s="4"/>
      <c r="B1845" s="4"/>
      <c r="C1845" s="4"/>
      <c r="D1845" s="4"/>
      <c r="E1845" s="4"/>
      <c r="F1845" s="4"/>
      <c r="G1845" s="4"/>
      <c r="H1845" s="4"/>
      <c r="I1845" s="4"/>
      <c r="J1845" s="4"/>
      <c r="K1845" s="4"/>
      <c r="L1845" s="4"/>
      <c r="M1845" s="4"/>
      <c r="N1845" s="4"/>
      <c r="O1845" s="4"/>
      <c r="P1845" s="4"/>
      <c r="Q1845" s="4"/>
    </row>
    <row r="1846" spans="1:17" x14ac:dyDescent="0.2">
      <c r="A1846" s="4"/>
      <c r="B1846" s="4"/>
      <c r="C1846" s="4"/>
      <c r="D1846" s="4"/>
      <c r="E1846" s="4"/>
      <c r="F1846" s="4"/>
      <c r="G1846" s="4"/>
      <c r="H1846" s="4"/>
      <c r="I1846" s="4"/>
      <c r="J1846" s="4"/>
      <c r="K1846" s="4"/>
      <c r="L1846" s="4"/>
      <c r="M1846" s="4"/>
      <c r="N1846" s="4"/>
      <c r="O1846" s="4"/>
      <c r="P1846" s="4"/>
      <c r="Q1846" s="4"/>
    </row>
    <row r="1847" spans="1:17" x14ac:dyDescent="0.2">
      <c r="A1847" s="4"/>
      <c r="B1847" s="4"/>
      <c r="C1847" s="4"/>
      <c r="D1847" s="4"/>
      <c r="E1847" s="4"/>
      <c r="F1847" s="4"/>
      <c r="G1847" s="4"/>
      <c r="H1847" s="4"/>
      <c r="I1847" s="4"/>
      <c r="J1847" s="4"/>
      <c r="K1847" s="4"/>
      <c r="L1847" s="4"/>
      <c r="M1847" s="4"/>
      <c r="N1847" s="4"/>
      <c r="O1847" s="4"/>
      <c r="P1847" s="4"/>
      <c r="Q1847" s="4"/>
    </row>
    <row r="1848" spans="1:17" x14ac:dyDescent="0.2">
      <c r="A1848" s="4"/>
      <c r="B1848" s="4"/>
      <c r="C1848" s="4"/>
      <c r="D1848" s="4"/>
      <c r="E1848" s="4"/>
      <c r="F1848" s="4"/>
      <c r="G1848" s="4"/>
      <c r="H1848" s="4"/>
      <c r="I1848" s="4"/>
      <c r="J1848" s="4"/>
      <c r="K1848" s="4"/>
      <c r="L1848" s="4"/>
      <c r="M1848" s="4"/>
      <c r="N1848" s="4"/>
      <c r="O1848" s="4"/>
      <c r="P1848" s="4"/>
      <c r="Q1848" s="4"/>
    </row>
    <row r="1849" spans="1:17" x14ac:dyDescent="0.2">
      <c r="A1849" s="4"/>
      <c r="B1849" s="4"/>
      <c r="C1849" s="4"/>
      <c r="D1849" s="4"/>
      <c r="E1849" s="4"/>
      <c r="F1849" s="4"/>
      <c r="G1849" s="4"/>
      <c r="H1849" s="4"/>
      <c r="I1849" s="4"/>
      <c r="J1849" s="4"/>
      <c r="K1849" s="4"/>
      <c r="L1849" s="4"/>
      <c r="M1849" s="4"/>
      <c r="N1849" s="4"/>
      <c r="O1849" s="4"/>
      <c r="P1849" s="4"/>
      <c r="Q1849" s="4"/>
    </row>
    <row r="1850" spans="1:17" x14ac:dyDescent="0.2">
      <c r="A1850" s="4"/>
      <c r="B1850" s="4"/>
      <c r="C1850" s="4"/>
      <c r="D1850" s="4"/>
      <c r="E1850" s="4"/>
      <c r="F1850" s="4"/>
      <c r="G1850" s="4"/>
      <c r="H1850" s="4"/>
      <c r="I1850" s="4"/>
      <c r="J1850" s="4"/>
      <c r="K1850" s="4"/>
      <c r="L1850" s="4"/>
      <c r="M1850" s="4"/>
      <c r="N1850" s="4"/>
      <c r="O1850" s="4"/>
      <c r="P1850" s="4"/>
      <c r="Q1850" s="4"/>
    </row>
    <row r="1851" spans="1:17" x14ac:dyDescent="0.2">
      <c r="A1851" s="4"/>
      <c r="B1851" s="4"/>
      <c r="C1851" s="4"/>
      <c r="D1851" s="4"/>
      <c r="E1851" s="4"/>
      <c r="F1851" s="4"/>
      <c r="G1851" s="4"/>
      <c r="H1851" s="4"/>
      <c r="I1851" s="4"/>
      <c r="J1851" s="4"/>
      <c r="K1851" s="4"/>
      <c r="L1851" s="4"/>
      <c r="M1851" s="4"/>
      <c r="N1851" s="4"/>
      <c r="O1851" s="4"/>
      <c r="P1851" s="4"/>
      <c r="Q1851" s="4"/>
    </row>
    <row r="1852" spans="1:17" x14ac:dyDescent="0.2">
      <c r="A1852" s="4"/>
      <c r="B1852" s="4"/>
      <c r="C1852" s="4"/>
      <c r="D1852" s="4"/>
      <c r="E1852" s="4"/>
      <c r="F1852" s="4"/>
      <c r="G1852" s="4"/>
      <c r="H1852" s="4"/>
      <c r="I1852" s="4"/>
      <c r="J1852" s="4"/>
      <c r="K1852" s="4"/>
      <c r="L1852" s="4"/>
      <c r="M1852" s="4"/>
      <c r="N1852" s="4"/>
      <c r="O1852" s="4"/>
      <c r="P1852" s="4"/>
      <c r="Q1852" s="4"/>
    </row>
    <row r="1853" spans="1:17" x14ac:dyDescent="0.2">
      <c r="E1853" s="4"/>
      <c r="F1853"/>
      <c r="L1853"/>
    </row>
    <row r="1854" spans="1:17" x14ac:dyDescent="0.2">
      <c r="A1854" s="4"/>
      <c r="B1854" s="4"/>
      <c r="C1854" s="4"/>
      <c r="D1854" s="4"/>
      <c r="E1854" s="4"/>
      <c r="F1854" s="4"/>
      <c r="G1854" s="4"/>
      <c r="H1854" s="4"/>
      <c r="I1854" s="4"/>
      <c r="J1854" s="4"/>
      <c r="K1854" s="4"/>
      <c r="L1854" s="4"/>
      <c r="M1854" s="4"/>
      <c r="N1854" s="4"/>
      <c r="O1854" s="4"/>
      <c r="P1854" s="4"/>
      <c r="Q1854" s="4"/>
    </row>
    <row r="1855" spans="1:17" x14ac:dyDescent="0.2">
      <c r="A1855" s="4"/>
      <c r="B1855" s="4"/>
      <c r="C1855" s="4"/>
      <c r="D1855" s="4"/>
      <c r="E1855" s="4"/>
      <c r="F1855" s="4"/>
      <c r="G1855" s="4"/>
      <c r="H1855" s="4"/>
      <c r="I1855" s="4"/>
      <c r="J1855" s="4"/>
      <c r="K1855" s="4"/>
      <c r="L1855" s="4"/>
      <c r="M1855" s="4"/>
      <c r="N1855" s="4"/>
      <c r="O1855" s="4"/>
      <c r="P1855" s="4"/>
      <c r="Q1855" s="4"/>
    </row>
    <row r="1856" spans="1:17" x14ac:dyDescent="0.2">
      <c r="A1856" s="4"/>
      <c r="B1856" s="4"/>
      <c r="C1856" s="4"/>
      <c r="D1856" s="4"/>
      <c r="E1856" s="4"/>
      <c r="F1856" s="4"/>
      <c r="G1856" s="4"/>
      <c r="H1856" s="4"/>
      <c r="I1856" s="4"/>
      <c r="J1856" s="4"/>
      <c r="K1856" s="4"/>
      <c r="L1856" s="4"/>
      <c r="M1856" s="4"/>
      <c r="N1856" s="4"/>
      <c r="O1856" s="4"/>
      <c r="P1856" s="4"/>
      <c r="Q1856" s="4"/>
    </row>
    <row r="1857" spans="1:17" x14ac:dyDescent="0.2">
      <c r="A1857" s="4"/>
      <c r="B1857" s="4"/>
      <c r="C1857" s="4"/>
      <c r="D1857" s="4"/>
      <c r="E1857" s="4"/>
      <c r="F1857" s="4"/>
      <c r="G1857" s="4"/>
      <c r="H1857" s="4"/>
      <c r="I1857" s="4"/>
      <c r="J1857" s="4"/>
      <c r="K1857" s="4"/>
      <c r="L1857" s="4"/>
      <c r="M1857" s="4"/>
      <c r="N1857" s="4"/>
      <c r="O1857" s="4"/>
      <c r="P1857" s="4"/>
      <c r="Q1857" s="4"/>
    </row>
    <row r="1858" spans="1:17" x14ac:dyDescent="0.2">
      <c r="A1858" s="4"/>
      <c r="B1858" s="4"/>
      <c r="C1858" s="4"/>
      <c r="D1858" s="4"/>
      <c r="E1858" s="4"/>
      <c r="F1858" s="4"/>
      <c r="G1858" s="4"/>
      <c r="H1858" s="4"/>
      <c r="I1858" s="4"/>
      <c r="J1858" s="4"/>
      <c r="K1858" s="4"/>
      <c r="L1858" s="4"/>
      <c r="M1858" s="4"/>
      <c r="N1858" s="4"/>
      <c r="O1858" s="4"/>
      <c r="P1858" s="4"/>
      <c r="Q1858" s="4"/>
    </row>
    <row r="1859" spans="1:17" x14ac:dyDescent="0.2">
      <c r="A1859" s="4"/>
      <c r="B1859" s="4"/>
      <c r="C1859" s="4"/>
      <c r="D1859" s="4"/>
      <c r="E1859" s="4"/>
      <c r="F1859" s="4"/>
      <c r="G1859" s="4"/>
      <c r="H1859" s="4"/>
      <c r="I1859" s="4"/>
      <c r="J1859" s="4"/>
      <c r="K1859" s="4"/>
      <c r="L1859" s="4"/>
      <c r="M1859" s="4"/>
      <c r="N1859" s="4"/>
      <c r="O1859" s="4"/>
      <c r="P1859" s="4"/>
      <c r="Q1859" s="4"/>
    </row>
    <row r="1860" spans="1:17" x14ac:dyDescent="0.2">
      <c r="A1860" s="4"/>
      <c r="B1860" s="4"/>
      <c r="C1860" s="4"/>
      <c r="D1860" s="4"/>
      <c r="E1860" s="4"/>
      <c r="F1860" s="4"/>
      <c r="G1860" s="4"/>
      <c r="H1860" s="4"/>
      <c r="I1860" s="4"/>
      <c r="J1860" s="4"/>
      <c r="K1860" s="4"/>
      <c r="L1860" s="4"/>
      <c r="M1860" s="4"/>
      <c r="N1860" s="4"/>
      <c r="O1860" s="4"/>
      <c r="P1860" s="4"/>
      <c r="Q1860" s="4"/>
    </row>
    <row r="1861" spans="1:17" x14ac:dyDescent="0.2">
      <c r="A1861" s="4"/>
      <c r="B1861" s="4"/>
      <c r="C1861" s="4"/>
      <c r="D1861" s="4"/>
      <c r="E1861" s="4"/>
      <c r="F1861" s="4"/>
      <c r="G1861" s="4"/>
      <c r="H1861" s="4"/>
      <c r="I1861" s="4"/>
      <c r="J1861" s="4"/>
      <c r="K1861" s="4"/>
      <c r="L1861" s="4"/>
      <c r="M1861" s="4"/>
      <c r="N1861" s="4"/>
      <c r="O1861" s="4"/>
      <c r="P1861" s="4"/>
      <c r="Q1861" s="4"/>
    </row>
    <row r="1862" spans="1:17" x14ac:dyDescent="0.2">
      <c r="A1862" s="4"/>
      <c r="B1862" s="4"/>
      <c r="C1862" s="4"/>
      <c r="D1862" s="4"/>
      <c r="E1862" s="4"/>
      <c r="F1862" s="4"/>
      <c r="G1862" s="4"/>
      <c r="H1862" s="4"/>
      <c r="I1862" s="4"/>
      <c r="J1862" s="4"/>
      <c r="K1862" s="4"/>
      <c r="L1862" s="4"/>
      <c r="M1862" s="4"/>
      <c r="N1862" s="4"/>
      <c r="O1862" s="4"/>
      <c r="P1862" s="4"/>
      <c r="Q1862" s="4"/>
    </row>
    <row r="1863" spans="1:17" x14ac:dyDescent="0.2">
      <c r="A1863" s="4"/>
      <c r="B1863" s="4"/>
      <c r="C1863" s="4"/>
      <c r="D1863" s="4"/>
      <c r="E1863" s="4"/>
      <c r="F1863" s="4"/>
      <c r="G1863" s="4"/>
      <c r="H1863" s="4"/>
      <c r="I1863" s="4"/>
      <c r="J1863" s="4"/>
      <c r="K1863" s="4"/>
      <c r="L1863" s="4"/>
      <c r="M1863" s="4"/>
      <c r="N1863" s="4"/>
      <c r="O1863" s="4"/>
      <c r="P1863" s="4"/>
      <c r="Q1863" s="4"/>
    </row>
    <row r="1864" spans="1:17" x14ac:dyDescent="0.2">
      <c r="A1864" s="4"/>
      <c r="B1864" s="4"/>
      <c r="C1864" s="4"/>
      <c r="D1864" s="4"/>
      <c r="E1864" s="4"/>
      <c r="F1864" s="4"/>
      <c r="G1864" s="4"/>
      <c r="H1864" s="4"/>
      <c r="I1864" s="4"/>
      <c r="J1864" s="4"/>
      <c r="K1864" s="4"/>
      <c r="L1864" s="4"/>
      <c r="M1864" s="4"/>
      <c r="N1864" s="4"/>
      <c r="O1864" s="4"/>
      <c r="P1864" s="4"/>
      <c r="Q1864" s="4"/>
    </row>
    <row r="1865" spans="1:17" x14ac:dyDescent="0.2">
      <c r="A1865" s="4"/>
      <c r="B1865" s="4"/>
      <c r="C1865" s="4"/>
      <c r="D1865" s="4"/>
      <c r="E1865" s="4"/>
      <c r="F1865" s="4"/>
      <c r="G1865" s="4"/>
      <c r="H1865" s="4"/>
      <c r="I1865" s="4"/>
      <c r="J1865" s="4"/>
      <c r="K1865" s="4"/>
      <c r="L1865" s="4"/>
      <c r="M1865" s="4"/>
      <c r="N1865" s="4"/>
      <c r="O1865" s="4"/>
      <c r="P1865" s="4"/>
      <c r="Q1865" s="4"/>
    </row>
    <row r="1866" spans="1:17" x14ac:dyDescent="0.2">
      <c r="A1866" s="4"/>
      <c r="B1866" s="4"/>
      <c r="C1866" s="4"/>
      <c r="D1866" s="4"/>
      <c r="E1866" s="4"/>
      <c r="F1866" s="4"/>
      <c r="G1866" s="4"/>
      <c r="H1866" s="4"/>
      <c r="I1866" s="4"/>
      <c r="J1866" s="4"/>
      <c r="K1866" s="4"/>
      <c r="L1866" s="4"/>
      <c r="M1866" s="4"/>
      <c r="N1866" s="4"/>
      <c r="O1866" s="4"/>
      <c r="P1866" s="4"/>
      <c r="Q1866" s="4"/>
    </row>
    <row r="1867" spans="1:17" x14ac:dyDescent="0.2">
      <c r="A1867" s="4"/>
      <c r="B1867" s="4"/>
      <c r="C1867" s="4"/>
      <c r="D1867" s="4"/>
      <c r="E1867" s="4"/>
      <c r="F1867" s="4"/>
      <c r="G1867" s="4"/>
      <c r="H1867" s="4"/>
      <c r="I1867" s="4"/>
      <c r="J1867" s="4"/>
      <c r="K1867" s="4"/>
      <c r="L1867" s="4"/>
      <c r="M1867" s="4"/>
      <c r="N1867" s="4"/>
      <c r="O1867" s="4"/>
      <c r="P1867" s="4"/>
      <c r="Q1867" s="4"/>
    </row>
    <row r="1868" spans="1:17" x14ac:dyDescent="0.2">
      <c r="A1868" s="4"/>
      <c r="B1868" s="4"/>
      <c r="C1868" s="4"/>
      <c r="D1868" s="4"/>
      <c r="E1868" s="4"/>
      <c r="F1868" s="4"/>
      <c r="G1868" s="4"/>
      <c r="H1868" s="4"/>
      <c r="I1868" s="4"/>
      <c r="J1868" s="4"/>
      <c r="K1868" s="4"/>
      <c r="L1868" s="4"/>
      <c r="M1868" s="4"/>
      <c r="N1868" s="4"/>
      <c r="O1868" s="4"/>
      <c r="P1868" s="4"/>
      <c r="Q1868" s="4"/>
    </row>
    <row r="1869" spans="1:17" x14ac:dyDescent="0.2">
      <c r="A1869" s="4"/>
      <c r="B1869" s="4"/>
      <c r="C1869" s="4"/>
      <c r="D1869" s="4"/>
      <c r="E1869" s="4"/>
      <c r="F1869" s="4"/>
      <c r="G1869" s="4"/>
      <c r="H1869" s="4"/>
      <c r="I1869" s="4"/>
      <c r="J1869" s="4"/>
      <c r="K1869" s="4"/>
      <c r="L1869" s="4"/>
      <c r="M1869" s="4"/>
      <c r="N1869" s="4"/>
      <c r="O1869" s="4"/>
      <c r="P1869" s="4"/>
      <c r="Q1869" s="4"/>
    </row>
    <row r="1870" spans="1:17" x14ac:dyDescent="0.2">
      <c r="A1870" s="4"/>
      <c r="B1870" s="4"/>
      <c r="C1870" s="4"/>
      <c r="D1870" s="4"/>
      <c r="E1870" s="4"/>
      <c r="F1870" s="4"/>
      <c r="G1870" s="4"/>
      <c r="H1870" s="4"/>
      <c r="I1870" s="4"/>
      <c r="J1870" s="4"/>
      <c r="K1870" s="4"/>
      <c r="L1870" s="4"/>
      <c r="M1870" s="4"/>
      <c r="N1870" s="4"/>
      <c r="O1870" s="4"/>
      <c r="P1870" s="4"/>
      <c r="Q1870" s="4"/>
    </row>
    <row r="1871" spans="1:17" x14ac:dyDescent="0.2">
      <c r="A1871" s="4"/>
      <c r="B1871" s="4"/>
      <c r="C1871" s="4"/>
      <c r="D1871" s="4"/>
      <c r="E1871" s="4"/>
      <c r="F1871" s="4"/>
      <c r="G1871" s="4"/>
      <c r="H1871" s="4"/>
      <c r="I1871" s="4"/>
      <c r="J1871" s="4"/>
      <c r="K1871" s="4"/>
      <c r="L1871" s="4"/>
      <c r="M1871" s="4"/>
      <c r="N1871" s="4"/>
      <c r="O1871" s="4"/>
      <c r="P1871" s="4"/>
      <c r="Q1871" s="4"/>
    </row>
    <row r="1872" spans="1:17" x14ac:dyDescent="0.2">
      <c r="A1872" s="4"/>
      <c r="B1872" s="4"/>
      <c r="C1872" s="4"/>
      <c r="D1872" s="4"/>
      <c r="E1872" s="4"/>
      <c r="F1872" s="4"/>
      <c r="G1872" s="4"/>
      <c r="H1872" s="4"/>
      <c r="I1872" s="4"/>
      <c r="J1872" s="4"/>
      <c r="K1872" s="4"/>
      <c r="L1872" s="4"/>
      <c r="M1872" s="4"/>
      <c r="N1872" s="4"/>
      <c r="O1872" s="4"/>
      <c r="P1872" s="4"/>
      <c r="Q1872" s="4"/>
    </row>
    <row r="1873" spans="1:17" x14ac:dyDescent="0.2">
      <c r="A1873" s="4"/>
      <c r="B1873" s="4"/>
      <c r="C1873" s="4"/>
      <c r="D1873" s="4"/>
      <c r="E1873" s="4"/>
      <c r="F1873" s="4"/>
      <c r="G1873" s="4"/>
      <c r="H1873" s="4"/>
      <c r="I1873" s="4"/>
      <c r="J1873" s="4"/>
      <c r="K1873" s="4"/>
      <c r="L1873" s="4"/>
      <c r="M1873" s="4"/>
      <c r="N1873" s="4"/>
      <c r="O1873" s="4"/>
      <c r="P1873" s="4"/>
      <c r="Q1873" s="4"/>
    </row>
    <row r="1874" spans="1:17" x14ac:dyDescent="0.2">
      <c r="A1874" s="4"/>
      <c r="B1874" s="4"/>
      <c r="C1874" s="4"/>
      <c r="D1874" s="4"/>
      <c r="E1874" s="4"/>
      <c r="F1874" s="4"/>
      <c r="G1874" s="4"/>
      <c r="H1874" s="4"/>
      <c r="I1874" s="4"/>
      <c r="J1874" s="4"/>
      <c r="K1874" s="4"/>
      <c r="L1874" s="4"/>
      <c r="M1874" s="4"/>
      <c r="N1874" s="4"/>
      <c r="O1874" s="4"/>
      <c r="P1874" s="4"/>
      <c r="Q1874" s="4"/>
    </row>
    <row r="1875" spans="1:17" x14ac:dyDescent="0.2">
      <c r="A1875" s="4"/>
      <c r="B1875" s="4"/>
      <c r="C1875" s="4"/>
      <c r="D1875" s="4"/>
      <c r="E1875" s="4"/>
      <c r="F1875" s="4"/>
      <c r="G1875" s="4"/>
      <c r="H1875" s="4"/>
      <c r="I1875" s="4"/>
      <c r="J1875" s="4"/>
      <c r="K1875" s="4"/>
      <c r="L1875" s="4"/>
      <c r="M1875" s="4"/>
      <c r="N1875" s="4"/>
      <c r="O1875" s="4"/>
      <c r="P1875" s="4"/>
      <c r="Q1875" s="4"/>
    </row>
    <row r="1876" spans="1:17" x14ac:dyDescent="0.2">
      <c r="A1876" s="4"/>
      <c r="B1876" s="4"/>
      <c r="C1876" s="4"/>
      <c r="D1876" s="4"/>
      <c r="E1876" s="4"/>
      <c r="F1876" s="4"/>
      <c r="G1876" s="4"/>
      <c r="H1876" s="4"/>
      <c r="I1876" s="4"/>
      <c r="J1876" s="4"/>
      <c r="K1876" s="4"/>
      <c r="L1876" s="4"/>
      <c r="M1876" s="4"/>
      <c r="N1876" s="4"/>
      <c r="O1876" s="4"/>
      <c r="P1876" s="4"/>
      <c r="Q1876" s="4"/>
    </row>
    <row r="1877" spans="1:17" x14ac:dyDescent="0.2">
      <c r="A1877" s="4"/>
      <c r="B1877" s="4"/>
      <c r="C1877" s="4"/>
      <c r="D1877" s="4"/>
      <c r="E1877" s="4"/>
      <c r="F1877" s="4"/>
      <c r="G1877" s="4"/>
      <c r="H1877" s="4"/>
      <c r="I1877" s="4"/>
      <c r="J1877" s="4"/>
      <c r="K1877" s="4"/>
      <c r="L1877" s="4"/>
      <c r="M1877" s="4"/>
      <c r="N1877" s="4"/>
      <c r="O1877" s="4"/>
      <c r="P1877" s="4"/>
      <c r="Q1877" s="4"/>
    </row>
    <row r="1878" spans="1:17" x14ac:dyDescent="0.2">
      <c r="A1878" s="4"/>
      <c r="B1878" s="4"/>
      <c r="C1878" s="4"/>
      <c r="D1878" s="4"/>
      <c r="E1878" s="4"/>
      <c r="F1878" s="4"/>
      <c r="G1878" s="4"/>
      <c r="H1878" s="4"/>
      <c r="I1878" s="4"/>
      <c r="J1878" s="4"/>
      <c r="K1878" s="4"/>
      <c r="L1878" s="4"/>
      <c r="M1878" s="4"/>
      <c r="N1878" s="4"/>
      <c r="O1878" s="4"/>
      <c r="P1878" s="4"/>
      <c r="Q1878" s="4"/>
    </row>
    <row r="1879" spans="1:17" x14ac:dyDescent="0.2">
      <c r="A1879" s="4"/>
      <c r="B1879" s="4"/>
      <c r="C1879" s="4"/>
      <c r="D1879" s="4"/>
      <c r="E1879" s="4"/>
      <c r="F1879" s="4"/>
      <c r="G1879" s="4"/>
      <c r="H1879" s="4"/>
      <c r="I1879" s="4"/>
      <c r="J1879" s="4"/>
      <c r="K1879" s="4"/>
      <c r="L1879" s="4"/>
      <c r="M1879" s="4"/>
      <c r="N1879" s="4"/>
      <c r="O1879" s="4"/>
      <c r="P1879" s="4"/>
      <c r="Q1879" s="4"/>
    </row>
    <row r="1880" spans="1:17" x14ac:dyDescent="0.2">
      <c r="A1880" s="4"/>
      <c r="B1880" s="4"/>
      <c r="C1880" s="4"/>
      <c r="D1880" s="4"/>
      <c r="E1880" s="4"/>
      <c r="F1880" s="4"/>
      <c r="G1880" s="4"/>
      <c r="H1880" s="4"/>
      <c r="I1880" s="4"/>
      <c r="J1880" s="4"/>
      <c r="K1880" s="4"/>
      <c r="L1880" s="4"/>
      <c r="M1880" s="4"/>
      <c r="N1880" s="4"/>
      <c r="O1880" s="4"/>
      <c r="P1880" s="4"/>
      <c r="Q1880" s="4"/>
    </row>
    <row r="1881" spans="1:17" x14ac:dyDescent="0.2">
      <c r="A1881" s="4"/>
      <c r="B1881" s="4"/>
      <c r="C1881" s="4"/>
      <c r="D1881" s="4"/>
      <c r="E1881" s="4"/>
      <c r="F1881" s="4"/>
      <c r="G1881" s="4"/>
      <c r="H1881" s="4"/>
      <c r="I1881" s="4"/>
      <c r="J1881" s="4"/>
      <c r="K1881" s="4"/>
      <c r="L1881" s="4"/>
      <c r="M1881" s="4"/>
      <c r="N1881" s="4"/>
      <c r="O1881" s="4"/>
      <c r="P1881" s="4"/>
      <c r="Q1881" s="4"/>
    </row>
    <row r="1882" spans="1:17" x14ac:dyDescent="0.2">
      <c r="A1882" s="4"/>
      <c r="B1882" s="4"/>
      <c r="C1882" s="4"/>
      <c r="D1882" s="4"/>
      <c r="E1882" s="4"/>
      <c r="F1882" s="4"/>
      <c r="G1882" s="4"/>
      <c r="H1882" s="4"/>
      <c r="I1882" s="4"/>
      <c r="J1882" s="4"/>
      <c r="K1882" s="4"/>
      <c r="L1882" s="4"/>
      <c r="M1882" s="4"/>
      <c r="N1882" s="4"/>
      <c r="O1882" s="4"/>
      <c r="P1882" s="4"/>
      <c r="Q1882" s="4"/>
    </row>
    <row r="1883" spans="1:17" x14ac:dyDescent="0.2">
      <c r="A1883" s="4"/>
      <c r="B1883" s="4"/>
      <c r="C1883" s="4"/>
      <c r="D1883" s="4"/>
      <c r="E1883" s="4"/>
      <c r="F1883" s="4"/>
      <c r="G1883" s="4"/>
      <c r="H1883" s="4"/>
      <c r="I1883" s="4"/>
      <c r="J1883" s="4"/>
      <c r="K1883" s="4"/>
      <c r="L1883" s="4"/>
      <c r="M1883" s="4"/>
      <c r="N1883" s="4"/>
      <c r="O1883" s="4"/>
      <c r="P1883" s="4"/>
      <c r="Q1883" s="4"/>
    </row>
    <row r="1884" spans="1:17" x14ac:dyDescent="0.2">
      <c r="A1884" s="4"/>
      <c r="B1884" s="4"/>
      <c r="C1884" s="4"/>
      <c r="D1884" s="4"/>
      <c r="E1884" s="4"/>
      <c r="F1884" s="4"/>
      <c r="G1884" s="4"/>
      <c r="H1884" s="4"/>
      <c r="I1884" s="4"/>
      <c r="J1884" s="4"/>
      <c r="K1884" s="4"/>
      <c r="L1884" s="4"/>
      <c r="M1884" s="4"/>
      <c r="N1884" s="4"/>
      <c r="O1884" s="4"/>
      <c r="P1884" s="4"/>
      <c r="Q1884" s="4"/>
    </row>
    <row r="1885" spans="1:17" x14ac:dyDescent="0.2">
      <c r="A1885" s="4"/>
      <c r="B1885" s="4"/>
      <c r="C1885" s="4"/>
      <c r="D1885" s="4"/>
      <c r="E1885" s="4"/>
      <c r="F1885" s="4"/>
      <c r="G1885" s="4"/>
      <c r="H1885" s="4"/>
      <c r="I1885" s="4"/>
      <c r="J1885" s="4"/>
      <c r="K1885" s="4"/>
      <c r="L1885" s="4"/>
      <c r="M1885" s="4"/>
      <c r="N1885" s="4"/>
      <c r="O1885" s="4"/>
      <c r="P1885" s="4"/>
      <c r="Q1885" s="4"/>
    </row>
    <row r="1886" spans="1:17" x14ac:dyDescent="0.2">
      <c r="A1886" s="4"/>
      <c r="B1886" s="4"/>
      <c r="C1886" s="4"/>
      <c r="D1886" s="4"/>
      <c r="E1886" s="4"/>
      <c r="F1886" s="4"/>
      <c r="G1886" s="4"/>
      <c r="H1886" s="4"/>
      <c r="I1886" s="4"/>
      <c r="J1886" s="4"/>
      <c r="K1886" s="4"/>
      <c r="L1886" s="4"/>
      <c r="M1886" s="4"/>
      <c r="N1886" s="4"/>
      <c r="O1886" s="4"/>
      <c r="P1886" s="4"/>
      <c r="Q1886" s="4"/>
    </row>
    <row r="1887" spans="1:17" x14ac:dyDescent="0.2">
      <c r="A1887" s="4"/>
      <c r="B1887" s="4"/>
      <c r="C1887" s="4"/>
      <c r="D1887" s="4"/>
      <c r="E1887" s="4"/>
      <c r="F1887" s="4"/>
      <c r="G1887" s="4"/>
      <c r="H1887" s="4"/>
      <c r="I1887" s="4"/>
      <c r="J1887" s="4"/>
      <c r="K1887" s="4"/>
      <c r="L1887" s="4"/>
      <c r="M1887" s="4"/>
      <c r="N1887" s="4"/>
      <c r="O1887" s="4"/>
      <c r="P1887" s="4"/>
      <c r="Q1887" s="4"/>
    </row>
    <row r="1888" spans="1:17" x14ac:dyDescent="0.2">
      <c r="A1888" s="4"/>
      <c r="B1888" s="4"/>
      <c r="C1888" s="4"/>
      <c r="D1888" s="4"/>
      <c r="E1888" s="4"/>
      <c r="F1888" s="4"/>
      <c r="G1888" s="4"/>
      <c r="H1888" s="4"/>
      <c r="I1888" s="4"/>
      <c r="J1888" s="4"/>
      <c r="K1888" s="4"/>
      <c r="L1888" s="4"/>
      <c r="M1888" s="4"/>
      <c r="N1888" s="4"/>
      <c r="O1888" s="4"/>
      <c r="P1888" s="4"/>
      <c r="Q1888" s="4"/>
    </row>
    <row r="1889" spans="1:17" x14ac:dyDescent="0.2">
      <c r="A1889" s="4"/>
      <c r="B1889" s="4"/>
      <c r="C1889" s="4"/>
      <c r="D1889" s="4"/>
      <c r="E1889" s="4"/>
      <c r="F1889" s="4"/>
      <c r="G1889" s="4"/>
      <c r="H1889" s="4"/>
      <c r="I1889" s="4"/>
      <c r="J1889" s="4"/>
      <c r="K1889" s="4"/>
      <c r="L1889" s="4"/>
      <c r="M1889" s="4"/>
      <c r="N1889" s="4"/>
      <c r="O1889" s="4"/>
      <c r="P1889" s="4"/>
      <c r="Q1889" s="4"/>
    </row>
    <row r="1890" spans="1:17" x14ac:dyDescent="0.2">
      <c r="A1890" s="4"/>
      <c r="B1890" s="4"/>
      <c r="C1890" s="4"/>
      <c r="D1890" s="4"/>
      <c r="E1890" s="4"/>
      <c r="F1890" s="4"/>
      <c r="G1890" s="4"/>
      <c r="H1890" s="4"/>
      <c r="I1890" s="4"/>
      <c r="J1890" s="4"/>
      <c r="K1890" s="4"/>
      <c r="L1890" s="4"/>
      <c r="M1890" s="4"/>
      <c r="N1890" s="4"/>
      <c r="O1890" s="4"/>
      <c r="P1890" s="4"/>
      <c r="Q1890" s="4"/>
    </row>
    <row r="1891" spans="1:17" x14ac:dyDescent="0.2">
      <c r="A1891" s="4"/>
      <c r="B1891" s="4"/>
      <c r="C1891" s="4"/>
      <c r="D1891" s="4"/>
      <c r="E1891" s="4"/>
      <c r="F1891" s="4"/>
      <c r="G1891" s="4"/>
      <c r="H1891" s="4"/>
      <c r="I1891" s="4"/>
      <c r="J1891" s="4"/>
      <c r="K1891" s="4"/>
      <c r="L1891" s="4"/>
      <c r="M1891" s="4"/>
      <c r="N1891" s="4"/>
      <c r="O1891" s="4"/>
      <c r="P1891" s="4"/>
      <c r="Q1891" s="4"/>
    </row>
    <row r="1892" spans="1:17" x14ac:dyDescent="0.2">
      <c r="A1892" s="4"/>
      <c r="B1892" s="4"/>
      <c r="C1892" s="4"/>
      <c r="D1892" s="4"/>
      <c r="E1892" s="4"/>
      <c r="F1892" s="4"/>
      <c r="G1892" s="4"/>
      <c r="H1892" s="4"/>
      <c r="I1892" s="4"/>
      <c r="J1892" s="4"/>
      <c r="K1892" s="4"/>
      <c r="L1892" s="4"/>
      <c r="M1892" s="4"/>
      <c r="N1892" s="4"/>
      <c r="O1892" s="4"/>
      <c r="P1892" s="4"/>
      <c r="Q1892" s="4"/>
    </row>
    <row r="1893" spans="1:17" x14ac:dyDescent="0.2">
      <c r="A1893" s="4"/>
      <c r="B1893" s="4"/>
      <c r="C1893" s="4"/>
      <c r="D1893" s="4"/>
      <c r="E1893" s="4"/>
      <c r="F1893" s="4"/>
      <c r="G1893" s="4"/>
      <c r="H1893" s="4"/>
      <c r="I1893" s="4"/>
      <c r="J1893" s="4"/>
      <c r="K1893" s="4"/>
      <c r="L1893" s="4"/>
      <c r="M1893" s="4"/>
      <c r="N1893" s="4"/>
      <c r="O1893" s="4"/>
      <c r="P1893" s="4"/>
      <c r="Q1893" s="4"/>
    </row>
    <row r="1894" spans="1:17" x14ac:dyDescent="0.2">
      <c r="A1894" s="4"/>
      <c r="B1894" s="4"/>
      <c r="C1894" s="4"/>
      <c r="D1894" s="4"/>
      <c r="E1894" s="4"/>
      <c r="F1894" s="4"/>
      <c r="G1894" s="4"/>
      <c r="H1894" s="4"/>
      <c r="I1894" s="4"/>
      <c r="J1894" s="4"/>
      <c r="K1894" s="4"/>
      <c r="L1894" s="4"/>
      <c r="M1894" s="4"/>
      <c r="N1894" s="4"/>
      <c r="O1894" s="4"/>
      <c r="P1894" s="4"/>
      <c r="Q1894" s="4"/>
    </row>
    <row r="1895" spans="1:17" x14ac:dyDescent="0.2">
      <c r="A1895" s="4"/>
      <c r="B1895" s="4"/>
      <c r="C1895" s="4"/>
      <c r="D1895" s="4"/>
      <c r="E1895" s="4"/>
      <c r="F1895" s="4"/>
      <c r="G1895" s="4"/>
      <c r="H1895" s="4"/>
      <c r="I1895" s="4"/>
      <c r="J1895" s="4"/>
      <c r="K1895" s="4"/>
      <c r="L1895" s="4"/>
      <c r="M1895" s="4"/>
      <c r="N1895" s="4"/>
      <c r="O1895" s="4"/>
      <c r="P1895" s="4"/>
      <c r="Q1895" s="4"/>
    </row>
    <row r="1896" spans="1:17" x14ac:dyDescent="0.2">
      <c r="A1896" s="4"/>
      <c r="B1896" s="4"/>
      <c r="C1896" s="4"/>
      <c r="D1896" s="4"/>
      <c r="E1896" s="4"/>
      <c r="F1896" s="4"/>
      <c r="G1896" s="4"/>
      <c r="H1896" s="4"/>
      <c r="I1896" s="4"/>
      <c r="J1896" s="4"/>
      <c r="K1896" s="4"/>
      <c r="L1896" s="4"/>
      <c r="M1896" s="4"/>
      <c r="N1896" s="4"/>
      <c r="O1896" s="4"/>
      <c r="P1896" s="4"/>
      <c r="Q1896" s="4"/>
    </row>
    <row r="1897" spans="1:17" x14ac:dyDescent="0.2">
      <c r="A1897" s="4"/>
      <c r="B1897" s="4"/>
      <c r="C1897" s="4"/>
      <c r="D1897" s="4"/>
      <c r="E1897" s="4"/>
      <c r="F1897" s="4"/>
      <c r="G1897" s="4"/>
      <c r="H1897" s="4"/>
      <c r="I1897" s="4"/>
      <c r="J1897" s="4"/>
      <c r="K1897" s="4"/>
      <c r="L1897" s="4"/>
      <c r="M1897" s="4"/>
      <c r="N1897" s="4"/>
      <c r="O1897" s="4"/>
      <c r="P1897" s="4"/>
      <c r="Q1897" s="4"/>
    </row>
    <row r="1898" spans="1:17" x14ac:dyDescent="0.2">
      <c r="A1898" s="4"/>
      <c r="B1898" s="4"/>
      <c r="C1898" s="4"/>
      <c r="D1898" s="4"/>
      <c r="E1898" s="4"/>
      <c r="F1898" s="4"/>
      <c r="G1898" s="4"/>
      <c r="H1898" s="4"/>
      <c r="I1898" s="4"/>
      <c r="J1898" s="4"/>
      <c r="K1898" s="4"/>
      <c r="L1898" s="4"/>
      <c r="M1898" s="4"/>
      <c r="N1898" s="4"/>
      <c r="O1898" s="4"/>
      <c r="P1898" s="4"/>
      <c r="Q1898" s="4"/>
    </row>
    <row r="1899" spans="1:17" x14ac:dyDescent="0.2">
      <c r="A1899" s="4"/>
      <c r="B1899" s="4"/>
      <c r="C1899" s="4"/>
      <c r="D1899" s="4"/>
      <c r="E1899" s="4"/>
      <c r="F1899" s="4"/>
      <c r="G1899" s="4"/>
      <c r="H1899" s="4"/>
      <c r="I1899" s="4"/>
      <c r="J1899" s="4"/>
      <c r="K1899" s="4"/>
      <c r="L1899" s="4"/>
      <c r="M1899" s="4"/>
      <c r="N1899" s="4"/>
      <c r="O1899" s="4"/>
      <c r="P1899" s="4"/>
      <c r="Q1899" s="4"/>
    </row>
    <row r="1900" spans="1:17" x14ac:dyDescent="0.2">
      <c r="A1900" s="4"/>
      <c r="B1900" s="4"/>
      <c r="C1900" s="4"/>
      <c r="D1900" s="4"/>
      <c r="E1900" s="4"/>
      <c r="F1900" s="4"/>
      <c r="G1900" s="4"/>
      <c r="H1900" s="4"/>
      <c r="I1900" s="4"/>
      <c r="J1900" s="4"/>
      <c r="K1900" s="4"/>
      <c r="L1900" s="4"/>
      <c r="M1900" s="4"/>
      <c r="N1900" s="4"/>
      <c r="O1900" s="4"/>
      <c r="P1900" s="4"/>
      <c r="Q1900" s="4"/>
    </row>
    <row r="1901" spans="1:17" x14ac:dyDescent="0.2">
      <c r="A1901" s="4"/>
      <c r="B1901" s="4"/>
      <c r="C1901" s="4"/>
      <c r="D1901" s="4"/>
      <c r="E1901" s="4"/>
      <c r="F1901" s="4"/>
      <c r="G1901" s="4"/>
      <c r="H1901" s="4"/>
      <c r="I1901" s="4"/>
      <c r="J1901" s="4"/>
      <c r="K1901" s="4"/>
      <c r="L1901" s="4"/>
      <c r="M1901" s="4"/>
      <c r="N1901" s="4"/>
      <c r="O1901" s="4"/>
      <c r="P1901" s="4"/>
      <c r="Q1901" s="4"/>
    </row>
    <row r="1902" spans="1:17" x14ac:dyDescent="0.2">
      <c r="A1902" s="4"/>
      <c r="B1902" s="4"/>
      <c r="C1902" s="4"/>
      <c r="D1902" s="4"/>
      <c r="E1902" s="4"/>
      <c r="F1902" s="4"/>
      <c r="G1902" s="4"/>
      <c r="H1902" s="4"/>
      <c r="I1902" s="4"/>
      <c r="J1902" s="4"/>
      <c r="K1902" s="4"/>
      <c r="L1902" s="4"/>
      <c r="M1902" s="4"/>
      <c r="N1902" s="4"/>
      <c r="O1902" s="4"/>
      <c r="P1902" s="4"/>
      <c r="Q1902" s="4"/>
    </row>
    <row r="1903" spans="1:17" x14ac:dyDescent="0.2">
      <c r="A1903" s="4"/>
      <c r="B1903" s="4"/>
      <c r="C1903" s="4"/>
      <c r="D1903" s="4"/>
      <c r="E1903" s="4"/>
      <c r="F1903" s="4"/>
      <c r="G1903" s="4"/>
      <c r="H1903" s="4"/>
      <c r="I1903" s="4"/>
      <c r="J1903" s="4"/>
      <c r="K1903" s="4"/>
      <c r="L1903" s="4"/>
      <c r="M1903" s="4"/>
      <c r="N1903" s="4"/>
      <c r="O1903" s="4"/>
      <c r="P1903" s="4"/>
      <c r="Q1903" s="4"/>
    </row>
    <row r="1904" spans="1:17" x14ac:dyDescent="0.2">
      <c r="A1904" s="4"/>
      <c r="B1904" s="4"/>
      <c r="C1904" s="4"/>
      <c r="D1904" s="4"/>
      <c r="E1904" s="4"/>
      <c r="F1904" s="4"/>
      <c r="G1904" s="4"/>
      <c r="H1904" s="4"/>
      <c r="I1904" s="4"/>
      <c r="J1904" s="4"/>
      <c r="K1904" s="4"/>
      <c r="L1904" s="4"/>
      <c r="M1904" s="4"/>
      <c r="N1904" s="4"/>
      <c r="O1904" s="4"/>
      <c r="P1904" s="4"/>
      <c r="Q1904" s="4"/>
    </row>
    <row r="1905" spans="1:17" x14ac:dyDescent="0.2">
      <c r="A1905" s="4"/>
      <c r="B1905" s="4"/>
      <c r="C1905" s="4"/>
      <c r="D1905" s="4"/>
      <c r="E1905" s="4"/>
      <c r="F1905" s="4"/>
      <c r="G1905" s="4"/>
      <c r="H1905" s="4"/>
      <c r="I1905" s="4"/>
      <c r="J1905" s="4"/>
      <c r="K1905" s="4"/>
      <c r="L1905" s="4"/>
      <c r="M1905" s="4"/>
      <c r="N1905" s="4"/>
      <c r="O1905" s="4"/>
      <c r="P1905" s="4"/>
      <c r="Q1905" s="4"/>
    </row>
    <row r="1906" spans="1:17" x14ac:dyDescent="0.2">
      <c r="A1906" s="4"/>
      <c r="B1906" s="4"/>
      <c r="C1906" s="4"/>
      <c r="D1906" s="4"/>
      <c r="E1906" s="4"/>
      <c r="F1906" s="4"/>
      <c r="G1906" s="4"/>
      <c r="H1906" s="4"/>
      <c r="I1906" s="4"/>
      <c r="J1906" s="4"/>
      <c r="K1906" s="4"/>
      <c r="L1906" s="4"/>
      <c r="M1906" s="4"/>
      <c r="N1906" s="4"/>
      <c r="O1906" s="4"/>
      <c r="P1906" s="4"/>
      <c r="Q1906" s="4"/>
    </row>
    <row r="1907" spans="1:17" x14ac:dyDescent="0.2">
      <c r="A1907" s="4"/>
      <c r="B1907" s="4"/>
      <c r="C1907" s="4"/>
      <c r="D1907" s="4"/>
      <c r="E1907" s="4"/>
      <c r="F1907" s="4"/>
      <c r="G1907" s="4"/>
      <c r="H1907" s="4"/>
      <c r="I1907" s="4"/>
      <c r="J1907" s="4"/>
      <c r="K1907" s="4"/>
      <c r="L1907" s="4"/>
      <c r="M1907" s="4"/>
      <c r="N1907" s="4"/>
      <c r="O1907" s="4"/>
      <c r="P1907" s="4"/>
      <c r="Q1907" s="4"/>
    </row>
    <row r="1908" spans="1:17" x14ac:dyDescent="0.2">
      <c r="A1908" s="4"/>
      <c r="B1908" s="4"/>
      <c r="C1908" s="4"/>
      <c r="D1908" s="4"/>
      <c r="E1908" s="4"/>
      <c r="F1908" s="4"/>
      <c r="G1908" s="4"/>
      <c r="H1908" s="4"/>
      <c r="I1908" s="4"/>
      <c r="J1908" s="4"/>
      <c r="K1908" s="4"/>
      <c r="L1908" s="4"/>
      <c r="M1908" s="4"/>
      <c r="N1908" s="4"/>
      <c r="O1908" s="4"/>
      <c r="P1908" s="4"/>
      <c r="Q1908" s="4"/>
    </row>
    <row r="1909" spans="1:17" x14ac:dyDescent="0.2">
      <c r="A1909" s="4"/>
      <c r="B1909" s="4"/>
      <c r="C1909" s="4"/>
      <c r="D1909" s="4"/>
      <c r="E1909" s="4"/>
      <c r="F1909" s="4"/>
      <c r="G1909" s="4"/>
      <c r="H1909" s="4"/>
      <c r="I1909" s="4"/>
      <c r="J1909" s="4"/>
      <c r="K1909" s="4"/>
      <c r="L1909" s="4"/>
      <c r="M1909" s="4"/>
      <c r="N1909" s="4"/>
      <c r="O1909" s="4"/>
      <c r="P1909" s="4"/>
      <c r="Q1909" s="4"/>
    </row>
    <row r="1910" spans="1:17" x14ac:dyDescent="0.2">
      <c r="A1910" s="4"/>
      <c r="B1910" s="4"/>
      <c r="C1910" s="4"/>
      <c r="D1910" s="4"/>
      <c r="E1910" s="4"/>
      <c r="F1910" s="4"/>
      <c r="G1910" s="4"/>
      <c r="H1910" s="4"/>
      <c r="I1910" s="4"/>
      <c r="J1910" s="4"/>
      <c r="K1910" s="4"/>
      <c r="L1910" s="4"/>
      <c r="M1910" s="4"/>
      <c r="N1910" s="4"/>
      <c r="O1910" s="4"/>
      <c r="P1910" s="4"/>
      <c r="Q1910" s="4"/>
    </row>
    <row r="1911" spans="1:17" x14ac:dyDescent="0.2">
      <c r="A1911" s="4"/>
      <c r="B1911" s="4"/>
      <c r="C1911" s="4"/>
      <c r="D1911" s="4"/>
      <c r="E1911" s="4"/>
      <c r="F1911" s="4"/>
      <c r="G1911" s="4"/>
      <c r="H1911" s="4"/>
      <c r="I1911" s="4"/>
      <c r="J1911" s="4"/>
      <c r="K1911" s="4"/>
      <c r="L1911" s="4"/>
      <c r="M1911" s="4"/>
      <c r="N1911" s="4"/>
      <c r="O1911" s="4"/>
      <c r="P1911" s="4"/>
      <c r="Q1911" s="4"/>
    </row>
    <row r="1912" spans="1:17" x14ac:dyDescent="0.2">
      <c r="A1912" s="4"/>
      <c r="B1912" s="4"/>
      <c r="C1912" s="4"/>
      <c r="D1912" s="4"/>
      <c r="E1912" s="4"/>
      <c r="F1912" s="4"/>
      <c r="G1912" s="4"/>
      <c r="H1912" s="4"/>
      <c r="I1912" s="4"/>
      <c r="J1912" s="4"/>
      <c r="K1912" s="4"/>
      <c r="L1912" s="4"/>
      <c r="M1912" s="4"/>
      <c r="N1912" s="4"/>
      <c r="O1912" s="4"/>
      <c r="P1912" s="4"/>
      <c r="Q1912" s="4"/>
    </row>
    <row r="1913" spans="1:17" x14ac:dyDescent="0.2">
      <c r="A1913" s="4"/>
      <c r="B1913" s="4"/>
      <c r="C1913" s="4"/>
      <c r="D1913" s="4"/>
      <c r="E1913" s="4"/>
      <c r="F1913" s="4"/>
      <c r="G1913" s="4"/>
      <c r="H1913" s="4"/>
      <c r="I1913" s="4"/>
      <c r="J1913" s="4"/>
      <c r="K1913" s="4"/>
      <c r="L1913" s="4"/>
      <c r="M1913" s="4"/>
      <c r="N1913" s="4"/>
      <c r="O1913" s="4"/>
      <c r="P1913" s="4"/>
      <c r="Q1913" s="4"/>
    </row>
    <row r="1914" spans="1:17" x14ac:dyDescent="0.2">
      <c r="A1914" s="4"/>
      <c r="B1914" s="4"/>
      <c r="C1914" s="4"/>
      <c r="D1914" s="4"/>
      <c r="E1914" s="4"/>
      <c r="F1914" s="4"/>
      <c r="G1914" s="4"/>
      <c r="H1914" s="4"/>
      <c r="I1914" s="4"/>
      <c r="J1914" s="4"/>
      <c r="K1914" s="4"/>
      <c r="L1914" s="4"/>
      <c r="M1914" s="4"/>
      <c r="N1914" s="4"/>
      <c r="O1914" s="4"/>
      <c r="P1914" s="4"/>
      <c r="Q1914" s="4"/>
    </row>
    <row r="1915" spans="1:17" x14ac:dyDescent="0.2">
      <c r="A1915" s="4"/>
      <c r="B1915" s="4"/>
      <c r="C1915" s="4"/>
      <c r="D1915" s="4"/>
      <c r="E1915" s="4"/>
      <c r="F1915" s="4"/>
      <c r="G1915" s="4"/>
      <c r="H1915" s="4"/>
      <c r="I1915" s="4"/>
      <c r="J1915" s="4"/>
      <c r="K1915" s="4"/>
      <c r="L1915" s="4"/>
      <c r="M1915" s="4"/>
      <c r="N1915" s="4"/>
      <c r="O1915" s="4"/>
      <c r="P1915" s="4"/>
      <c r="Q1915" s="4"/>
    </row>
    <row r="1916" spans="1:17" x14ac:dyDescent="0.2">
      <c r="A1916" s="4"/>
      <c r="B1916" s="4"/>
      <c r="C1916" s="4"/>
      <c r="D1916" s="4"/>
      <c r="E1916" s="4"/>
      <c r="F1916" s="4"/>
      <c r="G1916" s="4"/>
      <c r="H1916" s="4"/>
      <c r="I1916" s="4"/>
      <c r="J1916" s="4"/>
      <c r="K1916" s="4"/>
      <c r="L1916" s="4"/>
      <c r="M1916" s="4"/>
      <c r="N1916" s="4"/>
      <c r="O1916" s="4"/>
      <c r="P1916" s="4"/>
      <c r="Q1916" s="4"/>
    </row>
    <row r="1917" spans="1:17" x14ac:dyDescent="0.2">
      <c r="A1917" s="4"/>
      <c r="B1917" s="4"/>
      <c r="C1917" s="4"/>
      <c r="D1917" s="4"/>
      <c r="E1917" s="4"/>
      <c r="F1917" s="4"/>
      <c r="G1917" s="4"/>
      <c r="H1917" s="4"/>
      <c r="I1917" s="4"/>
      <c r="J1917" s="4"/>
      <c r="K1917" s="4"/>
      <c r="L1917" s="4"/>
      <c r="M1917" s="4"/>
      <c r="N1917" s="4"/>
      <c r="O1917" s="4"/>
      <c r="P1917" s="4"/>
      <c r="Q1917" s="4"/>
    </row>
    <row r="1918" spans="1:17" x14ac:dyDescent="0.2">
      <c r="A1918" s="4"/>
      <c r="B1918" s="4"/>
      <c r="C1918" s="4"/>
      <c r="D1918" s="4"/>
      <c r="E1918" s="4"/>
      <c r="F1918" s="4"/>
      <c r="G1918" s="4"/>
      <c r="H1918" s="4"/>
      <c r="I1918" s="4"/>
      <c r="J1918" s="4"/>
      <c r="K1918" s="4"/>
      <c r="L1918" s="4"/>
      <c r="M1918" s="4"/>
      <c r="N1918" s="4"/>
      <c r="O1918" s="4"/>
      <c r="P1918" s="4"/>
      <c r="Q1918" s="4"/>
    </row>
    <row r="1919" spans="1:17" x14ac:dyDescent="0.2">
      <c r="A1919" s="4"/>
      <c r="B1919" s="4"/>
      <c r="C1919" s="4"/>
      <c r="D1919" s="4"/>
      <c r="E1919" s="4"/>
      <c r="F1919" s="4"/>
      <c r="G1919" s="4"/>
      <c r="H1919" s="4"/>
      <c r="I1919" s="4"/>
      <c r="J1919" s="4"/>
      <c r="K1919" s="4"/>
      <c r="L1919" s="4"/>
      <c r="M1919" s="4"/>
      <c r="N1919" s="4"/>
      <c r="O1919" s="4"/>
      <c r="P1919" s="4"/>
      <c r="Q1919" s="4"/>
    </row>
    <row r="1920" spans="1:17" x14ac:dyDescent="0.2">
      <c r="A1920" s="4"/>
      <c r="B1920" s="4"/>
      <c r="C1920" s="4"/>
      <c r="D1920" s="4"/>
      <c r="E1920" s="4"/>
      <c r="F1920" s="4"/>
      <c r="G1920" s="4"/>
      <c r="H1920" s="4"/>
      <c r="I1920" s="4"/>
      <c r="J1920" s="4"/>
      <c r="K1920" s="4"/>
      <c r="L1920" s="4"/>
      <c r="M1920" s="4"/>
      <c r="N1920" s="4"/>
      <c r="O1920" s="4"/>
      <c r="P1920" s="4"/>
      <c r="Q1920" s="4"/>
    </row>
    <row r="1921" spans="5:12" x14ac:dyDescent="0.2">
      <c r="E1921" s="4"/>
      <c r="F1921"/>
      <c r="L1921"/>
    </row>
    <row r="1922" spans="5:12" x14ac:dyDescent="0.2">
      <c r="E1922" s="4"/>
      <c r="F1922"/>
      <c r="L1922"/>
    </row>
    <row r="1923" spans="5:12" x14ac:dyDescent="0.2">
      <c r="E1923" s="4"/>
      <c r="F1923"/>
      <c r="L1923"/>
    </row>
    <row r="1924" spans="5:12" x14ac:dyDescent="0.2">
      <c r="E1924" s="4"/>
      <c r="F1924"/>
      <c r="L1924"/>
    </row>
    <row r="1925" spans="5:12" x14ac:dyDescent="0.2">
      <c r="E1925" s="4"/>
      <c r="F1925"/>
      <c r="L1925"/>
    </row>
    <row r="1926" spans="5:12" x14ac:dyDescent="0.2">
      <c r="E1926" s="4"/>
      <c r="F1926"/>
      <c r="L1926"/>
    </row>
    <row r="1927" spans="5:12" x14ac:dyDescent="0.2">
      <c r="E1927" s="4"/>
      <c r="F1927"/>
      <c r="L1927"/>
    </row>
    <row r="1928" spans="5:12" x14ac:dyDescent="0.2">
      <c r="E1928" s="4"/>
      <c r="F1928"/>
      <c r="L1928"/>
    </row>
    <row r="1929" spans="5:12" x14ac:dyDescent="0.2">
      <c r="E1929" s="4"/>
      <c r="F1929"/>
      <c r="L1929"/>
    </row>
    <row r="1930" spans="5:12" x14ac:dyDescent="0.2">
      <c r="E1930" s="4"/>
      <c r="F1930"/>
      <c r="L1930"/>
    </row>
    <row r="1931" spans="5:12" x14ac:dyDescent="0.2">
      <c r="E1931" s="4"/>
      <c r="F1931"/>
      <c r="L1931"/>
    </row>
    <row r="1932" spans="5:12" x14ac:dyDescent="0.2">
      <c r="E1932" s="4"/>
      <c r="F1932"/>
      <c r="L1932"/>
    </row>
    <row r="1933" spans="5:12" x14ac:dyDescent="0.2">
      <c r="E1933" s="4"/>
      <c r="F1933"/>
      <c r="L1933"/>
    </row>
    <row r="1934" spans="5:12" x14ac:dyDescent="0.2">
      <c r="E1934" s="4"/>
      <c r="F1934"/>
      <c r="L1934"/>
    </row>
    <row r="1935" spans="5:12" x14ac:dyDescent="0.2">
      <c r="E1935" s="4"/>
      <c r="F1935"/>
      <c r="L1935"/>
    </row>
    <row r="1936" spans="5:12" x14ac:dyDescent="0.2">
      <c r="E1936" s="4"/>
      <c r="F1936"/>
      <c r="L1936"/>
    </row>
    <row r="1937" spans="5:16" x14ac:dyDescent="0.2">
      <c r="E1937" s="4"/>
      <c r="F1937"/>
      <c r="L1937"/>
    </row>
    <row r="1938" spans="5:16" x14ac:dyDescent="0.2">
      <c r="E1938" s="4"/>
      <c r="F1938"/>
      <c r="L1938"/>
    </row>
    <row r="1939" spans="5:16" x14ac:dyDescent="0.2">
      <c r="E1939" s="4"/>
      <c r="F1939"/>
      <c r="L1939"/>
    </row>
    <row r="1940" spans="5:16" x14ac:dyDescent="0.2">
      <c r="E1940" s="4"/>
      <c r="F1940"/>
      <c r="L1940"/>
    </row>
    <row r="1941" spans="5:16" x14ac:dyDescent="0.2">
      <c r="F1941"/>
      <c r="L1941"/>
    </row>
    <row r="1942" spans="5:16" x14ac:dyDescent="0.2">
      <c r="F1942"/>
      <c r="L1942"/>
    </row>
    <row r="1943" spans="5:16" x14ac:dyDescent="0.2">
      <c r="F1943"/>
      <c r="L1943"/>
    </row>
    <row r="1944" spans="5:16" x14ac:dyDescent="0.2">
      <c r="F1944"/>
      <c r="J1944" s="1"/>
      <c r="L1944"/>
    </row>
    <row r="1945" spans="5:16" x14ac:dyDescent="0.2">
      <c r="F1945"/>
      <c r="L1945"/>
    </row>
    <row r="1946" spans="5:16" x14ac:dyDescent="0.2">
      <c r="F1946"/>
      <c r="L1946"/>
    </row>
    <row r="1947" spans="5:16" x14ac:dyDescent="0.2">
      <c r="F1947"/>
      <c r="L1947"/>
    </row>
    <row r="1948" spans="5:16" x14ac:dyDescent="0.2">
      <c r="F1948"/>
      <c r="L1948"/>
    </row>
    <row r="1949" spans="5:16" x14ac:dyDescent="0.2">
      <c r="F1949"/>
      <c r="L1949"/>
    </row>
    <row r="1950" spans="5:16" x14ac:dyDescent="0.2">
      <c r="F1950"/>
      <c r="L1950"/>
    </row>
    <row r="1951" spans="5:16" x14ac:dyDescent="0.2">
      <c r="F1951"/>
      <c r="L1951"/>
    </row>
    <row r="1952" spans="5:16" x14ac:dyDescent="0.2">
      <c r="F1952"/>
      <c r="L1952"/>
      <c r="P1952" s="1"/>
    </row>
    <row r="1953" spans="6:12" x14ac:dyDescent="0.2">
      <c r="F1953"/>
      <c r="L1953"/>
    </row>
    <row r="1954" spans="6:12" x14ac:dyDescent="0.2">
      <c r="F1954"/>
      <c r="L1954"/>
    </row>
    <row r="1955" spans="6:12" x14ac:dyDescent="0.2">
      <c r="F1955"/>
      <c r="L1955"/>
    </row>
    <row r="1956" spans="6:12" x14ac:dyDescent="0.2">
      <c r="F1956"/>
      <c r="L1956"/>
    </row>
    <row r="1957" spans="6:12" x14ac:dyDescent="0.2">
      <c r="F1957"/>
      <c r="L1957"/>
    </row>
    <row r="1958" spans="6:12" x14ac:dyDescent="0.2">
      <c r="F1958"/>
      <c r="L1958"/>
    </row>
    <row r="1959" spans="6:12" x14ac:dyDescent="0.2">
      <c r="F1959"/>
      <c r="L1959"/>
    </row>
    <row r="1960" spans="6:12" x14ac:dyDescent="0.2">
      <c r="F1960"/>
      <c r="L1960"/>
    </row>
    <row r="1961" spans="6:12" x14ac:dyDescent="0.2">
      <c r="F1961"/>
      <c r="L1961"/>
    </row>
    <row r="1962" spans="6:12" x14ac:dyDescent="0.2">
      <c r="F1962"/>
      <c r="L1962"/>
    </row>
    <row r="1963" spans="6:12" x14ac:dyDescent="0.2">
      <c r="F1963"/>
      <c r="L1963"/>
    </row>
    <row r="1964" spans="6:12" x14ac:dyDescent="0.2">
      <c r="F1964"/>
      <c r="L1964"/>
    </row>
    <row r="1965" spans="6:12" x14ac:dyDescent="0.2">
      <c r="F1965"/>
      <c r="L1965"/>
    </row>
    <row r="1966" spans="6:12" x14ac:dyDescent="0.2">
      <c r="F1966"/>
      <c r="L1966"/>
    </row>
    <row r="1967" spans="6:12" x14ac:dyDescent="0.2">
      <c r="F1967"/>
      <c r="L1967"/>
    </row>
    <row r="1968" spans="6:12" x14ac:dyDescent="0.2">
      <c r="F1968"/>
      <c r="L1968"/>
    </row>
    <row r="1969" spans="6:12" x14ac:dyDescent="0.2">
      <c r="F1969"/>
      <c r="L1969"/>
    </row>
    <row r="1970" spans="6:12" x14ac:dyDescent="0.2">
      <c r="F1970"/>
      <c r="L1970"/>
    </row>
    <row r="1971" spans="6:12" x14ac:dyDescent="0.2">
      <c r="F1971"/>
      <c r="L1971"/>
    </row>
    <row r="1972" spans="6:12" x14ac:dyDescent="0.2">
      <c r="F1972"/>
      <c r="L1972"/>
    </row>
    <row r="1973" spans="6:12" x14ac:dyDescent="0.2">
      <c r="F1973"/>
      <c r="L1973"/>
    </row>
    <row r="1974" spans="6:12" x14ac:dyDescent="0.2">
      <c r="F1974"/>
      <c r="L1974"/>
    </row>
    <row r="1975" spans="6:12" x14ac:dyDescent="0.2">
      <c r="F1975"/>
      <c r="L1975"/>
    </row>
    <row r="1976" spans="6:12" x14ac:dyDescent="0.2">
      <c r="F1976"/>
      <c r="L1976"/>
    </row>
    <row r="1977" spans="6:12" x14ac:dyDescent="0.2">
      <c r="F1977"/>
      <c r="L1977"/>
    </row>
    <row r="1978" spans="6:12" x14ac:dyDescent="0.2">
      <c r="F1978"/>
      <c r="L1978"/>
    </row>
    <row r="1979" spans="6:12" x14ac:dyDescent="0.2">
      <c r="F1979"/>
      <c r="L1979"/>
    </row>
    <row r="1980" spans="6:12" x14ac:dyDescent="0.2">
      <c r="F1980"/>
      <c r="L1980"/>
    </row>
    <row r="1981" spans="6:12" x14ac:dyDescent="0.2">
      <c r="F1981"/>
      <c r="L1981"/>
    </row>
    <row r="1982" spans="6:12" x14ac:dyDescent="0.2">
      <c r="F1982"/>
      <c r="L1982"/>
    </row>
    <row r="1983" spans="6:12" x14ac:dyDescent="0.2">
      <c r="F1983"/>
      <c r="L1983"/>
    </row>
    <row r="1984" spans="6:12" x14ac:dyDescent="0.2">
      <c r="F1984"/>
      <c r="L1984"/>
    </row>
    <row r="1985" spans="6:12" x14ac:dyDescent="0.2">
      <c r="F1985"/>
      <c r="L1985"/>
    </row>
    <row r="1986" spans="6:12" x14ac:dyDescent="0.2">
      <c r="F1986"/>
      <c r="L1986"/>
    </row>
    <row r="1987" spans="6:12" x14ac:dyDescent="0.2">
      <c r="F1987"/>
      <c r="L1987"/>
    </row>
    <row r="1988" spans="6:12" x14ac:dyDescent="0.2">
      <c r="F1988"/>
      <c r="L1988"/>
    </row>
    <row r="1989" spans="6:12" x14ac:dyDescent="0.2">
      <c r="F1989"/>
      <c r="L1989"/>
    </row>
    <row r="1990" spans="6:12" x14ac:dyDescent="0.2">
      <c r="F1990"/>
      <c r="L1990"/>
    </row>
    <row r="1991" spans="6:12" x14ac:dyDescent="0.2">
      <c r="F1991"/>
      <c r="L1991"/>
    </row>
    <row r="1992" spans="6:12" x14ac:dyDescent="0.2">
      <c r="F1992"/>
      <c r="L1992"/>
    </row>
    <row r="1993" spans="6:12" x14ac:dyDescent="0.2">
      <c r="F1993"/>
      <c r="L1993"/>
    </row>
    <row r="1994" spans="6:12" x14ac:dyDescent="0.2">
      <c r="F1994"/>
      <c r="L1994"/>
    </row>
    <row r="1995" spans="6:12" x14ac:dyDescent="0.2">
      <c r="F1995"/>
      <c r="L1995"/>
    </row>
    <row r="1996" spans="6:12" x14ac:dyDescent="0.2">
      <c r="F1996"/>
      <c r="L1996"/>
    </row>
    <row r="1997" spans="6:12" x14ac:dyDescent="0.2">
      <c r="F1997"/>
      <c r="L1997"/>
    </row>
    <row r="1998" spans="6:12" x14ac:dyDescent="0.2">
      <c r="F1998"/>
      <c r="L1998"/>
    </row>
    <row r="1999" spans="6:12" x14ac:dyDescent="0.2">
      <c r="F1999"/>
      <c r="L1999"/>
    </row>
    <row r="2000" spans="6:12" x14ac:dyDescent="0.2">
      <c r="F2000"/>
      <c r="L2000"/>
    </row>
    <row r="2001" spans="6:12" x14ac:dyDescent="0.2">
      <c r="F2001"/>
      <c r="L2001"/>
    </row>
    <row r="2002" spans="6:12" x14ac:dyDescent="0.2">
      <c r="F2002"/>
      <c r="L2002"/>
    </row>
    <row r="2003" spans="6:12" x14ac:dyDescent="0.2">
      <c r="F2003"/>
      <c r="L2003"/>
    </row>
    <row r="2004" spans="6:12" x14ac:dyDescent="0.2">
      <c r="F2004"/>
      <c r="L2004"/>
    </row>
    <row r="2005" spans="6:12" x14ac:dyDescent="0.2">
      <c r="F2005"/>
      <c r="L2005"/>
    </row>
    <row r="2006" spans="6:12" x14ac:dyDescent="0.2">
      <c r="F2006"/>
      <c r="L2006"/>
    </row>
    <row r="2007" spans="6:12" x14ac:dyDescent="0.2">
      <c r="F2007"/>
      <c r="L2007"/>
    </row>
    <row r="2008" spans="6:12" x14ac:dyDescent="0.2">
      <c r="F2008"/>
      <c r="L2008"/>
    </row>
    <row r="2009" spans="6:12" x14ac:dyDescent="0.2">
      <c r="F2009"/>
      <c r="L2009"/>
    </row>
    <row r="2010" spans="6:12" x14ac:dyDescent="0.2">
      <c r="F2010"/>
      <c r="L2010"/>
    </row>
    <row r="2011" spans="6:12" x14ac:dyDescent="0.2">
      <c r="F2011"/>
      <c r="L2011"/>
    </row>
    <row r="2012" spans="6:12" x14ac:dyDescent="0.2">
      <c r="F2012"/>
      <c r="L2012"/>
    </row>
    <row r="2013" spans="6:12" x14ac:dyDescent="0.2">
      <c r="F2013"/>
      <c r="L2013"/>
    </row>
    <row r="2014" spans="6:12" x14ac:dyDescent="0.2">
      <c r="F2014"/>
      <c r="L2014"/>
    </row>
    <row r="2015" spans="6:12" x14ac:dyDescent="0.2">
      <c r="F2015"/>
      <c r="L2015"/>
    </row>
    <row r="2016" spans="6:12" x14ac:dyDescent="0.2">
      <c r="F2016"/>
      <c r="L2016"/>
    </row>
    <row r="2017" spans="6:16" x14ac:dyDescent="0.2">
      <c r="F2017"/>
      <c r="L2017"/>
    </row>
    <row r="2018" spans="6:16" x14ac:dyDescent="0.2">
      <c r="F2018"/>
      <c r="L2018"/>
    </row>
    <row r="2019" spans="6:16" x14ac:dyDescent="0.2">
      <c r="F2019"/>
      <c r="L2019"/>
    </row>
    <row r="2020" spans="6:16" x14ac:dyDescent="0.2">
      <c r="F2020"/>
      <c r="L2020"/>
    </row>
    <row r="2021" spans="6:16" x14ac:dyDescent="0.2">
      <c r="F2021"/>
      <c r="L2021"/>
    </row>
    <row r="2022" spans="6:16" x14ac:dyDescent="0.2">
      <c r="F2022"/>
      <c r="L2022"/>
    </row>
    <row r="2023" spans="6:16" x14ac:dyDescent="0.2">
      <c r="F2023"/>
      <c r="L2023"/>
    </row>
    <row r="2024" spans="6:16" x14ac:dyDescent="0.2">
      <c r="F2024"/>
      <c r="L2024"/>
    </row>
    <row r="2025" spans="6:16" x14ac:dyDescent="0.2">
      <c r="F2025"/>
      <c r="L2025"/>
    </row>
    <row r="2026" spans="6:16" x14ac:dyDescent="0.2">
      <c r="F2026"/>
      <c r="L2026"/>
    </row>
    <row r="2027" spans="6:16" x14ac:dyDescent="0.2">
      <c r="F2027"/>
      <c r="L2027"/>
    </row>
    <row r="2028" spans="6:16" x14ac:dyDescent="0.2">
      <c r="F2028"/>
      <c r="L2028"/>
    </row>
    <row r="2029" spans="6:16" x14ac:dyDescent="0.2">
      <c r="F2029"/>
      <c r="L2029"/>
    </row>
    <row r="2030" spans="6:16" x14ac:dyDescent="0.2">
      <c r="F2030"/>
      <c r="L2030"/>
      <c r="P2030" s="1"/>
    </row>
    <row r="2031" spans="6:16" x14ac:dyDescent="0.2">
      <c r="F2031"/>
      <c r="L2031"/>
      <c r="P2031" s="1"/>
    </row>
    <row r="2032" spans="6:16" x14ac:dyDescent="0.2">
      <c r="F2032"/>
      <c r="L2032"/>
    </row>
    <row r="2033" spans="6:16" x14ac:dyDescent="0.2">
      <c r="F2033"/>
      <c r="L2033"/>
      <c r="P2033" s="1"/>
    </row>
    <row r="2034" spans="6:16" x14ac:dyDescent="0.2">
      <c r="F2034"/>
      <c r="L2034"/>
      <c r="P2034" s="1"/>
    </row>
    <row r="2035" spans="6:16" x14ac:dyDescent="0.2">
      <c r="F2035"/>
      <c r="L2035"/>
    </row>
    <row r="2036" spans="6:16" x14ac:dyDescent="0.2">
      <c r="F2036"/>
      <c r="L2036"/>
      <c r="P2036" s="1"/>
    </row>
    <row r="2037" spans="6:16" x14ac:dyDescent="0.2">
      <c r="F2037"/>
      <c r="L2037"/>
      <c r="P2037" s="1"/>
    </row>
    <row r="2038" spans="6:16" x14ac:dyDescent="0.2">
      <c r="F2038"/>
      <c r="L2038"/>
    </row>
    <row r="2039" spans="6:16" x14ac:dyDescent="0.2">
      <c r="F2039"/>
      <c r="L2039"/>
    </row>
    <row r="2040" spans="6:16" x14ac:dyDescent="0.2">
      <c r="F2040"/>
      <c r="L2040"/>
      <c r="P2040" s="1"/>
    </row>
    <row r="2041" spans="6:16" x14ac:dyDescent="0.2">
      <c r="F2041"/>
      <c r="L2041"/>
      <c r="P2041" s="1"/>
    </row>
    <row r="2042" spans="6:16" x14ac:dyDescent="0.2">
      <c r="F2042"/>
      <c r="L2042"/>
    </row>
    <row r="2043" spans="6:16" x14ac:dyDescent="0.2">
      <c r="F2043"/>
      <c r="L2043"/>
      <c r="P2043" s="1"/>
    </row>
    <row r="2044" spans="6:16" x14ac:dyDescent="0.2">
      <c r="F2044"/>
      <c r="L2044"/>
      <c r="P2044" s="1"/>
    </row>
    <row r="2045" spans="6:16" x14ac:dyDescent="0.2">
      <c r="F2045"/>
      <c r="L2045"/>
      <c r="P2045" s="1"/>
    </row>
    <row r="2046" spans="6:16" x14ac:dyDescent="0.2">
      <c r="F2046"/>
      <c r="L2046"/>
    </row>
    <row r="2047" spans="6:16" x14ac:dyDescent="0.2">
      <c r="F2047"/>
      <c r="L2047"/>
      <c r="P2047" s="1"/>
    </row>
    <row r="2048" spans="6:16" x14ac:dyDescent="0.2">
      <c r="F2048"/>
      <c r="L2048"/>
    </row>
    <row r="2049" spans="6:16" x14ac:dyDescent="0.2">
      <c r="F2049"/>
      <c r="L2049"/>
      <c r="P2049" s="1"/>
    </row>
    <row r="2050" spans="6:16" x14ac:dyDescent="0.2">
      <c r="F2050"/>
      <c r="L2050"/>
    </row>
    <row r="2051" spans="6:16" x14ac:dyDescent="0.2">
      <c r="F2051"/>
      <c r="L2051"/>
      <c r="P2051" s="1"/>
    </row>
    <row r="2052" spans="6:16" x14ac:dyDescent="0.2">
      <c r="F2052"/>
      <c r="L2052"/>
      <c r="P2052" s="1"/>
    </row>
    <row r="2053" spans="6:16" x14ac:dyDescent="0.2">
      <c r="F2053"/>
      <c r="L2053"/>
    </row>
    <row r="2054" spans="6:16" x14ac:dyDescent="0.2">
      <c r="F2054"/>
      <c r="L2054"/>
    </row>
    <row r="2055" spans="6:16" x14ac:dyDescent="0.2">
      <c r="F2055"/>
      <c r="L2055"/>
      <c r="P2055" s="1"/>
    </row>
    <row r="2056" spans="6:16" x14ac:dyDescent="0.2">
      <c r="F2056"/>
      <c r="L2056"/>
      <c r="P2056" s="1"/>
    </row>
    <row r="2057" spans="6:16" x14ac:dyDescent="0.2">
      <c r="F2057"/>
      <c r="L2057"/>
      <c r="P2057" s="1"/>
    </row>
    <row r="2058" spans="6:16" x14ac:dyDescent="0.2">
      <c r="F2058"/>
      <c r="L2058"/>
      <c r="P2058" s="1"/>
    </row>
    <row r="2059" spans="6:16" x14ac:dyDescent="0.2">
      <c r="F2059"/>
      <c r="L2059"/>
      <c r="P2059" s="1"/>
    </row>
    <row r="2060" spans="6:16" x14ac:dyDescent="0.2">
      <c r="F2060"/>
      <c r="L2060"/>
      <c r="P2060" s="1"/>
    </row>
    <row r="2061" spans="6:16" x14ac:dyDescent="0.2">
      <c r="F2061"/>
      <c r="L2061"/>
      <c r="P2061" s="1"/>
    </row>
    <row r="2062" spans="6:16" x14ac:dyDescent="0.2">
      <c r="F2062"/>
      <c r="L2062"/>
    </row>
    <row r="2063" spans="6:16" x14ac:dyDescent="0.2">
      <c r="F2063"/>
      <c r="L2063"/>
    </row>
    <row r="2064" spans="6:16" x14ac:dyDescent="0.2">
      <c r="F2064"/>
      <c r="L2064"/>
      <c r="P2064" s="1"/>
    </row>
    <row r="2065" spans="6:16" x14ac:dyDescent="0.2">
      <c r="F2065"/>
      <c r="L2065"/>
    </row>
    <row r="2066" spans="6:16" x14ac:dyDescent="0.2">
      <c r="F2066"/>
      <c r="L2066"/>
    </row>
    <row r="2067" spans="6:16" x14ac:dyDescent="0.2">
      <c r="F2067"/>
      <c r="L2067"/>
    </row>
    <row r="2068" spans="6:16" x14ac:dyDescent="0.2">
      <c r="F2068"/>
      <c r="L2068"/>
      <c r="P2068" s="1"/>
    </row>
    <row r="2069" spans="6:16" x14ac:dyDescent="0.2">
      <c r="F2069"/>
      <c r="L2069"/>
    </row>
    <row r="2070" spans="6:16" x14ac:dyDescent="0.2">
      <c r="F2070"/>
      <c r="L2070"/>
      <c r="P2070" s="1"/>
    </row>
    <row r="2071" spans="6:16" x14ac:dyDescent="0.2">
      <c r="F2071"/>
      <c r="L2071"/>
      <c r="P2071" s="1"/>
    </row>
    <row r="2072" spans="6:16" x14ac:dyDescent="0.2">
      <c r="F2072"/>
      <c r="L2072"/>
      <c r="P2072" s="1"/>
    </row>
    <row r="2073" spans="6:16" x14ac:dyDescent="0.2">
      <c r="F2073"/>
      <c r="L2073"/>
    </row>
    <row r="2074" spans="6:16" x14ac:dyDescent="0.2">
      <c r="F2074"/>
      <c r="L2074"/>
      <c r="P2074" s="1"/>
    </row>
    <row r="2075" spans="6:16" x14ac:dyDescent="0.2">
      <c r="F2075"/>
      <c r="L2075"/>
    </row>
    <row r="2076" spans="6:16" x14ac:dyDescent="0.2">
      <c r="F2076"/>
      <c r="L2076"/>
      <c r="P2076" s="1"/>
    </row>
    <row r="2077" spans="6:16" x14ac:dyDescent="0.2">
      <c r="F2077"/>
      <c r="L2077"/>
    </row>
    <row r="2078" spans="6:16" x14ac:dyDescent="0.2">
      <c r="F2078"/>
      <c r="L2078"/>
    </row>
    <row r="2079" spans="6:16" x14ac:dyDescent="0.2">
      <c r="F2079"/>
      <c r="L2079"/>
    </row>
    <row r="2080" spans="6:16" x14ac:dyDescent="0.2">
      <c r="F2080"/>
      <c r="L2080"/>
      <c r="P2080" s="1"/>
    </row>
    <row r="2081" spans="6:16" x14ac:dyDescent="0.2">
      <c r="F2081"/>
      <c r="L2081"/>
    </row>
    <row r="2082" spans="6:16" x14ac:dyDescent="0.2">
      <c r="F2082"/>
      <c r="L2082"/>
      <c r="P2082" s="1"/>
    </row>
    <row r="2083" spans="6:16" x14ac:dyDescent="0.2">
      <c r="F2083"/>
      <c r="L2083"/>
    </row>
    <row r="2084" spans="6:16" x14ac:dyDescent="0.2">
      <c r="F2084"/>
      <c r="L2084"/>
      <c r="P2084" s="1"/>
    </row>
    <row r="2085" spans="6:16" x14ac:dyDescent="0.2">
      <c r="F2085"/>
      <c r="L2085"/>
    </row>
    <row r="2086" spans="6:16" x14ac:dyDescent="0.2">
      <c r="F2086"/>
      <c r="L2086"/>
      <c r="P2086" s="1"/>
    </row>
    <row r="2087" spans="6:16" x14ac:dyDescent="0.2">
      <c r="F2087"/>
      <c r="L2087"/>
      <c r="P2087" s="1"/>
    </row>
    <row r="2088" spans="6:16" x14ac:dyDescent="0.2">
      <c r="F2088"/>
      <c r="L2088"/>
    </row>
    <row r="2089" spans="6:16" x14ac:dyDescent="0.2">
      <c r="F2089"/>
      <c r="L2089"/>
    </row>
    <row r="2090" spans="6:16" x14ac:dyDescent="0.2">
      <c r="F2090"/>
      <c r="L2090"/>
    </row>
    <row r="2091" spans="6:16" x14ac:dyDescent="0.2">
      <c r="F2091"/>
      <c r="L2091"/>
    </row>
    <row r="2092" spans="6:16" x14ac:dyDescent="0.2">
      <c r="F2092"/>
      <c r="L2092"/>
    </row>
    <row r="2093" spans="6:16" x14ac:dyDescent="0.2">
      <c r="F2093"/>
      <c r="L2093"/>
    </row>
    <row r="2094" spans="6:16" x14ac:dyDescent="0.2">
      <c r="F2094"/>
      <c r="L2094"/>
    </row>
    <row r="2095" spans="6:16" x14ac:dyDescent="0.2">
      <c r="F2095"/>
      <c r="L2095"/>
    </row>
    <row r="2096" spans="6:16" x14ac:dyDescent="0.2">
      <c r="F2096"/>
      <c r="L2096"/>
    </row>
    <row r="2097" spans="6:12" x14ac:dyDescent="0.2">
      <c r="F2097"/>
      <c r="L2097"/>
    </row>
    <row r="2098" spans="6:12" x14ac:dyDescent="0.2">
      <c r="F2098"/>
      <c r="L2098"/>
    </row>
    <row r="2099" spans="6:12" x14ac:dyDescent="0.2">
      <c r="F2099"/>
      <c r="L2099"/>
    </row>
    <row r="2100" spans="6:12" x14ac:dyDescent="0.2">
      <c r="F2100"/>
      <c r="L2100"/>
    </row>
    <row r="2101" spans="6:12" x14ac:dyDescent="0.2">
      <c r="F2101"/>
      <c r="L2101"/>
    </row>
    <row r="2102" spans="6:12" x14ac:dyDescent="0.2">
      <c r="F2102"/>
      <c r="L2102"/>
    </row>
    <row r="2103" spans="6:12" x14ac:dyDescent="0.2">
      <c r="F2103"/>
      <c r="L2103"/>
    </row>
    <row r="2104" spans="6:12" x14ac:dyDescent="0.2">
      <c r="F2104"/>
      <c r="L2104"/>
    </row>
    <row r="2105" spans="6:12" x14ac:dyDescent="0.2">
      <c r="F2105"/>
      <c r="L2105"/>
    </row>
    <row r="2106" spans="6:12" x14ac:dyDescent="0.2">
      <c r="F2106"/>
      <c r="L2106"/>
    </row>
    <row r="2107" spans="6:12" x14ac:dyDescent="0.2">
      <c r="F2107"/>
      <c r="L2107"/>
    </row>
    <row r="2108" spans="6:12" x14ac:dyDescent="0.2">
      <c r="F2108"/>
      <c r="L2108"/>
    </row>
    <row r="2109" spans="6:12" x14ac:dyDescent="0.2">
      <c r="F2109"/>
      <c r="L2109"/>
    </row>
    <row r="2110" spans="6:12" x14ac:dyDescent="0.2">
      <c r="F2110"/>
      <c r="L2110"/>
    </row>
    <row r="2111" spans="6:12" x14ac:dyDescent="0.2">
      <c r="F2111"/>
      <c r="L2111"/>
    </row>
    <row r="2112" spans="6:12" x14ac:dyDescent="0.2">
      <c r="F2112"/>
      <c r="L2112"/>
    </row>
    <row r="2113" spans="6:12" x14ac:dyDescent="0.2">
      <c r="F2113"/>
      <c r="L2113"/>
    </row>
    <row r="2114" spans="6:12" x14ac:dyDescent="0.2">
      <c r="F2114"/>
      <c r="L2114"/>
    </row>
    <row r="2115" spans="6:12" x14ac:dyDescent="0.2">
      <c r="F2115"/>
      <c r="L2115"/>
    </row>
    <row r="2116" spans="6:12" x14ac:dyDescent="0.2">
      <c r="F2116"/>
      <c r="L2116"/>
    </row>
    <row r="2117" spans="6:12" x14ac:dyDescent="0.2">
      <c r="F2117"/>
      <c r="L2117"/>
    </row>
    <row r="2118" spans="6:12" x14ac:dyDescent="0.2">
      <c r="F2118"/>
      <c r="L2118"/>
    </row>
    <row r="2119" spans="6:12" x14ac:dyDescent="0.2">
      <c r="F2119"/>
      <c r="L2119"/>
    </row>
    <row r="2120" spans="6:12" x14ac:dyDescent="0.2">
      <c r="F2120"/>
      <c r="L2120"/>
    </row>
    <row r="2121" spans="6:12" x14ac:dyDescent="0.2">
      <c r="F2121"/>
      <c r="L2121"/>
    </row>
    <row r="2122" spans="6:12" x14ac:dyDescent="0.2">
      <c r="F2122"/>
      <c r="L2122"/>
    </row>
    <row r="2123" spans="6:12" x14ac:dyDescent="0.2">
      <c r="F2123"/>
      <c r="L2123"/>
    </row>
    <row r="2124" spans="6:12" x14ac:dyDescent="0.2">
      <c r="F2124"/>
      <c r="L2124"/>
    </row>
    <row r="2125" spans="6:12" x14ac:dyDescent="0.2">
      <c r="F2125"/>
      <c r="L2125"/>
    </row>
    <row r="2126" spans="6:12" x14ac:dyDescent="0.2">
      <c r="F2126"/>
      <c r="L2126"/>
    </row>
    <row r="2127" spans="6:12" x14ac:dyDescent="0.2">
      <c r="F2127"/>
      <c r="L2127"/>
    </row>
    <row r="2128" spans="6:12" x14ac:dyDescent="0.2">
      <c r="F2128"/>
      <c r="L2128"/>
    </row>
    <row r="2129" spans="6:12" x14ac:dyDescent="0.2">
      <c r="F2129"/>
      <c r="L2129"/>
    </row>
    <row r="2130" spans="6:12" x14ac:dyDescent="0.2">
      <c r="F2130"/>
      <c r="L2130"/>
    </row>
    <row r="2131" spans="6:12" x14ac:dyDescent="0.2">
      <c r="F2131"/>
      <c r="L2131"/>
    </row>
    <row r="2132" spans="6:12" x14ac:dyDescent="0.2">
      <c r="F2132"/>
      <c r="L2132"/>
    </row>
    <row r="2133" spans="6:12" x14ac:dyDescent="0.2">
      <c r="F2133"/>
      <c r="L2133"/>
    </row>
    <row r="2134" spans="6:12" x14ac:dyDescent="0.2">
      <c r="F2134"/>
      <c r="L2134"/>
    </row>
    <row r="2135" spans="6:12" x14ac:dyDescent="0.2">
      <c r="F2135"/>
      <c r="L2135"/>
    </row>
    <row r="2136" spans="6:12" x14ac:dyDescent="0.2">
      <c r="F2136"/>
      <c r="L2136"/>
    </row>
    <row r="2137" spans="6:12" x14ac:dyDescent="0.2">
      <c r="F2137"/>
      <c r="L2137"/>
    </row>
    <row r="2138" spans="6:12" x14ac:dyDescent="0.2">
      <c r="F2138"/>
      <c r="L2138"/>
    </row>
    <row r="2139" spans="6:12" x14ac:dyDescent="0.2">
      <c r="F2139"/>
      <c r="L2139"/>
    </row>
    <row r="2140" spans="6:12" x14ac:dyDescent="0.2">
      <c r="F2140"/>
      <c r="L2140"/>
    </row>
    <row r="2141" spans="6:12" x14ac:dyDescent="0.2">
      <c r="F2141"/>
      <c r="L2141"/>
    </row>
    <row r="2142" spans="6:12" x14ac:dyDescent="0.2">
      <c r="F2142"/>
      <c r="L2142"/>
    </row>
    <row r="2143" spans="6:12" x14ac:dyDescent="0.2">
      <c r="F2143"/>
      <c r="L2143"/>
    </row>
    <row r="2144" spans="6:12" x14ac:dyDescent="0.2">
      <c r="F2144"/>
      <c r="L2144"/>
    </row>
    <row r="2145" spans="6:12" x14ac:dyDescent="0.2">
      <c r="F2145"/>
      <c r="L2145"/>
    </row>
    <row r="2146" spans="6:12" x14ac:dyDescent="0.2">
      <c r="F2146"/>
      <c r="L2146"/>
    </row>
    <row r="2147" spans="6:12" x14ac:dyDescent="0.2">
      <c r="F2147"/>
      <c r="L2147"/>
    </row>
    <row r="2148" spans="6:12" x14ac:dyDescent="0.2">
      <c r="F2148"/>
      <c r="L2148"/>
    </row>
    <row r="2149" spans="6:12" x14ac:dyDescent="0.2">
      <c r="F2149"/>
      <c r="L2149"/>
    </row>
    <row r="2150" spans="6:12" x14ac:dyDescent="0.2">
      <c r="F2150"/>
      <c r="L2150"/>
    </row>
    <row r="2151" spans="6:12" x14ac:dyDescent="0.2">
      <c r="F2151"/>
      <c r="L2151"/>
    </row>
    <row r="2152" spans="6:12" x14ac:dyDescent="0.2">
      <c r="F2152"/>
      <c r="L2152"/>
    </row>
    <row r="2153" spans="6:12" x14ac:dyDescent="0.2">
      <c r="F2153"/>
      <c r="L2153"/>
    </row>
    <row r="2154" spans="6:12" x14ac:dyDescent="0.2">
      <c r="F2154"/>
      <c r="L2154"/>
    </row>
    <row r="2155" spans="6:12" x14ac:dyDescent="0.2">
      <c r="F2155"/>
      <c r="L2155"/>
    </row>
    <row r="2156" spans="6:12" x14ac:dyDescent="0.2">
      <c r="F2156"/>
      <c r="L2156"/>
    </row>
    <row r="2157" spans="6:12" x14ac:dyDescent="0.2">
      <c r="F2157"/>
      <c r="L2157"/>
    </row>
    <row r="2158" spans="6:12" x14ac:dyDescent="0.2">
      <c r="F2158"/>
      <c r="L2158"/>
    </row>
    <row r="2159" spans="6:12" x14ac:dyDescent="0.2">
      <c r="F2159"/>
      <c r="L2159"/>
    </row>
    <row r="2160" spans="6:12" x14ac:dyDescent="0.2">
      <c r="F2160"/>
      <c r="L2160"/>
    </row>
    <row r="2161" spans="6:12" x14ac:dyDescent="0.2">
      <c r="F2161"/>
      <c r="L2161"/>
    </row>
    <row r="2162" spans="6:12" x14ac:dyDescent="0.2">
      <c r="F2162"/>
      <c r="L2162"/>
    </row>
    <row r="2163" spans="6:12" x14ac:dyDescent="0.2">
      <c r="F2163"/>
      <c r="L2163"/>
    </row>
    <row r="2164" spans="6:12" x14ac:dyDescent="0.2">
      <c r="F2164"/>
      <c r="L2164"/>
    </row>
    <row r="2165" spans="6:12" x14ac:dyDescent="0.2">
      <c r="F2165"/>
      <c r="L2165"/>
    </row>
    <row r="2166" spans="6:12" x14ac:dyDescent="0.2">
      <c r="F2166"/>
      <c r="L2166"/>
    </row>
    <row r="2167" spans="6:12" x14ac:dyDescent="0.2">
      <c r="F2167"/>
      <c r="L2167"/>
    </row>
    <row r="2168" spans="6:12" x14ac:dyDescent="0.2">
      <c r="F2168"/>
      <c r="L2168"/>
    </row>
    <row r="2169" spans="6:12" x14ac:dyDescent="0.2">
      <c r="F2169"/>
      <c r="L2169"/>
    </row>
    <row r="2170" spans="6:12" x14ac:dyDescent="0.2">
      <c r="F2170"/>
      <c r="L2170"/>
    </row>
    <row r="2171" spans="6:12" x14ac:dyDescent="0.2">
      <c r="F2171"/>
      <c r="L2171"/>
    </row>
    <row r="2172" spans="6:12" x14ac:dyDescent="0.2">
      <c r="F2172"/>
      <c r="L2172"/>
    </row>
    <row r="2173" spans="6:12" x14ac:dyDescent="0.2">
      <c r="F2173"/>
      <c r="L2173"/>
    </row>
    <row r="2174" spans="6:12" x14ac:dyDescent="0.2">
      <c r="F2174"/>
      <c r="L2174"/>
    </row>
    <row r="2175" spans="6:12" x14ac:dyDescent="0.2">
      <c r="F2175"/>
      <c r="L2175"/>
    </row>
    <row r="2176" spans="6:12" x14ac:dyDescent="0.2">
      <c r="F2176"/>
      <c r="L2176"/>
    </row>
    <row r="2177" spans="6:12" x14ac:dyDescent="0.2">
      <c r="F2177"/>
      <c r="L2177"/>
    </row>
    <row r="2178" spans="6:12" x14ac:dyDescent="0.2">
      <c r="F2178"/>
      <c r="L2178"/>
    </row>
    <row r="2179" spans="6:12" x14ac:dyDescent="0.2">
      <c r="F2179"/>
      <c r="L2179"/>
    </row>
    <row r="2180" spans="6:12" x14ac:dyDescent="0.2">
      <c r="F2180"/>
      <c r="L2180"/>
    </row>
    <row r="2181" spans="6:12" x14ac:dyDescent="0.2">
      <c r="F2181"/>
      <c r="L2181"/>
    </row>
    <row r="2182" spans="6:12" x14ac:dyDescent="0.2">
      <c r="F2182"/>
      <c r="L2182"/>
    </row>
    <row r="2183" spans="6:12" x14ac:dyDescent="0.2">
      <c r="F2183"/>
      <c r="L2183"/>
    </row>
    <row r="2184" spans="6:12" x14ac:dyDescent="0.2">
      <c r="F2184"/>
      <c r="L2184"/>
    </row>
    <row r="2185" spans="6:12" x14ac:dyDescent="0.2">
      <c r="F2185"/>
      <c r="L2185"/>
    </row>
    <row r="2186" spans="6:12" x14ac:dyDescent="0.2">
      <c r="F2186"/>
      <c r="L2186"/>
    </row>
    <row r="2187" spans="6:12" x14ac:dyDescent="0.2">
      <c r="F2187"/>
      <c r="L2187"/>
    </row>
    <row r="2188" spans="6:12" x14ac:dyDescent="0.2">
      <c r="F2188"/>
      <c r="L2188"/>
    </row>
    <row r="2189" spans="6:12" x14ac:dyDescent="0.2">
      <c r="F2189"/>
      <c r="L2189"/>
    </row>
    <row r="2190" spans="6:12" x14ac:dyDescent="0.2">
      <c r="F2190"/>
      <c r="L2190"/>
    </row>
    <row r="2191" spans="6:12" x14ac:dyDescent="0.2">
      <c r="F2191"/>
      <c r="L2191"/>
    </row>
    <row r="2192" spans="6:12" x14ac:dyDescent="0.2">
      <c r="F2192"/>
      <c r="L2192"/>
    </row>
    <row r="2193" spans="6:12" x14ac:dyDescent="0.2">
      <c r="F2193"/>
      <c r="L2193"/>
    </row>
    <row r="2194" spans="6:12" x14ac:dyDescent="0.2">
      <c r="F2194"/>
      <c r="L2194"/>
    </row>
    <row r="2195" spans="6:12" x14ac:dyDescent="0.2">
      <c r="F2195"/>
      <c r="L2195"/>
    </row>
    <row r="2196" spans="6:12" x14ac:dyDescent="0.2">
      <c r="F2196"/>
      <c r="L2196"/>
    </row>
    <row r="2197" spans="6:12" x14ac:dyDescent="0.2">
      <c r="F2197"/>
      <c r="L2197"/>
    </row>
    <row r="2198" spans="6:12" x14ac:dyDescent="0.2">
      <c r="F2198"/>
      <c r="L2198"/>
    </row>
    <row r="2199" spans="6:12" x14ac:dyDescent="0.2">
      <c r="F2199"/>
      <c r="L2199"/>
    </row>
    <row r="2200" spans="6:12" x14ac:dyDescent="0.2">
      <c r="F2200"/>
      <c r="L2200"/>
    </row>
    <row r="2201" spans="6:12" x14ac:dyDescent="0.2">
      <c r="F2201"/>
      <c r="L2201"/>
    </row>
    <row r="2202" spans="6:12" x14ac:dyDescent="0.2">
      <c r="F2202"/>
      <c r="L2202"/>
    </row>
    <row r="2203" spans="6:12" x14ac:dyDescent="0.2">
      <c r="F2203"/>
      <c r="L2203"/>
    </row>
    <row r="2204" spans="6:12" x14ac:dyDescent="0.2">
      <c r="F2204"/>
      <c r="L2204"/>
    </row>
    <row r="2205" spans="6:12" x14ac:dyDescent="0.2">
      <c r="F2205"/>
      <c r="L2205"/>
    </row>
    <row r="2206" spans="6:12" x14ac:dyDescent="0.2">
      <c r="F2206"/>
      <c r="L2206"/>
    </row>
    <row r="2207" spans="6:12" x14ac:dyDescent="0.2">
      <c r="F2207"/>
      <c r="L2207"/>
    </row>
    <row r="2208" spans="6:12" x14ac:dyDescent="0.2">
      <c r="F2208"/>
      <c r="L2208"/>
    </row>
    <row r="2209" spans="6:12" x14ac:dyDescent="0.2">
      <c r="F2209"/>
      <c r="L2209"/>
    </row>
    <row r="2210" spans="6:12" x14ac:dyDescent="0.2">
      <c r="F2210"/>
      <c r="L2210"/>
    </row>
    <row r="2211" spans="6:12" x14ac:dyDescent="0.2">
      <c r="F2211"/>
      <c r="L2211"/>
    </row>
    <row r="2212" spans="6:12" x14ac:dyDescent="0.2">
      <c r="F2212"/>
      <c r="L2212"/>
    </row>
    <row r="2213" spans="6:12" x14ac:dyDescent="0.2">
      <c r="F2213"/>
      <c r="L2213"/>
    </row>
    <row r="2214" spans="6:12" x14ac:dyDescent="0.2">
      <c r="F2214"/>
      <c r="L2214"/>
    </row>
    <row r="2215" spans="6:12" x14ac:dyDescent="0.2">
      <c r="F2215"/>
      <c r="L2215"/>
    </row>
    <row r="2216" spans="6:12" x14ac:dyDescent="0.2">
      <c r="F2216"/>
      <c r="L2216"/>
    </row>
    <row r="2217" spans="6:12" x14ac:dyDescent="0.2">
      <c r="F2217"/>
      <c r="L2217"/>
    </row>
    <row r="2218" spans="6:12" x14ac:dyDescent="0.2">
      <c r="F2218"/>
      <c r="L2218"/>
    </row>
    <row r="2219" spans="6:12" x14ac:dyDescent="0.2">
      <c r="F2219"/>
      <c r="L2219"/>
    </row>
    <row r="2220" spans="6:12" x14ac:dyDescent="0.2">
      <c r="F2220"/>
      <c r="L2220"/>
    </row>
    <row r="2221" spans="6:12" x14ac:dyDescent="0.2">
      <c r="F2221"/>
      <c r="L2221"/>
    </row>
    <row r="2222" spans="6:12" x14ac:dyDescent="0.2">
      <c r="F2222"/>
      <c r="L2222"/>
    </row>
    <row r="2223" spans="6:12" x14ac:dyDescent="0.2">
      <c r="F2223"/>
      <c r="L2223"/>
    </row>
    <row r="2224" spans="6:12" x14ac:dyDescent="0.2">
      <c r="F2224"/>
      <c r="L2224"/>
    </row>
    <row r="2225" spans="6:12" x14ac:dyDescent="0.2">
      <c r="F2225"/>
      <c r="L2225"/>
    </row>
    <row r="2226" spans="6:12" x14ac:dyDescent="0.2">
      <c r="F2226"/>
      <c r="L2226"/>
    </row>
    <row r="2227" spans="6:12" x14ac:dyDescent="0.2">
      <c r="F2227"/>
      <c r="L2227"/>
    </row>
    <row r="2228" spans="6:12" x14ac:dyDescent="0.2">
      <c r="F2228"/>
      <c r="L2228"/>
    </row>
    <row r="2229" spans="6:12" x14ac:dyDescent="0.2">
      <c r="F2229"/>
      <c r="L2229"/>
    </row>
    <row r="2230" spans="6:12" x14ac:dyDescent="0.2">
      <c r="F2230"/>
      <c r="L2230"/>
    </row>
    <row r="2231" spans="6:12" x14ac:dyDescent="0.2">
      <c r="F2231"/>
      <c r="L2231"/>
    </row>
    <row r="2232" spans="6:12" x14ac:dyDescent="0.2">
      <c r="F2232"/>
      <c r="L2232"/>
    </row>
    <row r="2233" spans="6:12" x14ac:dyDescent="0.2">
      <c r="F2233"/>
      <c r="L2233"/>
    </row>
    <row r="2234" spans="6:12" x14ac:dyDescent="0.2">
      <c r="F2234"/>
      <c r="L2234"/>
    </row>
    <row r="2235" spans="6:12" x14ac:dyDescent="0.2">
      <c r="F2235"/>
      <c r="L2235"/>
    </row>
    <row r="2236" spans="6:12" x14ac:dyDescent="0.2">
      <c r="F2236"/>
      <c r="L2236"/>
    </row>
    <row r="2237" spans="6:12" x14ac:dyDescent="0.2">
      <c r="F2237"/>
      <c r="L2237"/>
    </row>
    <row r="2238" spans="6:12" x14ac:dyDescent="0.2">
      <c r="F2238"/>
      <c r="L2238"/>
    </row>
    <row r="2239" spans="6:12" x14ac:dyDescent="0.2">
      <c r="F2239"/>
      <c r="L2239"/>
    </row>
    <row r="2240" spans="6:12" x14ac:dyDescent="0.2">
      <c r="F2240"/>
      <c r="L2240"/>
    </row>
    <row r="2241" spans="6:12" x14ac:dyDescent="0.2">
      <c r="F2241"/>
      <c r="L2241"/>
    </row>
    <row r="2242" spans="6:12" x14ac:dyDescent="0.2">
      <c r="F2242"/>
      <c r="L2242"/>
    </row>
    <row r="2243" spans="6:12" x14ac:dyDescent="0.2">
      <c r="F2243"/>
      <c r="L2243"/>
    </row>
    <row r="2244" spans="6:12" x14ac:dyDescent="0.2">
      <c r="F2244"/>
      <c r="L2244"/>
    </row>
    <row r="2245" spans="6:12" x14ac:dyDescent="0.2">
      <c r="F2245"/>
      <c r="L2245"/>
    </row>
    <row r="2246" spans="6:12" x14ac:dyDescent="0.2">
      <c r="F2246"/>
      <c r="L2246"/>
    </row>
    <row r="2247" spans="6:12" x14ac:dyDescent="0.2">
      <c r="F2247"/>
      <c r="L2247"/>
    </row>
    <row r="2248" spans="6:12" x14ac:dyDescent="0.2">
      <c r="F2248"/>
      <c r="L2248"/>
    </row>
    <row r="2249" spans="6:12" x14ac:dyDescent="0.2">
      <c r="F2249"/>
      <c r="L2249"/>
    </row>
    <row r="2250" spans="6:12" x14ac:dyDescent="0.2">
      <c r="F2250"/>
      <c r="L2250"/>
    </row>
    <row r="2251" spans="6:12" x14ac:dyDescent="0.2">
      <c r="F2251"/>
      <c r="L2251"/>
    </row>
    <row r="2252" spans="6:12" x14ac:dyDescent="0.2">
      <c r="F2252"/>
      <c r="L2252"/>
    </row>
    <row r="2253" spans="6:12" x14ac:dyDescent="0.2">
      <c r="F2253"/>
      <c r="L2253"/>
    </row>
    <row r="2254" spans="6:12" x14ac:dyDescent="0.2">
      <c r="F2254"/>
      <c r="L2254"/>
    </row>
    <row r="2255" spans="6:12" x14ac:dyDescent="0.2">
      <c r="F2255"/>
      <c r="L2255"/>
    </row>
    <row r="2256" spans="6:12" x14ac:dyDescent="0.2">
      <c r="F2256"/>
      <c r="L2256"/>
    </row>
    <row r="2257" spans="6:12" x14ac:dyDescent="0.2">
      <c r="F2257"/>
      <c r="L2257"/>
    </row>
    <row r="2258" spans="6:12" x14ac:dyDescent="0.2">
      <c r="F2258"/>
      <c r="L2258"/>
    </row>
    <row r="2259" spans="6:12" x14ac:dyDescent="0.2">
      <c r="F2259"/>
      <c r="L2259"/>
    </row>
    <row r="2260" spans="6:12" x14ac:dyDescent="0.2">
      <c r="F2260"/>
      <c r="L2260"/>
    </row>
    <row r="2261" spans="6:12" x14ac:dyDescent="0.2">
      <c r="F2261"/>
      <c r="L2261"/>
    </row>
    <row r="2262" spans="6:12" x14ac:dyDescent="0.2">
      <c r="F2262"/>
      <c r="L2262"/>
    </row>
    <row r="2263" spans="6:12" x14ac:dyDescent="0.2">
      <c r="F2263"/>
      <c r="L2263"/>
    </row>
    <row r="2264" spans="6:12" x14ac:dyDescent="0.2">
      <c r="F2264"/>
      <c r="L2264"/>
    </row>
    <row r="2265" spans="6:12" x14ac:dyDescent="0.2">
      <c r="F2265"/>
      <c r="L2265"/>
    </row>
    <row r="2266" spans="6:12" x14ac:dyDescent="0.2">
      <c r="F2266"/>
      <c r="L2266"/>
    </row>
    <row r="2267" spans="6:12" x14ac:dyDescent="0.2">
      <c r="F2267"/>
      <c r="L2267"/>
    </row>
    <row r="2268" spans="6:12" x14ac:dyDescent="0.2">
      <c r="F2268"/>
      <c r="L2268"/>
    </row>
    <row r="2269" spans="6:12" x14ac:dyDescent="0.2">
      <c r="F2269"/>
      <c r="L2269"/>
    </row>
    <row r="2270" spans="6:12" x14ac:dyDescent="0.2">
      <c r="F2270"/>
      <c r="L2270"/>
    </row>
    <row r="2271" spans="6:12" x14ac:dyDescent="0.2">
      <c r="F2271"/>
      <c r="L2271"/>
    </row>
    <row r="2272" spans="6:12" x14ac:dyDescent="0.2">
      <c r="F2272"/>
      <c r="L2272"/>
    </row>
    <row r="2273" spans="6:12" x14ac:dyDescent="0.2">
      <c r="F2273"/>
      <c r="L2273"/>
    </row>
    <row r="2274" spans="6:12" x14ac:dyDescent="0.2">
      <c r="F2274"/>
      <c r="L2274"/>
    </row>
    <row r="2275" spans="6:12" x14ac:dyDescent="0.2">
      <c r="F2275"/>
      <c r="L2275"/>
    </row>
    <row r="2276" spans="6:12" x14ac:dyDescent="0.2">
      <c r="F2276"/>
      <c r="L2276"/>
    </row>
    <row r="2277" spans="6:12" x14ac:dyDescent="0.2">
      <c r="F2277"/>
      <c r="L2277"/>
    </row>
    <row r="2278" spans="6:12" x14ac:dyDescent="0.2">
      <c r="F2278"/>
      <c r="L2278"/>
    </row>
    <row r="2279" spans="6:12" x14ac:dyDescent="0.2">
      <c r="F2279"/>
      <c r="L2279"/>
    </row>
    <row r="2280" spans="6:12" x14ac:dyDescent="0.2">
      <c r="F2280"/>
      <c r="L2280"/>
    </row>
    <row r="2281" spans="6:12" x14ac:dyDescent="0.2">
      <c r="F2281"/>
      <c r="L2281"/>
    </row>
    <row r="2282" spans="6:12" x14ac:dyDescent="0.2">
      <c r="F2282"/>
      <c r="L2282"/>
    </row>
    <row r="2283" spans="6:12" x14ac:dyDescent="0.2">
      <c r="F2283"/>
      <c r="L2283"/>
    </row>
    <row r="2284" spans="6:12" x14ac:dyDescent="0.2">
      <c r="F2284"/>
      <c r="L2284"/>
    </row>
    <row r="2285" spans="6:12" x14ac:dyDescent="0.2">
      <c r="F2285"/>
      <c r="L2285"/>
    </row>
    <row r="2286" spans="6:12" x14ac:dyDescent="0.2">
      <c r="F2286"/>
      <c r="L2286"/>
    </row>
    <row r="2287" spans="6:12" x14ac:dyDescent="0.2">
      <c r="F2287"/>
      <c r="L2287"/>
    </row>
    <row r="2288" spans="6:12" x14ac:dyDescent="0.2">
      <c r="F2288"/>
      <c r="L2288"/>
    </row>
    <row r="2289" spans="6:12" x14ac:dyDescent="0.2">
      <c r="F2289"/>
      <c r="L2289"/>
    </row>
    <row r="2290" spans="6:12" x14ac:dyDescent="0.2">
      <c r="F2290"/>
      <c r="L2290"/>
    </row>
    <row r="2291" spans="6:12" x14ac:dyDescent="0.2">
      <c r="F2291"/>
      <c r="L2291"/>
    </row>
    <row r="2292" spans="6:12" x14ac:dyDescent="0.2">
      <c r="F2292"/>
      <c r="L2292"/>
    </row>
    <row r="2293" spans="6:12" x14ac:dyDescent="0.2">
      <c r="F2293"/>
      <c r="L2293"/>
    </row>
    <row r="2294" spans="6:12" x14ac:dyDescent="0.2">
      <c r="F2294"/>
      <c r="L2294"/>
    </row>
    <row r="2295" spans="6:12" x14ac:dyDescent="0.2">
      <c r="F2295"/>
      <c r="L2295"/>
    </row>
    <row r="2296" spans="6:12" x14ac:dyDescent="0.2">
      <c r="F2296"/>
      <c r="L2296"/>
    </row>
    <row r="2297" spans="6:12" x14ac:dyDescent="0.2">
      <c r="F2297"/>
      <c r="L2297"/>
    </row>
    <row r="2298" spans="6:12" x14ac:dyDescent="0.2">
      <c r="F2298"/>
      <c r="L2298"/>
    </row>
    <row r="2299" spans="6:12" x14ac:dyDescent="0.2">
      <c r="F2299"/>
      <c r="L2299"/>
    </row>
    <row r="2300" spans="6:12" x14ac:dyDescent="0.2">
      <c r="F2300"/>
      <c r="L2300"/>
    </row>
    <row r="2301" spans="6:12" x14ac:dyDescent="0.2">
      <c r="F2301"/>
      <c r="L2301"/>
    </row>
    <row r="2302" spans="6:12" x14ac:dyDescent="0.2">
      <c r="F2302"/>
      <c r="L2302"/>
    </row>
    <row r="2303" spans="6:12" x14ac:dyDescent="0.2">
      <c r="F2303"/>
      <c r="L2303"/>
    </row>
    <row r="2304" spans="6:12" x14ac:dyDescent="0.2">
      <c r="F2304"/>
      <c r="L2304"/>
    </row>
    <row r="2305" spans="6:12" x14ac:dyDescent="0.2">
      <c r="F2305"/>
      <c r="L2305"/>
    </row>
    <row r="2306" spans="6:12" x14ac:dyDescent="0.2">
      <c r="F2306"/>
      <c r="L2306"/>
    </row>
    <row r="2307" spans="6:12" x14ac:dyDescent="0.2">
      <c r="F2307"/>
      <c r="L2307"/>
    </row>
    <row r="2308" spans="6:12" x14ac:dyDescent="0.2">
      <c r="F2308"/>
      <c r="L2308"/>
    </row>
    <row r="2309" spans="6:12" x14ac:dyDescent="0.2">
      <c r="F2309"/>
      <c r="L2309"/>
    </row>
    <row r="2310" spans="6:12" x14ac:dyDescent="0.2">
      <c r="F2310"/>
      <c r="L2310"/>
    </row>
    <row r="2311" spans="6:12" x14ac:dyDescent="0.2">
      <c r="F2311"/>
      <c r="L2311"/>
    </row>
    <row r="2312" spans="6:12" x14ac:dyDescent="0.2">
      <c r="F2312"/>
      <c r="L2312"/>
    </row>
    <row r="2313" spans="6:12" x14ac:dyDescent="0.2">
      <c r="F2313"/>
      <c r="L2313"/>
    </row>
    <row r="2314" spans="6:12" x14ac:dyDescent="0.2">
      <c r="F2314"/>
      <c r="L2314"/>
    </row>
    <row r="2315" spans="6:12" x14ac:dyDescent="0.2">
      <c r="F2315"/>
      <c r="L2315"/>
    </row>
    <row r="2316" spans="6:12" x14ac:dyDescent="0.2">
      <c r="F2316"/>
      <c r="L2316"/>
    </row>
    <row r="2317" spans="6:12" x14ac:dyDescent="0.2">
      <c r="F2317"/>
      <c r="L2317"/>
    </row>
    <row r="2318" spans="6:12" x14ac:dyDescent="0.2">
      <c r="F2318"/>
      <c r="L2318"/>
    </row>
    <row r="2319" spans="6:12" x14ac:dyDescent="0.2">
      <c r="F2319"/>
      <c r="L2319"/>
    </row>
    <row r="2320" spans="6:12" x14ac:dyDescent="0.2">
      <c r="F2320"/>
      <c r="L2320"/>
    </row>
    <row r="2321" spans="6:12" x14ac:dyDescent="0.2">
      <c r="F2321"/>
      <c r="L2321"/>
    </row>
    <row r="2322" spans="6:12" x14ac:dyDescent="0.2">
      <c r="F2322"/>
      <c r="L2322"/>
    </row>
    <row r="2323" spans="6:12" x14ac:dyDescent="0.2">
      <c r="F2323"/>
      <c r="L2323"/>
    </row>
    <row r="2324" spans="6:12" x14ac:dyDescent="0.2">
      <c r="F2324"/>
      <c r="L2324"/>
    </row>
    <row r="2325" spans="6:12" x14ac:dyDescent="0.2">
      <c r="F2325"/>
      <c r="L2325"/>
    </row>
    <row r="2326" spans="6:12" x14ac:dyDescent="0.2">
      <c r="F2326"/>
      <c r="L2326"/>
    </row>
    <row r="2327" spans="6:12" x14ac:dyDescent="0.2">
      <c r="F2327"/>
      <c r="L2327"/>
    </row>
    <row r="2328" spans="6:12" x14ac:dyDescent="0.2">
      <c r="F2328"/>
      <c r="L2328"/>
    </row>
    <row r="2329" spans="6:12" x14ac:dyDescent="0.2">
      <c r="F2329"/>
      <c r="L2329"/>
    </row>
    <row r="2330" spans="6:12" x14ac:dyDescent="0.2">
      <c r="F2330"/>
      <c r="L2330"/>
    </row>
    <row r="2331" spans="6:12" x14ac:dyDescent="0.2">
      <c r="F2331"/>
      <c r="L2331"/>
    </row>
    <row r="2332" spans="6:12" x14ac:dyDescent="0.2">
      <c r="F2332"/>
      <c r="L2332"/>
    </row>
    <row r="2333" spans="6:12" x14ac:dyDescent="0.2">
      <c r="F2333"/>
      <c r="L2333"/>
    </row>
    <row r="2334" spans="6:12" x14ac:dyDescent="0.2">
      <c r="F2334"/>
      <c r="L2334"/>
    </row>
    <row r="2335" spans="6:12" x14ac:dyDescent="0.2">
      <c r="F2335"/>
      <c r="L2335"/>
    </row>
    <row r="2336" spans="6:12" x14ac:dyDescent="0.2">
      <c r="F2336"/>
      <c r="L2336"/>
    </row>
    <row r="2337" spans="6:12" x14ac:dyDescent="0.2">
      <c r="F2337"/>
      <c r="L2337"/>
    </row>
    <row r="2338" spans="6:12" x14ac:dyDescent="0.2">
      <c r="F2338"/>
      <c r="L2338"/>
    </row>
    <row r="2339" spans="6:12" x14ac:dyDescent="0.2">
      <c r="F2339"/>
      <c r="L2339"/>
    </row>
    <row r="2340" spans="6:12" x14ac:dyDescent="0.2">
      <c r="F2340"/>
      <c r="L2340"/>
    </row>
    <row r="2341" spans="6:12" x14ac:dyDescent="0.2">
      <c r="F2341"/>
      <c r="L2341"/>
    </row>
    <row r="2342" spans="6:12" x14ac:dyDescent="0.2">
      <c r="F2342"/>
      <c r="L2342"/>
    </row>
    <row r="2343" spans="6:12" x14ac:dyDescent="0.2">
      <c r="F2343"/>
      <c r="L2343"/>
    </row>
    <row r="2344" spans="6:12" x14ac:dyDescent="0.2">
      <c r="F2344"/>
      <c r="L2344"/>
    </row>
    <row r="2345" spans="6:12" x14ac:dyDescent="0.2">
      <c r="F2345"/>
      <c r="L2345"/>
    </row>
    <row r="2346" spans="6:12" x14ac:dyDescent="0.2">
      <c r="F2346"/>
      <c r="L2346"/>
    </row>
    <row r="2347" spans="6:12" x14ac:dyDescent="0.2">
      <c r="F2347"/>
      <c r="L2347"/>
    </row>
    <row r="2348" spans="6:12" x14ac:dyDescent="0.2">
      <c r="F2348"/>
      <c r="L2348"/>
    </row>
    <row r="2349" spans="6:12" x14ac:dyDescent="0.2">
      <c r="F2349"/>
      <c r="L2349"/>
    </row>
    <row r="2350" spans="6:12" x14ac:dyDescent="0.2">
      <c r="F2350"/>
      <c r="L2350"/>
    </row>
    <row r="2351" spans="6:12" x14ac:dyDescent="0.2">
      <c r="F2351"/>
      <c r="L2351"/>
    </row>
    <row r="2352" spans="6:12" x14ac:dyDescent="0.2">
      <c r="F2352"/>
      <c r="L2352"/>
    </row>
    <row r="2353" spans="6:12" x14ac:dyDescent="0.2">
      <c r="F2353"/>
      <c r="L2353"/>
    </row>
    <row r="2354" spans="6:12" x14ac:dyDescent="0.2">
      <c r="F2354"/>
      <c r="L2354"/>
    </row>
    <row r="2355" spans="6:12" x14ac:dyDescent="0.2">
      <c r="F2355"/>
      <c r="L2355"/>
    </row>
    <row r="2356" spans="6:12" x14ac:dyDescent="0.2">
      <c r="F2356"/>
      <c r="L2356"/>
    </row>
    <row r="2357" spans="6:12" x14ac:dyDescent="0.2">
      <c r="F2357"/>
      <c r="L2357"/>
    </row>
    <row r="2358" spans="6:12" x14ac:dyDescent="0.2">
      <c r="F2358"/>
      <c r="L2358"/>
    </row>
    <row r="2359" spans="6:12" x14ac:dyDescent="0.2">
      <c r="F2359"/>
      <c r="L2359"/>
    </row>
    <row r="2360" spans="6:12" x14ac:dyDescent="0.2">
      <c r="F2360"/>
      <c r="L2360"/>
    </row>
    <row r="2361" spans="6:12" x14ac:dyDescent="0.2">
      <c r="F2361"/>
      <c r="L2361"/>
    </row>
    <row r="2362" spans="6:12" x14ac:dyDescent="0.2">
      <c r="F2362"/>
      <c r="L2362"/>
    </row>
    <row r="2363" spans="6:12" x14ac:dyDescent="0.2">
      <c r="F2363"/>
      <c r="L2363"/>
    </row>
    <row r="2364" spans="6:12" x14ac:dyDescent="0.2">
      <c r="F2364"/>
      <c r="L2364"/>
    </row>
    <row r="2365" spans="6:12" x14ac:dyDescent="0.2">
      <c r="F2365"/>
      <c r="L2365"/>
    </row>
    <row r="2366" spans="6:12" x14ac:dyDescent="0.2">
      <c r="F2366"/>
      <c r="L2366"/>
    </row>
    <row r="2367" spans="6:12" x14ac:dyDescent="0.2">
      <c r="F2367"/>
      <c r="L2367"/>
    </row>
    <row r="2368" spans="6:12" x14ac:dyDescent="0.2">
      <c r="F2368"/>
      <c r="L2368"/>
    </row>
    <row r="2369" spans="6:16" x14ac:dyDescent="0.2">
      <c r="F2369"/>
      <c r="L2369"/>
    </row>
    <row r="2370" spans="6:16" x14ac:dyDescent="0.2">
      <c r="F2370"/>
      <c r="L2370"/>
    </row>
    <row r="2371" spans="6:16" x14ac:dyDescent="0.2">
      <c r="F2371"/>
      <c r="L2371"/>
    </row>
    <row r="2372" spans="6:16" x14ac:dyDescent="0.2">
      <c r="F2372"/>
      <c r="L2372"/>
    </row>
    <row r="2373" spans="6:16" x14ac:dyDescent="0.2">
      <c r="F2373"/>
      <c r="L2373"/>
    </row>
    <row r="2374" spans="6:16" x14ac:dyDescent="0.2">
      <c r="F2374"/>
      <c r="L2374"/>
    </row>
    <row r="2375" spans="6:16" x14ac:dyDescent="0.2">
      <c r="F2375"/>
      <c r="L2375"/>
    </row>
    <row r="2376" spans="6:16" x14ac:dyDescent="0.2">
      <c r="F2376"/>
      <c r="L2376"/>
    </row>
    <row r="2377" spans="6:16" x14ac:dyDescent="0.2">
      <c r="F2377"/>
      <c r="L2377"/>
    </row>
    <row r="2378" spans="6:16" x14ac:dyDescent="0.2">
      <c r="F2378"/>
      <c r="L2378"/>
      <c r="P2378" s="1"/>
    </row>
    <row r="2379" spans="6:16" x14ac:dyDescent="0.2">
      <c r="F2379"/>
      <c r="L2379"/>
    </row>
    <row r="2380" spans="6:16" x14ac:dyDescent="0.2">
      <c r="F2380"/>
      <c r="L2380"/>
      <c r="P2380" s="1"/>
    </row>
    <row r="2381" spans="6:16" x14ac:dyDescent="0.2">
      <c r="F2381"/>
      <c r="L2381"/>
    </row>
    <row r="2382" spans="6:16" x14ac:dyDescent="0.2">
      <c r="F2382"/>
      <c r="L2382"/>
    </row>
    <row r="2383" spans="6:16" x14ac:dyDescent="0.2">
      <c r="F2383"/>
      <c r="L2383"/>
    </row>
    <row r="2384" spans="6:16" x14ac:dyDescent="0.2">
      <c r="F2384"/>
      <c r="L2384"/>
    </row>
    <row r="2385" spans="6:16" x14ac:dyDescent="0.2">
      <c r="F2385"/>
      <c r="L2385"/>
    </row>
    <row r="2386" spans="6:16" x14ac:dyDescent="0.2">
      <c r="F2386"/>
      <c r="L2386"/>
    </row>
    <row r="2387" spans="6:16" x14ac:dyDescent="0.2">
      <c r="F2387"/>
      <c r="L2387"/>
    </row>
    <row r="2388" spans="6:16" x14ac:dyDescent="0.2">
      <c r="F2388"/>
      <c r="L2388"/>
    </row>
    <row r="2389" spans="6:16" x14ac:dyDescent="0.2">
      <c r="F2389"/>
      <c r="L2389"/>
    </row>
    <row r="2390" spans="6:16" x14ac:dyDescent="0.2">
      <c r="F2390"/>
      <c r="L2390"/>
    </row>
    <row r="2391" spans="6:16" x14ac:dyDescent="0.2">
      <c r="F2391"/>
      <c r="L2391"/>
    </row>
    <row r="2392" spans="6:16" x14ac:dyDescent="0.2">
      <c r="F2392"/>
      <c r="L2392"/>
      <c r="P2392" s="1"/>
    </row>
    <row r="2393" spans="6:16" x14ac:dyDescent="0.2">
      <c r="F2393"/>
      <c r="L2393"/>
      <c r="P2393" s="1"/>
    </row>
    <row r="2394" spans="6:16" x14ac:dyDescent="0.2">
      <c r="F2394"/>
      <c r="L2394"/>
      <c r="P2394" s="1"/>
    </row>
    <row r="2395" spans="6:16" x14ac:dyDescent="0.2">
      <c r="F2395"/>
      <c r="L2395"/>
      <c r="P2395" s="1"/>
    </row>
    <row r="2396" spans="6:16" x14ac:dyDescent="0.2">
      <c r="F2396"/>
      <c r="L2396"/>
    </row>
    <row r="2397" spans="6:16" x14ac:dyDescent="0.2">
      <c r="F2397"/>
      <c r="L2397"/>
    </row>
    <row r="2398" spans="6:16" x14ac:dyDescent="0.2">
      <c r="F2398"/>
      <c r="L2398"/>
    </row>
    <row r="2399" spans="6:16" x14ac:dyDescent="0.2">
      <c r="F2399"/>
      <c r="L2399"/>
    </row>
    <row r="2400" spans="6:16" x14ac:dyDescent="0.2">
      <c r="F2400"/>
      <c r="L2400"/>
      <c r="P2400" s="1"/>
    </row>
    <row r="2401" spans="6:16" x14ac:dyDescent="0.2">
      <c r="F2401"/>
      <c r="L2401"/>
    </row>
    <row r="2402" spans="6:16" x14ac:dyDescent="0.2">
      <c r="F2402"/>
      <c r="L2402"/>
    </row>
    <row r="2403" spans="6:16" x14ac:dyDescent="0.2">
      <c r="F2403"/>
      <c r="L2403"/>
      <c r="P2403" s="1"/>
    </row>
    <row r="2404" spans="6:16" x14ac:dyDescent="0.2">
      <c r="F2404"/>
      <c r="L2404"/>
    </row>
    <row r="2405" spans="6:16" x14ac:dyDescent="0.2">
      <c r="F2405"/>
      <c r="L2405"/>
      <c r="P2405" s="1"/>
    </row>
    <row r="2406" spans="6:16" x14ac:dyDescent="0.2">
      <c r="F2406"/>
      <c r="L2406"/>
      <c r="P2406" s="1"/>
    </row>
    <row r="2407" spans="6:16" x14ac:dyDescent="0.2">
      <c r="F2407"/>
      <c r="L2407"/>
      <c r="P2407" s="1"/>
    </row>
    <row r="2408" spans="6:16" x14ac:dyDescent="0.2">
      <c r="F2408"/>
      <c r="L2408"/>
    </row>
    <row r="2409" spans="6:16" x14ac:dyDescent="0.2">
      <c r="F2409"/>
      <c r="L2409"/>
      <c r="P2409" s="1"/>
    </row>
    <row r="2410" spans="6:16" x14ac:dyDescent="0.2">
      <c r="F2410"/>
      <c r="L2410"/>
      <c r="P2410" s="1"/>
    </row>
    <row r="2411" spans="6:16" x14ac:dyDescent="0.2">
      <c r="F2411"/>
      <c r="L2411"/>
    </row>
    <row r="2412" spans="6:16" x14ac:dyDescent="0.2">
      <c r="F2412"/>
      <c r="L2412"/>
    </row>
    <row r="2413" spans="6:16" x14ac:dyDescent="0.2">
      <c r="F2413"/>
      <c r="L2413"/>
    </row>
    <row r="2414" spans="6:16" x14ac:dyDescent="0.2">
      <c r="F2414"/>
      <c r="L2414"/>
    </row>
    <row r="2415" spans="6:16" x14ac:dyDescent="0.2">
      <c r="F2415"/>
      <c r="L2415"/>
    </row>
    <row r="2416" spans="6:16" x14ac:dyDescent="0.2">
      <c r="F2416"/>
      <c r="L2416"/>
    </row>
    <row r="2417" spans="6:12" x14ac:dyDescent="0.2">
      <c r="F2417"/>
      <c r="L2417"/>
    </row>
    <row r="2418" spans="6:12" x14ac:dyDescent="0.2">
      <c r="F2418"/>
      <c r="L2418"/>
    </row>
    <row r="2419" spans="6:12" x14ac:dyDescent="0.2">
      <c r="F2419"/>
      <c r="L2419"/>
    </row>
    <row r="2420" spans="6:12" x14ac:dyDescent="0.2">
      <c r="F2420"/>
      <c r="L2420"/>
    </row>
    <row r="2421" spans="6:12" x14ac:dyDescent="0.2">
      <c r="F2421"/>
      <c r="L2421"/>
    </row>
    <row r="2422" spans="6:12" x14ac:dyDescent="0.2">
      <c r="F2422"/>
      <c r="L2422"/>
    </row>
    <row r="2423" spans="6:12" x14ac:dyDescent="0.2">
      <c r="F2423"/>
      <c r="L2423"/>
    </row>
    <row r="2424" spans="6:12" x14ac:dyDescent="0.2">
      <c r="F2424"/>
      <c r="L2424"/>
    </row>
    <row r="2425" spans="6:12" x14ac:dyDescent="0.2">
      <c r="F2425"/>
      <c r="L2425"/>
    </row>
    <row r="2426" spans="6:12" x14ac:dyDescent="0.2">
      <c r="F2426"/>
      <c r="L2426"/>
    </row>
    <row r="2427" spans="6:12" x14ac:dyDescent="0.2">
      <c r="F2427"/>
      <c r="L2427"/>
    </row>
    <row r="2428" spans="6:12" x14ac:dyDescent="0.2">
      <c r="F2428"/>
      <c r="L2428"/>
    </row>
    <row r="2429" spans="6:12" x14ac:dyDescent="0.2">
      <c r="F2429"/>
      <c r="L2429"/>
    </row>
    <row r="2430" spans="6:12" x14ac:dyDescent="0.2">
      <c r="F2430"/>
      <c r="L2430"/>
    </row>
    <row r="2431" spans="6:12" x14ac:dyDescent="0.2">
      <c r="F2431"/>
      <c r="L2431"/>
    </row>
    <row r="2432" spans="6:12" x14ac:dyDescent="0.2">
      <c r="F2432"/>
      <c r="L2432"/>
    </row>
    <row r="2433" spans="6:12" x14ac:dyDescent="0.2">
      <c r="F2433"/>
      <c r="L2433"/>
    </row>
    <row r="2434" spans="6:12" x14ac:dyDescent="0.2">
      <c r="F2434"/>
      <c r="L2434"/>
    </row>
    <row r="2435" spans="6:12" x14ac:dyDescent="0.2">
      <c r="F2435"/>
      <c r="L2435"/>
    </row>
    <row r="2436" spans="6:12" x14ac:dyDescent="0.2">
      <c r="F2436"/>
      <c r="L2436"/>
    </row>
    <row r="2437" spans="6:12" x14ac:dyDescent="0.2">
      <c r="F2437"/>
      <c r="L2437"/>
    </row>
    <row r="2438" spans="6:12" x14ac:dyDescent="0.2">
      <c r="F2438"/>
      <c r="L2438"/>
    </row>
    <row r="2439" spans="6:12" x14ac:dyDescent="0.2">
      <c r="F2439"/>
      <c r="L2439"/>
    </row>
    <row r="2440" spans="6:12" x14ac:dyDescent="0.2">
      <c r="F2440"/>
      <c r="L2440"/>
    </row>
    <row r="2441" spans="6:12" x14ac:dyDescent="0.2">
      <c r="F2441"/>
      <c r="L2441"/>
    </row>
    <row r="2442" spans="6:12" x14ac:dyDescent="0.2">
      <c r="F2442"/>
      <c r="L2442"/>
    </row>
    <row r="2443" spans="6:12" x14ac:dyDescent="0.2">
      <c r="F2443"/>
      <c r="L2443"/>
    </row>
    <row r="2444" spans="6:12" x14ac:dyDescent="0.2">
      <c r="F2444"/>
      <c r="L2444"/>
    </row>
    <row r="2445" spans="6:12" x14ac:dyDescent="0.2">
      <c r="F2445"/>
      <c r="L2445"/>
    </row>
    <row r="2446" spans="6:12" x14ac:dyDescent="0.2">
      <c r="F2446"/>
      <c r="L2446"/>
    </row>
    <row r="2447" spans="6:12" x14ac:dyDescent="0.2">
      <c r="F2447"/>
      <c r="L2447"/>
    </row>
    <row r="2448" spans="6:12" x14ac:dyDescent="0.2">
      <c r="F2448"/>
      <c r="L2448"/>
    </row>
    <row r="2449" spans="6:16" x14ac:dyDescent="0.2">
      <c r="F2449"/>
      <c r="L2449"/>
    </row>
    <row r="2450" spans="6:16" x14ac:dyDescent="0.2">
      <c r="F2450"/>
      <c r="L2450"/>
    </row>
    <row r="2451" spans="6:16" x14ac:dyDescent="0.2">
      <c r="F2451"/>
      <c r="L2451"/>
      <c r="P2451" s="1"/>
    </row>
    <row r="2452" spans="6:16" x14ac:dyDescent="0.2">
      <c r="F2452"/>
      <c r="L2452"/>
      <c r="P2452" s="1"/>
    </row>
    <row r="2453" spans="6:16" x14ac:dyDescent="0.2">
      <c r="F2453"/>
      <c r="L2453"/>
    </row>
    <row r="2454" spans="6:16" x14ac:dyDescent="0.2">
      <c r="F2454"/>
      <c r="L2454"/>
    </row>
    <row r="2455" spans="6:16" x14ac:dyDescent="0.2">
      <c r="F2455"/>
      <c r="L2455"/>
      <c r="P2455" s="1"/>
    </row>
    <row r="2456" spans="6:16" x14ac:dyDescent="0.2">
      <c r="F2456"/>
      <c r="L2456"/>
      <c r="P2456" s="1"/>
    </row>
    <row r="2457" spans="6:16" x14ac:dyDescent="0.2">
      <c r="F2457"/>
      <c r="L2457"/>
      <c r="P2457" s="1"/>
    </row>
    <row r="2458" spans="6:16" x14ac:dyDescent="0.2">
      <c r="F2458"/>
      <c r="L2458"/>
      <c r="P2458" s="1"/>
    </row>
    <row r="2459" spans="6:16" x14ac:dyDescent="0.2">
      <c r="F2459"/>
      <c r="L2459"/>
    </row>
    <row r="2460" spans="6:16" x14ac:dyDescent="0.2">
      <c r="F2460"/>
      <c r="L2460"/>
      <c r="P2460" s="1"/>
    </row>
    <row r="2461" spans="6:16" x14ac:dyDescent="0.2">
      <c r="F2461"/>
      <c r="L2461"/>
      <c r="P2461" s="1"/>
    </row>
    <row r="2462" spans="6:16" x14ac:dyDescent="0.2">
      <c r="F2462"/>
      <c r="L2462"/>
      <c r="P2462" s="1"/>
    </row>
    <row r="2463" spans="6:16" x14ac:dyDescent="0.2">
      <c r="F2463"/>
      <c r="L2463"/>
      <c r="P2463" s="1"/>
    </row>
    <row r="2464" spans="6:16" x14ac:dyDescent="0.2">
      <c r="F2464"/>
      <c r="L2464"/>
      <c r="P2464" s="1"/>
    </row>
    <row r="2465" spans="6:16" x14ac:dyDescent="0.2">
      <c r="F2465"/>
      <c r="L2465"/>
      <c r="P2465" s="1"/>
    </row>
    <row r="2466" spans="6:16" x14ac:dyDescent="0.2">
      <c r="F2466"/>
      <c r="L2466"/>
      <c r="P2466" s="1"/>
    </row>
    <row r="2467" spans="6:16" x14ac:dyDescent="0.2">
      <c r="F2467"/>
      <c r="L2467"/>
      <c r="P2467" s="1"/>
    </row>
    <row r="2468" spans="6:16" x14ac:dyDescent="0.2">
      <c r="F2468"/>
      <c r="L2468"/>
      <c r="P2468" s="1"/>
    </row>
    <row r="2469" spans="6:16" x14ac:dyDescent="0.2">
      <c r="F2469"/>
      <c r="L2469"/>
      <c r="P2469" s="1"/>
    </row>
    <row r="2470" spans="6:16" x14ac:dyDescent="0.2">
      <c r="F2470"/>
      <c r="L2470"/>
      <c r="P2470" s="1"/>
    </row>
    <row r="2471" spans="6:16" x14ac:dyDescent="0.2">
      <c r="F2471"/>
      <c r="L2471"/>
      <c r="P2471" s="1"/>
    </row>
    <row r="2472" spans="6:16" x14ac:dyDescent="0.2">
      <c r="F2472"/>
      <c r="L2472"/>
      <c r="P2472" s="1"/>
    </row>
    <row r="2473" spans="6:16" x14ac:dyDescent="0.2">
      <c r="F2473"/>
      <c r="L2473"/>
      <c r="P2473" s="1"/>
    </row>
    <row r="2474" spans="6:16" x14ac:dyDescent="0.2">
      <c r="F2474"/>
      <c r="L2474"/>
      <c r="P2474" s="1"/>
    </row>
    <row r="2475" spans="6:16" x14ac:dyDescent="0.2">
      <c r="F2475"/>
      <c r="L2475"/>
      <c r="P2475" s="1"/>
    </row>
    <row r="2476" spans="6:16" x14ac:dyDescent="0.2">
      <c r="F2476"/>
      <c r="L2476"/>
      <c r="P2476" s="1"/>
    </row>
    <row r="2477" spans="6:16" x14ac:dyDescent="0.2">
      <c r="F2477"/>
      <c r="L2477"/>
      <c r="P2477" s="1"/>
    </row>
    <row r="2478" spans="6:16" x14ac:dyDescent="0.2">
      <c r="F2478"/>
      <c r="L2478"/>
      <c r="P2478" s="1"/>
    </row>
    <row r="2479" spans="6:16" x14ac:dyDescent="0.2">
      <c r="F2479"/>
      <c r="L2479"/>
      <c r="P2479" s="1"/>
    </row>
    <row r="2480" spans="6:16" x14ac:dyDescent="0.2">
      <c r="F2480"/>
      <c r="L2480"/>
      <c r="P2480" s="1"/>
    </row>
    <row r="2481" spans="6:16" x14ac:dyDescent="0.2">
      <c r="F2481"/>
      <c r="L2481"/>
      <c r="P2481" s="1"/>
    </row>
    <row r="2482" spans="6:16" x14ac:dyDescent="0.2">
      <c r="F2482"/>
      <c r="L2482"/>
      <c r="P2482" s="1"/>
    </row>
    <row r="2483" spans="6:16" x14ac:dyDescent="0.2">
      <c r="F2483"/>
      <c r="L2483"/>
      <c r="P2483" s="1"/>
    </row>
    <row r="2484" spans="6:16" x14ac:dyDescent="0.2">
      <c r="F2484"/>
      <c r="L2484"/>
      <c r="P2484" s="1"/>
    </row>
    <row r="2485" spans="6:16" x14ac:dyDescent="0.2">
      <c r="F2485"/>
      <c r="L2485"/>
      <c r="P2485" s="1"/>
    </row>
    <row r="2486" spans="6:16" x14ac:dyDescent="0.2">
      <c r="F2486"/>
      <c r="L2486"/>
      <c r="P2486" s="1"/>
    </row>
    <row r="2487" spans="6:16" x14ac:dyDescent="0.2">
      <c r="F2487"/>
      <c r="L2487"/>
      <c r="P2487" s="1"/>
    </row>
    <row r="2488" spans="6:16" x14ac:dyDescent="0.2">
      <c r="F2488"/>
      <c r="L2488"/>
      <c r="P2488" s="1"/>
    </row>
    <row r="2489" spans="6:16" x14ac:dyDescent="0.2">
      <c r="F2489"/>
      <c r="L2489"/>
      <c r="P2489" s="1"/>
    </row>
    <row r="2490" spans="6:16" x14ac:dyDescent="0.2">
      <c r="F2490"/>
      <c r="L2490"/>
      <c r="P2490" s="1"/>
    </row>
    <row r="2491" spans="6:16" x14ac:dyDescent="0.2">
      <c r="F2491"/>
      <c r="L2491"/>
      <c r="P2491" s="1"/>
    </row>
    <row r="2492" spans="6:16" x14ac:dyDescent="0.2">
      <c r="F2492"/>
      <c r="L2492"/>
      <c r="P2492" s="1"/>
    </row>
    <row r="2493" spans="6:16" x14ac:dyDescent="0.2">
      <c r="F2493"/>
      <c r="L2493"/>
      <c r="P2493" s="1"/>
    </row>
    <row r="2494" spans="6:16" x14ac:dyDescent="0.2">
      <c r="F2494"/>
      <c r="L2494"/>
      <c r="P2494" s="1"/>
    </row>
    <row r="2495" spans="6:16" x14ac:dyDescent="0.2">
      <c r="F2495"/>
      <c r="L2495"/>
      <c r="P2495" s="1"/>
    </row>
    <row r="2496" spans="6:16" x14ac:dyDescent="0.2">
      <c r="F2496"/>
      <c r="L2496"/>
      <c r="P2496" s="1"/>
    </row>
    <row r="2497" spans="6:16" x14ac:dyDescent="0.2">
      <c r="F2497"/>
      <c r="L2497"/>
      <c r="P2497" s="1"/>
    </row>
    <row r="2498" spans="6:16" x14ac:dyDescent="0.2">
      <c r="F2498"/>
      <c r="L2498"/>
      <c r="P2498" s="1"/>
    </row>
    <row r="2499" spans="6:16" x14ac:dyDescent="0.2">
      <c r="F2499"/>
      <c r="L2499"/>
      <c r="P2499" s="1"/>
    </row>
    <row r="2500" spans="6:16" x14ac:dyDescent="0.2">
      <c r="F2500"/>
      <c r="L2500"/>
      <c r="P2500" s="1"/>
    </row>
    <row r="2501" spans="6:16" x14ac:dyDescent="0.2">
      <c r="F2501"/>
      <c r="L2501"/>
      <c r="P2501" s="1"/>
    </row>
    <row r="2502" spans="6:16" x14ac:dyDescent="0.2">
      <c r="F2502"/>
      <c r="L2502"/>
      <c r="P2502" s="1"/>
    </row>
    <row r="2503" spans="6:16" x14ac:dyDescent="0.2">
      <c r="F2503"/>
      <c r="L2503"/>
      <c r="P2503" s="1"/>
    </row>
    <row r="2504" spans="6:16" x14ac:dyDescent="0.2">
      <c r="F2504"/>
      <c r="L2504"/>
      <c r="P2504" s="1"/>
    </row>
    <row r="2505" spans="6:16" x14ac:dyDescent="0.2">
      <c r="F2505"/>
      <c r="L2505"/>
      <c r="P2505" s="1"/>
    </row>
    <row r="2506" spans="6:16" x14ac:dyDescent="0.2">
      <c r="F2506"/>
      <c r="L2506"/>
      <c r="P2506" s="1"/>
    </row>
    <row r="2507" spans="6:16" x14ac:dyDescent="0.2">
      <c r="F2507"/>
      <c r="L2507"/>
      <c r="P2507" s="1"/>
    </row>
    <row r="2508" spans="6:16" x14ac:dyDescent="0.2">
      <c r="F2508"/>
      <c r="L2508"/>
      <c r="P2508" s="1"/>
    </row>
    <row r="2509" spans="6:16" x14ac:dyDescent="0.2">
      <c r="F2509"/>
      <c r="L2509"/>
      <c r="P2509" s="1"/>
    </row>
    <row r="2510" spans="6:16" x14ac:dyDescent="0.2">
      <c r="F2510"/>
      <c r="L2510"/>
    </row>
    <row r="2511" spans="6:16" x14ac:dyDescent="0.2">
      <c r="F2511"/>
      <c r="L2511"/>
      <c r="P2511" s="1"/>
    </row>
    <row r="2512" spans="6:16" x14ac:dyDescent="0.2">
      <c r="F2512"/>
      <c r="L2512"/>
    </row>
    <row r="2513" spans="1:17" x14ac:dyDescent="0.2">
      <c r="F2513"/>
      <c r="L2513"/>
      <c r="P2513" s="1"/>
    </row>
    <row r="2514" spans="1:17" x14ac:dyDescent="0.2">
      <c r="F2514"/>
      <c r="L2514"/>
      <c r="P2514" s="1"/>
    </row>
    <row r="2515" spans="1:17" x14ac:dyDescent="0.2">
      <c r="F2515"/>
      <c r="L2515"/>
    </row>
    <row r="2516" spans="1:17" x14ac:dyDescent="0.2">
      <c r="F2516"/>
      <c r="L2516"/>
    </row>
    <row r="2517" spans="1:17" x14ac:dyDescent="0.2">
      <c r="F2517"/>
      <c r="L2517"/>
      <c r="P2517" s="1"/>
    </row>
    <row r="2518" spans="1:17" x14ac:dyDescent="0.2">
      <c r="F2518"/>
      <c r="L2518"/>
    </row>
    <row r="2519" spans="1:17" x14ac:dyDescent="0.2">
      <c r="F2519"/>
      <c r="L2519"/>
    </row>
    <row r="2520" spans="1:17" x14ac:dyDescent="0.2">
      <c r="A2520" s="4"/>
      <c r="B2520" s="4"/>
      <c r="C2520" s="4"/>
      <c r="D2520" s="4"/>
      <c r="E2520" s="4"/>
      <c r="F2520" s="4"/>
      <c r="G2520" s="4"/>
      <c r="H2520" s="4"/>
      <c r="I2520" s="4"/>
      <c r="J2520" s="4"/>
      <c r="K2520" s="4"/>
      <c r="L2520" s="4"/>
      <c r="M2520" s="4"/>
      <c r="N2520" s="4"/>
      <c r="O2520" s="4"/>
      <c r="P2520" s="4"/>
      <c r="Q2520" s="4"/>
    </row>
    <row r="2521" spans="1:17" x14ac:dyDescent="0.2">
      <c r="A2521" s="4"/>
      <c r="B2521" s="4"/>
      <c r="C2521" s="4"/>
      <c r="D2521" s="4"/>
      <c r="E2521" s="4"/>
      <c r="F2521" s="4"/>
      <c r="G2521" s="4"/>
      <c r="H2521" s="4"/>
      <c r="I2521" s="4"/>
      <c r="J2521" s="4"/>
      <c r="K2521" s="4"/>
      <c r="L2521" s="4"/>
      <c r="M2521" s="4"/>
      <c r="N2521" s="4"/>
      <c r="O2521" s="4"/>
      <c r="P2521" s="4"/>
      <c r="Q2521" s="4"/>
    </row>
    <row r="2522" spans="1:17" x14ac:dyDescent="0.2">
      <c r="A2522" s="4"/>
      <c r="B2522" s="4"/>
      <c r="C2522" s="4"/>
      <c r="D2522" s="4"/>
      <c r="E2522" s="4"/>
      <c r="F2522" s="4"/>
      <c r="G2522" s="4"/>
      <c r="H2522" s="4"/>
      <c r="I2522" s="4"/>
      <c r="J2522" s="4"/>
      <c r="K2522" s="4"/>
      <c r="L2522" s="4"/>
      <c r="M2522" s="4"/>
      <c r="N2522" s="4"/>
      <c r="O2522" s="4"/>
      <c r="P2522" s="4"/>
      <c r="Q2522" s="4"/>
    </row>
    <row r="2523" spans="1:17" x14ac:dyDescent="0.2">
      <c r="A2523" s="4"/>
      <c r="B2523" s="4"/>
      <c r="C2523" s="4"/>
      <c r="D2523" s="4"/>
      <c r="E2523" s="4"/>
      <c r="F2523" s="4"/>
      <c r="G2523" s="4"/>
      <c r="H2523" s="4"/>
      <c r="I2523" s="4"/>
      <c r="J2523" s="4"/>
      <c r="K2523" s="4"/>
      <c r="L2523" s="4"/>
      <c r="M2523" s="4"/>
      <c r="N2523" s="4"/>
      <c r="O2523" s="4"/>
      <c r="P2523" s="4"/>
      <c r="Q2523" s="4"/>
    </row>
    <row r="2524" spans="1:17" x14ac:dyDescent="0.2">
      <c r="A2524" s="4"/>
      <c r="B2524" s="4"/>
      <c r="C2524" s="4"/>
      <c r="D2524" s="4"/>
      <c r="E2524" s="4"/>
      <c r="F2524" s="4"/>
      <c r="G2524" s="4"/>
      <c r="H2524" s="4"/>
      <c r="I2524" s="4"/>
      <c r="J2524" s="4"/>
      <c r="K2524" s="4"/>
      <c r="L2524" s="4"/>
      <c r="M2524" s="4"/>
      <c r="N2524" s="4"/>
      <c r="O2524" s="4"/>
      <c r="P2524" s="4"/>
      <c r="Q2524" s="4"/>
    </row>
    <row r="2525" spans="1:17" x14ac:dyDescent="0.2">
      <c r="A2525" s="4"/>
      <c r="B2525" s="4"/>
      <c r="C2525" s="4"/>
      <c r="D2525" s="4"/>
      <c r="E2525" s="4"/>
      <c r="F2525" s="4"/>
      <c r="G2525" s="4"/>
      <c r="H2525" s="4"/>
      <c r="I2525" s="4"/>
      <c r="J2525" s="4"/>
      <c r="K2525" s="4"/>
      <c r="L2525" s="4"/>
      <c r="M2525" s="4"/>
      <c r="N2525" s="4"/>
      <c r="O2525" s="4"/>
      <c r="P2525" s="4"/>
      <c r="Q2525" s="4"/>
    </row>
    <row r="2526" spans="1:17" x14ac:dyDescent="0.2">
      <c r="A2526" s="4"/>
      <c r="B2526" s="4"/>
      <c r="C2526" s="4"/>
      <c r="D2526" s="4"/>
      <c r="E2526" s="4"/>
      <c r="F2526" s="4"/>
      <c r="G2526" s="4"/>
      <c r="H2526" s="4"/>
      <c r="I2526" s="4"/>
      <c r="J2526" s="4"/>
      <c r="K2526" s="4"/>
      <c r="L2526" s="4"/>
      <c r="M2526" s="4"/>
      <c r="N2526" s="4"/>
      <c r="O2526" s="4"/>
      <c r="P2526" s="4"/>
      <c r="Q2526" s="4"/>
    </row>
    <row r="2527" spans="1:17" x14ac:dyDescent="0.2">
      <c r="A2527" s="4"/>
      <c r="B2527" s="4"/>
      <c r="C2527" s="4"/>
      <c r="D2527" s="4"/>
      <c r="E2527" s="4"/>
      <c r="F2527" s="4"/>
      <c r="G2527" s="4"/>
      <c r="H2527" s="4"/>
      <c r="I2527" s="4"/>
      <c r="J2527" s="4"/>
      <c r="K2527" s="4"/>
      <c r="L2527" s="4"/>
      <c r="M2527" s="4"/>
      <c r="N2527" s="4"/>
      <c r="O2527" s="4"/>
      <c r="P2527" s="4"/>
      <c r="Q2527" s="4"/>
    </row>
    <row r="2528" spans="1:17" x14ac:dyDescent="0.2">
      <c r="A2528" s="4"/>
      <c r="B2528" s="4"/>
      <c r="C2528" s="4"/>
      <c r="D2528" s="4"/>
      <c r="E2528" s="4"/>
      <c r="F2528" s="4"/>
      <c r="G2528" s="4"/>
      <c r="H2528" s="4"/>
      <c r="I2528" s="4"/>
      <c r="J2528" s="4"/>
      <c r="K2528" s="4"/>
      <c r="L2528" s="4"/>
      <c r="M2528" s="4"/>
      <c r="N2528" s="4"/>
      <c r="O2528" s="4"/>
      <c r="P2528" s="4"/>
      <c r="Q2528" s="4"/>
    </row>
    <row r="2529" spans="1:17" x14ac:dyDescent="0.2">
      <c r="A2529" s="4"/>
      <c r="B2529" s="4"/>
      <c r="C2529" s="4"/>
      <c r="D2529" s="4"/>
      <c r="E2529" s="4"/>
      <c r="F2529" s="4"/>
      <c r="G2529" s="4"/>
      <c r="H2529" s="4"/>
      <c r="I2529" s="4"/>
      <c r="J2529" s="4"/>
      <c r="K2529" s="4"/>
      <c r="L2529" s="4"/>
      <c r="M2529" s="4"/>
      <c r="N2529" s="4"/>
      <c r="O2529" s="4"/>
      <c r="P2529" s="4"/>
      <c r="Q2529" s="4"/>
    </row>
    <row r="2530" spans="1:17" x14ac:dyDescent="0.2">
      <c r="A2530" s="4"/>
      <c r="B2530" s="4"/>
      <c r="C2530" s="4"/>
      <c r="D2530" s="4"/>
      <c r="E2530" s="4"/>
      <c r="F2530" s="4"/>
      <c r="G2530" s="4"/>
      <c r="H2530" s="4"/>
      <c r="I2530" s="4"/>
      <c r="J2530" s="4"/>
      <c r="K2530" s="4"/>
      <c r="L2530" s="4"/>
      <c r="M2530" s="4"/>
      <c r="N2530" s="4"/>
      <c r="O2530" s="4"/>
      <c r="P2530" s="4"/>
      <c r="Q2530" s="4"/>
    </row>
    <row r="2531" spans="1:17" x14ac:dyDescent="0.2">
      <c r="A2531" s="4"/>
      <c r="B2531" s="4"/>
      <c r="C2531" s="4"/>
      <c r="D2531" s="4"/>
      <c r="E2531" s="4"/>
      <c r="F2531" s="4"/>
      <c r="G2531" s="4"/>
      <c r="H2531" s="4"/>
      <c r="I2531" s="4"/>
      <c r="J2531" s="4"/>
      <c r="K2531" s="4"/>
      <c r="L2531" s="4"/>
      <c r="M2531" s="4"/>
      <c r="N2531" s="4"/>
      <c r="O2531" s="4"/>
      <c r="P2531" s="4"/>
      <c r="Q2531" s="4"/>
    </row>
    <row r="2532" spans="1:17" x14ac:dyDescent="0.2">
      <c r="A2532" s="4"/>
      <c r="B2532" s="4"/>
      <c r="C2532" s="4"/>
      <c r="D2532" s="4"/>
      <c r="E2532" s="4"/>
      <c r="F2532" s="4"/>
      <c r="G2532" s="4"/>
      <c r="H2532" s="4"/>
      <c r="I2532" s="4"/>
      <c r="J2532" s="4"/>
      <c r="K2532" s="4"/>
      <c r="L2532" s="4"/>
      <c r="M2532" s="4"/>
      <c r="N2532" s="4"/>
      <c r="O2532" s="4"/>
      <c r="P2532" s="4"/>
      <c r="Q2532" s="4"/>
    </row>
    <row r="2533" spans="1:17" x14ac:dyDescent="0.2">
      <c r="A2533" s="4"/>
      <c r="B2533" s="4"/>
      <c r="C2533" s="4"/>
      <c r="D2533" s="4"/>
      <c r="E2533" s="4"/>
      <c r="F2533" s="4"/>
      <c r="G2533" s="4"/>
      <c r="H2533" s="4"/>
      <c r="I2533" s="4"/>
      <c r="J2533" s="4"/>
      <c r="K2533" s="4"/>
      <c r="L2533" s="4"/>
      <c r="M2533" s="4"/>
      <c r="N2533" s="4"/>
      <c r="O2533" s="4"/>
      <c r="P2533" s="4"/>
      <c r="Q2533" s="4"/>
    </row>
    <row r="2534" spans="1:17" x14ac:dyDescent="0.2">
      <c r="A2534" s="4"/>
      <c r="B2534" s="4"/>
      <c r="C2534" s="4"/>
      <c r="D2534" s="4"/>
      <c r="E2534" s="4"/>
      <c r="F2534" s="4"/>
      <c r="G2534" s="4"/>
      <c r="H2534" s="4"/>
      <c r="I2534" s="4"/>
      <c r="J2534" s="4"/>
      <c r="K2534" s="4"/>
      <c r="L2534" s="4"/>
      <c r="M2534" s="4"/>
      <c r="N2534" s="4"/>
      <c r="O2534" s="4"/>
      <c r="P2534" s="4"/>
      <c r="Q2534" s="4"/>
    </row>
    <row r="2535" spans="1:17" x14ac:dyDescent="0.2">
      <c r="A2535" s="4"/>
      <c r="B2535" s="4"/>
      <c r="C2535" s="4"/>
      <c r="D2535" s="4"/>
      <c r="E2535" s="4"/>
      <c r="F2535" s="4"/>
      <c r="G2535" s="4"/>
      <c r="H2535" s="4"/>
      <c r="I2535" s="4"/>
      <c r="J2535" s="4"/>
      <c r="K2535" s="4"/>
      <c r="L2535" s="4"/>
      <c r="M2535" s="4"/>
      <c r="N2535" s="4"/>
      <c r="O2535" s="4"/>
      <c r="P2535" s="4"/>
      <c r="Q2535" s="4"/>
    </row>
    <row r="2536" spans="1:17" x14ac:dyDescent="0.2">
      <c r="A2536" s="4"/>
      <c r="B2536" s="4"/>
      <c r="C2536" s="4"/>
      <c r="D2536" s="4"/>
      <c r="E2536" s="4"/>
      <c r="F2536" s="4"/>
      <c r="G2536" s="4"/>
      <c r="H2536" s="4"/>
      <c r="I2536" s="4"/>
      <c r="J2536" s="4"/>
      <c r="K2536" s="4"/>
      <c r="L2536" s="4"/>
      <c r="M2536" s="4"/>
      <c r="N2536" s="4"/>
      <c r="O2536" s="4"/>
      <c r="P2536" s="4"/>
      <c r="Q2536" s="4"/>
    </row>
    <row r="2537" spans="1:17" x14ac:dyDescent="0.2">
      <c r="A2537" s="4"/>
      <c r="B2537" s="4"/>
      <c r="C2537" s="4"/>
      <c r="D2537" s="4"/>
      <c r="E2537" s="4"/>
      <c r="F2537" s="4"/>
      <c r="G2537" s="4"/>
      <c r="H2537" s="4"/>
      <c r="I2537" s="4"/>
      <c r="J2537" s="4"/>
      <c r="K2537" s="4"/>
      <c r="L2537" s="4"/>
      <c r="M2537" s="4"/>
      <c r="N2537" s="4"/>
      <c r="O2537" s="4"/>
      <c r="P2537" s="4"/>
      <c r="Q2537" s="4"/>
    </row>
    <row r="2538" spans="1:17" x14ac:dyDescent="0.2">
      <c r="A2538" s="4"/>
      <c r="B2538" s="4"/>
      <c r="C2538" s="4"/>
      <c r="D2538" s="4"/>
      <c r="E2538" s="4"/>
      <c r="F2538" s="4"/>
      <c r="G2538" s="4"/>
      <c r="H2538" s="4"/>
      <c r="I2538" s="4"/>
      <c r="J2538" s="4"/>
      <c r="K2538" s="4"/>
      <c r="L2538" s="4"/>
      <c r="M2538" s="4"/>
      <c r="N2538" s="4"/>
      <c r="O2538" s="4"/>
      <c r="P2538" s="4"/>
      <c r="Q2538" s="4"/>
    </row>
    <row r="2539" spans="1:17" x14ac:dyDescent="0.2">
      <c r="A2539" s="4"/>
      <c r="B2539" s="4"/>
      <c r="C2539" s="4"/>
      <c r="D2539" s="4"/>
      <c r="E2539" s="4"/>
      <c r="F2539" s="4"/>
      <c r="G2539" s="4"/>
      <c r="H2539" s="4"/>
      <c r="I2539" s="4"/>
      <c r="J2539" s="4"/>
      <c r="K2539" s="4"/>
      <c r="L2539" s="4"/>
      <c r="M2539" s="4"/>
      <c r="N2539" s="4"/>
      <c r="O2539" s="4"/>
      <c r="P2539" s="4"/>
      <c r="Q2539" s="4"/>
    </row>
    <row r="2540" spans="1:17" x14ac:dyDescent="0.2">
      <c r="A2540" s="4"/>
      <c r="B2540" s="4"/>
      <c r="C2540" s="4"/>
      <c r="D2540" s="4"/>
      <c r="E2540" s="4"/>
      <c r="F2540" s="4"/>
      <c r="G2540" s="4"/>
      <c r="H2540" s="4"/>
      <c r="I2540" s="4"/>
      <c r="J2540" s="4"/>
      <c r="K2540" s="4"/>
      <c r="L2540" s="4"/>
      <c r="M2540" s="4"/>
      <c r="N2540" s="4"/>
      <c r="O2540" s="4"/>
      <c r="P2540" s="4"/>
      <c r="Q2540" s="4"/>
    </row>
    <row r="2541" spans="1:17" x14ac:dyDescent="0.2">
      <c r="A2541" s="4"/>
      <c r="B2541" s="4"/>
      <c r="C2541" s="4"/>
      <c r="D2541" s="4"/>
      <c r="E2541" s="4"/>
      <c r="F2541" s="4"/>
      <c r="G2541" s="4"/>
      <c r="H2541" s="4"/>
      <c r="I2541" s="4"/>
      <c r="J2541" s="4"/>
      <c r="K2541" s="4"/>
      <c r="L2541" s="4"/>
      <c r="M2541" s="4"/>
      <c r="N2541" s="4"/>
      <c r="O2541" s="4"/>
      <c r="P2541" s="4"/>
      <c r="Q2541" s="4"/>
    </row>
    <row r="2542" spans="1:17" x14ac:dyDescent="0.2">
      <c r="A2542" s="4"/>
      <c r="B2542" s="4"/>
      <c r="C2542" s="4"/>
      <c r="D2542" s="4"/>
      <c r="E2542" s="4"/>
      <c r="F2542" s="4"/>
      <c r="G2542" s="4"/>
      <c r="H2542" s="4"/>
      <c r="I2542" s="4"/>
      <c r="J2542" s="4"/>
      <c r="K2542" s="4"/>
      <c r="L2542" s="4"/>
      <c r="M2542" s="4"/>
      <c r="N2542" s="4"/>
      <c r="O2542" s="4"/>
      <c r="P2542" s="4"/>
      <c r="Q2542" s="4"/>
    </row>
    <row r="2543" spans="1:17" x14ac:dyDescent="0.2">
      <c r="A2543" s="4"/>
      <c r="B2543" s="4"/>
      <c r="C2543" s="4"/>
      <c r="D2543" s="4"/>
      <c r="E2543" s="4"/>
      <c r="F2543" s="4"/>
      <c r="G2543" s="4"/>
      <c r="H2543" s="4"/>
      <c r="I2543" s="4"/>
      <c r="J2543" s="4"/>
      <c r="K2543" s="4"/>
      <c r="L2543" s="4"/>
      <c r="M2543" s="4"/>
      <c r="N2543" s="4"/>
      <c r="O2543" s="4"/>
      <c r="P2543" s="4"/>
      <c r="Q2543" s="4"/>
    </row>
    <row r="2544" spans="1:17" x14ac:dyDescent="0.2">
      <c r="A2544" s="4"/>
      <c r="B2544" s="4"/>
      <c r="C2544" s="4"/>
      <c r="D2544" s="4"/>
      <c r="E2544" s="4"/>
      <c r="F2544" s="4"/>
      <c r="G2544" s="4"/>
      <c r="H2544" s="4"/>
      <c r="I2544" s="4"/>
      <c r="J2544" s="4"/>
      <c r="K2544" s="4"/>
      <c r="L2544" s="4"/>
      <c r="M2544" s="4"/>
      <c r="N2544" s="4"/>
      <c r="O2544" s="4"/>
      <c r="P2544" s="4"/>
      <c r="Q2544" s="4"/>
    </row>
    <row r="2545" spans="1:17" x14ac:dyDescent="0.2">
      <c r="A2545" s="4"/>
      <c r="B2545" s="4"/>
      <c r="C2545" s="4"/>
      <c r="D2545" s="4"/>
      <c r="E2545" s="4"/>
      <c r="F2545" s="4"/>
      <c r="G2545" s="4"/>
      <c r="H2545" s="4"/>
      <c r="I2545" s="4"/>
      <c r="J2545" s="4"/>
      <c r="K2545" s="4"/>
      <c r="L2545" s="4"/>
      <c r="M2545" s="4"/>
      <c r="N2545" s="4"/>
      <c r="O2545" s="4"/>
      <c r="P2545" s="4"/>
      <c r="Q2545" s="4"/>
    </row>
    <row r="2546" spans="1:17" x14ac:dyDescent="0.2">
      <c r="A2546" s="4"/>
      <c r="B2546" s="4"/>
      <c r="C2546" s="4"/>
      <c r="D2546" s="4"/>
      <c r="E2546" s="4"/>
      <c r="F2546" s="4"/>
      <c r="G2546" s="4"/>
      <c r="H2546" s="4"/>
      <c r="I2546" s="4"/>
      <c r="J2546" s="4"/>
      <c r="K2546" s="4"/>
      <c r="L2546" s="4"/>
      <c r="M2546" s="4"/>
      <c r="N2546" s="4"/>
      <c r="O2546" s="4"/>
      <c r="P2546" s="4"/>
      <c r="Q2546" s="4"/>
    </row>
    <row r="2547" spans="1:17" x14ac:dyDescent="0.2">
      <c r="A2547" s="4"/>
      <c r="B2547" s="4"/>
      <c r="C2547" s="4"/>
      <c r="D2547" s="4"/>
      <c r="E2547" s="4"/>
      <c r="F2547" s="4"/>
      <c r="G2547" s="4"/>
      <c r="H2547" s="4"/>
      <c r="I2547" s="4"/>
      <c r="J2547" s="4"/>
      <c r="K2547" s="4"/>
      <c r="L2547" s="4"/>
      <c r="M2547" s="4"/>
      <c r="N2547" s="4"/>
      <c r="O2547" s="4"/>
      <c r="P2547" s="4"/>
      <c r="Q2547" s="4"/>
    </row>
    <row r="2548" spans="1:17" x14ac:dyDescent="0.2">
      <c r="A2548" s="4"/>
      <c r="B2548" s="4"/>
      <c r="C2548" s="4"/>
      <c r="D2548" s="4"/>
      <c r="E2548" s="4"/>
      <c r="F2548" s="4"/>
      <c r="G2548" s="4"/>
      <c r="H2548" s="4"/>
      <c r="I2548" s="4"/>
      <c r="J2548" s="4"/>
      <c r="K2548" s="4"/>
      <c r="L2548" s="4"/>
      <c r="M2548" s="4"/>
      <c r="N2548" s="4"/>
      <c r="O2548" s="4"/>
      <c r="P2548" s="4"/>
      <c r="Q2548" s="4"/>
    </row>
    <row r="2549" spans="1:17" x14ac:dyDescent="0.2">
      <c r="A2549" s="4"/>
      <c r="B2549" s="4"/>
      <c r="C2549" s="4"/>
      <c r="D2549" s="4"/>
      <c r="E2549" s="4"/>
      <c r="F2549" s="4"/>
      <c r="G2549" s="4"/>
      <c r="H2549" s="4"/>
      <c r="I2549" s="4"/>
      <c r="J2549" s="4"/>
      <c r="K2549" s="4"/>
      <c r="L2549" s="4"/>
      <c r="M2549" s="4"/>
      <c r="N2549" s="4"/>
      <c r="O2549" s="4"/>
      <c r="P2549" s="4"/>
      <c r="Q2549" s="4"/>
    </row>
    <row r="2550" spans="1:17" x14ac:dyDescent="0.2">
      <c r="A2550" s="4"/>
      <c r="B2550" s="4"/>
      <c r="C2550" s="4"/>
      <c r="D2550" s="4"/>
      <c r="E2550" s="4"/>
      <c r="F2550" s="4"/>
      <c r="G2550" s="4"/>
      <c r="H2550" s="4"/>
      <c r="I2550" s="4"/>
      <c r="J2550" s="4"/>
      <c r="K2550" s="4"/>
      <c r="L2550" s="4"/>
      <c r="M2550" s="4"/>
      <c r="N2550" s="4"/>
      <c r="O2550" s="4"/>
      <c r="P2550" s="4"/>
      <c r="Q2550" s="4"/>
    </row>
    <row r="2551" spans="1:17" x14ac:dyDescent="0.2">
      <c r="A2551" s="4"/>
      <c r="B2551" s="4"/>
      <c r="C2551" s="4"/>
      <c r="D2551" s="4"/>
      <c r="E2551" s="4"/>
      <c r="F2551" s="4"/>
      <c r="G2551" s="4"/>
      <c r="H2551" s="4"/>
      <c r="I2551" s="4"/>
      <c r="J2551" s="4"/>
      <c r="K2551" s="4"/>
      <c r="L2551" s="4"/>
      <c r="M2551" s="4"/>
      <c r="N2551" s="4"/>
      <c r="O2551" s="4"/>
      <c r="P2551" s="4"/>
      <c r="Q2551" s="4"/>
    </row>
    <row r="2552" spans="1:17" x14ac:dyDescent="0.2">
      <c r="A2552" s="4"/>
      <c r="B2552" s="4"/>
      <c r="C2552" s="4"/>
      <c r="D2552" s="4"/>
      <c r="E2552" s="4"/>
      <c r="F2552" s="4"/>
      <c r="G2552" s="4"/>
      <c r="H2552" s="4"/>
      <c r="I2552" s="4"/>
      <c r="J2552" s="4"/>
      <c r="K2552" s="4"/>
      <c r="L2552" s="4"/>
      <c r="M2552" s="4"/>
      <c r="N2552" s="4"/>
      <c r="O2552" s="4"/>
      <c r="P2552" s="4"/>
      <c r="Q2552" s="4"/>
    </row>
    <row r="2553" spans="1:17" x14ac:dyDescent="0.2">
      <c r="A2553" s="4"/>
      <c r="B2553" s="4"/>
      <c r="C2553" s="4"/>
      <c r="D2553" s="4"/>
      <c r="E2553" s="4"/>
      <c r="F2553" s="4"/>
      <c r="G2553" s="4"/>
      <c r="H2553" s="4"/>
      <c r="I2553" s="4"/>
      <c r="J2553" s="4"/>
      <c r="K2553" s="4"/>
      <c r="L2553" s="4"/>
      <c r="M2553" s="4"/>
      <c r="N2553" s="4"/>
      <c r="O2553" s="4"/>
      <c r="P2553" s="4"/>
      <c r="Q2553" s="4"/>
    </row>
    <row r="2554" spans="1:17" x14ac:dyDescent="0.2">
      <c r="A2554" s="4"/>
      <c r="B2554" s="4"/>
      <c r="C2554" s="4"/>
      <c r="D2554" s="4"/>
      <c r="E2554" s="4"/>
      <c r="F2554" s="4"/>
      <c r="G2554" s="4"/>
      <c r="H2554" s="4"/>
      <c r="I2554" s="4"/>
      <c r="J2554" s="4"/>
      <c r="K2554" s="4"/>
      <c r="L2554" s="4"/>
      <c r="M2554" s="4"/>
      <c r="N2554" s="4"/>
      <c r="O2554" s="4"/>
      <c r="P2554" s="4"/>
      <c r="Q2554" s="4"/>
    </row>
    <row r="2555" spans="1:17" x14ac:dyDescent="0.2">
      <c r="A2555" s="4"/>
      <c r="B2555" s="4"/>
      <c r="C2555" s="4"/>
      <c r="D2555" s="4"/>
      <c r="E2555" s="4"/>
      <c r="F2555" s="4"/>
      <c r="G2555" s="4"/>
      <c r="H2555" s="4"/>
      <c r="I2555" s="4"/>
      <c r="J2555" s="4"/>
      <c r="K2555" s="4"/>
      <c r="L2555" s="4"/>
      <c r="M2555" s="4"/>
      <c r="N2555" s="4"/>
      <c r="O2555" s="4"/>
      <c r="P2555" s="4"/>
      <c r="Q2555" s="4"/>
    </row>
    <row r="2556" spans="1:17" x14ac:dyDescent="0.2">
      <c r="A2556" s="4"/>
      <c r="B2556" s="4"/>
      <c r="C2556" s="4"/>
      <c r="D2556" s="4"/>
      <c r="E2556" s="4"/>
      <c r="F2556" s="4"/>
      <c r="G2556" s="4"/>
      <c r="H2556" s="4"/>
      <c r="I2556" s="4"/>
      <c r="J2556" s="4"/>
      <c r="K2556" s="4"/>
      <c r="L2556" s="4"/>
      <c r="M2556" s="4"/>
      <c r="N2556" s="4"/>
      <c r="O2556" s="4"/>
      <c r="P2556" s="4"/>
      <c r="Q2556" s="4"/>
    </row>
    <row r="2557" spans="1:17" x14ac:dyDescent="0.2">
      <c r="A2557" s="4"/>
      <c r="B2557" s="4"/>
      <c r="C2557" s="4"/>
      <c r="D2557" s="4"/>
      <c r="E2557" s="4"/>
      <c r="F2557" s="4"/>
      <c r="G2557" s="4"/>
      <c r="H2557" s="4"/>
      <c r="I2557" s="4"/>
      <c r="J2557" s="4"/>
      <c r="K2557" s="4"/>
      <c r="L2557" s="4"/>
      <c r="M2557" s="4"/>
      <c r="N2557" s="4"/>
      <c r="O2557" s="4"/>
      <c r="P2557" s="4"/>
      <c r="Q2557" s="4"/>
    </row>
    <row r="2558" spans="1:17" x14ac:dyDescent="0.2">
      <c r="A2558" s="4"/>
      <c r="B2558" s="4"/>
      <c r="C2558" s="4"/>
      <c r="D2558" s="4"/>
      <c r="E2558" s="4"/>
      <c r="F2558" s="4"/>
      <c r="G2558" s="4"/>
      <c r="H2558" s="4"/>
      <c r="I2558" s="4"/>
      <c r="J2558" s="4"/>
      <c r="K2558" s="4"/>
      <c r="L2558" s="4"/>
      <c r="M2558" s="4"/>
      <c r="N2558" s="4"/>
      <c r="O2558" s="4"/>
      <c r="P2558" s="4"/>
      <c r="Q2558" s="4"/>
    </row>
    <row r="2559" spans="1:17" x14ac:dyDescent="0.2">
      <c r="A2559" s="4"/>
      <c r="B2559" s="4"/>
      <c r="C2559" s="4"/>
      <c r="D2559" s="4"/>
      <c r="E2559" s="4"/>
      <c r="F2559" s="4"/>
      <c r="G2559" s="4"/>
      <c r="H2559" s="4"/>
      <c r="I2559" s="4"/>
      <c r="J2559" s="4"/>
      <c r="K2559" s="4"/>
      <c r="L2559" s="4"/>
      <c r="M2559" s="4"/>
      <c r="N2559" s="4"/>
      <c r="O2559" s="4"/>
      <c r="P2559" s="4"/>
      <c r="Q2559" s="4"/>
    </row>
    <row r="2560" spans="1:17" x14ac:dyDescent="0.2">
      <c r="E2560" s="4"/>
      <c r="F2560"/>
      <c r="L2560"/>
    </row>
    <row r="2561" spans="5:12" x14ac:dyDescent="0.2">
      <c r="E2561" s="4"/>
      <c r="F2561"/>
      <c r="L2561"/>
    </row>
    <row r="2562" spans="5:12" x14ac:dyDescent="0.2">
      <c r="E2562" s="4"/>
      <c r="F2562"/>
      <c r="L2562"/>
    </row>
    <row r="2563" spans="5:12" x14ac:dyDescent="0.2">
      <c r="E2563" s="4"/>
      <c r="F2563"/>
      <c r="L2563"/>
    </row>
    <row r="2564" spans="5:12" x14ac:dyDescent="0.2">
      <c r="E2564" s="4"/>
      <c r="F2564"/>
      <c r="L2564"/>
    </row>
    <row r="2565" spans="5:12" x14ac:dyDescent="0.2">
      <c r="E2565" s="4"/>
      <c r="F2565"/>
      <c r="L2565"/>
    </row>
    <row r="2566" spans="5:12" x14ac:dyDescent="0.2">
      <c r="E2566" s="4"/>
      <c r="F2566"/>
      <c r="L2566"/>
    </row>
    <row r="2567" spans="5:12" x14ac:dyDescent="0.2">
      <c r="E2567" s="4"/>
      <c r="F2567"/>
      <c r="L2567"/>
    </row>
    <row r="2568" spans="5:12" x14ac:dyDescent="0.2">
      <c r="E2568" s="4"/>
      <c r="F2568"/>
      <c r="L2568"/>
    </row>
    <row r="2569" spans="5:12" x14ac:dyDescent="0.2">
      <c r="E2569" s="4"/>
      <c r="F2569"/>
      <c r="L2569"/>
    </row>
    <row r="2570" spans="5:12" x14ac:dyDescent="0.2">
      <c r="E2570" s="4"/>
      <c r="F2570"/>
      <c r="L2570"/>
    </row>
    <row r="2571" spans="5:12" x14ac:dyDescent="0.2">
      <c r="E2571" s="4"/>
      <c r="F2571"/>
      <c r="L2571"/>
    </row>
    <row r="2572" spans="5:12" x14ac:dyDescent="0.2">
      <c r="E2572" s="4"/>
      <c r="F2572"/>
      <c r="L2572"/>
    </row>
    <row r="2573" spans="5:12" x14ac:dyDescent="0.2">
      <c r="E2573" s="4"/>
      <c r="F2573"/>
      <c r="L2573"/>
    </row>
    <row r="2574" spans="5:12" x14ac:dyDescent="0.2">
      <c r="E2574" s="4"/>
      <c r="F2574"/>
      <c r="L2574"/>
    </row>
    <row r="2575" spans="5:12" x14ac:dyDescent="0.2">
      <c r="E2575" s="4"/>
      <c r="F2575"/>
      <c r="L2575"/>
    </row>
    <row r="2576" spans="5:12" x14ac:dyDescent="0.2">
      <c r="E2576" s="4"/>
      <c r="F2576"/>
      <c r="L2576"/>
    </row>
    <row r="2577" spans="5:12" x14ac:dyDescent="0.2">
      <c r="E2577" s="4"/>
      <c r="F2577"/>
      <c r="L2577"/>
    </row>
    <row r="2578" spans="5:12" x14ac:dyDescent="0.2">
      <c r="E2578" s="4"/>
      <c r="F2578"/>
      <c r="L2578"/>
    </row>
    <row r="2579" spans="5:12" x14ac:dyDescent="0.2">
      <c r="E2579" s="4"/>
      <c r="F2579"/>
      <c r="L2579"/>
    </row>
    <row r="2580" spans="5:12" x14ac:dyDescent="0.2">
      <c r="E2580" s="4"/>
      <c r="F2580"/>
      <c r="L2580"/>
    </row>
    <row r="2581" spans="5:12" x14ac:dyDescent="0.2">
      <c r="E2581" s="4"/>
      <c r="F2581"/>
      <c r="L2581"/>
    </row>
    <row r="2582" spans="5:12" x14ac:dyDescent="0.2">
      <c r="E2582" s="4"/>
      <c r="F2582"/>
      <c r="L2582"/>
    </row>
    <row r="2583" spans="5:12" x14ac:dyDescent="0.2">
      <c r="E2583" s="4"/>
      <c r="F2583"/>
      <c r="L2583"/>
    </row>
    <row r="2584" spans="5:12" x14ac:dyDescent="0.2">
      <c r="E2584" s="4"/>
      <c r="F2584"/>
      <c r="L2584"/>
    </row>
    <row r="2585" spans="5:12" x14ac:dyDescent="0.2">
      <c r="E2585" s="4"/>
      <c r="F2585"/>
      <c r="L2585"/>
    </row>
    <row r="2586" spans="5:12" x14ac:dyDescent="0.2">
      <c r="E2586" s="4"/>
      <c r="F2586"/>
      <c r="L2586"/>
    </row>
    <row r="2587" spans="5:12" x14ac:dyDescent="0.2">
      <c r="E2587" s="4"/>
      <c r="F2587"/>
      <c r="L2587"/>
    </row>
    <row r="2588" spans="5:12" x14ac:dyDescent="0.2">
      <c r="E2588" s="4"/>
      <c r="F2588"/>
      <c r="L2588"/>
    </row>
    <row r="2589" spans="5:12" x14ac:dyDescent="0.2">
      <c r="E2589" s="4"/>
      <c r="F2589"/>
      <c r="L2589"/>
    </row>
    <row r="2590" spans="5:12" x14ac:dyDescent="0.2">
      <c r="E2590" s="4"/>
      <c r="F2590"/>
      <c r="L2590"/>
    </row>
    <row r="2591" spans="5:12" x14ac:dyDescent="0.2">
      <c r="E2591" s="4"/>
      <c r="F2591"/>
      <c r="L2591"/>
    </row>
    <row r="2592" spans="5:12" x14ac:dyDescent="0.2">
      <c r="E2592" s="4"/>
      <c r="F2592"/>
      <c r="L2592"/>
    </row>
    <row r="2593" spans="5:12" x14ac:dyDescent="0.2">
      <c r="E2593" s="4"/>
      <c r="F2593"/>
      <c r="L2593"/>
    </row>
    <row r="2594" spans="5:12" x14ac:dyDescent="0.2">
      <c r="E2594" s="4"/>
      <c r="F2594"/>
      <c r="L2594"/>
    </row>
    <row r="2595" spans="5:12" x14ac:dyDescent="0.2">
      <c r="E2595" s="4"/>
      <c r="F2595"/>
      <c r="L2595"/>
    </row>
    <row r="2596" spans="5:12" x14ac:dyDescent="0.2">
      <c r="E2596" s="4"/>
      <c r="F2596"/>
      <c r="L2596"/>
    </row>
    <row r="2597" spans="5:12" x14ac:dyDescent="0.2">
      <c r="E2597" s="4"/>
      <c r="F2597"/>
      <c r="L2597"/>
    </row>
    <row r="2598" spans="5:12" x14ac:dyDescent="0.2">
      <c r="E2598" s="4"/>
      <c r="F2598"/>
      <c r="L2598"/>
    </row>
    <row r="2599" spans="5:12" x14ac:dyDescent="0.2">
      <c r="E2599" s="4"/>
      <c r="F2599"/>
      <c r="L2599"/>
    </row>
    <row r="2600" spans="5:12" x14ac:dyDescent="0.2">
      <c r="F2600"/>
      <c r="L2600"/>
    </row>
    <row r="2601" spans="5:12" x14ac:dyDescent="0.2">
      <c r="F2601"/>
      <c r="L2601"/>
    </row>
    <row r="2602" spans="5:12" x14ac:dyDescent="0.2">
      <c r="F2602"/>
      <c r="L2602"/>
    </row>
    <row r="2603" spans="5:12" x14ac:dyDescent="0.2">
      <c r="F2603"/>
      <c r="L2603"/>
    </row>
    <row r="2604" spans="5:12" x14ac:dyDescent="0.2">
      <c r="F2604"/>
      <c r="L2604"/>
    </row>
    <row r="2605" spans="5:12" x14ac:dyDescent="0.2">
      <c r="F2605"/>
      <c r="L2605"/>
    </row>
    <row r="2606" spans="5:12" x14ac:dyDescent="0.2">
      <c r="F2606"/>
      <c r="L2606"/>
    </row>
    <row r="2607" spans="5:12" x14ac:dyDescent="0.2">
      <c r="F2607"/>
      <c r="L2607"/>
    </row>
    <row r="2608" spans="5:12" x14ac:dyDescent="0.2">
      <c r="F2608"/>
      <c r="L2608"/>
    </row>
    <row r="2609" spans="6:12" x14ac:dyDescent="0.2">
      <c r="F2609"/>
      <c r="L2609"/>
    </row>
    <row r="2610" spans="6:12" x14ac:dyDescent="0.2">
      <c r="F2610"/>
      <c r="L2610"/>
    </row>
    <row r="2611" spans="6:12" x14ac:dyDescent="0.2">
      <c r="F2611"/>
      <c r="L2611"/>
    </row>
    <row r="2612" spans="6:12" x14ac:dyDescent="0.2">
      <c r="F2612"/>
      <c r="L2612"/>
    </row>
    <row r="2613" spans="6:12" x14ac:dyDescent="0.2">
      <c r="F2613"/>
      <c r="L2613"/>
    </row>
    <row r="2614" spans="6:12" x14ac:dyDescent="0.2">
      <c r="F2614"/>
      <c r="L2614"/>
    </row>
    <row r="2615" spans="6:12" x14ac:dyDescent="0.2">
      <c r="F2615"/>
      <c r="L2615"/>
    </row>
    <row r="2616" spans="6:12" x14ac:dyDescent="0.2">
      <c r="F2616"/>
      <c r="L2616"/>
    </row>
    <row r="2617" spans="6:12" x14ac:dyDescent="0.2">
      <c r="F2617"/>
      <c r="L2617"/>
    </row>
    <row r="2618" spans="6:12" x14ac:dyDescent="0.2">
      <c r="F2618"/>
      <c r="L2618"/>
    </row>
    <row r="2619" spans="6:12" x14ac:dyDescent="0.2">
      <c r="F2619"/>
      <c r="L2619"/>
    </row>
    <row r="2620" spans="6:12" x14ac:dyDescent="0.2">
      <c r="F2620"/>
      <c r="L2620"/>
    </row>
    <row r="2621" spans="6:12" x14ac:dyDescent="0.2">
      <c r="F2621"/>
      <c r="L2621"/>
    </row>
    <row r="2622" spans="6:12" x14ac:dyDescent="0.2">
      <c r="F2622"/>
      <c r="L2622"/>
    </row>
    <row r="2623" spans="6:12" x14ac:dyDescent="0.2">
      <c r="F2623"/>
      <c r="L2623"/>
    </row>
    <row r="2624" spans="6:12" x14ac:dyDescent="0.2">
      <c r="F2624"/>
      <c r="L2624"/>
    </row>
    <row r="2625" spans="6:12" x14ac:dyDescent="0.2">
      <c r="F2625"/>
      <c r="L2625"/>
    </row>
    <row r="2626" spans="6:12" x14ac:dyDescent="0.2">
      <c r="F2626"/>
      <c r="L2626"/>
    </row>
    <row r="2627" spans="6:12" x14ac:dyDescent="0.2">
      <c r="F2627"/>
      <c r="L2627"/>
    </row>
    <row r="2628" spans="6:12" x14ac:dyDescent="0.2">
      <c r="F2628"/>
      <c r="L2628"/>
    </row>
    <row r="2629" spans="6:12" x14ac:dyDescent="0.2">
      <c r="F2629"/>
      <c r="L2629"/>
    </row>
    <row r="2630" spans="6:12" x14ac:dyDescent="0.2">
      <c r="F2630"/>
      <c r="L2630"/>
    </row>
    <row r="2631" spans="6:12" x14ac:dyDescent="0.2">
      <c r="F2631"/>
      <c r="L2631"/>
    </row>
    <row r="2632" spans="6:12" x14ac:dyDescent="0.2">
      <c r="F2632"/>
      <c r="L2632"/>
    </row>
    <row r="2633" spans="6:12" x14ac:dyDescent="0.2">
      <c r="F2633"/>
      <c r="L2633"/>
    </row>
    <row r="2634" spans="6:12" x14ac:dyDescent="0.2">
      <c r="F2634"/>
      <c r="L2634"/>
    </row>
    <row r="2635" spans="6:12" x14ac:dyDescent="0.2">
      <c r="F2635"/>
      <c r="L2635"/>
    </row>
    <row r="2636" spans="6:12" x14ac:dyDescent="0.2">
      <c r="F2636"/>
      <c r="L2636"/>
    </row>
    <row r="2637" spans="6:12" x14ac:dyDescent="0.2">
      <c r="F2637"/>
      <c r="L2637"/>
    </row>
    <row r="2638" spans="6:12" x14ac:dyDescent="0.2">
      <c r="F2638"/>
      <c r="L2638"/>
    </row>
    <row r="2639" spans="6:12" x14ac:dyDescent="0.2">
      <c r="F2639"/>
      <c r="L2639"/>
    </row>
    <row r="2640" spans="6:12" x14ac:dyDescent="0.2">
      <c r="F2640"/>
      <c r="L2640"/>
    </row>
    <row r="2641" spans="6:12" x14ac:dyDescent="0.2">
      <c r="F2641"/>
      <c r="L2641"/>
    </row>
    <row r="2642" spans="6:12" x14ac:dyDescent="0.2">
      <c r="F2642"/>
      <c r="L2642"/>
    </row>
    <row r="2643" spans="6:12" x14ac:dyDescent="0.2">
      <c r="F2643"/>
      <c r="L2643"/>
    </row>
    <row r="2644" spans="6:12" x14ac:dyDescent="0.2">
      <c r="F2644"/>
      <c r="L2644"/>
    </row>
    <row r="2645" spans="6:12" x14ac:dyDescent="0.2">
      <c r="F2645"/>
      <c r="L2645"/>
    </row>
    <row r="2646" spans="6:12" x14ac:dyDescent="0.2">
      <c r="F2646"/>
      <c r="L2646"/>
    </row>
    <row r="2647" spans="6:12" x14ac:dyDescent="0.2">
      <c r="F2647"/>
      <c r="L2647"/>
    </row>
    <row r="2648" spans="6:12" x14ac:dyDescent="0.2">
      <c r="F2648"/>
      <c r="L2648"/>
    </row>
    <row r="2649" spans="6:12" x14ac:dyDescent="0.2">
      <c r="F2649"/>
      <c r="L2649"/>
    </row>
    <row r="2650" spans="6:12" x14ac:dyDescent="0.2">
      <c r="F2650"/>
      <c r="L2650"/>
    </row>
    <row r="2651" spans="6:12" x14ac:dyDescent="0.2">
      <c r="F2651"/>
      <c r="L2651"/>
    </row>
    <row r="2652" spans="6:12" x14ac:dyDescent="0.2">
      <c r="F2652"/>
      <c r="L2652"/>
    </row>
    <row r="2653" spans="6:12" x14ac:dyDescent="0.2">
      <c r="F2653"/>
      <c r="L2653"/>
    </row>
    <row r="2654" spans="6:12" x14ac:dyDescent="0.2">
      <c r="F2654"/>
      <c r="L2654"/>
    </row>
    <row r="2655" spans="6:12" x14ac:dyDescent="0.2">
      <c r="F2655"/>
      <c r="L2655"/>
    </row>
    <row r="2656" spans="6:12" x14ac:dyDescent="0.2">
      <c r="F2656"/>
      <c r="L2656"/>
    </row>
    <row r="2657" spans="6:12" x14ac:dyDescent="0.2">
      <c r="F2657"/>
      <c r="L2657"/>
    </row>
    <row r="2658" spans="6:12" x14ac:dyDescent="0.2">
      <c r="F2658"/>
      <c r="L2658"/>
    </row>
    <row r="2659" spans="6:12" x14ac:dyDescent="0.2">
      <c r="F2659"/>
      <c r="L2659"/>
    </row>
    <row r="2660" spans="6:12" x14ac:dyDescent="0.2">
      <c r="F2660"/>
      <c r="L2660"/>
    </row>
    <row r="2661" spans="6:12" x14ac:dyDescent="0.2">
      <c r="F2661"/>
      <c r="L2661"/>
    </row>
    <row r="2662" spans="6:12" x14ac:dyDescent="0.2">
      <c r="F2662"/>
      <c r="L2662"/>
    </row>
    <row r="2663" spans="6:12" x14ac:dyDescent="0.2">
      <c r="F2663"/>
      <c r="L2663"/>
    </row>
    <row r="2664" spans="6:12" x14ac:dyDescent="0.2">
      <c r="F2664"/>
      <c r="L2664"/>
    </row>
    <row r="2665" spans="6:12" x14ac:dyDescent="0.2">
      <c r="F2665"/>
      <c r="L2665"/>
    </row>
    <row r="2666" spans="6:12" x14ac:dyDescent="0.2">
      <c r="F2666"/>
      <c r="L2666"/>
    </row>
    <row r="2667" spans="6:12" x14ac:dyDescent="0.2">
      <c r="F2667"/>
      <c r="L2667"/>
    </row>
    <row r="2668" spans="6:12" x14ac:dyDescent="0.2">
      <c r="F2668"/>
      <c r="L2668"/>
    </row>
    <row r="2669" spans="6:12" x14ac:dyDescent="0.2">
      <c r="F2669"/>
      <c r="L2669"/>
    </row>
    <row r="2670" spans="6:12" x14ac:dyDescent="0.2">
      <c r="F2670"/>
      <c r="L2670"/>
    </row>
    <row r="2671" spans="6:12" x14ac:dyDescent="0.2">
      <c r="F2671"/>
      <c r="L2671"/>
    </row>
    <row r="2672" spans="6:12" x14ac:dyDescent="0.2">
      <c r="F2672"/>
      <c r="L2672"/>
    </row>
    <row r="2673" spans="6:16" x14ac:dyDescent="0.2">
      <c r="F2673"/>
      <c r="L2673"/>
    </row>
    <row r="2674" spans="6:16" x14ac:dyDescent="0.2">
      <c r="F2674"/>
      <c r="L2674"/>
    </row>
    <row r="2675" spans="6:16" x14ac:dyDescent="0.2">
      <c r="F2675"/>
      <c r="L2675"/>
    </row>
    <row r="2676" spans="6:16" x14ac:dyDescent="0.2">
      <c r="F2676"/>
      <c r="L2676"/>
    </row>
    <row r="2677" spans="6:16" x14ac:dyDescent="0.2">
      <c r="F2677"/>
      <c r="L2677"/>
    </row>
    <row r="2678" spans="6:16" x14ac:dyDescent="0.2">
      <c r="F2678"/>
      <c r="L2678"/>
    </row>
    <row r="2679" spans="6:16" x14ac:dyDescent="0.2">
      <c r="F2679"/>
      <c r="L2679"/>
    </row>
    <row r="2680" spans="6:16" x14ac:dyDescent="0.2">
      <c r="F2680"/>
      <c r="L2680"/>
    </row>
    <row r="2681" spans="6:16" x14ac:dyDescent="0.2">
      <c r="F2681"/>
      <c r="L2681"/>
    </row>
    <row r="2682" spans="6:16" x14ac:dyDescent="0.2">
      <c r="F2682"/>
      <c r="L2682"/>
    </row>
    <row r="2683" spans="6:16" x14ac:dyDescent="0.2">
      <c r="F2683"/>
      <c r="L2683"/>
    </row>
    <row r="2684" spans="6:16" x14ac:dyDescent="0.2">
      <c r="F2684"/>
      <c r="L2684"/>
    </row>
    <row r="2685" spans="6:16" x14ac:dyDescent="0.2">
      <c r="F2685"/>
      <c r="L2685"/>
    </row>
    <row r="2686" spans="6:16" x14ac:dyDescent="0.2">
      <c r="F2686"/>
      <c r="L2686"/>
      <c r="P2686" s="1"/>
    </row>
    <row r="2687" spans="6:16" x14ac:dyDescent="0.2">
      <c r="F2687"/>
      <c r="L2687"/>
      <c r="P2687" s="1"/>
    </row>
    <row r="2688" spans="6:16" x14ac:dyDescent="0.2">
      <c r="F2688"/>
      <c r="L2688"/>
      <c r="P2688" s="1"/>
    </row>
    <row r="2689" spans="6:16" x14ac:dyDescent="0.2">
      <c r="F2689"/>
      <c r="L2689"/>
      <c r="P2689" s="1"/>
    </row>
    <row r="2690" spans="6:16" x14ac:dyDescent="0.2">
      <c r="F2690"/>
      <c r="L2690"/>
      <c r="P2690" s="1"/>
    </row>
    <row r="2691" spans="6:16" x14ac:dyDescent="0.2">
      <c r="F2691"/>
      <c r="L2691"/>
      <c r="P2691" s="1"/>
    </row>
    <row r="2692" spans="6:16" x14ac:dyDescent="0.2">
      <c r="F2692"/>
      <c r="L2692"/>
      <c r="P2692" s="1"/>
    </row>
    <row r="2693" spans="6:16" x14ac:dyDescent="0.2">
      <c r="F2693"/>
      <c r="L2693"/>
      <c r="P2693" s="1"/>
    </row>
    <row r="2694" spans="6:16" x14ac:dyDescent="0.2">
      <c r="F2694"/>
      <c r="L2694"/>
      <c r="P2694" s="1"/>
    </row>
    <row r="2695" spans="6:16" x14ac:dyDescent="0.2">
      <c r="F2695"/>
      <c r="L2695"/>
    </row>
    <row r="2696" spans="6:16" x14ac:dyDescent="0.2">
      <c r="F2696"/>
      <c r="L2696"/>
      <c r="P2696" s="1"/>
    </row>
    <row r="2697" spans="6:16" x14ac:dyDescent="0.2">
      <c r="F2697"/>
      <c r="L2697"/>
    </row>
    <row r="2698" spans="6:16" x14ac:dyDescent="0.2">
      <c r="F2698"/>
      <c r="L2698"/>
      <c r="P2698" s="1"/>
    </row>
    <row r="2699" spans="6:16" x14ac:dyDescent="0.2">
      <c r="F2699"/>
      <c r="L2699"/>
      <c r="P2699" s="1"/>
    </row>
    <row r="2700" spans="6:16" x14ac:dyDescent="0.2">
      <c r="F2700"/>
      <c r="L2700"/>
      <c r="P2700" s="1"/>
    </row>
    <row r="2701" spans="6:16" x14ac:dyDescent="0.2">
      <c r="F2701"/>
      <c r="L2701"/>
      <c r="P2701" s="1"/>
    </row>
    <row r="2702" spans="6:16" x14ac:dyDescent="0.2">
      <c r="F2702"/>
      <c r="L2702"/>
      <c r="P2702" s="1"/>
    </row>
    <row r="2703" spans="6:16" x14ac:dyDescent="0.2">
      <c r="F2703"/>
      <c r="L2703"/>
      <c r="P2703" s="1"/>
    </row>
    <row r="2704" spans="6:16" x14ac:dyDescent="0.2">
      <c r="F2704"/>
      <c r="L2704"/>
      <c r="P2704" s="1"/>
    </row>
    <row r="2705" spans="6:16" x14ac:dyDescent="0.2">
      <c r="F2705"/>
      <c r="L2705"/>
      <c r="P2705" s="1"/>
    </row>
    <row r="2706" spans="6:16" x14ac:dyDescent="0.2">
      <c r="F2706"/>
      <c r="L2706"/>
      <c r="P2706" s="1"/>
    </row>
    <row r="2707" spans="6:16" x14ac:dyDescent="0.2">
      <c r="F2707"/>
      <c r="L2707"/>
      <c r="P2707" s="1"/>
    </row>
    <row r="2708" spans="6:16" x14ac:dyDescent="0.2">
      <c r="F2708"/>
      <c r="L2708"/>
    </row>
    <row r="2709" spans="6:16" x14ac:dyDescent="0.2">
      <c r="F2709"/>
      <c r="L2709"/>
      <c r="P2709" s="1"/>
    </row>
    <row r="2710" spans="6:16" x14ac:dyDescent="0.2">
      <c r="F2710"/>
      <c r="L2710"/>
    </row>
    <row r="2711" spans="6:16" x14ac:dyDescent="0.2">
      <c r="F2711"/>
      <c r="L2711"/>
      <c r="P2711" s="1"/>
    </row>
    <row r="2712" spans="6:16" x14ac:dyDescent="0.2">
      <c r="F2712"/>
      <c r="L2712"/>
    </row>
    <row r="2713" spans="6:16" x14ac:dyDescent="0.2">
      <c r="F2713"/>
      <c r="L2713"/>
    </row>
    <row r="2714" spans="6:16" x14ac:dyDescent="0.2">
      <c r="F2714"/>
      <c r="L2714"/>
    </row>
    <row r="2715" spans="6:16" x14ac:dyDescent="0.2">
      <c r="F2715"/>
      <c r="L2715"/>
    </row>
    <row r="2716" spans="6:16" x14ac:dyDescent="0.2">
      <c r="F2716"/>
      <c r="L2716"/>
    </row>
    <row r="2717" spans="6:16" x14ac:dyDescent="0.2">
      <c r="F2717"/>
      <c r="L2717"/>
    </row>
    <row r="2718" spans="6:16" x14ac:dyDescent="0.2">
      <c r="F2718"/>
      <c r="L2718"/>
    </row>
    <row r="2719" spans="6:16" x14ac:dyDescent="0.2">
      <c r="F2719"/>
      <c r="L2719"/>
    </row>
    <row r="2720" spans="6:16" x14ac:dyDescent="0.2">
      <c r="F2720"/>
      <c r="L2720"/>
    </row>
    <row r="2721" spans="6:12" x14ac:dyDescent="0.2">
      <c r="F2721"/>
      <c r="L2721"/>
    </row>
    <row r="2722" spans="6:12" x14ac:dyDescent="0.2">
      <c r="F2722"/>
      <c r="L2722"/>
    </row>
    <row r="2723" spans="6:12" x14ac:dyDescent="0.2">
      <c r="F2723"/>
      <c r="L2723"/>
    </row>
    <row r="2724" spans="6:12" x14ac:dyDescent="0.2">
      <c r="F2724"/>
      <c r="L2724"/>
    </row>
    <row r="2725" spans="6:12" x14ac:dyDescent="0.2">
      <c r="F2725"/>
      <c r="L2725"/>
    </row>
    <row r="2726" spans="6:12" x14ac:dyDescent="0.2">
      <c r="F2726"/>
      <c r="L2726"/>
    </row>
    <row r="2727" spans="6:12" x14ac:dyDescent="0.2">
      <c r="F2727"/>
      <c r="L2727"/>
    </row>
    <row r="2728" spans="6:12" x14ac:dyDescent="0.2">
      <c r="F2728"/>
      <c r="L2728"/>
    </row>
    <row r="2729" spans="6:12" x14ac:dyDescent="0.2">
      <c r="F2729"/>
      <c r="L2729"/>
    </row>
    <row r="2730" spans="6:12" x14ac:dyDescent="0.2">
      <c r="F2730"/>
      <c r="L2730"/>
    </row>
    <row r="2731" spans="6:12" x14ac:dyDescent="0.2">
      <c r="F2731"/>
      <c r="L2731"/>
    </row>
    <row r="2732" spans="6:12" x14ac:dyDescent="0.2">
      <c r="F2732"/>
      <c r="L2732"/>
    </row>
    <row r="2733" spans="6:12" x14ac:dyDescent="0.2">
      <c r="F2733"/>
      <c r="L2733"/>
    </row>
    <row r="2734" spans="6:12" x14ac:dyDescent="0.2">
      <c r="F2734"/>
      <c r="L2734"/>
    </row>
    <row r="2735" spans="6:12" x14ac:dyDescent="0.2">
      <c r="F2735"/>
      <c r="L2735"/>
    </row>
    <row r="2736" spans="6:12" x14ac:dyDescent="0.2">
      <c r="F2736"/>
      <c r="L2736"/>
    </row>
    <row r="2737" spans="6:12" x14ac:dyDescent="0.2">
      <c r="F2737"/>
      <c r="L2737"/>
    </row>
    <row r="2738" spans="6:12" x14ac:dyDescent="0.2">
      <c r="F2738"/>
      <c r="L2738"/>
    </row>
    <row r="2739" spans="6:12" x14ac:dyDescent="0.2">
      <c r="F2739"/>
      <c r="L2739"/>
    </row>
    <row r="2740" spans="6:12" x14ac:dyDescent="0.2">
      <c r="F2740"/>
      <c r="L2740"/>
    </row>
    <row r="2741" spans="6:12" x14ac:dyDescent="0.2">
      <c r="F2741"/>
      <c r="L2741"/>
    </row>
    <row r="2742" spans="6:12" x14ac:dyDescent="0.2">
      <c r="F2742"/>
      <c r="L2742"/>
    </row>
    <row r="2743" spans="6:12" x14ac:dyDescent="0.2">
      <c r="F2743"/>
      <c r="L2743"/>
    </row>
    <row r="2744" spans="6:12" x14ac:dyDescent="0.2">
      <c r="F2744"/>
      <c r="L2744"/>
    </row>
    <row r="2745" spans="6:12" x14ac:dyDescent="0.2">
      <c r="F2745"/>
      <c r="L2745"/>
    </row>
    <row r="2746" spans="6:12" x14ac:dyDescent="0.2">
      <c r="F2746"/>
      <c r="L2746"/>
    </row>
    <row r="2747" spans="6:12" x14ac:dyDescent="0.2">
      <c r="F2747"/>
      <c r="L2747"/>
    </row>
    <row r="2748" spans="6:12" x14ac:dyDescent="0.2">
      <c r="F2748"/>
      <c r="L2748"/>
    </row>
    <row r="2749" spans="6:12" x14ac:dyDescent="0.2">
      <c r="F2749"/>
      <c r="L2749"/>
    </row>
    <row r="2750" spans="6:12" x14ac:dyDescent="0.2">
      <c r="F2750"/>
      <c r="L2750"/>
    </row>
    <row r="2751" spans="6:12" x14ac:dyDescent="0.2">
      <c r="F2751"/>
      <c r="L2751"/>
    </row>
    <row r="2752" spans="6:12" x14ac:dyDescent="0.2">
      <c r="F2752"/>
      <c r="L2752"/>
    </row>
    <row r="2753" spans="6:12" x14ac:dyDescent="0.2">
      <c r="F2753"/>
      <c r="L2753"/>
    </row>
    <row r="2754" spans="6:12" x14ac:dyDescent="0.2">
      <c r="F2754"/>
      <c r="L2754"/>
    </row>
    <row r="2755" spans="6:12" x14ac:dyDescent="0.2">
      <c r="F2755"/>
      <c r="L2755"/>
    </row>
    <row r="2756" spans="6:12" x14ac:dyDescent="0.2">
      <c r="F2756"/>
      <c r="L2756"/>
    </row>
    <row r="2757" spans="6:12" x14ac:dyDescent="0.2">
      <c r="F2757"/>
      <c r="L2757"/>
    </row>
    <row r="2758" spans="6:12" x14ac:dyDescent="0.2">
      <c r="F2758"/>
      <c r="L2758"/>
    </row>
    <row r="2759" spans="6:12" x14ac:dyDescent="0.2">
      <c r="F2759"/>
      <c r="L2759"/>
    </row>
    <row r="2760" spans="6:12" x14ac:dyDescent="0.2">
      <c r="F2760"/>
      <c r="L2760"/>
    </row>
    <row r="2761" spans="6:12" x14ac:dyDescent="0.2">
      <c r="F2761"/>
      <c r="L2761"/>
    </row>
    <row r="2762" spans="6:12" x14ac:dyDescent="0.2">
      <c r="F2762"/>
      <c r="L2762"/>
    </row>
    <row r="2763" spans="6:12" x14ac:dyDescent="0.2">
      <c r="F2763"/>
      <c r="L2763"/>
    </row>
    <row r="2764" spans="6:12" x14ac:dyDescent="0.2">
      <c r="F2764"/>
      <c r="L2764"/>
    </row>
    <row r="2765" spans="6:12" x14ac:dyDescent="0.2">
      <c r="F2765"/>
      <c r="L2765"/>
    </row>
    <row r="2766" spans="6:12" x14ac:dyDescent="0.2">
      <c r="F2766"/>
      <c r="L2766"/>
    </row>
    <row r="2767" spans="6:12" x14ac:dyDescent="0.2">
      <c r="F2767"/>
      <c r="L2767"/>
    </row>
    <row r="2768" spans="6:12" x14ac:dyDescent="0.2">
      <c r="F2768"/>
      <c r="L2768"/>
    </row>
    <row r="2769" spans="6:12" x14ac:dyDescent="0.2">
      <c r="F2769"/>
      <c r="L2769"/>
    </row>
    <row r="2770" spans="6:12" x14ac:dyDescent="0.2">
      <c r="F2770"/>
      <c r="L2770"/>
    </row>
    <row r="2771" spans="6:12" x14ac:dyDescent="0.2">
      <c r="F2771"/>
      <c r="L2771"/>
    </row>
    <row r="2772" spans="6:12" x14ac:dyDescent="0.2">
      <c r="F2772"/>
      <c r="L2772"/>
    </row>
    <row r="2773" spans="6:12" x14ac:dyDescent="0.2">
      <c r="F2773"/>
      <c r="L2773"/>
    </row>
    <row r="2774" spans="6:12" x14ac:dyDescent="0.2">
      <c r="F2774"/>
      <c r="L2774"/>
    </row>
    <row r="2775" spans="6:12" x14ac:dyDescent="0.2">
      <c r="F2775"/>
      <c r="L2775"/>
    </row>
    <row r="2776" spans="6:12" x14ac:dyDescent="0.2">
      <c r="F2776"/>
      <c r="L2776"/>
    </row>
    <row r="2777" spans="6:12" x14ac:dyDescent="0.2">
      <c r="F2777"/>
      <c r="L2777"/>
    </row>
    <row r="2778" spans="6:12" x14ac:dyDescent="0.2">
      <c r="F2778"/>
      <c r="L2778"/>
    </row>
    <row r="2779" spans="6:12" x14ac:dyDescent="0.2">
      <c r="F2779"/>
      <c r="L2779"/>
    </row>
    <row r="2780" spans="6:12" x14ac:dyDescent="0.2">
      <c r="F2780"/>
      <c r="L2780"/>
    </row>
    <row r="2781" spans="6:12" x14ac:dyDescent="0.2">
      <c r="F2781"/>
      <c r="L2781"/>
    </row>
    <row r="2782" spans="6:12" x14ac:dyDescent="0.2">
      <c r="F2782"/>
      <c r="L2782"/>
    </row>
    <row r="2783" spans="6:12" x14ac:dyDescent="0.2">
      <c r="F2783"/>
      <c r="L2783"/>
    </row>
    <row r="2784" spans="6:12" x14ac:dyDescent="0.2">
      <c r="F2784"/>
      <c r="L2784"/>
    </row>
    <row r="2785" spans="6:12" x14ac:dyDescent="0.2">
      <c r="F2785"/>
      <c r="L2785"/>
    </row>
    <row r="2786" spans="6:12" x14ac:dyDescent="0.2">
      <c r="F2786"/>
      <c r="L2786"/>
    </row>
    <row r="2787" spans="6:12" x14ac:dyDescent="0.2">
      <c r="F2787"/>
      <c r="L2787"/>
    </row>
    <row r="2788" spans="6:12" x14ac:dyDescent="0.2">
      <c r="F2788"/>
      <c r="L2788"/>
    </row>
    <row r="2789" spans="6:12" x14ac:dyDescent="0.2">
      <c r="F2789"/>
      <c r="L2789"/>
    </row>
    <row r="2790" spans="6:12" x14ac:dyDescent="0.2">
      <c r="F2790"/>
      <c r="L2790"/>
    </row>
    <row r="2791" spans="6:12" x14ac:dyDescent="0.2">
      <c r="F2791"/>
      <c r="L2791"/>
    </row>
    <row r="2792" spans="6:12" x14ac:dyDescent="0.2">
      <c r="F2792"/>
      <c r="L2792"/>
    </row>
    <row r="2793" spans="6:12" x14ac:dyDescent="0.2">
      <c r="F2793"/>
      <c r="L2793"/>
    </row>
    <row r="2794" spans="6:12" x14ac:dyDescent="0.2">
      <c r="F2794"/>
      <c r="L2794"/>
    </row>
    <row r="2795" spans="6:12" x14ac:dyDescent="0.2">
      <c r="F2795"/>
      <c r="L2795"/>
    </row>
    <row r="2796" spans="6:12" x14ac:dyDescent="0.2">
      <c r="F2796"/>
      <c r="L2796"/>
    </row>
    <row r="2797" spans="6:12" x14ac:dyDescent="0.2">
      <c r="F2797"/>
      <c r="L2797"/>
    </row>
    <row r="2798" spans="6:12" x14ac:dyDescent="0.2">
      <c r="F2798"/>
      <c r="L2798"/>
    </row>
    <row r="2799" spans="6:12" x14ac:dyDescent="0.2">
      <c r="F2799"/>
      <c r="L2799"/>
    </row>
    <row r="2800" spans="6:12" x14ac:dyDescent="0.2">
      <c r="F2800"/>
      <c r="L2800"/>
    </row>
    <row r="2801" spans="6:12" x14ac:dyDescent="0.2">
      <c r="F2801"/>
      <c r="L2801"/>
    </row>
    <row r="2802" spans="6:12" x14ac:dyDescent="0.2">
      <c r="F2802"/>
      <c r="L2802"/>
    </row>
    <row r="2803" spans="6:12" x14ac:dyDescent="0.2">
      <c r="F2803"/>
      <c r="L2803"/>
    </row>
    <row r="2804" spans="6:12" x14ac:dyDescent="0.2">
      <c r="F2804"/>
      <c r="L2804"/>
    </row>
    <row r="2805" spans="6:12" x14ac:dyDescent="0.2">
      <c r="F2805"/>
      <c r="L2805"/>
    </row>
    <row r="2806" spans="6:12" x14ac:dyDescent="0.2">
      <c r="F2806"/>
      <c r="L2806"/>
    </row>
    <row r="2807" spans="6:12" x14ac:dyDescent="0.2">
      <c r="F2807"/>
      <c r="L2807"/>
    </row>
    <row r="2808" spans="6:12" x14ac:dyDescent="0.2">
      <c r="F2808"/>
      <c r="L2808"/>
    </row>
    <row r="2809" spans="6:12" x14ac:dyDescent="0.2">
      <c r="F2809"/>
      <c r="L2809"/>
    </row>
    <row r="2810" spans="6:12" x14ac:dyDescent="0.2">
      <c r="F2810"/>
      <c r="L2810"/>
    </row>
    <row r="2811" spans="6:12" x14ac:dyDescent="0.2">
      <c r="F2811"/>
      <c r="L2811"/>
    </row>
    <row r="2812" spans="6:12" x14ac:dyDescent="0.2">
      <c r="F2812"/>
      <c r="L2812"/>
    </row>
    <row r="2813" spans="6:12" x14ac:dyDescent="0.2">
      <c r="F2813"/>
      <c r="L2813"/>
    </row>
    <row r="2814" spans="6:12" x14ac:dyDescent="0.2">
      <c r="F2814"/>
      <c r="L2814"/>
    </row>
    <row r="2815" spans="6:12" x14ac:dyDescent="0.2">
      <c r="F2815"/>
      <c r="L2815"/>
    </row>
    <row r="2816" spans="6:12" x14ac:dyDescent="0.2">
      <c r="F2816"/>
      <c r="L2816"/>
    </row>
    <row r="2817" spans="6:12" x14ac:dyDescent="0.2">
      <c r="F2817"/>
      <c r="L2817"/>
    </row>
    <row r="2818" spans="6:12" x14ac:dyDescent="0.2">
      <c r="F2818"/>
      <c r="L2818"/>
    </row>
    <row r="2819" spans="6:12" x14ac:dyDescent="0.2">
      <c r="F2819"/>
      <c r="L2819"/>
    </row>
    <row r="2820" spans="6:12" x14ac:dyDescent="0.2">
      <c r="F2820"/>
      <c r="L2820"/>
    </row>
    <row r="2821" spans="6:12" x14ac:dyDescent="0.2">
      <c r="F2821"/>
      <c r="L2821"/>
    </row>
    <row r="2822" spans="6:12" x14ac:dyDescent="0.2">
      <c r="F2822"/>
      <c r="L2822"/>
    </row>
    <row r="2823" spans="6:12" x14ac:dyDescent="0.2">
      <c r="F2823"/>
      <c r="L2823"/>
    </row>
    <row r="2824" spans="6:12" x14ac:dyDescent="0.2">
      <c r="F2824"/>
      <c r="L2824"/>
    </row>
    <row r="2825" spans="6:12" x14ac:dyDescent="0.2">
      <c r="F2825"/>
      <c r="L2825"/>
    </row>
    <row r="2826" spans="6:12" x14ac:dyDescent="0.2">
      <c r="F2826"/>
      <c r="L2826"/>
    </row>
    <row r="2827" spans="6:12" x14ac:dyDescent="0.2">
      <c r="F2827"/>
      <c r="L2827"/>
    </row>
    <row r="2828" spans="6:12" x14ac:dyDescent="0.2">
      <c r="F2828"/>
      <c r="L2828"/>
    </row>
    <row r="2829" spans="6:12" x14ac:dyDescent="0.2">
      <c r="F2829"/>
      <c r="L2829"/>
    </row>
    <row r="2830" spans="6:12" x14ac:dyDescent="0.2">
      <c r="F2830"/>
      <c r="L2830"/>
    </row>
    <row r="2831" spans="6:12" x14ac:dyDescent="0.2">
      <c r="F2831"/>
      <c r="L2831"/>
    </row>
    <row r="2832" spans="6:12" x14ac:dyDescent="0.2">
      <c r="F2832"/>
      <c r="L2832"/>
    </row>
    <row r="2833" spans="6:12" x14ac:dyDescent="0.2">
      <c r="F2833"/>
      <c r="L2833"/>
    </row>
    <row r="2834" spans="6:12" x14ac:dyDescent="0.2">
      <c r="F2834"/>
      <c r="L2834"/>
    </row>
    <row r="2835" spans="6:12" x14ac:dyDescent="0.2">
      <c r="F2835"/>
      <c r="L2835"/>
    </row>
    <row r="2836" spans="6:12" x14ac:dyDescent="0.2">
      <c r="F2836"/>
      <c r="L2836"/>
    </row>
    <row r="2837" spans="6:12" x14ac:dyDescent="0.2">
      <c r="F2837"/>
      <c r="L2837"/>
    </row>
    <row r="2838" spans="6:12" x14ac:dyDescent="0.2">
      <c r="F2838"/>
      <c r="L2838"/>
    </row>
    <row r="2839" spans="6:12" x14ac:dyDescent="0.2">
      <c r="F2839"/>
      <c r="L2839"/>
    </row>
    <row r="2840" spans="6:12" x14ac:dyDescent="0.2">
      <c r="F2840"/>
      <c r="L2840"/>
    </row>
    <row r="2841" spans="6:12" x14ac:dyDescent="0.2">
      <c r="F2841"/>
      <c r="L2841"/>
    </row>
    <row r="2842" spans="6:12" x14ac:dyDescent="0.2">
      <c r="F2842"/>
      <c r="L2842"/>
    </row>
    <row r="2843" spans="6:12" x14ac:dyDescent="0.2">
      <c r="F2843"/>
      <c r="L2843"/>
    </row>
    <row r="2844" spans="6:12" x14ac:dyDescent="0.2">
      <c r="F2844"/>
      <c r="L2844"/>
    </row>
    <row r="2845" spans="6:12" x14ac:dyDescent="0.2">
      <c r="F2845"/>
      <c r="L2845"/>
    </row>
    <row r="2846" spans="6:12" x14ac:dyDescent="0.2">
      <c r="F2846"/>
      <c r="L2846"/>
    </row>
    <row r="2847" spans="6:12" x14ac:dyDescent="0.2">
      <c r="F2847"/>
      <c r="L2847"/>
    </row>
    <row r="2848" spans="6:12" x14ac:dyDescent="0.2">
      <c r="F2848"/>
      <c r="L2848"/>
    </row>
    <row r="2849" spans="6:12" x14ac:dyDescent="0.2">
      <c r="F2849"/>
      <c r="L2849"/>
    </row>
    <row r="2850" spans="6:12" x14ac:dyDescent="0.2">
      <c r="F2850"/>
      <c r="L2850"/>
    </row>
    <row r="2851" spans="6:12" x14ac:dyDescent="0.2">
      <c r="F2851"/>
      <c r="L2851"/>
    </row>
    <row r="2852" spans="6:12" x14ac:dyDescent="0.2">
      <c r="F2852"/>
      <c r="L2852"/>
    </row>
    <row r="2853" spans="6:12" x14ac:dyDescent="0.2">
      <c r="F2853"/>
      <c r="L2853"/>
    </row>
    <row r="2854" spans="6:12" x14ac:dyDescent="0.2">
      <c r="F2854"/>
      <c r="L2854"/>
    </row>
    <row r="2855" spans="6:12" x14ac:dyDescent="0.2">
      <c r="F2855"/>
      <c r="L2855"/>
    </row>
    <row r="2856" spans="6:12" x14ac:dyDescent="0.2">
      <c r="F2856"/>
      <c r="L2856"/>
    </row>
    <row r="2857" spans="6:12" x14ac:dyDescent="0.2">
      <c r="F2857"/>
      <c r="L2857"/>
    </row>
    <row r="2858" spans="6:12" x14ac:dyDescent="0.2">
      <c r="F2858"/>
      <c r="L2858"/>
    </row>
    <row r="2859" spans="6:12" x14ac:dyDescent="0.2">
      <c r="F2859"/>
      <c r="L2859"/>
    </row>
    <row r="2860" spans="6:12" x14ac:dyDescent="0.2">
      <c r="F2860"/>
      <c r="L2860"/>
    </row>
    <row r="2861" spans="6:12" x14ac:dyDescent="0.2">
      <c r="F2861"/>
      <c r="L2861"/>
    </row>
    <row r="2862" spans="6:12" x14ac:dyDescent="0.2">
      <c r="F2862"/>
      <c r="L2862"/>
    </row>
    <row r="2863" spans="6:12" x14ac:dyDescent="0.2">
      <c r="F2863"/>
      <c r="L2863"/>
    </row>
    <row r="2864" spans="6:12" x14ac:dyDescent="0.2">
      <c r="F2864"/>
      <c r="L2864"/>
    </row>
    <row r="2865" spans="1:17" x14ac:dyDescent="0.2">
      <c r="F2865"/>
      <c r="L2865"/>
    </row>
    <row r="2866" spans="1:17" x14ac:dyDescent="0.2">
      <c r="F2866"/>
      <c r="L2866"/>
    </row>
    <row r="2867" spans="1:17" x14ac:dyDescent="0.2">
      <c r="A2867" s="4"/>
      <c r="B2867" s="4"/>
      <c r="C2867" s="4"/>
      <c r="D2867" s="4"/>
      <c r="E2867" s="4"/>
      <c r="F2867" s="4"/>
      <c r="G2867" s="4"/>
      <c r="H2867" s="4"/>
      <c r="I2867" s="4"/>
      <c r="J2867" s="4"/>
      <c r="K2867" s="4"/>
      <c r="L2867" s="4"/>
      <c r="M2867" s="4"/>
      <c r="N2867" s="4"/>
      <c r="O2867" s="4"/>
      <c r="P2867" s="4"/>
      <c r="Q2867" s="4"/>
    </row>
    <row r="2868" spans="1:17" x14ac:dyDescent="0.2">
      <c r="A2868" s="4"/>
      <c r="B2868" s="4"/>
      <c r="C2868" s="4"/>
      <c r="D2868" s="4"/>
      <c r="E2868" s="4"/>
      <c r="F2868" s="4"/>
      <c r="G2868" s="4"/>
      <c r="H2868" s="4"/>
      <c r="I2868" s="4"/>
      <c r="J2868" s="4"/>
      <c r="K2868" s="4"/>
      <c r="L2868" s="4"/>
      <c r="M2868" s="4"/>
      <c r="N2868" s="4"/>
      <c r="O2868" s="4"/>
      <c r="P2868" s="4"/>
      <c r="Q2868" s="4"/>
    </row>
    <row r="2869" spans="1:17" x14ac:dyDescent="0.2">
      <c r="A2869" s="4"/>
      <c r="B2869" s="4"/>
      <c r="C2869" s="4"/>
      <c r="D2869" s="4"/>
      <c r="E2869" s="4"/>
      <c r="F2869" s="4"/>
      <c r="G2869" s="4"/>
      <c r="H2869" s="4"/>
      <c r="I2869" s="4"/>
      <c r="J2869" s="4"/>
      <c r="K2869" s="4"/>
      <c r="L2869" s="4"/>
      <c r="M2869" s="4"/>
      <c r="N2869" s="4"/>
      <c r="O2869" s="4"/>
      <c r="P2869" s="4"/>
      <c r="Q2869" s="4"/>
    </row>
    <row r="2870" spans="1:17" x14ac:dyDescent="0.2">
      <c r="A2870" s="4"/>
      <c r="B2870" s="4"/>
      <c r="C2870" s="4"/>
      <c r="D2870" s="4"/>
      <c r="E2870" s="4"/>
      <c r="F2870" s="4"/>
      <c r="G2870" s="4"/>
      <c r="H2870" s="4"/>
      <c r="I2870" s="4"/>
      <c r="J2870" s="4"/>
      <c r="K2870" s="4"/>
      <c r="L2870" s="4"/>
      <c r="M2870" s="4"/>
      <c r="N2870" s="4"/>
      <c r="O2870" s="4"/>
      <c r="P2870" s="4"/>
      <c r="Q2870" s="4"/>
    </row>
    <row r="2871" spans="1:17" x14ac:dyDescent="0.2">
      <c r="A2871" s="4"/>
      <c r="B2871" s="4"/>
      <c r="C2871" s="4"/>
      <c r="D2871" s="4"/>
      <c r="E2871" s="4"/>
      <c r="F2871" s="4"/>
      <c r="G2871" s="4"/>
      <c r="H2871" s="4"/>
      <c r="I2871" s="4"/>
      <c r="J2871" s="4"/>
      <c r="K2871" s="4"/>
      <c r="L2871" s="4"/>
      <c r="M2871" s="4"/>
      <c r="N2871" s="4"/>
      <c r="O2871" s="4"/>
      <c r="P2871" s="4"/>
      <c r="Q2871" s="4"/>
    </row>
    <row r="2872" spans="1:17" x14ac:dyDescent="0.2">
      <c r="A2872" s="4"/>
      <c r="B2872" s="4"/>
      <c r="C2872" s="4"/>
      <c r="D2872" s="4"/>
      <c r="E2872" s="4"/>
      <c r="F2872" s="4"/>
      <c r="G2872" s="4"/>
      <c r="H2872" s="4"/>
      <c r="I2872" s="4"/>
      <c r="J2872" s="4"/>
      <c r="K2872" s="4"/>
      <c r="L2872" s="4"/>
      <c r="M2872" s="4"/>
      <c r="N2872" s="4"/>
      <c r="O2872" s="4"/>
      <c r="P2872" s="4"/>
      <c r="Q2872" s="4"/>
    </row>
    <row r="2873" spans="1:17" x14ac:dyDescent="0.2">
      <c r="A2873" s="4"/>
      <c r="B2873" s="4"/>
      <c r="C2873" s="4"/>
      <c r="D2873" s="4"/>
      <c r="E2873" s="4"/>
      <c r="F2873" s="4"/>
      <c r="G2873" s="4"/>
      <c r="H2873" s="4"/>
      <c r="I2873" s="4"/>
      <c r="J2873" s="4"/>
      <c r="K2873" s="4"/>
      <c r="L2873" s="4"/>
      <c r="M2873" s="4"/>
      <c r="N2873" s="4"/>
      <c r="O2873" s="4"/>
      <c r="P2873" s="4"/>
      <c r="Q2873" s="4"/>
    </row>
    <row r="2874" spans="1:17" x14ac:dyDescent="0.2">
      <c r="A2874" s="4"/>
      <c r="B2874" s="4"/>
      <c r="C2874" s="4"/>
      <c r="D2874" s="4"/>
      <c r="E2874" s="4"/>
      <c r="F2874" s="4"/>
      <c r="G2874" s="4"/>
      <c r="H2874" s="4"/>
      <c r="I2874" s="4"/>
      <c r="J2874" s="4"/>
      <c r="K2874" s="4"/>
      <c r="L2874" s="4"/>
      <c r="M2874" s="4"/>
      <c r="N2874" s="4"/>
      <c r="O2874" s="4"/>
      <c r="P2874" s="4"/>
      <c r="Q2874" s="4"/>
    </row>
    <row r="2875" spans="1:17" x14ac:dyDescent="0.2">
      <c r="A2875" s="4"/>
      <c r="B2875" s="4"/>
      <c r="C2875" s="4"/>
      <c r="D2875" s="4"/>
      <c r="E2875" s="4"/>
      <c r="F2875" s="4"/>
      <c r="G2875" s="4"/>
      <c r="H2875" s="4"/>
      <c r="I2875" s="4"/>
      <c r="J2875" s="4"/>
      <c r="K2875" s="4"/>
      <c r="L2875" s="4"/>
      <c r="M2875" s="4"/>
      <c r="N2875" s="4"/>
      <c r="O2875" s="4"/>
      <c r="P2875" s="4"/>
      <c r="Q2875" s="4"/>
    </row>
    <row r="2876" spans="1:17" x14ac:dyDescent="0.2">
      <c r="A2876" s="4"/>
      <c r="B2876" s="4"/>
      <c r="C2876" s="4"/>
      <c r="D2876" s="4"/>
      <c r="E2876" s="4"/>
      <c r="F2876" s="4"/>
      <c r="G2876" s="4"/>
      <c r="H2876" s="4"/>
      <c r="I2876" s="4"/>
      <c r="J2876" s="4"/>
      <c r="K2876" s="4"/>
      <c r="L2876" s="4"/>
      <c r="M2876" s="4"/>
      <c r="N2876" s="4"/>
      <c r="O2876" s="4"/>
      <c r="P2876" s="4"/>
      <c r="Q2876" s="4"/>
    </row>
    <row r="2877" spans="1:17" x14ac:dyDescent="0.2">
      <c r="A2877" s="4"/>
      <c r="B2877" s="4"/>
      <c r="C2877" s="4"/>
      <c r="D2877" s="4"/>
      <c r="E2877" s="4"/>
      <c r="F2877" s="4"/>
      <c r="G2877" s="4"/>
      <c r="H2877" s="4"/>
      <c r="I2877" s="4"/>
      <c r="J2877" s="4"/>
      <c r="K2877" s="4"/>
      <c r="L2877" s="4"/>
      <c r="M2877" s="4"/>
      <c r="N2877" s="4"/>
      <c r="O2877" s="4"/>
      <c r="P2877" s="4"/>
      <c r="Q2877" s="4"/>
    </row>
    <row r="2878" spans="1:17" x14ac:dyDescent="0.2">
      <c r="A2878" s="4"/>
      <c r="B2878" s="4"/>
      <c r="C2878" s="4"/>
      <c r="D2878" s="4"/>
      <c r="E2878" s="4"/>
      <c r="F2878" s="4"/>
      <c r="G2878" s="4"/>
      <c r="H2878" s="4"/>
      <c r="I2878" s="4"/>
      <c r="J2878" s="4"/>
      <c r="K2878" s="4"/>
      <c r="L2878" s="4"/>
      <c r="M2878" s="4"/>
      <c r="N2878" s="4"/>
      <c r="O2878" s="4"/>
      <c r="P2878" s="4"/>
      <c r="Q2878" s="4"/>
    </row>
    <row r="2879" spans="1:17" x14ac:dyDescent="0.2">
      <c r="A2879" s="4"/>
      <c r="B2879" s="4"/>
      <c r="C2879" s="4"/>
      <c r="D2879" s="4"/>
      <c r="E2879" s="4"/>
      <c r="F2879" s="4"/>
      <c r="G2879" s="4"/>
      <c r="H2879" s="4"/>
      <c r="I2879" s="4"/>
      <c r="J2879" s="4"/>
      <c r="K2879" s="4"/>
      <c r="L2879" s="4"/>
      <c r="M2879" s="4"/>
      <c r="N2879" s="4"/>
      <c r="O2879" s="4"/>
      <c r="P2879" s="4"/>
      <c r="Q2879" s="4"/>
    </row>
    <row r="2880" spans="1:17" x14ac:dyDescent="0.2">
      <c r="A2880" s="4"/>
      <c r="B2880" s="4"/>
      <c r="C2880" s="4"/>
      <c r="D2880" s="4"/>
      <c r="E2880" s="4"/>
      <c r="F2880" s="4"/>
      <c r="G2880" s="4"/>
      <c r="H2880" s="4"/>
      <c r="I2880" s="4"/>
      <c r="J2880" s="4"/>
      <c r="K2880" s="4"/>
      <c r="L2880" s="4"/>
      <c r="M2880" s="4"/>
      <c r="N2880" s="4"/>
      <c r="O2880" s="4"/>
      <c r="P2880" s="4"/>
      <c r="Q2880" s="4"/>
    </row>
    <row r="2881" spans="1:17" x14ac:dyDescent="0.2">
      <c r="A2881" s="4"/>
      <c r="B2881" s="4"/>
      <c r="C2881" s="4"/>
      <c r="D2881" s="4"/>
      <c r="E2881" s="4"/>
      <c r="F2881" s="4"/>
      <c r="G2881" s="4"/>
      <c r="H2881" s="4"/>
      <c r="I2881" s="4"/>
      <c r="J2881" s="4"/>
      <c r="K2881" s="4"/>
      <c r="L2881" s="4"/>
      <c r="M2881" s="4"/>
      <c r="N2881" s="4"/>
      <c r="O2881" s="4"/>
      <c r="P2881" s="4"/>
      <c r="Q2881" s="4"/>
    </row>
    <row r="2882" spans="1:17" x14ac:dyDescent="0.2">
      <c r="A2882" s="4"/>
      <c r="B2882" s="4"/>
      <c r="C2882" s="4"/>
      <c r="D2882" s="4"/>
      <c r="E2882" s="4"/>
      <c r="F2882" s="4"/>
      <c r="G2882" s="4"/>
      <c r="H2882" s="4"/>
      <c r="I2882" s="4"/>
      <c r="J2882" s="4"/>
      <c r="K2882" s="4"/>
      <c r="L2882" s="4"/>
      <c r="M2882" s="4"/>
      <c r="N2882" s="4"/>
      <c r="O2882" s="4"/>
      <c r="P2882" s="4"/>
      <c r="Q2882" s="4"/>
    </row>
    <row r="2883" spans="1:17" x14ac:dyDescent="0.2">
      <c r="A2883" s="4"/>
      <c r="B2883" s="4"/>
      <c r="C2883" s="4"/>
      <c r="D2883" s="4"/>
      <c r="E2883" s="4"/>
      <c r="F2883" s="4"/>
      <c r="G2883" s="4"/>
      <c r="H2883" s="4"/>
      <c r="I2883" s="4"/>
      <c r="J2883" s="4"/>
      <c r="K2883" s="4"/>
      <c r="L2883" s="4"/>
      <c r="M2883" s="4"/>
      <c r="N2883" s="4"/>
      <c r="O2883" s="4"/>
      <c r="P2883" s="4"/>
      <c r="Q2883" s="4"/>
    </row>
    <row r="2884" spans="1:17" x14ac:dyDescent="0.2">
      <c r="A2884" s="4"/>
      <c r="B2884" s="4"/>
      <c r="C2884" s="4"/>
      <c r="D2884" s="4"/>
      <c r="E2884" s="4"/>
      <c r="F2884" s="4"/>
      <c r="G2884" s="4"/>
      <c r="H2884" s="4"/>
      <c r="I2884" s="4"/>
      <c r="J2884" s="4"/>
      <c r="K2884" s="4"/>
      <c r="L2884" s="4"/>
      <c r="M2884" s="4"/>
      <c r="N2884" s="4"/>
      <c r="O2884" s="4"/>
      <c r="P2884" s="4"/>
      <c r="Q2884" s="4"/>
    </row>
    <row r="2885" spans="1:17" x14ac:dyDescent="0.2">
      <c r="A2885" s="4"/>
      <c r="B2885" s="4"/>
      <c r="C2885" s="4"/>
      <c r="D2885" s="4"/>
      <c r="E2885" s="4"/>
      <c r="F2885" s="4"/>
      <c r="G2885" s="4"/>
      <c r="H2885" s="4"/>
      <c r="I2885" s="4"/>
      <c r="J2885" s="4"/>
      <c r="K2885" s="4"/>
      <c r="L2885" s="4"/>
      <c r="M2885" s="4"/>
      <c r="N2885" s="4"/>
      <c r="O2885" s="4"/>
      <c r="P2885" s="4"/>
      <c r="Q2885" s="4"/>
    </row>
    <row r="2886" spans="1:17" x14ac:dyDescent="0.2">
      <c r="A2886" s="4"/>
      <c r="B2886" s="4"/>
      <c r="C2886" s="4"/>
      <c r="D2886" s="4"/>
      <c r="E2886" s="4"/>
      <c r="F2886" s="4"/>
      <c r="G2886" s="4"/>
      <c r="H2886" s="4"/>
      <c r="I2886" s="4"/>
      <c r="J2886" s="4"/>
      <c r="K2886" s="4"/>
      <c r="L2886" s="4"/>
      <c r="M2886" s="4"/>
      <c r="N2886" s="4"/>
      <c r="O2886" s="4"/>
      <c r="P2886" s="4"/>
      <c r="Q2886" s="4"/>
    </row>
    <row r="2887" spans="1:17" x14ac:dyDescent="0.2">
      <c r="A2887" s="4"/>
      <c r="B2887" s="4"/>
      <c r="C2887" s="4"/>
      <c r="D2887" s="4"/>
      <c r="E2887" s="4"/>
      <c r="F2887" s="4"/>
      <c r="G2887" s="4"/>
      <c r="H2887" s="4"/>
      <c r="I2887" s="4"/>
      <c r="J2887" s="4"/>
      <c r="K2887" s="4"/>
      <c r="L2887" s="4"/>
      <c r="M2887" s="4"/>
      <c r="N2887" s="4"/>
      <c r="O2887" s="4"/>
      <c r="P2887" s="4"/>
      <c r="Q2887" s="4"/>
    </row>
    <row r="2888" spans="1:17" x14ac:dyDescent="0.2">
      <c r="A2888" s="4"/>
      <c r="B2888" s="4"/>
      <c r="C2888" s="4"/>
      <c r="D2888" s="4"/>
      <c r="E2888" s="4"/>
      <c r="F2888" s="4"/>
      <c r="G2888" s="4"/>
      <c r="H2888" s="4"/>
      <c r="I2888" s="4"/>
      <c r="J2888" s="4"/>
      <c r="K2888" s="4"/>
      <c r="L2888" s="4"/>
      <c r="M2888" s="4"/>
      <c r="N2888" s="4"/>
      <c r="O2888" s="4"/>
      <c r="P2888" s="4"/>
      <c r="Q2888" s="4"/>
    </row>
    <row r="2889" spans="1:17" x14ac:dyDescent="0.2">
      <c r="A2889" s="4"/>
      <c r="B2889" s="4"/>
      <c r="C2889" s="4"/>
      <c r="D2889" s="4"/>
      <c r="E2889" s="4"/>
      <c r="F2889" s="4"/>
      <c r="G2889" s="4"/>
      <c r="H2889" s="4"/>
      <c r="I2889" s="4"/>
      <c r="J2889" s="4"/>
      <c r="K2889" s="4"/>
      <c r="L2889" s="4"/>
      <c r="M2889" s="4"/>
      <c r="N2889" s="4"/>
      <c r="O2889" s="4"/>
      <c r="P2889" s="4"/>
      <c r="Q2889" s="4"/>
    </row>
    <row r="2890" spans="1:17" x14ac:dyDescent="0.2">
      <c r="A2890" s="4"/>
      <c r="B2890" s="4"/>
      <c r="C2890" s="4"/>
      <c r="D2890" s="4"/>
      <c r="E2890" s="4"/>
      <c r="F2890" s="4"/>
      <c r="G2890" s="4"/>
      <c r="H2890" s="4"/>
      <c r="I2890" s="4"/>
      <c r="J2890" s="4"/>
      <c r="K2890" s="4"/>
      <c r="L2890" s="4"/>
      <c r="M2890" s="4"/>
      <c r="N2890" s="4"/>
      <c r="O2890" s="4"/>
      <c r="P2890" s="4"/>
      <c r="Q2890" s="4"/>
    </row>
    <row r="2891" spans="1:17" x14ac:dyDescent="0.2">
      <c r="A2891" s="4"/>
      <c r="B2891" s="4"/>
      <c r="C2891" s="4"/>
      <c r="D2891" s="4"/>
      <c r="E2891" s="4"/>
      <c r="F2891" s="4"/>
      <c r="G2891" s="4"/>
      <c r="H2891" s="4"/>
      <c r="I2891" s="4"/>
      <c r="J2891" s="4"/>
      <c r="K2891" s="4"/>
      <c r="L2891" s="4"/>
      <c r="M2891" s="4"/>
      <c r="N2891" s="4"/>
      <c r="O2891" s="4"/>
      <c r="P2891" s="4"/>
      <c r="Q2891" s="4"/>
    </row>
    <row r="2892" spans="1:17" x14ac:dyDescent="0.2">
      <c r="A2892" s="4"/>
      <c r="B2892" s="4"/>
      <c r="C2892" s="4"/>
      <c r="D2892" s="4"/>
      <c r="E2892" s="4"/>
      <c r="F2892" s="4"/>
      <c r="G2892" s="4"/>
      <c r="H2892" s="4"/>
      <c r="I2892" s="4"/>
      <c r="J2892" s="4"/>
      <c r="K2892" s="4"/>
      <c r="L2892" s="4"/>
      <c r="M2892" s="4"/>
      <c r="N2892" s="4"/>
      <c r="O2892" s="4"/>
      <c r="P2892" s="4"/>
      <c r="Q2892" s="4"/>
    </row>
    <row r="2893" spans="1:17" x14ac:dyDescent="0.2">
      <c r="A2893" s="4"/>
      <c r="B2893" s="4"/>
      <c r="C2893" s="4"/>
      <c r="D2893" s="4"/>
      <c r="E2893" s="4"/>
      <c r="F2893" s="4"/>
      <c r="G2893" s="4"/>
      <c r="H2893" s="4"/>
      <c r="I2893" s="4"/>
      <c r="J2893" s="4"/>
      <c r="K2893" s="4"/>
      <c r="L2893" s="4"/>
      <c r="M2893" s="4"/>
      <c r="N2893" s="4"/>
      <c r="O2893" s="4"/>
      <c r="P2893" s="4"/>
      <c r="Q2893" s="4"/>
    </row>
    <row r="2894" spans="1:17" x14ac:dyDescent="0.2">
      <c r="A2894" s="4"/>
      <c r="B2894" s="4"/>
      <c r="C2894" s="4"/>
      <c r="D2894" s="4"/>
      <c r="E2894" s="4"/>
      <c r="F2894" s="4"/>
      <c r="G2894" s="4"/>
      <c r="H2894" s="4"/>
      <c r="I2894" s="4"/>
      <c r="J2894" s="4"/>
      <c r="K2894" s="4"/>
      <c r="L2894" s="4"/>
      <c r="M2894" s="4"/>
      <c r="N2894" s="4"/>
      <c r="O2894" s="4"/>
      <c r="P2894" s="4"/>
      <c r="Q2894" s="4"/>
    </row>
    <row r="2895" spans="1:17" x14ac:dyDescent="0.2">
      <c r="A2895" s="4"/>
      <c r="B2895" s="4"/>
      <c r="C2895" s="4"/>
      <c r="D2895" s="4"/>
      <c r="E2895" s="4"/>
      <c r="F2895" s="4"/>
      <c r="G2895" s="4"/>
      <c r="H2895" s="4"/>
      <c r="I2895" s="4"/>
      <c r="J2895" s="4"/>
      <c r="K2895" s="4"/>
      <c r="L2895" s="4"/>
      <c r="M2895" s="4"/>
      <c r="N2895" s="4"/>
      <c r="O2895" s="4"/>
      <c r="P2895" s="4"/>
      <c r="Q2895" s="4"/>
    </row>
    <row r="2896" spans="1:17" x14ac:dyDescent="0.2">
      <c r="A2896" s="4"/>
      <c r="B2896" s="4"/>
      <c r="C2896" s="4"/>
      <c r="D2896" s="4"/>
      <c r="E2896" s="4"/>
      <c r="F2896" s="4"/>
      <c r="G2896" s="4"/>
      <c r="H2896" s="4"/>
      <c r="I2896" s="4"/>
      <c r="J2896" s="4"/>
      <c r="K2896" s="4"/>
      <c r="L2896" s="4"/>
      <c r="M2896" s="4"/>
      <c r="N2896" s="4"/>
      <c r="O2896" s="4"/>
      <c r="P2896" s="4"/>
      <c r="Q2896" s="4"/>
    </row>
    <row r="2897" spans="1:17" x14ac:dyDescent="0.2">
      <c r="A2897" s="4"/>
      <c r="B2897" s="4"/>
      <c r="C2897" s="4"/>
      <c r="D2897" s="4"/>
      <c r="E2897" s="4"/>
      <c r="F2897" s="4"/>
      <c r="G2897" s="4"/>
      <c r="H2897" s="4"/>
      <c r="I2897" s="4"/>
      <c r="J2897" s="4"/>
      <c r="K2897" s="4"/>
      <c r="L2897" s="4"/>
      <c r="M2897" s="4"/>
      <c r="N2897" s="4"/>
      <c r="O2897" s="4"/>
      <c r="P2897" s="4"/>
      <c r="Q2897" s="4"/>
    </row>
    <row r="2898" spans="1:17" x14ac:dyDescent="0.2">
      <c r="A2898" s="4"/>
      <c r="B2898" s="4"/>
      <c r="C2898" s="4"/>
      <c r="D2898" s="4"/>
      <c r="E2898" s="4"/>
      <c r="F2898" s="4"/>
      <c r="G2898" s="4"/>
      <c r="H2898" s="4"/>
      <c r="I2898" s="4"/>
      <c r="J2898" s="4"/>
      <c r="K2898" s="4"/>
      <c r="L2898" s="4"/>
      <c r="M2898" s="4"/>
      <c r="N2898" s="4"/>
      <c r="O2898" s="4"/>
      <c r="P2898" s="4"/>
      <c r="Q2898" s="4"/>
    </row>
    <row r="2899" spans="1:17" x14ac:dyDescent="0.2">
      <c r="A2899" s="4"/>
      <c r="B2899" s="4"/>
      <c r="C2899" s="4"/>
      <c r="D2899" s="4"/>
      <c r="E2899" s="4"/>
      <c r="F2899" s="4"/>
      <c r="G2899" s="4"/>
      <c r="H2899" s="4"/>
      <c r="I2899" s="4"/>
      <c r="J2899" s="4"/>
      <c r="K2899" s="4"/>
      <c r="L2899" s="4"/>
      <c r="M2899" s="4"/>
      <c r="N2899" s="4"/>
      <c r="O2899" s="4"/>
      <c r="P2899" s="4"/>
      <c r="Q2899" s="4"/>
    </row>
    <row r="2900" spans="1:17" x14ac:dyDescent="0.2">
      <c r="A2900" s="4"/>
      <c r="B2900" s="4"/>
      <c r="C2900" s="4"/>
      <c r="D2900" s="4"/>
      <c r="E2900" s="4"/>
      <c r="F2900" s="4"/>
      <c r="G2900" s="4"/>
      <c r="H2900" s="4"/>
      <c r="I2900" s="4"/>
      <c r="J2900" s="4"/>
      <c r="K2900" s="4"/>
      <c r="L2900" s="4"/>
      <c r="M2900" s="4"/>
      <c r="N2900" s="4"/>
      <c r="O2900" s="4"/>
      <c r="P2900" s="4"/>
      <c r="Q2900" s="4"/>
    </row>
    <row r="2901" spans="1:17" x14ac:dyDescent="0.2">
      <c r="A2901" s="4"/>
      <c r="B2901" s="4"/>
      <c r="C2901" s="4"/>
      <c r="D2901" s="4"/>
      <c r="E2901" s="4"/>
      <c r="F2901" s="4"/>
      <c r="G2901" s="4"/>
      <c r="H2901" s="4"/>
      <c r="I2901" s="4"/>
      <c r="J2901" s="4"/>
      <c r="K2901" s="4"/>
      <c r="L2901" s="4"/>
      <c r="M2901" s="4"/>
      <c r="N2901" s="4"/>
      <c r="O2901" s="4"/>
      <c r="P2901" s="4"/>
      <c r="Q2901" s="4"/>
    </row>
    <row r="2902" spans="1:17" x14ac:dyDescent="0.2">
      <c r="A2902" s="4"/>
      <c r="B2902" s="4"/>
      <c r="C2902" s="4"/>
      <c r="D2902" s="4"/>
      <c r="E2902" s="4"/>
      <c r="F2902" s="4"/>
      <c r="G2902" s="4"/>
      <c r="H2902" s="4"/>
      <c r="I2902" s="4"/>
      <c r="J2902" s="4"/>
      <c r="K2902" s="4"/>
      <c r="L2902" s="4"/>
      <c r="M2902" s="4"/>
      <c r="N2902" s="4"/>
      <c r="O2902" s="4"/>
      <c r="P2902" s="4"/>
      <c r="Q2902" s="4"/>
    </row>
    <row r="2903" spans="1:17" x14ac:dyDescent="0.2">
      <c r="A2903" s="4"/>
      <c r="B2903" s="4"/>
      <c r="C2903" s="4"/>
      <c r="D2903" s="4"/>
      <c r="E2903" s="4"/>
      <c r="F2903" s="4"/>
      <c r="G2903" s="4"/>
      <c r="H2903" s="4"/>
      <c r="I2903" s="4"/>
      <c r="J2903" s="4"/>
      <c r="K2903" s="4"/>
      <c r="L2903" s="4"/>
      <c r="M2903" s="4"/>
      <c r="N2903" s="4"/>
      <c r="O2903" s="4"/>
      <c r="P2903" s="4"/>
      <c r="Q2903" s="4"/>
    </row>
    <row r="2904" spans="1:17" x14ac:dyDescent="0.2">
      <c r="A2904" s="4"/>
      <c r="B2904" s="4"/>
      <c r="C2904" s="4"/>
      <c r="D2904" s="4"/>
      <c r="E2904" s="4"/>
      <c r="F2904" s="4"/>
      <c r="G2904" s="4"/>
      <c r="H2904" s="4"/>
      <c r="I2904" s="4"/>
      <c r="J2904" s="4"/>
      <c r="K2904" s="4"/>
      <c r="L2904" s="4"/>
      <c r="M2904" s="4"/>
      <c r="N2904" s="4"/>
      <c r="O2904" s="4"/>
      <c r="P2904" s="4"/>
      <c r="Q2904" s="4"/>
    </row>
    <row r="2905" spans="1:17" x14ac:dyDescent="0.2">
      <c r="A2905" s="4"/>
      <c r="B2905" s="4"/>
      <c r="C2905" s="4"/>
      <c r="D2905" s="4"/>
      <c r="E2905" s="4"/>
      <c r="F2905" s="4"/>
      <c r="G2905" s="4"/>
      <c r="H2905" s="4"/>
      <c r="I2905" s="4"/>
      <c r="J2905" s="4"/>
      <c r="K2905" s="4"/>
      <c r="L2905" s="4"/>
      <c r="M2905" s="4"/>
      <c r="N2905" s="4"/>
      <c r="O2905" s="4"/>
      <c r="P2905" s="4"/>
      <c r="Q2905" s="4"/>
    </row>
    <row r="2906" spans="1:17" x14ac:dyDescent="0.2">
      <c r="A2906" s="4"/>
      <c r="B2906" s="4"/>
      <c r="C2906" s="4"/>
      <c r="D2906" s="4"/>
      <c r="E2906" s="4"/>
      <c r="F2906" s="4"/>
      <c r="G2906" s="4"/>
      <c r="H2906" s="4"/>
      <c r="I2906" s="4"/>
      <c r="J2906" s="4"/>
      <c r="K2906" s="4"/>
      <c r="L2906" s="4"/>
      <c r="M2906" s="4"/>
      <c r="N2906" s="4"/>
      <c r="O2906" s="4"/>
      <c r="P2906" s="4"/>
      <c r="Q2906" s="4"/>
    </row>
    <row r="2907" spans="1:17" x14ac:dyDescent="0.2">
      <c r="A2907" s="4"/>
      <c r="B2907" s="4"/>
      <c r="C2907" s="4"/>
      <c r="D2907" s="4"/>
      <c r="E2907" s="4"/>
      <c r="F2907" s="4"/>
      <c r="G2907" s="4"/>
      <c r="H2907" s="4"/>
      <c r="I2907" s="4"/>
      <c r="J2907" s="4"/>
      <c r="K2907" s="4"/>
      <c r="L2907" s="4"/>
      <c r="M2907" s="4"/>
      <c r="N2907" s="4"/>
      <c r="O2907" s="4"/>
      <c r="P2907" s="4"/>
      <c r="Q2907" s="4"/>
    </row>
    <row r="2908" spans="1:17" x14ac:dyDescent="0.2">
      <c r="A2908" s="4"/>
      <c r="B2908" s="4"/>
      <c r="C2908" s="4"/>
      <c r="D2908" s="4"/>
      <c r="E2908" s="4"/>
      <c r="F2908" s="4"/>
      <c r="G2908" s="4"/>
      <c r="H2908" s="4"/>
      <c r="I2908" s="4"/>
      <c r="J2908" s="4"/>
      <c r="K2908" s="4"/>
      <c r="L2908" s="4"/>
      <c r="M2908" s="4"/>
      <c r="N2908" s="4"/>
      <c r="O2908" s="4"/>
      <c r="P2908" s="4"/>
      <c r="Q2908" s="4"/>
    </row>
    <row r="2909" spans="1:17" x14ac:dyDescent="0.2">
      <c r="A2909" s="4"/>
      <c r="B2909" s="4"/>
      <c r="C2909" s="4"/>
      <c r="D2909" s="4"/>
      <c r="E2909" s="4"/>
      <c r="F2909" s="4"/>
      <c r="G2909" s="4"/>
      <c r="H2909" s="4"/>
      <c r="I2909" s="4"/>
      <c r="J2909" s="4"/>
      <c r="K2909" s="4"/>
      <c r="L2909" s="4"/>
      <c r="M2909" s="4"/>
      <c r="N2909" s="4"/>
      <c r="O2909" s="4"/>
      <c r="P2909" s="4"/>
      <c r="Q2909" s="4"/>
    </row>
    <row r="2910" spans="1:17" x14ac:dyDescent="0.2">
      <c r="A2910" s="4"/>
      <c r="B2910" s="4"/>
      <c r="C2910" s="4"/>
      <c r="D2910" s="4"/>
      <c r="E2910" s="4"/>
      <c r="F2910" s="4"/>
      <c r="G2910" s="4"/>
      <c r="H2910" s="4"/>
      <c r="I2910" s="4"/>
      <c r="J2910" s="4"/>
      <c r="K2910" s="4"/>
      <c r="L2910" s="4"/>
      <c r="M2910" s="4"/>
      <c r="N2910" s="4"/>
      <c r="O2910" s="4"/>
      <c r="P2910" s="4"/>
      <c r="Q2910" s="4"/>
    </row>
    <row r="2911" spans="1:17" x14ac:dyDescent="0.2">
      <c r="A2911" s="4"/>
      <c r="B2911" s="4"/>
      <c r="C2911" s="4"/>
      <c r="D2911" s="4"/>
      <c r="E2911" s="4"/>
      <c r="F2911" s="4"/>
      <c r="G2911" s="4"/>
      <c r="H2911" s="4"/>
      <c r="I2911" s="4"/>
      <c r="J2911" s="4"/>
      <c r="K2911" s="4"/>
      <c r="L2911" s="4"/>
      <c r="M2911" s="4"/>
      <c r="N2911" s="4"/>
      <c r="O2911" s="4"/>
      <c r="P2911" s="4"/>
      <c r="Q2911" s="4"/>
    </row>
    <row r="2912" spans="1:17" x14ac:dyDescent="0.2">
      <c r="A2912" s="4"/>
      <c r="B2912" s="4"/>
      <c r="C2912" s="4"/>
      <c r="D2912" s="4"/>
      <c r="E2912" s="4"/>
      <c r="F2912" s="4"/>
      <c r="G2912" s="4"/>
      <c r="H2912" s="4"/>
      <c r="I2912" s="4"/>
      <c r="J2912" s="4"/>
      <c r="K2912" s="4"/>
      <c r="L2912" s="4"/>
      <c r="M2912" s="4"/>
      <c r="N2912" s="4"/>
      <c r="O2912" s="4"/>
      <c r="P2912" s="4"/>
      <c r="Q2912" s="4"/>
    </row>
    <row r="2913" spans="1:17" x14ac:dyDescent="0.2">
      <c r="A2913" s="4"/>
      <c r="B2913" s="4"/>
      <c r="C2913" s="4"/>
      <c r="D2913" s="4"/>
      <c r="E2913" s="4"/>
      <c r="F2913" s="4"/>
      <c r="G2913" s="4"/>
      <c r="H2913" s="4"/>
      <c r="I2913" s="4"/>
      <c r="J2913" s="4"/>
      <c r="K2913" s="4"/>
      <c r="L2913" s="4"/>
      <c r="M2913" s="4"/>
      <c r="N2913" s="4"/>
      <c r="O2913" s="4"/>
      <c r="P2913" s="4"/>
      <c r="Q2913" s="4"/>
    </row>
    <row r="2914" spans="1:17" x14ac:dyDescent="0.2">
      <c r="A2914" s="4"/>
      <c r="B2914" s="4"/>
      <c r="C2914" s="4"/>
      <c r="D2914" s="4"/>
      <c r="E2914" s="4"/>
      <c r="F2914" s="4"/>
      <c r="G2914" s="4"/>
      <c r="H2914" s="4"/>
      <c r="I2914" s="4"/>
      <c r="J2914" s="4"/>
      <c r="K2914" s="4"/>
      <c r="L2914" s="4"/>
      <c r="M2914" s="4"/>
      <c r="N2914" s="4"/>
      <c r="O2914" s="4"/>
      <c r="P2914" s="4"/>
      <c r="Q2914" s="4"/>
    </row>
    <row r="2915" spans="1:17" x14ac:dyDescent="0.2">
      <c r="A2915" s="4"/>
      <c r="B2915" s="4"/>
      <c r="C2915" s="4"/>
      <c r="D2915" s="4"/>
      <c r="E2915" s="4"/>
      <c r="F2915" s="4"/>
      <c r="G2915" s="4"/>
      <c r="H2915" s="4"/>
      <c r="I2915" s="4"/>
      <c r="J2915" s="4"/>
      <c r="K2915" s="4"/>
      <c r="L2915" s="4"/>
      <c r="M2915" s="4"/>
      <c r="N2915" s="4"/>
      <c r="O2915" s="4"/>
      <c r="P2915" s="4"/>
      <c r="Q2915" s="4"/>
    </row>
    <row r="2916" spans="1:17" x14ac:dyDescent="0.2">
      <c r="A2916" s="4"/>
      <c r="B2916" s="4"/>
      <c r="C2916" s="4"/>
      <c r="D2916" s="4"/>
      <c r="E2916" s="4"/>
      <c r="F2916" s="4"/>
      <c r="G2916" s="4"/>
      <c r="H2916" s="4"/>
      <c r="I2916" s="4"/>
      <c r="J2916" s="4"/>
      <c r="K2916" s="4"/>
      <c r="L2916" s="4"/>
      <c r="M2916" s="4"/>
      <c r="N2916" s="4"/>
      <c r="O2916" s="4"/>
      <c r="P2916" s="4"/>
      <c r="Q2916" s="4"/>
    </row>
    <row r="2917" spans="1:17" x14ac:dyDescent="0.2">
      <c r="A2917" s="4"/>
      <c r="B2917" s="4"/>
      <c r="C2917" s="4"/>
      <c r="D2917" s="4"/>
      <c r="E2917" s="4"/>
      <c r="F2917" s="4"/>
      <c r="G2917" s="4"/>
      <c r="H2917" s="4"/>
      <c r="I2917" s="4"/>
      <c r="J2917" s="4"/>
      <c r="K2917" s="4"/>
      <c r="L2917" s="4"/>
      <c r="M2917" s="4"/>
      <c r="N2917" s="4"/>
      <c r="O2917" s="4"/>
      <c r="P2917" s="4"/>
      <c r="Q2917" s="4"/>
    </row>
    <row r="2918" spans="1:17" x14ac:dyDescent="0.2">
      <c r="A2918" s="4"/>
      <c r="B2918" s="4"/>
      <c r="C2918" s="4"/>
      <c r="D2918" s="4"/>
      <c r="E2918" s="4"/>
      <c r="F2918" s="4"/>
      <c r="G2918" s="4"/>
      <c r="H2918" s="4"/>
      <c r="I2918" s="4"/>
      <c r="J2918" s="4"/>
      <c r="K2918" s="4"/>
      <c r="L2918" s="4"/>
      <c r="M2918" s="4"/>
      <c r="N2918" s="4"/>
      <c r="O2918" s="4"/>
      <c r="P2918" s="4"/>
      <c r="Q2918" s="4"/>
    </row>
    <row r="2919" spans="1:17" x14ac:dyDescent="0.2">
      <c r="A2919" s="4"/>
      <c r="B2919" s="4"/>
      <c r="C2919" s="4"/>
      <c r="D2919" s="4"/>
      <c r="E2919" s="4"/>
      <c r="F2919" s="4"/>
      <c r="G2919" s="4"/>
      <c r="H2919" s="4"/>
      <c r="I2919" s="4"/>
      <c r="J2919" s="4"/>
      <c r="K2919" s="4"/>
      <c r="L2919" s="4"/>
      <c r="M2919" s="4"/>
      <c r="N2919" s="4"/>
      <c r="O2919" s="4"/>
      <c r="P2919" s="4"/>
      <c r="Q2919" s="4"/>
    </row>
    <row r="2920" spans="1:17" x14ac:dyDescent="0.2">
      <c r="A2920" s="4"/>
      <c r="B2920" s="4"/>
      <c r="C2920" s="4"/>
      <c r="D2920" s="4"/>
      <c r="E2920" s="4"/>
      <c r="F2920" s="4"/>
      <c r="G2920" s="4"/>
      <c r="H2920" s="4"/>
      <c r="I2920" s="4"/>
      <c r="J2920" s="4"/>
      <c r="K2920" s="4"/>
      <c r="L2920" s="4"/>
      <c r="M2920" s="4"/>
      <c r="N2920" s="4"/>
      <c r="O2920" s="4"/>
      <c r="P2920" s="4"/>
      <c r="Q2920" s="4"/>
    </row>
    <row r="2921" spans="1:17" x14ac:dyDescent="0.2">
      <c r="A2921" s="4"/>
      <c r="B2921" s="4"/>
      <c r="C2921" s="4"/>
      <c r="D2921" s="4"/>
      <c r="E2921" s="4"/>
      <c r="F2921" s="4"/>
      <c r="G2921" s="4"/>
      <c r="H2921" s="4"/>
      <c r="I2921" s="4"/>
      <c r="J2921" s="4"/>
      <c r="K2921" s="4"/>
      <c r="L2921" s="4"/>
      <c r="M2921" s="4"/>
      <c r="N2921" s="4"/>
      <c r="O2921" s="4"/>
      <c r="P2921" s="4"/>
      <c r="Q2921" s="4"/>
    </row>
    <row r="2922" spans="1:17" x14ac:dyDescent="0.2">
      <c r="A2922" s="4"/>
      <c r="B2922" s="4"/>
      <c r="C2922" s="4"/>
      <c r="D2922" s="4"/>
      <c r="E2922" s="4"/>
      <c r="F2922" s="4"/>
      <c r="G2922" s="4"/>
      <c r="H2922" s="4"/>
      <c r="I2922" s="4"/>
      <c r="J2922" s="4"/>
      <c r="K2922" s="4"/>
      <c r="L2922" s="4"/>
      <c r="M2922" s="4"/>
      <c r="N2922" s="4"/>
      <c r="O2922" s="4"/>
      <c r="P2922" s="4"/>
      <c r="Q2922" s="4"/>
    </row>
    <row r="2923" spans="1:17" x14ac:dyDescent="0.2">
      <c r="A2923" s="4"/>
      <c r="B2923" s="4"/>
      <c r="C2923" s="4"/>
      <c r="D2923" s="4"/>
      <c r="E2923" s="4"/>
      <c r="F2923" s="4"/>
      <c r="G2923" s="4"/>
      <c r="H2923" s="4"/>
      <c r="I2923" s="4"/>
      <c r="J2923" s="4"/>
      <c r="K2923" s="4"/>
      <c r="L2923" s="4"/>
      <c r="M2923" s="4"/>
      <c r="N2923" s="4"/>
      <c r="O2923" s="4"/>
      <c r="P2923" s="4"/>
      <c r="Q2923" s="4"/>
    </row>
    <row r="2924" spans="1:17" x14ac:dyDescent="0.2">
      <c r="A2924" s="4"/>
      <c r="B2924" s="4"/>
      <c r="C2924" s="4"/>
      <c r="D2924" s="4"/>
      <c r="E2924" s="4"/>
      <c r="F2924" s="4"/>
      <c r="G2924" s="4"/>
      <c r="H2924" s="4"/>
      <c r="I2924" s="4"/>
      <c r="J2924" s="4"/>
      <c r="K2924" s="4"/>
      <c r="L2924" s="4"/>
      <c r="M2924" s="4"/>
      <c r="N2924" s="4"/>
      <c r="O2924" s="4"/>
      <c r="P2924" s="4"/>
      <c r="Q2924" s="4"/>
    </row>
    <row r="2925" spans="1:17" x14ac:dyDescent="0.2">
      <c r="A2925" s="4"/>
      <c r="B2925" s="4"/>
      <c r="C2925" s="4"/>
      <c r="D2925" s="4"/>
      <c r="E2925" s="4"/>
      <c r="F2925" s="4"/>
      <c r="G2925" s="4"/>
      <c r="H2925" s="4"/>
      <c r="I2925" s="4"/>
      <c r="J2925" s="4"/>
      <c r="K2925" s="4"/>
      <c r="L2925" s="4"/>
      <c r="M2925" s="4"/>
      <c r="N2925" s="4"/>
      <c r="O2925" s="4"/>
      <c r="P2925" s="4"/>
      <c r="Q2925" s="4"/>
    </row>
    <row r="2926" spans="1:17" x14ac:dyDescent="0.2">
      <c r="A2926" s="4"/>
      <c r="B2926" s="4"/>
      <c r="C2926" s="4"/>
      <c r="D2926" s="4"/>
      <c r="E2926" s="4"/>
      <c r="F2926" s="4"/>
      <c r="G2926" s="4"/>
      <c r="H2926" s="4"/>
      <c r="I2926" s="4"/>
      <c r="J2926" s="4"/>
      <c r="K2926" s="4"/>
      <c r="L2926" s="4"/>
      <c r="M2926" s="4"/>
      <c r="N2926" s="4"/>
      <c r="O2926" s="4"/>
      <c r="P2926" s="4"/>
      <c r="Q2926" s="4"/>
    </row>
    <row r="2927" spans="1:17" x14ac:dyDescent="0.2">
      <c r="A2927" s="4"/>
      <c r="B2927" s="4"/>
      <c r="C2927" s="4"/>
      <c r="D2927" s="4"/>
      <c r="E2927" s="4"/>
      <c r="F2927" s="4"/>
      <c r="G2927" s="4"/>
      <c r="H2927" s="4"/>
      <c r="I2927" s="4"/>
      <c r="J2927" s="4"/>
      <c r="K2927" s="4"/>
      <c r="L2927" s="4"/>
      <c r="M2927" s="4"/>
      <c r="N2927" s="4"/>
      <c r="O2927" s="4"/>
      <c r="P2927" s="4"/>
      <c r="Q2927" s="4"/>
    </row>
    <row r="2928" spans="1:17" x14ac:dyDescent="0.2">
      <c r="A2928" s="4"/>
      <c r="B2928" s="4"/>
      <c r="C2928" s="4"/>
      <c r="D2928" s="4"/>
      <c r="E2928" s="4"/>
      <c r="F2928" s="4"/>
      <c r="G2928" s="4"/>
      <c r="H2928" s="4"/>
      <c r="I2928" s="4"/>
      <c r="J2928" s="4"/>
      <c r="K2928" s="4"/>
      <c r="L2928" s="4"/>
      <c r="M2928" s="4"/>
      <c r="N2928" s="4"/>
      <c r="O2928" s="4"/>
      <c r="P2928" s="4"/>
      <c r="Q2928" s="4"/>
    </row>
    <row r="2929" spans="1:17" x14ac:dyDescent="0.2">
      <c r="A2929" s="4"/>
      <c r="B2929" s="4"/>
      <c r="C2929" s="4"/>
      <c r="D2929" s="4"/>
      <c r="E2929" s="4"/>
      <c r="F2929" s="4"/>
      <c r="G2929" s="4"/>
      <c r="H2929" s="4"/>
      <c r="I2929" s="4"/>
      <c r="J2929" s="4"/>
      <c r="K2929" s="4"/>
      <c r="L2929" s="4"/>
      <c r="M2929" s="4"/>
      <c r="N2929" s="4"/>
      <c r="O2929" s="4"/>
      <c r="P2929" s="4"/>
      <c r="Q2929" s="4"/>
    </row>
    <row r="2930" spans="1:17" x14ac:dyDescent="0.2">
      <c r="A2930" s="4"/>
      <c r="B2930" s="4"/>
      <c r="C2930" s="4"/>
      <c r="D2930" s="4"/>
      <c r="E2930" s="4"/>
      <c r="F2930" s="4"/>
      <c r="G2930" s="4"/>
      <c r="H2930" s="4"/>
      <c r="I2930" s="4"/>
      <c r="J2930" s="4"/>
      <c r="K2930" s="4"/>
      <c r="L2930" s="4"/>
      <c r="M2930" s="4"/>
      <c r="N2930" s="4"/>
      <c r="O2930" s="4"/>
      <c r="P2930" s="4"/>
      <c r="Q2930" s="4"/>
    </row>
    <row r="2931" spans="1:17" x14ac:dyDescent="0.2">
      <c r="A2931" s="4"/>
      <c r="B2931" s="4"/>
      <c r="C2931" s="4"/>
      <c r="D2931" s="4"/>
      <c r="E2931" s="4"/>
      <c r="F2931" s="4"/>
      <c r="G2931" s="4"/>
      <c r="H2931" s="4"/>
      <c r="I2931" s="4"/>
      <c r="J2931" s="4"/>
      <c r="K2931" s="4"/>
      <c r="L2931" s="4"/>
      <c r="M2931" s="4"/>
      <c r="N2931" s="4"/>
      <c r="O2931" s="4"/>
      <c r="P2931" s="4"/>
      <c r="Q2931" s="4"/>
    </row>
    <row r="2932" spans="1:17" x14ac:dyDescent="0.2">
      <c r="A2932" s="4"/>
      <c r="B2932" s="4"/>
      <c r="C2932" s="4"/>
      <c r="D2932" s="4"/>
      <c r="E2932" s="4"/>
      <c r="F2932" s="4"/>
      <c r="G2932" s="4"/>
      <c r="H2932" s="4"/>
      <c r="I2932" s="4"/>
      <c r="J2932" s="4"/>
      <c r="K2932" s="4"/>
      <c r="L2932" s="4"/>
      <c r="M2932" s="4"/>
      <c r="N2932" s="4"/>
      <c r="O2932" s="4"/>
      <c r="P2932" s="4"/>
      <c r="Q2932" s="4"/>
    </row>
    <row r="2933" spans="1:17" x14ac:dyDescent="0.2">
      <c r="A2933" s="4"/>
      <c r="B2933" s="4"/>
      <c r="C2933" s="4"/>
      <c r="D2933" s="4"/>
      <c r="E2933" s="4"/>
      <c r="F2933" s="4"/>
      <c r="G2933" s="4"/>
      <c r="H2933" s="4"/>
      <c r="I2933" s="4"/>
      <c r="J2933" s="4"/>
      <c r="K2933" s="4"/>
      <c r="L2933" s="4"/>
      <c r="M2933" s="4"/>
      <c r="N2933" s="4"/>
      <c r="O2933" s="4"/>
      <c r="P2933" s="4"/>
      <c r="Q2933" s="4"/>
    </row>
    <row r="2934" spans="1:17" x14ac:dyDescent="0.2">
      <c r="A2934" s="4"/>
      <c r="B2934" s="4"/>
      <c r="C2934" s="4"/>
      <c r="D2934" s="4"/>
      <c r="E2934" s="4"/>
      <c r="F2934" s="4"/>
      <c r="G2934" s="4"/>
      <c r="H2934" s="4"/>
      <c r="I2934" s="4"/>
      <c r="J2934" s="4"/>
      <c r="K2934" s="4"/>
      <c r="L2934" s="4"/>
      <c r="M2934" s="4"/>
      <c r="N2934" s="4"/>
      <c r="O2934" s="4"/>
      <c r="P2934" s="4"/>
      <c r="Q2934" s="4"/>
    </row>
    <row r="2935" spans="1:17" x14ac:dyDescent="0.2">
      <c r="A2935" s="4"/>
      <c r="B2935" s="4"/>
      <c r="C2935" s="4"/>
      <c r="D2935" s="4"/>
      <c r="E2935" s="4"/>
      <c r="F2935" s="4"/>
      <c r="G2935" s="4"/>
      <c r="H2935" s="4"/>
      <c r="I2935" s="4"/>
      <c r="J2935" s="4"/>
      <c r="K2935" s="4"/>
      <c r="L2935" s="4"/>
      <c r="M2935" s="4"/>
      <c r="N2935" s="4"/>
      <c r="O2935" s="4"/>
      <c r="P2935" s="4"/>
      <c r="Q2935" s="4"/>
    </row>
    <row r="2936" spans="1:17" x14ac:dyDescent="0.2">
      <c r="A2936" s="4"/>
      <c r="B2936" s="4"/>
      <c r="C2936" s="4"/>
      <c r="D2936" s="4"/>
      <c r="E2936" s="4"/>
      <c r="F2936" s="4"/>
      <c r="G2936" s="4"/>
      <c r="H2936" s="4"/>
      <c r="I2936" s="4"/>
      <c r="J2936" s="4"/>
      <c r="K2936" s="4"/>
      <c r="L2936" s="4"/>
      <c r="M2936" s="4"/>
      <c r="N2936" s="4"/>
      <c r="O2936" s="4"/>
      <c r="P2936" s="4"/>
      <c r="Q2936" s="4"/>
    </row>
    <row r="2937" spans="1:17" x14ac:dyDescent="0.2">
      <c r="A2937" s="4"/>
      <c r="B2937" s="4"/>
      <c r="C2937" s="4"/>
      <c r="D2937" s="4"/>
      <c r="E2937" s="4"/>
      <c r="F2937" s="4"/>
      <c r="G2937" s="4"/>
      <c r="H2937" s="4"/>
      <c r="I2937" s="4"/>
      <c r="J2937" s="4"/>
      <c r="K2937" s="4"/>
      <c r="L2937" s="4"/>
      <c r="M2937" s="4"/>
      <c r="N2937" s="4"/>
      <c r="O2937" s="4"/>
      <c r="P2937" s="4"/>
      <c r="Q2937" s="4"/>
    </row>
    <row r="2938" spans="1:17" x14ac:dyDescent="0.2">
      <c r="A2938" s="4"/>
      <c r="B2938" s="4"/>
      <c r="C2938" s="4"/>
      <c r="D2938" s="4"/>
      <c r="E2938" s="4"/>
      <c r="F2938" s="4"/>
      <c r="G2938" s="4"/>
      <c r="H2938" s="4"/>
      <c r="I2938" s="4"/>
      <c r="J2938" s="4"/>
      <c r="K2938" s="4"/>
      <c r="L2938" s="4"/>
      <c r="M2938" s="4"/>
      <c r="N2938" s="4"/>
      <c r="O2938" s="4"/>
      <c r="P2938" s="4"/>
      <c r="Q2938" s="4"/>
    </row>
    <row r="2939" spans="1:17" x14ac:dyDescent="0.2">
      <c r="A2939" s="4"/>
      <c r="B2939" s="4"/>
      <c r="C2939" s="4"/>
      <c r="D2939" s="4"/>
      <c r="E2939" s="4"/>
      <c r="F2939" s="4"/>
      <c r="G2939" s="4"/>
      <c r="H2939" s="4"/>
      <c r="I2939" s="4"/>
      <c r="J2939" s="4"/>
      <c r="K2939" s="4"/>
      <c r="L2939" s="4"/>
      <c r="M2939" s="4"/>
      <c r="N2939" s="4"/>
      <c r="O2939" s="4"/>
      <c r="P2939" s="4"/>
      <c r="Q2939" s="4"/>
    </row>
    <row r="2940" spans="1:17" x14ac:dyDescent="0.2">
      <c r="A2940" s="4"/>
      <c r="B2940" s="4"/>
      <c r="C2940" s="4"/>
      <c r="D2940" s="4"/>
      <c r="E2940" s="4"/>
      <c r="F2940" s="4"/>
      <c r="G2940" s="4"/>
      <c r="H2940" s="4"/>
      <c r="I2940" s="4"/>
      <c r="J2940" s="4"/>
      <c r="K2940" s="4"/>
      <c r="L2940" s="4"/>
      <c r="M2940" s="4"/>
      <c r="N2940" s="4"/>
      <c r="O2940" s="4"/>
      <c r="P2940" s="4"/>
      <c r="Q2940" s="4"/>
    </row>
    <row r="2941" spans="1:17" x14ac:dyDescent="0.2">
      <c r="A2941" s="4"/>
      <c r="B2941" s="4"/>
      <c r="C2941" s="4"/>
      <c r="D2941" s="4"/>
      <c r="E2941" s="4"/>
      <c r="F2941" s="4"/>
      <c r="G2941" s="4"/>
      <c r="H2941" s="4"/>
      <c r="I2941" s="4"/>
      <c r="J2941" s="4"/>
      <c r="K2941" s="4"/>
      <c r="L2941" s="4"/>
      <c r="M2941" s="4"/>
      <c r="N2941" s="4"/>
      <c r="O2941" s="4"/>
      <c r="P2941" s="4"/>
      <c r="Q2941" s="4"/>
    </row>
    <row r="2942" spans="1:17" x14ac:dyDescent="0.2">
      <c r="A2942" s="4"/>
      <c r="B2942" s="4"/>
      <c r="C2942" s="4"/>
      <c r="D2942" s="4"/>
      <c r="E2942" s="4"/>
      <c r="F2942" s="4"/>
      <c r="G2942" s="4"/>
      <c r="H2942" s="4"/>
      <c r="I2942" s="4"/>
      <c r="J2942" s="4"/>
      <c r="K2942" s="4"/>
      <c r="L2942" s="4"/>
      <c r="M2942" s="4"/>
      <c r="N2942" s="4"/>
      <c r="O2942" s="4"/>
      <c r="P2942" s="4"/>
      <c r="Q2942" s="4"/>
    </row>
    <row r="2943" spans="1:17" x14ac:dyDescent="0.2">
      <c r="A2943" s="4"/>
      <c r="B2943" s="4"/>
      <c r="C2943" s="4"/>
      <c r="D2943" s="4"/>
      <c r="E2943" s="4"/>
      <c r="F2943" s="4"/>
      <c r="G2943" s="4"/>
      <c r="H2943" s="4"/>
      <c r="I2943" s="4"/>
      <c r="J2943" s="4"/>
      <c r="K2943" s="4"/>
      <c r="L2943" s="4"/>
      <c r="M2943" s="4"/>
      <c r="N2943" s="4"/>
      <c r="O2943" s="4"/>
      <c r="P2943" s="4"/>
      <c r="Q2943" s="4"/>
    </row>
    <row r="2944" spans="1:17" x14ac:dyDescent="0.2">
      <c r="A2944" s="4"/>
      <c r="B2944" s="4"/>
      <c r="C2944" s="4"/>
      <c r="D2944" s="4"/>
      <c r="E2944" s="4"/>
      <c r="F2944" s="4"/>
      <c r="G2944" s="4"/>
      <c r="H2944" s="4"/>
      <c r="I2944" s="4"/>
      <c r="J2944" s="4"/>
      <c r="K2944" s="4"/>
      <c r="L2944" s="4"/>
      <c r="M2944" s="4"/>
      <c r="N2944" s="4"/>
      <c r="O2944" s="4"/>
      <c r="P2944" s="4"/>
      <c r="Q2944" s="4"/>
    </row>
    <row r="2945" spans="1:17" x14ac:dyDescent="0.2">
      <c r="A2945" s="4"/>
      <c r="B2945" s="4"/>
      <c r="C2945" s="4"/>
      <c r="D2945" s="4"/>
      <c r="E2945" s="4"/>
      <c r="F2945" s="4"/>
      <c r="G2945" s="4"/>
      <c r="H2945" s="4"/>
      <c r="I2945" s="4"/>
      <c r="J2945" s="4"/>
      <c r="K2945" s="4"/>
      <c r="L2945" s="4"/>
      <c r="M2945" s="4"/>
      <c r="N2945" s="4"/>
      <c r="O2945" s="4"/>
      <c r="P2945" s="4"/>
      <c r="Q2945" s="4"/>
    </row>
    <row r="2946" spans="1:17" x14ac:dyDescent="0.2">
      <c r="A2946" s="4"/>
      <c r="B2946" s="4"/>
      <c r="C2946" s="4"/>
      <c r="D2946" s="4"/>
      <c r="E2946" s="4"/>
      <c r="F2946" s="4"/>
      <c r="G2946" s="4"/>
      <c r="H2946" s="4"/>
      <c r="I2946" s="4"/>
      <c r="J2946" s="4"/>
      <c r="K2946" s="4"/>
      <c r="L2946" s="4"/>
      <c r="M2946" s="4"/>
      <c r="N2946" s="4"/>
      <c r="O2946" s="4"/>
      <c r="P2946" s="4"/>
      <c r="Q2946" s="4"/>
    </row>
    <row r="2947" spans="1:17" x14ac:dyDescent="0.2">
      <c r="A2947" s="4"/>
      <c r="B2947" s="4"/>
      <c r="C2947" s="4"/>
      <c r="D2947" s="4"/>
      <c r="E2947" s="4"/>
      <c r="F2947" s="4"/>
      <c r="G2947" s="4"/>
      <c r="H2947" s="4"/>
      <c r="I2947" s="4"/>
      <c r="J2947" s="4"/>
      <c r="K2947" s="4"/>
      <c r="L2947" s="4"/>
      <c r="M2947" s="4"/>
      <c r="N2947" s="4"/>
      <c r="O2947" s="4"/>
      <c r="P2947" s="4"/>
      <c r="Q2947" s="4"/>
    </row>
    <row r="2948" spans="1:17" x14ac:dyDescent="0.2">
      <c r="A2948" s="4"/>
      <c r="B2948" s="4"/>
      <c r="C2948" s="4"/>
      <c r="D2948" s="4"/>
      <c r="E2948" s="4"/>
      <c r="F2948" s="4"/>
      <c r="G2948" s="4"/>
      <c r="H2948" s="4"/>
      <c r="I2948" s="4"/>
      <c r="J2948" s="4"/>
      <c r="K2948" s="4"/>
      <c r="L2948" s="4"/>
      <c r="M2948" s="4"/>
      <c r="N2948" s="4"/>
      <c r="O2948" s="4"/>
      <c r="P2948" s="4"/>
      <c r="Q2948" s="4"/>
    </row>
    <row r="2949" spans="1:17" x14ac:dyDescent="0.2">
      <c r="A2949" s="4"/>
      <c r="B2949" s="4"/>
      <c r="C2949" s="4"/>
      <c r="D2949" s="4"/>
      <c r="E2949" s="4"/>
      <c r="F2949" s="4"/>
      <c r="G2949" s="4"/>
      <c r="H2949" s="4"/>
      <c r="I2949" s="4"/>
      <c r="J2949" s="4"/>
      <c r="K2949" s="4"/>
      <c r="L2949" s="4"/>
      <c r="M2949" s="4"/>
      <c r="N2949" s="4"/>
      <c r="O2949" s="4"/>
      <c r="P2949" s="4"/>
      <c r="Q2949" s="4"/>
    </row>
    <row r="2950" spans="1:17" x14ac:dyDescent="0.2">
      <c r="A2950" s="4"/>
      <c r="B2950" s="4"/>
      <c r="C2950" s="4"/>
      <c r="D2950" s="4"/>
      <c r="E2950" s="4"/>
      <c r="F2950" s="4"/>
      <c r="G2950" s="4"/>
      <c r="H2950" s="4"/>
      <c r="I2950" s="4"/>
      <c r="J2950" s="4"/>
      <c r="K2950" s="4"/>
      <c r="L2950" s="4"/>
      <c r="M2950" s="4"/>
      <c r="N2950" s="4"/>
      <c r="O2950" s="4"/>
      <c r="P2950" s="4"/>
      <c r="Q2950" s="4"/>
    </row>
    <row r="2951" spans="1:17" x14ac:dyDescent="0.2">
      <c r="A2951" s="4"/>
      <c r="B2951" s="4"/>
      <c r="C2951" s="4"/>
      <c r="D2951" s="4"/>
      <c r="E2951" s="4"/>
      <c r="F2951" s="4"/>
      <c r="G2951" s="4"/>
      <c r="H2951" s="4"/>
      <c r="I2951" s="4"/>
      <c r="J2951" s="4"/>
      <c r="K2951" s="4"/>
      <c r="L2951" s="4"/>
      <c r="M2951" s="4"/>
      <c r="N2951" s="4"/>
      <c r="O2951" s="4"/>
      <c r="P2951" s="4"/>
      <c r="Q2951" s="4"/>
    </row>
    <row r="2952" spans="1:17" x14ac:dyDescent="0.2">
      <c r="A2952" s="4"/>
      <c r="B2952" s="4"/>
      <c r="C2952" s="4"/>
      <c r="D2952" s="4"/>
      <c r="E2952" s="4"/>
      <c r="F2952" s="4"/>
      <c r="G2952" s="4"/>
      <c r="H2952" s="4"/>
      <c r="I2952" s="4"/>
      <c r="J2952" s="4"/>
      <c r="K2952" s="4"/>
      <c r="L2952" s="4"/>
      <c r="M2952" s="4"/>
      <c r="N2952" s="4"/>
      <c r="O2952" s="4"/>
      <c r="P2952" s="4"/>
      <c r="Q2952" s="4"/>
    </row>
    <row r="2953" spans="1:17" x14ac:dyDescent="0.2">
      <c r="A2953" s="4"/>
      <c r="B2953" s="4"/>
      <c r="C2953" s="4"/>
      <c r="D2953" s="4"/>
      <c r="E2953" s="4"/>
      <c r="F2953" s="4"/>
      <c r="G2953" s="4"/>
      <c r="H2953" s="4"/>
      <c r="I2953" s="4"/>
      <c r="J2953" s="4"/>
      <c r="K2953" s="4"/>
      <c r="L2953" s="4"/>
      <c r="M2953" s="4"/>
      <c r="N2953" s="4"/>
      <c r="O2953" s="4"/>
      <c r="P2953" s="4"/>
      <c r="Q2953" s="4"/>
    </row>
    <row r="2954" spans="1:17" x14ac:dyDescent="0.2">
      <c r="A2954" s="4"/>
      <c r="B2954" s="4"/>
      <c r="C2954" s="4"/>
      <c r="D2954" s="4"/>
      <c r="E2954" s="4"/>
      <c r="F2954" s="4"/>
      <c r="G2954" s="4"/>
      <c r="H2954" s="4"/>
      <c r="I2954" s="4"/>
      <c r="J2954" s="4"/>
      <c r="K2954" s="4"/>
      <c r="L2954" s="4"/>
      <c r="M2954" s="4"/>
      <c r="N2954" s="4"/>
      <c r="O2954" s="4"/>
      <c r="P2954" s="4"/>
      <c r="Q2954" s="4"/>
    </row>
    <row r="2955" spans="1:17" x14ac:dyDescent="0.2">
      <c r="A2955" s="4"/>
      <c r="B2955" s="4"/>
      <c r="C2955" s="4"/>
      <c r="D2955" s="4"/>
      <c r="E2955" s="4"/>
      <c r="F2955" s="4"/>
      <c r="G2955" s="4"/>
      <c r="H2955" s="4"/>
      <c r="I2955" s="4"/>
      <c r="J2955" s="4"/>
      <c r="K2955" s="4"/>
      <c r="L2955" s="4"/>
      <c r="M2955" s="4"/>
      <c r="N2955" s="4"/>
      <c r="O2955" s="4"/>
      <c r="P2955" s="4"/>
      <c r="Q2955" s="4"/>
    </row>
    <row r="2956" spans="1:17" x14ac:dyDescent="0.2">
      <c r="A2956" s="4"/>
      <c r="B2956" s="4"/>
      <c r="C2956" s="4"/>
      <c r="D2956" s="4"/>
      <c r="E2956" s="4"/>
      <c r="F2956" s="4"/>
      <c r="G2956" s="4"/>
      <c r="H2956" s="4"/>
      <c r="I2956" s="4"/>
      <c r="J2956" s="4"/>
      <c r="K2956" s="4"/>
      <c r="L2956" s="4"/>
      <c r="M2956" s="4"/>
      <c r="N2956" s="4"/>
      <c r="O2956" s="4"/>
      <c r="P2956" s="4"/>
      <c r="Q2956" s="4"/>
    </row>
    <row r="2957" spans="1:17" x14ac:dyDescent="0.2">
      <c r="A2957" s="4"/>
      <c r="B2957" s="4"/>
      <c r="C2957" s="4"/>
      <c r="D2957" s="4"/>
      <c r="E2957" s="4"/>
      <c r="F2957" s="4"/>
      <c r="G2957" s="4"/>
      <c r="H2957" s="4"/>
      <c r="I2957" s="4"/>
      <c r="J2957" s="4"/>
      <c r="K2957" s="4"/>
      <c r="L2957" s="4"/>
      <c r="M2957" s="4"/>
      <c r="N2957" s="4"/>
      <c r="O2957" s="4"/>
      <c r="P2957" s="4"/>
      <c r="Q2957" s="4"/>
    </row>
    <row r="2958" spans="1:17" x14ac:dyDescent="0.2">
      <c r="A2958" s="4"/>
      <c r="B2958" s="4"/>
      <c r="C2958" s="4"/>
      <c r="D2958" s="4"/>
      <c r="E2958" s="4"/>
      <c r="F2958" s="4"/>
      <c r="G2958" s="4"/>
      <c r="H2958" s="4"/>
      <c r="I2958" s="4"/>
      <c r="J2958" s="4"/>
      <c r="K2958" s="4"/>
      <c r="L2958" s="4"/>
      <c r="M2958" s="4"/>
      <c r="N2958" s="4"/>
      <c r="O2958" s="4"/>
      <c r="P2958" s="4"/>
      <c r="Q2958" s="4"/>
    </row>
    <row r="2959" spans="1:17" x14ac:dyDescent="0.2">
      <c r="A2959" s="4"/>
      <c r="B2959" s="4"/>
      <c r="C2959" s="4"/>
      <c r="D2959" s="4"/>
      <c r="E2959" s="4"/>
      <c r="F2959" s="4"/>
      <c r="G2959" s="4"/>
      <c r="H2959" s="4"/>
      <c r="I2959" s="4"/>
      <c r="J2959" s="4"/>
      <c r="K2959" s="4"/>
      <c r="L2959" s="4"/>
      <c r="M2959" s="4"/>
      <c r="N2959" s="4"/>
      <c r="O2959" s="4"/>
      <c r="P2959" s="4"/>
      <c r="Q2959" s="4"/>
    </row>
    <row r="2960" spans="1:17" x14ac:dyDescent="0.2">
      <c r="A2960" s="4"/>
      <c r="B2960" s="4"/>
      <c r="C2960" s="4"/>
      <c r="D2960" s="4"/>
      <c r="E2960" s="4"/>
      <c r="F2960" s="4"/>
      <c r="G2960" s="4"/>
      <c r="H2960" s="4"/>
      <c r="I2960" s="4"/>
      <c r="J2960" s="4"/>
      <c r="K2960" s="4"/>
      <c r="L2960" s="4"/>
      <c r="M2960" s="4"/>
      <c r="N2960" s="4"/>
      <c r="O2960" s="4"/>
      <c r="P2960" s="4"/>
      <c r="Q2960" s="4"/>
    </row>
    <row r="2961" spans="1:17" x14ac:dyDescent="0.2">
      <c r="A2961" s="4"/>
      <c r="B2961" s="4"/>
      <c r="C2961" s="4"/>
      <c r="D2961" s="4"/>
      <c r="E2961" s="4"/>
      <c r="F2961" s="4"/>
      <c r="G2961" s="4"/>
      <c r="H2961" s="4"/>
      <c r="I2961" s="4"/>
      <c r="J2961" s="4"/>
      <c r="K2961" s="4"/>
      <c r="L2961" s="4"/>
      <c r="M2961" s="4"/>
      <c r="N2961" s="4"/>
      <c r="O2961" s="4"/>
      <c r="P2961" s="4"/>
      <c r="Q2961" s="4"/>
    </row>
    <row r="2962" spans="1:17" x14ac:dyDescent="0.2">
      <c r="A2962" s="4"/>
      <c r="B2962" s="4"/>
      <c r="C2962" s="4"/>
      <c r="D2962" s="4"/>
      <c r="E2962" s="4"/>
      <c r="F2962" s="4"/>
      <c r="G2962" s="4"/>
      <c r="H2962" s="4"/>
      <c r="I2962" s="4"/>
      <c r="J2962" s="4"/>
      <c r="K2962" s="4"/>
      <c r="L2962" s="4"/>
      <c r="M2962" s="4"/>
      <c r="N2962" s="4"/>
      <c r="O2962" s="4"/>
      <c r="P2962" s="4"/>
      <c r="Q2962" s="4"/>
    </row>
    <row r="2963" spans="1:17" x14ac:dyDescent="0.2">
      <c r="A2963" s="4"/>
      <c r="B2963" s="4"/>
      <c r="C2963" s="4"/>
      <c r="D2963" s="4"/>
      <c r="E2963" s="4"/>
      <c r="F2963" s="4"/>
      <c r="G2963" s="4"/>
      <c r="H2963" s="4"/>
      <c r="I2963" s="4"/>
      <c r="J2963" s="4"/>
      <c r="K2963" s="4"/>
      <c r="L2963" s="4"/>
      <c r="M2963" s="4"/>
      <c r="N2963" s="4"/>
      <c r="O2963" s="4"/>
      <c r="P2963" s="4"/>
      <c r="Q2963" s="4"/>
    </row>
    <row r="2964" spans="1:17" x14ac:dyDescent="0.2">
      <c r="A2964" s="4"/>
      <c r="B2964" s="4"/>
      <c r="C2964" s="4"/>
      <c r="D2964" s="4"/>
      <c r="E2964" s="4"/>
      <c r="F2964" s="4"/>
      <c r="G2964" s="4"/>
      <c r="H2964" s="4"/>
      <c r="I2964" s="4"/>
      <c r="J2964" s="4"/>
      <c r="K2964" s="4"/>
      <c r="L2964" s="4"/>
      <c r="M2964" s="4"/>
      <c r="N2964" s="4"/>
      <c r="O2964" s="4"/>
      <c r="P2964" s="4"/>
      <c r="Q2964" s="4"/>
    </row>
    <row r="2965" spans="1:17" x14ac:dyDescent="0.2">
      <c r="A2965" s="4"/>
      <c r="B2965" s="4"/>
      <c r="C2965" s="4"/>
      <c r="D2965" s="4"/>
      <c r="E2965" s="4"/>
      <c r="F2965" s="4"/>
      <c r="G2965" s="4"/>
      <c r="H2965" s="4"/>
      <c r="I2965" s="4"/>
      <c r="J2965" s="4"/>
      <c r="K2965" s="4"/>
      <c r="L2965" s="4"/>
      <c r="M2965" s="4"/>
      <c r="N2965" s="4"/>
      <c r="O2965" s="4"/>
      <c r="P2965" s="4"/>
      <c r="Q2965" s="4"/>
    </row>
    <row r="2966" spans="1:17" x14ac:dyDescent="0.2">
      <c r="A2966" s="4"/>
      <c r="B2966" s="4"/>
      <c r="C2966" s="4"/>
      <c r="D2966" s="4"/>
      <c r="E2966" s="4"/>
      <c r="F2966" s="4"/>
      <c r="G2966" s="4"/>
      <c r="H2966" s="4"/>
      <c r="I2966" s="4"/>
      <c r="J2966" s="4"/>
      <c r="K2966" s="4"/>
      <c r="L2966" s="4"/>
      <c r="M2966" s="4"/>
      <c r="N2966" s="4"/>
      <c r="O2966" s="4"/>
      <c r="P2966" s="4"/>
      <c r="Q2966" s="4"/>
    </row>
    <row r="2967" spans="1:17" x14ac:dyDescent="0.2">
      <c r="A2967" s="4"/>
      <c r="B2967" s="4"/>
      <c r="C2967" s="4"/>
      <c r="D2967" s="4"/>
      <c r="E2967" s="4"/>
      <c r="F2967" s="4"/>
      <c r="G2967" s="4"/>
      <c r="H2967" s="4"/>
      <c r="I2967" s="4"/>
      <c r="J2967" s="4"/>
      <c r="K2967" s="4"/>
      <c r="L2967" s="4"/>
      <c r="M2967" s="4"/>
      <c r="N2967" s="4"/>
      <c r="O2967" s="4"/>
      <c r="P2967" s="4"/>
      <c r="Q2967" s="4"/>
    </row>
    <row r="2968" spans="1:17" x14ac:dyDescent="0.2">
      <c r="A2968" s="4"/>
      <c r="B2968" s="4"/>
      <c r="C2968" s="4"/>
      <c r="D2968" s="4"/>
      <c r="E2968" s="4"/>
      <c r="F2968" s="4"/>
      <c r="G2968" s="4"/>
      <c r="H2968" s="4"/>
      <c r="I2968" s="4"/>
      <c r="J2968" s="4"/>
      <c r="K2968" s="4"/>
      <c r="L2968" s="4"/>
      <c r="M2968" s="4"/>
      <c r="N2968" s="4"/>
      <c r="O2968" s="4"/>
      <c r="P2968" s="4"/>
      <c r="Q2968" s="4"/>
    </row>
    <row r="2969" spans="1:17" x14ac:dyDescent="0.2">
      <c r="A2969" s="4"/>
      <c r="B2969" s="4"/>
      <c r="C2969" s="4"/>
      <c r="D2969" s="4"/>
      <c r="E2969" s="4"/>
      <c r="F2969" s="4"/>
      <c r="G2969" s="4"/>
      <c r="H2969" s="4"/>
      <c r="I2969" s="4"/>
      <c r="J2969" s="4"/>
      <c r="K2969" s="4"/>
      <c r="L2969" s="4"/>
      <c r="M2969" s="4"/>
      <c r="N2969" s="4"/>
      <c r="O2969" s="4"/>
      <c r="P2969" s="4"/>
      <c r="Q2969" s="4"/>
    </row>
    <row r="2970" spans="1:17" x14ac:dyDescent="0.2">
      <c r="A2970" s="4"/>
      <c r="B2970" s="4"/>
      <c r="C2970" s="4"/>
      <c r="D2970" s="4"/>
      <c r="E2970" s="4"/>
      <c r="F2970" s="4"/>
      <c r="G2970" s="4"/>
      <c r="H2970" s="4"/>
      <c r="I2970" s="4"/>
      <c r="J2970" s="4"/>
      <c r="K2970" s="4"/>
      <c r="L2970" s="4"/>
      <c r="M2970" s="4"/>
      <c r="N2970" s="4"/>
      <c r="O2970" s="4"/>
      <c r="P2970" s="4"/>
      <c r="Q2970" s="4"/>
    </row>
    <row r="2971" spans="1:17" x14ac:dyDescent="0.2">
      <c r="A2971" s="4"/>
      <c r="B2971" s="4"/>
      <c r="C2971" s="4"/>
      <c r="D2971" s="4"/>
      <c r="E2971" s="4"/>
      <c r="F2971" s="4"/>
      <c r="G2971" s="4"/>
      <c r="H2971" s="4"/>
      <c r="I2971" s="4"/>
      <c r="J2971" s="4"/>
      <c r="K2971" s="4"/>
      <c r="L2971" s="4"/>
      <c r="M2971" s="4"/>
      <c r="N2971" s="4"/>
      <c r="O2971" s="4"/>
      <c r="P2971" s="4"/>
      <c r="Q2971" s="4"/>
    </row>
    <row r="2972" spans="1:17" x14ac:dyDescent="0.2">
      <c r="A2972" s="4"/>
      <c r="B2972" s="4"/>
      <c r="C2972" s="4"/>
      <c r="D2972" s="4"/>
      <c r="E2972" s="4"/>
      <c r="F2972" s="4"/>
      <c r="G2972" s="4"/>
      <c r="H2972" s="4"/>
      <c r="I2972" s="4"/>
      <c r="J2972" s="4"/>
      <c r="K2972" s="4"/>
      <c r="L2972" s="4"/>
      <c r="M2972" s="4"/>
      <c r="N2972" s="4"/>
      <c r="O2972" s="4"/>
      <c r="P2972" s="4"/>
      <c r="Q2972" s="4"/>
    </row>
    <row r="2973" spans="1:17" x14ac:dyDescent="0.2">
      <c r="A2973" s="4"/>
      <c r="B2973" s="4"/>
      <c r="C2973" s="4"/>
      <c r="D2973" s="4"/>
      <c r="E2973" s="4"/>
      <c r="F2973" s="4"/>
      <c r="G2973" s="4"/>
      <c r="H2973" s="4"/>
      <c r="I2973" s="4"/>
      <c r="J2973" s="4"/>
      <c r="K2973" s="4"/>
      <c r="L2973" s="4"/>
      <c r="M2973" s="4"/>
      <c r="N2973" s="4"/>
      <c r="O2973" s="4"/>
      <c r="P2973" s="4"/>
      <c r="Q2973" s="4"/>
    </row>
    <row r="2974" spans="1:17" x14ac:dyDescent="0.2">
      <c r="A2974" s="4"/>
      <c r="B2974" s="4"/>
      <c r="C2974" s="4"/>
      <c r="D2974" s="4"/>
      <c r="E2974" s="4"/>
      <c r="F2974" s="4"/>
      <c r="G2974" s="4"/>
      <c r="H2974" s="4"/>
      <c r="I2974" s="4"/>
      <c r="J2974" s="4"/>
      <c r="K2974" s="4"/>
      <c r="L2974" s="4"/>
      <c r="M2974" s="4"/>
      <c r="N2974" s="4"/>
      <c r="O2974" s="4"/>
      <c r="P2974" s="4"/>
      <c r="Q2974" s="4"/>
    </row>
    <row r="2975" spans="1:17" x14ac:dyDescent="0.2">
      <c r="A2975" s="4"/>
      <c r="B2975" s="4"/>
      <c r="C2975" s="4"/>
      <c r="D2975" s="4"/>
      <c r="E2975" s="4"/>
      <c r="F2975" s="4"/>
      <c r="G2975" s="4"/>
      <c r="H2975" s="4"/>
      <c r="I2975" s="4"/>
      <c r="J2975" s="4"/>
      <c r="K2975" s="4"/>
      <c r="L2975" s="4"/>
      <c r="M2975" s="4"/>
      <c r="N2975" s="4"/>
      <c r="O2975" s="4"/>
      <c r="P2975" s="4"/>
      <c r="Q2975" s="4"/>
    </row>
    <row r="2976" spans="1:17" x14ac:dyDescent="0.2">
      <c r="A2976" s="4"/>
      <c r="B2976" s="4"/>
      <c r="C2976" s="4"/>
      <c r="D2976" s="4"/>
      <c r="E2976" s="4"/>
      <c r="F2976" s="4"/>
      <c r="G2976" s="4"/>
      <c r="H2976" s="4"/>
      <c r="I2976" s="4"/>
      <c r="J2976" s="4"/>
      <c r="K2976" s="4"/>
      <c r="L2976" s="4"/>
      <c r="M2976" s="4"/>
      <c r="N2976" s="4"/>
      <c r="O2976" s="4"/>
      <c r="P2976" s="4"/>
      <c r="Q2976" s="4"/>
    </row>
    <row r="2977" spans="1:17" x14ac:dyDescent="0.2">
      <c r="A2977" s="4"/>
      <c r="B2977" s="4"/>
      <c r="C2977" s="4"/>
      <c r="D2977" s="4"/>
      <c r="E2977" s="4"/>
      <c r="F2977" s="4"/>
      <c r="G2977" s="4"/>
      <c r="H2977" s="4"/>
      <c r="I2977" s="4"/>
      <c r="J2977" s="4"/>
      <c r="K2977" s="4"/>
      <c r="L2977" s="4"/>
      <c r="M2977" s="4"/>
      <c r="N2977" s="4"/>
      <c r="O2977" s="4"/>
      <c r="P2977" s="4"/>
      <c r="Q2977" s="4"/>
    </row>
    <row r="2978" spans="1:17" x14ac:dyDescent="0.2">
      <c r="A2978" s="4"/>
      <c r="B2978" s="4"/>
      <c r="C2978" s="4"/>
      <c r="D2978" s="4"/>
      <c r="E2978" s="4"/>
      <c r="F2978" s="4"/>
      <c r="G2978" s="4"/>
      <c r="H2978" s="4"/>
      <c r="I2978" s="4"/>
      <c r="J2978" s="4"/>
      <c r="K2978" s="4"/>
      <c r="L2978" s="4"/>
      <c r="M2978" s="4"/>
      <c r="N2978" s="4"/>
      <c r="O2978" s="4"/>
      <c r="P2978" s="4"/>
      <c r="Q2978" s="4"/>
    </row>
    <row r="2979" spans="1:17" x14ac:dyDescent="0.2">
      <c r="A2979" s="4"/>
      <c r="B2979" s="4"/>
      <c r="C2979" s="4"/>
      <c r="D2979" s="4"/>
      <c r="E2979" s="4"/>
      <c r="F2979" s="4"/>
      <c r="G2979" s="4"/>
      <c r="H2979" s="4"/>
      <c r="I2979" s="4"/>
      <c r="J2979" s="4"/>
      <c r="K2979" s="4"/>
      <c r="L2979" s="4"/>
      <c r="M2979" s="4"/>
      <c r="N2979" s="4"/>
      <c r="O2979" s="4"/>
      <c r="P2979" s="4"/>
      <c r="Q2979" s="4"/>
    </row>
    <row r="2980" spans="1:17" x14ac:dyDescent="0.2">
      <c r="A2980" s="4"/>
      <c r="B2980" s="4"/>
      <c r="C2980" s="4"/>
      <c r="D2980" s="4"/>
      <c r="E2980" s="4"/>
      <c r="F2980" s="4"/>
      <c r="G2980" s="4"/>
      <c r="H2980" s="4"/>
      <c r="I2980" s="4"/>
      <c r="J2980" s="4"/>
      <c r="K2980" s="4"/>
      <c r="L2980" s="4"/>
      <c r="M2980" s="4"/>
      <c r="N2980" s="4"/>
      <c r="O2980" s="4"/>
      <c r="P2980" s="4"/>
      <c r="Q2980" s="4"/>
    </row>
    <row r="2981" spans="1:17" x14ac:dyDescent="0.2">
      <c r="A2981" s="4"/>
      <c r="B2981" s="4"/>
      <c r="C2981" s="4"/>
      <c r="D2981" s="4"/>
      <c r="E2981" s="4"/>
      <c r="F2981" s="4"/>
      <c r="G2981" s="4"/>
      <c r="H2981" s="4"/>
      <c r="I2981" s="4"/>
      <c r="J2981" s="4"/>
      <c r="K2981" s="4"/>
      <c r="L2981" s="4"/>
      <c r="M2981" s="4"/>
      <c r="N2981" s="4"/>
      <c r="O2981" s="4"/>
      <c r="P2981" s="4"/>
      <c r="Q2981" s="4"/>
    </row>
    <row r="2982" spans="1:17" x14ac:dyDescent="0.2">
      <c r="A2982" s="4"/>
      <c r="B2982" s="4"/>
      <c r="C2982" s="4"/>
      <c r="D2982" s="4"/>
      <c r="E2982" s="4"/>
      <c r="F2982" s="4"/>
      <c r="G2982" s="4"/>
      <c r="H2982" s="4"/>
      <c r="I2982" s="4"/>
      <c r="J2982" s="4"/>
      <c r="K2982" s="4"/>
      <c r="L2982" s="4"/>
      <c r="M2982" s="4"/>
      <c r="N2982" s="4"/>
      <c r="O2982" s="4"/>
      <c r="P2982" s="4"/>
      <c r="Q2982" s="4"/>
    </row>
    <row r="2983" spans="1:17" x14ac:dyDescent="0.2">
      <c r="A2983" s="4"/>
      <c r="B2983" s="4"/>
      <c r="C2983" s="4"/>
      <c r="D2983" s="4"/>
      <c r="E2983" s="4"/>
      <c r="F2983" s="4"/>
      <c r="G2983" s="4"/>
      <c r="H2983" s="4"/>
      <c r="I2983" s="4"/>
      <c r="J2983" s="4"/>
      <c r="K2983" s="4"/>
      <c r="L2983" s="4"/>
      <c r="M2983" s="4"/>
      <c r="N2983" s="4"/>
      <c r="O2983" s="4"/>
      <c r="P2983" s="4"/>
      <c r="Q2983" s="4"/>
    </row>
    <row r="2984" spans="1:17" x14ac:dyDescent="0.2">
      <c r="A2984" s="4"/>
      <c r="B2984" s="4"/>
      <c r="C2984" s="4"/>
      <c r="D2984" s="4"/>
      <c r="E2984" s="4"/>
      <c r="F2984" s="4"/>
      <c r="G2984" s="4"/>
      <c r="H2984" s="4"/>
      <c r="I2984" s="4"/>
      <c r="J2984" s="4"/>
      <c r="K2984" s="4"/>
      <c r="L2984" s="4"/>
      <c r="M2984" s="4"/>
      <c r="N2984" s="4"/>
      <c r="O2984" s="4"/>
      <c r="P2984" s="4"/>
      <c r="Q2984" s="4"/>
    </row>
    <row r="2985" spans="1:17" x14ac:dyDescent="0.2">
      <c r="A2985" s="4"/>
      <c r="B2985" s="4"/>
      <c r="C2985" s="4"/>
      <c r="D2985" s="4"/>
      <c r="E2985" s="4"/>
      <c r="F2985" s="4"/>
      <c r="G2985" s="4"/>
      <c r="H2985" s="4"/>
      <c r="I2985" s="4"/>
      <c r="J2985" s="4"/>
      <c r="K2985" s="4"/>
      <c r="L2985" s="4"/>
      <c r="M2985" s="4"/>
      <c r="N2985" s="4"/>
      <c r="O2985" s="4"/>
      <c r="P2985" s="4"/>
      <c r="Q2985" s="4"/>
    </row>
    <row r="2986" spans="1:17" x14ac:dyDescent="0.2">
      <c r="A2986" s="4"/>
      <c r="B2986" s="4"/>
      <c r="C2986" s="4"/>
      <c r="D2986" s="4"/>
      <c r="E2986" s="4"/>
      <c r="F2986" s="4"/>
      <c r="G2986" s="4"/>
      <c r="H2986" s="4"/>
      <c r="I2986" s="4"/>
      <c r="J2986" s="4"/>
      <c r="K2986" s="4"/>
      <c r="L2986" s="4"/>
      <c r="M2986" s="4"/>
      <c r="N2986" s="4"/>
      <c r="O2986" s="4"/>
      <c r="P2986" s="4"/>
      <c r="Q2986" s="4"/>
    </row>
    <row r="2987" spans="1:17" x14ac:dyDescent="0.2">
      <c r="A2987" s="4"/>
      <c r="B2987" s="4"/>
      <c r="C2987" s="4"/>
      <c r="D2987" s="4"/>
      <c r="E2987" s="4"/>
      <c r="F2987" s="4"/>
      <c r="G2987" s="4"/>
      <c r="H2987" s="4"/>
      <c r="I2987" s="4"/>
      <c r="J2987" s="4"/>
      <c r="K2987" s="4"/>
      <c r="L2987" s="4"/>
      <c r="M2987" s="4"/>
      <c r="N2987" s="4"/>
      <c r="O2987" s="4"/>
      <c r="P2987" s="4"/>
      <c r="Q2987" s="4"/>
    </row>
    <row r="2988" spans="1:17" x14ac:dyDescent="0.2">
      <c r="A2988" s="4"/>
      <c r="B2988" s="4"/>
      <c r="C2988" s="4"/>
      <c r="D2988" s="4"/>
      <c r="E2988" s="4"/>
      <c r="F2988" s="4"/>
      <c r="G2988" s="4"/>
      <c r="H2988" s="4"/>
      <c r="I2988" s="4"/>
      <c r="J2988" s="4"/>
      <c r="K2988" s="4"/>
      <c r="L2988" s="4"/>
      <c r="M2988" s="4"/>
      <c r="N2988" s="4"/>
      <c r="O2988" s="4"/>
      <c r="P2988" s="4"/>
      <c r="Q2988" s="4"/>
    </row>
    <row r="2989" spans="1:17" x14ac:dyDescent="0.2">
      <c r="A2989" s="4"/>
      <c r="B2989" s="4"/>
      <c r="C2989" s="4"/>
      <c r="D2989" s="4"/>
      <c r="E2989" s="4"/>
      <c r="F2989" s="4"/>
      <c r="G2989" s="4"/>
      <c r="H2989" s="4"/>
      <c r="I2989" s="4"/>
      <c r="J2989" s="4"/>
      <c r="K2989" s="4"/>
      <c r="L2989" s="4"/>
      <c r="M2989" s="4"/>
      <c r="N2989" s="4"/>
      <c r="O2989" s="4"/>
      <c r="P2989" s="4"/>
      <c r="Q2989" s="4"/>
    </row>
    <row r="2990" spans="1:17" x14ac:dyDescent="0.2">
      <c r="A2990" s="4"/>
      <c r="B2990" s="4"/>
      <c r="C2990" s="4"/>
      <c r="D2990" s="4"/>
      <c r="E2990" s="4"/>
      <c r="F2990" s="4"/>
      <c r="G2990" s="4"/>
      <c r="H2990" s="4"/>
      <c r="I2990" s="4"/>
      <c r="J2990" s="4"/>
      <c r="K2990" s="4"/>
      <c r="L2990" s="4"/>
      <c r="M2990" s="4"/>
      <c r="N2990" s="4"/>
      <c r="O2990" s="4"/>
      <c r="P2990" s="4"/>
      <c r="Q2990" s="4"/>
    </row>
    <row r="2991" spans="1:17" x14ac:dyDescent="0.2">
      <c r="F2991"/>
      <c r="L2991"/>
    </row>
    <row r="2992" spans="1:17" x14ac:dyDescent="0.2">
      <c r="F2992"/>
      <c r="L2992"/>
    </row>
    <row r="2993" spans="6:16" x14ac:dyDescent="0.2">
      <c r="F2993"/>
      <c r="L2993"/>
      <c r="P2993" s="1"/>
    </row>
    <row r="2994" spans="6:16" x14ac:dyDescent="0.2">
      <c r="F2994"/>
      <c r="L2994"/>
    </row>
    <row r="2995" spans="6:16" x14ac:dyDescent="0.2">
      <c r="F2995"/>
      <c r="L2995"/>
    </row>
    <row r="2996" spans="6:16" x14ac:dyDescent="0.2">
      <c r="F2996"/>
      <c r="L2996"/>
    </row>
    <row r="2997" spans="6:16" x14ac:dyDescent="0.2">
      <c r="F2997"/>
      <c r="L2997"/>
      <c r="P2997" s="1"/>
    </row>
    <row r="2998" spans="6:16" x14ac:dyDescent="0.2">
      <c r="F2998"/>
      <c r="L2998"/>
    </row>
    <row r="2999" spans="6:16" x14ac:dyDescent="0.2">
      <c r="F2999"/>
      <c r="L2999"/>
    </row>
    <row r="3000" spans="6:16" x14ac:dyDescent="0.2">
      <c r="F3000"/>
      <c r="L3000"/>
    </row>
    <row r="3001" spans="6:16" x14ac:dyDescent="0.2">
      <c r="F3001"/>
      <c r="L3001"/>
    </row>
    <row r="3002" spans="6:16" x14ac:dyDescent="0.2">
      <c r="F3002"/>
      <c r="L3002"/>
    </row>
    <row r="3003" spans="6:16" x14ac:dyDescent="0.2">
      <c r="F3003"/>
      <c r="L3003"/>
    </row>
    <row r="3004" spans="6:16" x14ac:dyDescent="0.2">
      <c r="F3004"/>
      <c r="L3004"/>
    </row>
    <row r="3005" spans="6:16" x14ac:dyDescent="0.2">
      <c r="F3005"/>
      <c r="L3005"/>
    </row>
    <row r="3006" spans="6:16" x14ac:dyDescent="0.2">
      <c r="F3006"/>
      <c r="L3006"/>
    </row>
    <row r="3007" spans="6:16" x14ac:dyDescent="0.2">
      <c r="F3007"/>
      <c r="L3007"/>
    </row>
    <row r="3008" spans="6:16" x14ac:dyDescent="0.2">
      <c r="F3008"/>
      <c r="L3008"/>
    </row>
    <row r="3009" spans="6:12" x14ac:dyDescent="0.2">
      <c r="F3009"/>
      <c r="L3009"/>
    </row>
    <row r="3010" spans="6:12" x14ac:dyDescent="0.2">
      <c r="F3010"/>
      <c r="L3010"/>
    </row>
    <row r="3011" spans="6:12" x14ac:dyDescent="0.2">
      <c r="F3011"/>
      <c r="L3011"/>
    </row>
    <row r="3012" spans="6:12" x14ac:dyDescent="0.2">
      <c r="F3012"/>
      <c r="L3012"/>
    </row>
    <row r="3013" spans="6:12" x14ac:dyDescent="0.2">
      <c r="F3013"/>
      <c r="L3013"/>
    </row>
    <row r="3014" spans="6:12" x14ac:dyDescent="0.2">
      <c r="F3014"/>
      <c r="L3014"/>
    </row>
    <row r="3015" spans="6:12" x14ac:dyDescent="0.2">
      <c r="F3015"/>
      <c r="L3015"/>
    </row>
    <row r="3016" spans="6:12" x14ac:dyDescent="0.2">
      <c r="F3016"/>
      <c r="L3016"/>
    </row>
    <row r="3017" spans="6:12" x14ac:dyDescent="0.2">
      <c r="F3017"/>
      <c r="L3017"/>
    </row>
    <row r="3018" spans="6:12" x14ac:dyDescent="0.2">
      <c r="F3018"/>
      <c r="L3018"/>
    </row>
    <row r="3019" spans="6:12" x14ac:dyDescent="0.2">
      <c r="F3019"/>
      <c r="L3019"/>
    </row>
    <row r="3020" spans="6:12" x14ac:dyDescent="0.2">
      <c r="F3020"/>
      <c r="L3020"/>
    </row>
    <row r="3021" spans="6:12" x14ac:dyDescent="0.2">
      <c r="F3021"/>
      <c r="L3021"/>
    </row>
    <row r="3022" spans="6:12" x14ac:dyDescent="0.2">
      <c r="F3022"/>
      <c r="L3022"/>
    </row>
    <row r="3023" spans="6:12" x14ac:dyDescent="0.2">
      <c r="F3023"/>
      <c r="L3023"/>
    </row>
    <row r="3024" spans="6:12" x14ac:dyDescent="0.2">
      <c r="F3024"/>
      <c r="L3024"/>
    </row>
    <row r="3025" spans="6:16" x14ac:dyDescent="0.2">
      <c r="F3025"/>
      <c r="L3025"/>
    </row>
    <row r="3026" spans="6:16" x14ac:dyDescent="0.2">
      <c r="F3026"/>
      <c r="L3026"/>
    </row>
    <row r="3027" spans="6:16" x14ac:dyDescent="0.2">
      <c r="F3027"/>
      <c r="L3027"/>
      <c r="P3027" s="1"/>
    </row>
    <row r="3028" spans="6:16" x14ac:dyDescent="0.2">
      <c r="F3028"/>
      <c r="L3028"/>
      <c r="P3028" s="1"/>
    </row>
    <row r="3029" spans="6:16" x14ac:dyDescent="0.2">
      <c r="F3029"/>
      <c r="L3029"/>
    </row>
    <row r="3030" spans="6:16" x14ac:dyDescent="0.2">
      <c r="F3030"/>
      <c r="L3030"/>
    </row>
    <row r="3031" spans="6:16" x14ac:dyDescent="0.2">
      <c r="F3031"/>
      <c r="L3031"/>
    </row>
    <row r="3032" spans="6:16" x14ac:dyDescent="0.2">
      <c r="F3032"/>
      <c r="L3032"/>
    </row>
    <row r="3033" spans="6:16" x14ac:dyDescent="0.2">
      <c r="F3033"/>
      <c r="L3033"/>
    </row>
    <row r="3034" spans="6:16" x14ac:dyDescent="0.2">
      <c r="F3034"/>
      <c r="L3034"/>
    </row>
    <row r="3035" spans="6:16" x14ac:dyDescent="0.2">
      <c r="F3035"/>
      <c r="L3035"/>
    </row>
    <row r="3036" spans="6:16" x14ac:dyDescent="0.2">
      <c r="F3036"/>
      <c r="L3036"/>
    </row>
    <row r="3037" spans="6:16" x14ac:dyDescent="0.2">
      <c r="F3037"/>
      <c r="L3037"/>
    </row>
    <row r="3038" spans="6:16" x14ac:dyDescent="0.2">
      <c r="F3038"/>
      <c r="L3038"/>
      <c r="P3038" s="1"/>
    </row>
    <row r="3039" spans="6:16" x14ac:dyDescent="0.2">
      <c r="F3039"/>
      <c r="L3039"/>
    </row>
    <row r="3040" spans="6:16" x14ac:dyDescent="0.2">
      <c r="F3040"/>
      <c r="L3040"/>
    </row>
    <row r="3041" spans="6:12" x14ac:dyDescent="0.2">
      <c r="F3041"/>
      <c r="L3041"/>
    </row>
    <row r="3042" spans="6:12" x14ac:dyDescent="0.2">
      <c r="F3042"/>
      <c r="L3042"/>
    </row>
    <row r="3043" spans="6:12" x14ac:dyDescent="0.2">
      <c r="F3043"/>
      <c r="L3043"/>
    </row>
    <row r="3044" spans="6:12" x14ac:dyDescent="0.2">
      <c r="F3044"/>
      <c r="L3044"/>
    </row>
    <row r="3045" spans="6:12" x14ac:dyDescent="0.2">
      <c r="F3045"/>
      <c r="L3045"/>
    </row>
    <row r="3046" spans="6:12" x14ac:dyDescent="0.2">
      <c r="F3046"/>
      <c r="L3046"/>
    </row>
    <row r="3047" spans="6:12" x14ac:dyDescent="0.2">
      <c r="F3047"/>
      <c r="L3047"/>
    </row>
    <row r="3048" spans="6:12" x14ac:dyDescent="0.2">
      <c r="F3048"/>
      <c r="L3048"/>
    </row>
    <row r="3049" spans="6:12" x14ac:dyDescent="0.2">
      <c r="F3049"/>
      <c r="L3049"/>
    </row>
    <row r="3050" spans="6:12" x14ac:dyDescent="0.2">
      <c r="F3050"/>
      <c r="L3050"/>
    </row>
    <row r="3051" spans="6:12" x14ac:dyDescent="0.2">
      <c r="F3051"/>
      <c r="L3051"/>
    </row>
    <row r="3052" spans="6:12" x14ac:dyDescent="0.2">
      <c r="F3052"/>
      <c r="L3052"/>
    </row>
    <row r="3053" spans="6:12" x14ac:dyDescent="0.2">
      <c r="F3053"/>
      <c r="L3053"/>
    </row>
    <row r="3054" spans="6:12" x14ac:dyDescent="0.2">
      <c r="F3054"/>
      <c r="L3054"/>
    </row>
    <row r="3055" spans="6:12" x14ac:dyDescent="0.2">
      <c r="F3055"/>
      <c r="L3055"/>
    </row>
    <row r="3056" spans="6:12" x14ac:dyDescent="0.2">
      <c r="F3056"/>
      <c r="L3056"/>
    </row>
    <row r="3057" spans="6:16" x14ac:dyDescent="0.2">
      <c r="F3057"/>
      <c r="L3057"/>
      <c r="P3057" s="1"/>
    </row>
    <row r="3058" spans="6:16" x14ac:dyDescent="0.2">
      <c r="F3058"/>
      <c r="L3058"/>
    </row>
    <row r="3059" spans="6:16" x14ac:dyDescent="0.2">
      <c r="F3059"/>
      <c r="L3059"/>
    </row>
    <row r="3060" spans="6:16" x14ac:dyDescent="0.2">
      <c r="F3060"/>
      <c r="L3060"/>
    </row>
    <row r="3061" spans="6:16" x14ac:dyDescent="0.2">
      <c r="F3061"/>
      <c r="L3061"/>
    </row>
    <row r="3062" spans="6:16" x14ac:dyDescent="0.2">
      <c r="F3062"/>
      <c r="L3062"/>
    </row>
    <row r="3063" spans="6:16" x14ac:dyDescent="0.2">
      <c r="F3063"/>
      <c r="L3063"/>
    </row>
    <row r="3064" spans="6:16" x14ac:dyDescent="0.2">
      <c r="F3064"/>
      <c r="L3064"/>
    </row>
    <row r="3065" spans="6:16" x14ac:dyDescent="0.2">
      <c r="F3065"/>
      <c r="L3065"/>
    </row>
    <row r="3066" spans="6:16" x14ac:dyDescent="0.2">
      <c r="F3066"/>
      <c r="L3066"/>
    </row>
    <row r="3067" spans="6:16" x14ac:dyDescent="0.2">
      <c r="F3067"/>
      <c r="L3067"/>
    </row>
    <row r="3068" spans="6:16" x14ac:dyDescent="0.2">
      <c r="F3068"/>
      <c r="L3068"/>
    </row>
    <row r="3069" spans="6:16" x14ac:dyDescent="0.2">
      <c r="F3069"/>
      <c r="L3069"/>
      <c r="P3069" s="1"/>
    </row>
    <row r="3070" spans="6:16" x14ac:dyDescent="0.2">
      <c r="F3070"/>
      <c r="L3070"/>
    </row>
    <row r="3071" spans="6:16" x14ac:dyDescent="0.2">
      <c r="F3071"/>
      <c r="L3071"/>
    </row>
    <row r="3072" spans="6:16" x14ac:dyDescent="0.2">
      <c r="F3072"/>
      <c r="L3072"/>
      <c r="P3072" s="1"/>
    </row>
    <row r="3073" spans="6:16" x14ac:dyDescent="0.2">
      <c r="F3073"/>
      <c r="L3073"/>
      <c r="P3073" s="1"/>
    </row>
    <row r="3074" spans="6:16" x14ac:dyDescent="0.2">
      <c r="F3074"/>
      <c r="L3074"/>
    </row>
    <row r="3075" spans="6:16" x14ac:dyDescent="0.2">
      <c r="F3075"/>
      <c r="L3075"/>
    </row>
    <row r="3076" spans="6:16" x14ac:dyDescent="0.2">
      <c r="F3076"/>
      <c r="L3076"/>
    </row>
    <row r="3077" spans="6:16" x14ac:dyDescent="0.2">
      <c r="F3077"/>
      <c r="L3077"/>
    </row>
    <row r="3078" spans="6:16" x14ac:dyDescent="0.2">
      <c r="F3078"/>
      <c r="L3078"/>
    </row>
    <row r="3079" spans="6:16" x14ac:dyDescent="0.2">
      <c r="F3079"/>
      <c r="L3079"/>
    </row>
    <row r="3080" spans="6:16" x14ac:dyDescent="0.2">
      <c r="F3080"/>
      <c r="L3080"/>
    </row>
    <row r="3081" spans="6:16" x14ac:dyDescent="0.2">
      <c r="F3081"/>
      <c r="L3081"/>
    </row>
    <row r="3082" spans="6:16" x14ac:dyDescent="0.2">
      <c r="F3082"/>
      <c r="L3082"/>
    </row>
    <row r="3083" spans="6:16" x14ac:dyDescent="0.2">
      <c r="F3083"/>
      <c r="L3083"/>
    </row>
    <row r="3084" spans="6:16" x14ac:dyDescent="0.2">
      <c r="F3084"/>
      <c r="L3084"/>
    </row>
    <row r="3085" spans="6:16" x14ac:dyDescent="0.2">
      <c r="F3085"/>
      <c r="L3085"/>
    </row>
    <row r="3086" spans="6:16" x14ac:dyDescent="0.2">
      <c r="F3086"/>
      <c r="L3086"/>
    </row>
    <row r="3087" spans="6:16" x14ac:dyDescent="0.2">
      <c r="F3087"/>
      <c r="L3087"/>
    </row>
    <row r="3088" spans="6:16" x14ac:dyDescent="0.2">
      <c r="F3088"/>
      <c r="L3088"/>
    </row>
    <row r="3089" spans="6:12" x14ac:dyDescent="0.2">
      <c r="F3089"/>
      <c r="L3089"/>
    </row>
    <row r="3090" spans="6:12" x14ac:dyDescent="0.2">
      <c r="F3090"/>
      <c r="L3090"/>
    </row>
    <row r="3091" spans="6:12" x14ac:dyDescent="0.2">
      <c r="F3091"/>
      <c r="L3091"/>
    </row>
    <row r="3092" spans="6:12" x14ac:dyDescent="0.2">
      <c r="F3092"/>
      <c r="L3092"/>
    </row>
    <row r="3093" spans="6:12" x14ac:dyDescent="0.2">
      <c r="F3093"/>
      <c r="L3093"/>
    </row>
    <row r="3094" spans="6:12" x14ac:dyDescent="0.2">
      <c r="F3094"/>
      <c r="L3094"/>
    </row>
    <row r="3095" spans="6:12" x14ac:dyDescent="0.2">
      <c r="F3095"/>
      <c r="L3095"/>
    </row>
    <row r="3096" spans="6:12" x14ac:dyDescent="0.2">
      <c r="F3096"/>
      <c r="L3096"/>
    </row>
    <row r="3097" spans="6:12" x14ac:dyDescent="0.2">
      <c r="F3097"/>
      <c r="L3097"/>
    </row>
    <row r="3098" spans="6:12" x14ac:dyDescent="0.2">
      <c r="F3098"/>
      <c r="L3098"/>
    </row>
    <row r="3099" spans="6:12" x14ac:dyDescent="0.2">
      <c r="F3099"/>
      <c r="L3099"/>
    </row>
    <row r="3100" spans="6:12" x14ac:dyDescent="0.2">
      <c r="F3100"/>
      <c r="L3100"/>
    </row>
    <row r="3101" spans="6:12" x14ac:dyDescent="0.2">
      <c r="F3101"/>
      <c r="L3101"/>
    </row>
    <row r="3102" spans="6:12" x14ac:dyDescent="0.2">
      <c r="F3102"/>
      <c r="L3102"/>
    </row>
    <row r="3103" spans="6:12" x14ac:dyDescent="0.2">
      <c r="F3103"/>
      <c r="L3103"/>
    </row>
    <row r="3104" spans="6:12" x14ac:dyDescent="0.2">
      <c r="F3104"/>
      <c r="L3104"/>
    </row>
    <row r="3105" spans="6:12" x14ac:dyDescent="0.2">
      <c r="F3105"/>
      <c r="L3105"/>
    </row>
    <row r="3106" spans="6:12" x14ac:dyDescent="0.2">
      <c r="F3106"/>
      <c r="L3106"/>
    </row>
    <row r="3107" spans="6:12" x14ac:dyDescent="0.2">
      <c r="F3107"/>
      <c r="L3107"/>
    </row>
    <row r="3108" spans="6:12" x14ac:dyDescent="0.2">
      <c r="F3108"/>
      <c r="L3108"/>
    </row>
    <row r="3109" spans="6:12" x14ac:dyDescent="0.2">
      <c r="F3109"/>
      <c r="L3109"/>
    </row>
    <row r="3110" spans="6:12" x14ac:dyDescent="0.2">
      <c r="F3110"/>
      <c r="L3110"/>
    </row>
  </sheetData>
  <sortState xmlns:xlrd2="http://schemas.microsoft.com/office/spreadsheetml/2017/richdata2" ref="S183:AD202">
    <sortCondition ref="AD183:AD202"/>
  </sortState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F0EE5-779A-B444-B39A-DE18408CB0D5}">
  <dimension ref="A1:X30"/>
  <sheetViews>
    <sheetView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X10" sqref="X10"/>
    </sheetView>
  </sheetViews>
  <sheetFormatPr baseColWidth="10" defaultRowHeight="16" x14ac:dyDescent="0.2"/>
  <cols>
    <col min="4" max="4" width="34.1640625" bestFit="1" customWidth="1"/>
    <col min="6" max="6" width="10.83203125" style="2"/>
    <col min="7" max="8" width="10.83203125" style="3"/>
    <col min="9" max="9" width="12.1640625" style="2" bestFit="1" customWidth="1"/>
    <col min="10" max="11" width="10.83203125" style="3"/>
    <col min="13" max="13" width="10.83203125" style="2"/>
    <col min="14" max="15" width="10.83203125" style="3"/>
    <col min="16" max="16" width="15.1640625" style="3" customWidth="1"/>
    <col min="17" max="17" width="19.33203125" style="2" customWidth="1"/>
    <col min="18" max="18" width="10.83203125" style="3"/>
  </cols>
  <sheetData>
    <row r="1" spans="1:24" x14ac:dyDescent="0.2">
      <c r="E1" t="s">
        <v>33</v>
      </c>
      <c r="F1" s="2" t="s">
        <v>23</v>
      </c>
      <c r="M1" s="2" t="s">
        <v>24</v>
      </c>
      <c r="T1" s="2" t="s">
        <v>25</v>
      </c>
      <c r="U1" s="3"/>
      <c r="V1" s="3"/>
      <c r="W1" s="2"/>
    </row>
    <row r="2" spans="1:24" x14ac:dyDescent="0.2">
      <c r="A2" t="s">
        <v>2</v>
      </c>
      <c r="B2" t="s">
        <v>4</v>
      </c>
      <c r="C2" t="s">
        <v>3</v>
      </c>
      <c r="D2" t="s">
        <v>27</v>
      </c>
      <c r="F2" s="2" t="s">
        <v>29</v>
      </c>
      <c r="G2" s="3" t="s">
        <v>28</v>
      </c>
      <c r="H2" s="3" t="s">
        <v>31</v>
      </c>
      <c r="I2" s="2" t="s">
        <v>49</v>
      </c>
      <c r="J2" s="3" t="s">
        <v>32</v>
      </c>
      <c r="M2" s="2" t="s">
        <v>29</v>
      </c>
      <c r="N2" s="3" t="s">
        <v>28</v>
      </c>
      <c r="O2" s="3" t="s">
        <v>46</v>
      </c>
      <c r="P2" s="3" t="s">
        <v>47</v>
      </c>
      <c r="Q2" s="2" t="s">
        <v>49</v>
      </c>
      <c r="R2" s="3" t="s">
        <v>32</v>
      </c>
      <c r="T2" s="2" t="s">
        <v>29</v>
      </c>
      <c r="U2" s="3" t="s">
        <v>28</v>
      </c>
      <c r="V2" s="3" t="s">
        <v>31</v>
      </c>
      <c r="W2" s="2" t="s">
        <v>49</v>
      </c>
      <c r="X2" t="s">
        <v>56</v>
      </c>
    </row>
    <row r="3" spans="1:24" x14ac:dyDescent="0.2">
      <c r="T3" s="2"/>
      <c r="U3" s="3"/>
      <c r="V3" s="3"/>
      <c r="W3" s="2"/>
    </row>
    <row r="4" spans="1:24" x14ac:dyDescent="0.2">
      <c r="A4">
        <v>10</v>
      </c>
      <c r="B4">
        <v>0.1</v>
      </c>
      <c r="C4">
        <v>1</v>
      </c>
      <c r="D4">
        <v>20</v>
      </c>
      <c r="E4">
        <f>MIN(20, COUNTIFS(benchmark_gurobi_vs_cuts_v3!A:A,proc_tab4!A4,benchmark_gurobi_vs_cuts_v3!C:C,proc_tab4!B4,benchmark_gurobi_vs_cuts_v3!B:B,proc_tab4!C4,benchmark_gurobi_vs_cuts_v3!E:E,proc_tab4!D4))</f>
        <v>20</v>
      </c>
      <c r="F4" s="2">
        <f>AVERAGEIFS(benchmark_gurobi_vs_cuts_v3!F:F,benchmark_gurobi_vs_cuts_v3!A:A,proc_tab4!A4,benchmark_gurobi_vs_cuts_v3!C:C,proc_tab4!B4,benchmark_gurobi_vs_cuts_v3!B:B,proc_tab4!C4,benchmark_gurobi_vs_cuts_v3!E:E,proc_tab4!D4)</f>
        <v>0.99580096566687382</v>
      </c>
      <c r="G4" s="3">
        <f>AVERAGEIFS(benchmark_gurobi_vs_cuts_v3!H:H,benchmark_gurobi_vs_cuts_v3!A:A,proc_tab4!A4,benchmark_gurobi_vs_cuts_v3!C:C,proc_tab4!B4,benchmark_gurobi_vs_cuts_v3!B:B,proc_tab4!C4,benchmark_gurobi_vs_cuts_v3!E:E,proc_tab4!D4)</f>
        <v>13177.314240297452</v>
      </c>
      <c r="H4" s="3">
        <f>AVERAGEIFS(benchmark_gurobi_vs_cuts_v3!I:I,benchmark_gurobi_vs_cuts_v3!A:A,proc_tab4!A4,benchmark_gurobi_vs_cuts_v3!C:C,proc_tab4!B4,benchmark_gurobi_vs_cuts_v3!B:B,proc_tab4!C4,benchmark_gurobi_vs_cuts_v3!E:E,proc_tab4!D4)</f>
        <v>47640.45</v>
      </c>
      <c r="I4" s="12">
        <f>AVERAGEIFS(benchmark_gurobi_vs_cuts_v3!J:J,benchmark_gurobi_vs_cuts_v3!A:A,proc_tab4!A4,benchmark_gurobi_vs_cuts_v3!C:C,proc_tab4!B4,benchmark_gurobi_vs_cuts_v3!B:B,proc_tab4!C4,benchmark_gurobi_vs_cuts_v3!E:E,proc_tab4!D4)</f>
        <v>1.3126328139279005E-3</v>
      </c>
      <c r="J4" s="3">
        <f>AVERAGEIFS(benchmark_gurobi_vs_cuts_v3!K:K,benchmark_gurobi_vs_cuts_v3!A:A,proc_tab4!A4,benchmark_gurobi_vs_cuts_v3!C:C,proc_tab4!B4,benchmark_gurobi_vs_cuts_v3!B:B,proc_tab4!C4,benchmark_gurobi_vs_cuts_v3!E:E,proc_tab4!D4)</f>
        <v>29104</v>
      </c>
      <c r="M4" s="2">
        <f>AVERAGEIFS(benchmark_gurobi_vs_cuts_v3!L:L,benchmark_gurobi_vs_cuts_v3!A:A,proc_tab4!A4,benchmark_gurobi_vs_cuts_v3!C:C,proc_tab4!B4,benchmark_gurobi_vs_cuts_v3!B:B,proc_tab4!C4,benchmark_gurobi_vs_cuts_v3!E:E,proc_tab4!D4)</f>
        <v>0.97168895532955502</v>
      </c>
      <c r="N4" s="3">
        <f>AVERAGEIFS(benchmark_gurobi_vs_cuts_v3!N:N,benchmark_gurobi_vs_cuts_v3!A:A,proc_tab4!A4,benchmark_gurobi_vs_cuts_v3!C:C,proc_tab4!B4,benchmark_gurobi_vs_cuts_v3!B:B,proc_tab4!C4,benchmark_gurobi_vs_cuts_v3!E:E,proc_tab4!D4)</f>
        <v>252.28725133335007</v>
      </c>
      <c r="O4" s="3">
        <f>AVERAGEIFS(benchmark_gurobi_vs_cuts_v3!O:O,benchmark_gurobi_vs_cuts_v3!A:A,proc_tab4!A4,benchmark_gurobi_vs_cuts_v3!C:C,proc_tab4!B4,benchmark_gurobi_vs_cuts_v3!B:B,proc_tab4!C4,benchmark_gurobi_vs_cuts_v3!E:E,proc_tab4!D4)</f>
        <v>630.20000000000005</v>
      </c>
      <c r="P4" s="3">
        <f>AVERAGEIFS(benchmark_gurobi_vs_cuts_v3!R:R,benchmark_gurobi_vs_cuts_v3!A:A,proc_tab4!A4,benchmark_gurobi_vs_cuts_v3!C:C,proc_tab4!B4,benchmark_gurobi_vs_cuts_v3!B:B,proc_tab4!C4,benchmark_gurobi_vs_cuts_v3!E:E,proc_tab4!D4)</f>
        <v>10099.549999999999</v>
      </c>
      <c r="Q4" s="12">
        <f>AVERAGEIFS(benchmark_gurobi_vs_cuts_v3!P:P,benchmark_gurobi_vs_cuts_v3!A:A,proc_tab4!A4,benchmark_gurobi_vs_cuts_v3!C:C,proc_tab4!B4,benchmark_gurobi_vs_cuts_v3!B:B,proc_tab4!C4,benchmark_gurobi_vs_cuts_v3!E:E,proc_tab4!D4)</f>
        <v>1.8582916194099137E-3</v>
      </c>
      <c r="R4" s="3">
        <f>AVERAGEIFS(benchmark_gurobi_vs_cuts_v3!Q:Q,benchmark_gurobi_vs_cuts_v3!A:A,proc_tab4!A4,benchmark_gurobi_vs_cuts_v3!C:C,proc_tab4!B4,benchmark_gurobi_vs_cuts_v3!B:B,proc_tab4!C4,benchmark_gurobi_vs_cuts_v3!E:E,proc_tab4!D4)</f>
        <v>2.95</v>
      </c>
      <c r="T4" s="2">
        <f>AVERAGEIFS(benchmark_gurobi_vs_cuts_v3!S:S,benchmark_gurobi_vs_cuts_v3!A:A,proc_tab4!A4,benchmark_gurobi_vs_cuts_v3!C:C,proc_tab4!B4,benchmark_gurobi_vs_cuts_v3!B:B,proc_tab4!C4,benchmark_gurobi_vs_cuts_v3!E:E,proc_tab4!D4)</f>
        <v>0.94724330864209672</v>
      </c>
      <c r="U4" s="3">
        <f>AVERAGEIFS(benchmark_gurobi_vs_cuts_v3!U:U,benchmark_gurobi_vs_cuts_v3!A:A,proc_tab4!A4,benchmark_gurobi_vs_cuts_v3!C:C,proc_tab4!B4,benchmark_gurobi_vs_cuts_v3!B:B,proc_tab4!C4,benchmark_gurobi_vs_cuts_v3!E:E,proc_tab4!D4)</f>
        <v>3611.835840429399</v>
      </c>
      <c r="V4" s="3">
        <f>AVERAGEIFS(benchmark_gurobi_vs_cuts_v3!V:V,benchmark_gurobi_vs_cuts_v3!A:A,proc_tab4!A4,benchmark_gurobi_vs_cuts_v3!C:C,proc_tab4!B4,benchmark_gurobi_vs_cuts_v3!B:B,proc_tab4!C4,benchmark_gurobi_vs_cuts_v3!E:E,proc_tab4!D4)</f>
        <v>313726.05</v>
      </c>
      <c r="W4" s="12">
        <f>AVERAGEIFS(benchmark_gurobi_vs_cuts_v3!W:W,benchmark_gurobi_vs_cuts_v3!A:A,proc_tab4!A4,benchmark_gurobi_vs_cuts_v3!C:C,proc_tab4!B4,benchmark_gurobi_vs_cuts_v3!B:B,proc_tab4!C4,benchmark_gurobi_vs_cuts_v3!E:E,proc_tab4!D4)</f>
        <v>3.0127191306631006E-2</v>
      </c>
      <c r="X4">
        <f>COUNTIFS(benchmark_gurobi_vs_cuts_v3!S:S,"&lt;&gt;", benchmark_gurobi_vs_cuts_v3!A:A,proc_tab4!A4,benchmark_gurobi_vs_cuts_v3!C:C,proc_tab4!B4,benchmark_gurobi_vs_cuts_v3!E:E,proc_tab4!D4)</f>
        <v>20</v>
      </c>
    </row>
    <row r="5" spans="1:24" x14ac:dyDescent="0.2">
      <c r="A5">
        <v>10</v>
      </c>
      <c r="B5">
        <v>0.2</v>
      </c>
      <c r="C5">
        <v>1</v>
      </c>
      <c r="D5">
        <v>20</v>
      </c>
      <c r="E5">
        <f>MIN(20, COUNTIFS(benchmark_gurobi_vs_cuts_v3!A:A,proc_tab4!A5,benchmark_gurobi_vs_cuts_v3!C:C,proc_tab4!B5,benchmark_gurobi_vs_cuts_v3!B:B,proc_tab4!C5,benchmark_gurobi_vs_cuts_v3!E:E,proc_tab4!D5))</f>
        <v>20</v>
      </c>
      <c r="F5" s="2">
        <f>AVERAGEIFS(benchmark_gurobi_vs_cuts_v3!F:F,benchmark_gurobi_vs_cuts_v3!A:A,proc_tab4!A5,benchmark_gurobi_vs_cuts_v3!C:C,proc_tab4!B5,benchmark_gurobi_vs_cuts_v3!B:B,proc_tab4!C5,benchmark_gurobi_vs_cuts_v3!E:E,proc_tab4!D5)</f>
        <v>0.62069836111904286</v>
      </c>
      <c r="G5" s="3">
        <f>AVERAGEIFS(benchmark_gurobi_vs_cuts_v3!H:H,benchmark_gurobi_vs_cuts_v3!A:A,proc_tab4!A5,benchmark_gurobi_vs_cuts_v3!C:C,proc_tab4!B5,benchmark_gurobi_vs_cuts_v3!B:B,proc_tab4!C5,benchmark_gurobi_vs_cuts_v3!E:E,proc_tab4!D5)</f>
        <v>19435.26936867445</v>
      </c>
      <c r="H5" s="3">
        <f>AVERAGEIFS(benchmark_gurobi_vs_cuts_v3!I:I,benchmark_gurobi_vs_cuts_v3!A:A,proc_tab4!A5,benchmark_gurobi_vs_cuts_v3!C:C,proc_tab4!B5,benchmark_gurobi_vs_cuts_v3!B:B,proc_tab4!C5,benchmark_gurobi_vs_cuts_v3!E:E,proc_tab4!D5)</f>
        <v>28429.200000000001</v>
      </c>
      <c r="I5" s="12">
        <f>AVERAGEIFS(benchmark_gurobi_vs_cuts_v3!J:J,benchmark_gurobi_vs_cuts_v3!A:A,proc_tab4!A5,benchmark_gurobi_vs_cuts_v3!C:C,proc_tab4!B5,benchmark_gurobi_vs_cuts_v3!B:B,proc_tab4!C5,benchmark_gurobi_vs_cuts_v3!E:E,proc_tab4!D5)</f>
        <v>2.2948299979274771E-2</v>
      </c>
      <c r="J5" s="3">
        <f>AVERAGEIFS(benchmark_gurobi_vs_cuts_v3!K:K,benchmark_gurobi_vs_cuts_v3!A:A,proc_tab4!A5,benchmark_gurobi_vs_cuts_v3!C:C,proc_tab4!B5,benchmark_gurobi_vs_cuts_v3!B:B,proc_tab4!C5,benchmark_gurobi_vs_cuts_v3!E:E,proc_tab4!D5)</f>
        <v>19367.099999999999</v>
      </c>
      <c r="M5" s="2">
        <f>AVERAGEIFS(benchmark_gurobi_vs_cuts_v3!L:L,benchmark_gurobi_vs_cuts_v3!A:A,proc_tab4!A5,benchmark_gurobi_vs_cuts_v3!C:C,proc_tab4!B5,benchmark_gurobi_vs_cuts_v3!B:B,proc_tab4!C5,benchmark_gurobi_vs_cuts_v3!E:E,proc_tab4!D5)</f>
        <v>0.65601920506096922</v>
      </c>
      <c r="N5" s="3">
        <f>AVERAGEIFS(benchmark_gurobi_vs_cuts_v3!N:N,benchmark_gurobi_vs_cuts_v3!A:A,proc_tab4!A5,benchmark_gurobi_vs_cuts_v3!C:C,proc_tab4!B5,benchmark_gurobi_vs_cuts_v3!B:B,proc_tab4!C5,benchmark_gurobi_vs_cuts_v3!E:E,proc_tab4!D5)</f>
        <v>1672.0205313190502</v>
      </c>
      <c r="O5" s="3">
        <f>AVERAGEIFS(benchmark_gurobi_vs_cuts_v3!O:O,benchmark_gurobi_vs_cuts_v3!A:A,proc_tab4!A5,benchmark_gurobi_vs_cuts_v3!C:C,proc_tab4!B5,benchmark_gurobi_vs_cuts_v3!B:B,proc_tab4!C5,benchmark_gurobi_vs_cuts_v3!E:E,proc_tab4!D5)</f>
        <v>2277</v>
      </c>
      <c r="P5" s="3">
        <f>AVERAGEIFS(benchmark_gurobi_vs_cuts_v3!R:R,benchmark_gurobi_vs_cuts_v3!A:A,proc_tab4!A5,benchmark_gurobi_vs_cuts_v3!C:C,proc_tab4!B5,benchmark_gurobi_vs_cuts_v3!B:B,proc_tab4!C5,benchmark_gurobi_vs_cuts_v3!E:E,proc_tab4!D5)</f>
        <v>28894.75</v>
      </c>
      <c r="Q5" s="12">
        <f>AVERAGEIFS(benchmark_gurobi_vs_cuts_v3!P:P,benchmark_gurobi_vs_cuts_v3!A:A,proc_tab4!A5,benchmark_gurobi_vs_cuts_v3!C:C,proc_tab4!B5,benchmark_gurobi_vs_cuts_v3!B:B,proc_tab4!C5,benchmark_gurobi_vs_cuts_v3!E:E,proc_tab4!D5)</f>
        <v>1.0437097974975905E-2</v>
      </c>
      <c r="R5" s="3">
        <f>AVERAGEIFS(benchmark_gurobi_vs_cuts_v3!Q:Q,benchmark_gurobi_vs_cuts_v3!A:A,proc_tab4!A5,benchmark_gurobi_vs_cuts_v3!C:C,proc_tab4!B5,benchmark_gurobi_vs_cuts_v3!B:B,proc_tab4!C5,benchmark_gurobi_vs_cuts_v3!E:E,proc_tab4!D5)</f>
        <v>11</v>
      </c>
      <c r="T5" s="2">
        <f>AVERAGEIFS(benchmark_gurobi_vs_cuts_v3!S:S,benchmark_gurobi_vs_cuts_v3!A:A,proc_tab4!A5,benchmark_gurobi_vs_cuts_v3!C:C,proc_tab4!B5,benchmark_gurobi_vs_cuts_v3!B:B,proc_tab4!C5,benchmark_gurobi_vs_cuts_v3!E:E,proc_tab4!D5)</f>
        <v>0.70315031594586208</v>
      </c>
      <c r="U5" s="3">
        <f>AVERAGEIFS(benchmark_gurobi_vs_cuts_v3!U:U,benchmark_gurobi_vs_cuts_v3!A:A,proc_tab4!A5,benchmark_gurobi_vs_cuts_v3!C:C,proc_tab4!B5,benchmark_gurobi_vs_cuts_v3!B:B,proc_tab4!C5,benchmark_gurobi_vs_cuts_v3!E:E,proc_tab4!D5)</f>
        <v>3610.9817410821997</v>
      </c>
      <c r="V5" s="3">
        <f>AVERAGEIFS(benchmark_gurobi_vs_cuts_v3!V:V,benchmark_gurobi_vs_cuts_v3!A:A,proc_tab4!A5,benchmark_gurobi_vs_cuts_v3!C:C,proc_tab4!B5,benchmark_gurobi_vs_cuts_v3!B:B,proc_tab4!C5,benchmark_gurobi_vs_cuts_v3!E:E,proc_tab4!D5)</f>
        <v>299160.7</v>
      </c>
      <c r="W5" s="12">
        <f>AVERAGEIFS(benchmark_gurobi_vs_cuts_v3!W:W,benchmark_gurobi_vs_cuts_v3!A:A,proc_tab4!A5,benchmark_gurobi_vs_cuts_v3!C:C,proc_tab4!B5,benchmark_gurobi_vs_cuts_v3!B:B,proc_tab4!C5,benchmark_gurobi_vs_cuts_v3!E:E,proc_tab4!D5)</f>
        <v>8.5434599326080635E-2</v>
      </c>
      <c r="X5">
        <f>COUNTIFS(benchmark_gurobi_vs_cuts_v3!S:S,"&lt;&gt;", benchmark_gurobi_vs_cuts_v3!A:A,proc_tab4!A5,benchmark_gurobi_vs_cuts_v3!C:C,proc_tab4!B5,benchmark_gurobi_vs_cuts_v3!E:E,proc_tab4!D5)</f>
        <v>20</v>
      </c>
    </row>
    <row r="6" spans="1:24" x14ac:dyDescent="0.2">
      <c r="A6">
        <v>10</v>
      </c>
      <c r="B6">
        <v>0.3</v>
      </c>
      <c r="C6">
        <v>1</v>
      </c>
      <c r="D6">
        <v>20</v>
      </c>
      <c r="E6">
        <f>MIN(20, COUNTIFS(benchmark_gurobi_vs_cuts_v3!A:A,proc_tab4!A6,benchmark_gurobi_vs_cuts_v3!C:C,proc_tab4!B6,benchmark_gurobi_vs_cuts_v3!B:B,proc_tab4!C6,benchmark_gurobi_vs_cuts_v3!E:E,proc_tab4!D6))</f>
        <v>20</v>
      </c>
      <c r="F6" s="2">
        <f>AVERAGEIFS(benchmark_gurobi_vs_cuts_v3!F:F,benchmark_gurobi_vs_cuts_v3!A:A,proc_tab4!A6,benchmark_gurobi_vs_cuts_v3!C:C,proc_tab4!B6,benchmark_gurobi_vs_cuts_v3!B:B,proc_tab4!C6,benchmark_gurobi_vs_cuts_v3!E:E,proc_tab4!D6)</f>
        <v>0.32151663818843018</v>
      </c>
      <c r="G6" s="3">
        <f>AVERAGEIFS(benchmark_gurobi_vs_cuts_v3!H:H,benchmark_gurobi_vs_cuts_v3!A:A,proc_tab4!A6,benchmark_gurobi_vs_cuts_v3!C:C,proc_tab4!B6,benchmark_gurobi_vs_cuts_v3!B:B,proc_tab4!C6,benchmark_gurobi_vs_cuts_v3!E:E,proc_tab4!D6)</f>
        <v>20368.302516599993</v>
      </c>
      <c r="H6" s="3">
        <f>AVERAGEIFS(benchmark_gurobi_vs_cuts_v3!I:I,benchmark_gurobi_vs_cuts_v3!A:A,proc_tab4!A6,benchmark_gurobi_vs_cuts_v3!C:C,proc_tab4!B6,benchmark_gurobi_vs_cuts_v3!B:B,proc_tab4!C6,benchmark_gurobi_vs_cuts_v3!E:E,proc_tab4!D6)</f>
        <v>25481.05</v>
      </c>
      <c r="I6" s="12">
        <f>AVERAGEIFS(benchmark_gurobi_vs_cuts_v3!J:J,benchmark_gurobi_vs_cuts_v3!A:A,proc_tab4!A6,benchmark_gurobi_vs_cuts_v3!C:C,proc_tab4!B6,benchmark_gurobi_vs_cuts_v3!B:B,proc_tab4!C6,benchmark_gurobi_vs_cuts_v3!E:E,proc_tab4!D6)</f>
        <v>4.3272142827219119E-2</v>
      </c>
      <c r="J6" s="3">
        <f>AVERAGEIFS(benchmark_gurobi_vs_cuts_v3!K:K,benchmark_gurobi_vs_cuts_v3!A:A,proc_tab4!A6,benchmark_gurobi_vs_cuts_v3!C:C,proc_tab4!B6,benchmark_gurobi_vs_cuts_v3!B:B,proc_tab4!C6,benchmark_gurobi_vs_cuts_v3!E:E,proc_tab4!D6)</f>
        <v>20288.25</v>
      </c>
      <c r="M6" s="2">
        <f>AVERAGEIFS(benchmark_gurobi_vs_cuts_v3!L:L,benchmark_gurobi_vs_cuts_v3!A:A,proc_tab4!A6,benchmark_gurobi_vs_cuts_v3!C:C,proc_tab4!B6,benchmark_gurobi_vs_cuts_v3!B:B,proc_tab4!C6,benchmark_gurobi_vs_cuts_v3!E:E,proc_tab4!D6)</f>
        <v>0.32258432518399405</v>
      </c>
      <c r="N6" s="3">
        <f>AVERAGEIFS(benchmark_gurobi_vs_cuts_v3!N:N,benchmark_gurobi_vs_cuts_v3!A:A,proc_tab4!A6,benchmark_gurobi_vs_cuts_v3!C:C,proc_tab4!B6,benchmark_gurobi_vs_cuts_v3!B:B,proc_tab4!C6,benchmark_gurobi_vs_cuts_v3!E:E,proc_tab4!D6)</f>
        <v>2319.4112793086001</v>
      </c>
      <c r="O6" s="3">
        <f>AVERAGEIFS(benchmark_gurobi_vs_cuts_v3!O:O,benchmark_gurobi_vs_cuts_v3!A:A,proc_tab4!A6,benchmark_gurobi_vs_cuts_v3!C:C,proc_tab4!B6,benchmark_gurobi_vs_cuts_v3!B:B,proc_tab4!C6,benchmark_gurobi_vs_cuts_v3!E:E,proc_tab4!D6)</f>
        <v>2684.7</v>
      </c>
      <c r="P6" s="3">
        <f>AVERAGEIFS(benchmark_gurobi_vs_cuts_v3!R:R,benchmark_gurobi_vs_cuts_v3!A:A,proc_tab4!A6,benchmark_gurobi_vs_cuts_v3!C:C,proc_tab4!B6,benchmark_gurobi_vs_cuts_v3!B:B,proc_tab4!C6,benchmark_gurobi_vs_cuts_v3!E:E,proc_tab4!D6)</f>
        <v>30906.45</v>
      </c>
      <c r="Q6" s="12">
        <f>AVERAGEIFS(benchmark_gurobi_vs_cuts_v3!P:P,benchmark_gurobi_vs_cuts_v3!A:A,proc_tab4!A6,benchmark_gurobi_vs_cuts_v3!C:C,proc_tab4!B6,benchmark_gurobi_vs_cuts_v3!B:B,proc_tab4!C6,benchmark_gurobi_vs_cuts_v3!E:E,proc_tab4!D6)</f>
        <v>3.1748694175218271E-2</v>
      </c>
      <c r="R6" s="3">
        <f>AVERAGEIFS(benchmark_gurobi_vs_cuts_v3!Q:Q,benchmark_gurobi_vs_cuts_v3!A:A,proc_tab4!A6,benchmark_gurobi_vs_cuts_v3!C:C,proc_tab4!B6,benchmark_gurobi_vs_cuts_v3!B:B,proc_tab4!C6,benchmark_gurobi_vs_cuts_v3!E:E,proc_tab4!D6)</f>
        <v>15.35</v>
      </c>
      <c r="T6" s="2">
        <f>AVERAGEIFS(benchmark_gurobi_vs_cuts_v3!S:S,benchmark_gurobi_vs_cuts_v3!A:A,proc_tab4!A6,benchmark_gurobi_vs_cuts_v3!C:C,proc_tab4!B6,benchmark_gurobi_vs_cuts_v3!B:B,proc_tab4!C6,benchmark_gurobi_vs_cuts_v3!E:E,proc_tab4!D6)</f>
        <v>0.35026221649897804</v>
      </c>
      <c r="U6" s="3">
        <f>AVERAGEIFS(benchmark_gurobi_vs_cuts_v3!U:U,benchmark_gurobi_vs_cuts_v3!A:A,proc_tab4!A6,benchmark_gurobi_vs_cuts_v3!C:C,proc_tab4!B6,benchmark_gurobi_vs_cuts_v3!B:B,proc_tab4!C6,benchmark_gurobi_vs_cuts_v3!E:E,proc_tab4!D6)</f>
        <v>3613.3558894469002</v>
      </c>
      <c r="V6" s="3">
        <f>AVERAGEIFS(benchmark_gurobi_vs_cuts_v3!V:V,benchmark_gurobi_vs_cuts_v3!A:A,proc_tab4!A6,benchmark_gurobi_vs_cuts_v3!C:C,proc_tab4!B6,benchmark_gurobi_vs_cuts_v3!B:B,proc_tab4!C6,benchmark_gurobi_vs_cuts_v3!E:E,proc_tab4!D6)</f>
        <v>274500.40000000002</v>
      </c>
      <c r="W6" s="12">
        <f>AVERAGEIFS(benchmark_gurobi_vs_cuts_v3!W:W,benchmark_gurobi_vs_cuts_v3!A:A,proc_tab4!A6,benchmark_gurobi_vs_cuts_v3!C:C,proc_tab4!B6,benchmark_gurobi_vs_cuts_v3!B:B,proc_tab4!C6,benchmark_gurobi_vs_cuts_v3!E:E,proc_tab4!D6)</f>
        <v>0.11668840088729873</v>
      </c>
      <c r="X6">
        <f>COUNTIFS(benchmark_gurobi_vs_cuts_v3!S:S,"&lt;&gt;", benchmark_gurobi_vs_cuts_v3!A:A,proc_tab4!A6,benchmark_gurobi_vs_cuts_v3!C:C,proc_tab4!B6,benchmark_gurobi_vs_cuts_v3!E:E,proc_tab4!D6)</f>
        <v>20</v>
      </c>
    </row>
    <row r="7" spans="1:24" x14ac:dyDescent="0.2">
      <c r="I7" s="12"/>
      <c r="Q7" s="12"/>
      <c r="T7" s="2"/>
      <c r="U7" s="3"/>
      <c r="V7" s="3"/>
      <c r="W7" s="12"/>
    </row>
    <row r="8" spans="1:24" x14ac:dyDescent="0.2">
      <c r="A8">
        <v>20</v>
      </c>
      <c r="B8">
        <v>0.1</v>
      </c>
      <c r="C8">
        <v>1</v>
      </c>
      <c r="D8">
        <v>20</v>
      </c>
      <c r="E8">
        <f>MIN(20, COUNTIFS(benchmark_gurobi_vs_cuts_v3!A:A,proc_tab4!A8,benchmark_gurobi_vs_cuts_v3!C:C,proc_tab4!B8,benchmark_gurobi_vs_cuts_v3!B:B,proc_tab4!C8,benchmark_gurobi_vs_cuts_v3!E:E,proc_tab4!D8))</f>
        <v>20</v>
      </c>
      <c r="F8" s="2">
        <f>AVERAGEIFS(benchmark_gurobi_vs_cuts_v3!F:F,benchmark_gurobi_vs_cuts_v3!A:A,proc_tab4!A8,benchmark_gurobi_vs_cuts_v3!C:C,proc_tab4!B8,benchmark_gurobi_vs_cuts_v3!B:B,proc_tab4!C8,benchmark_gurobi_vs_cuts_v3!E:E,proc_tab4!D8)</f>
        <v>0.63064588430338031</v>
      </c>
      <c r="G8" s="3">
        <f>AVERAGEIFS(benchmark_gurobi_vs_cuts_v3!H:H,benchmark_gurobi_vs_cuts_v3!A:A,proc_tab4!A8,benchmark_gurobi_vs_cuts_v3!C:C,proc_tab4!B8,benchmark_gurobi_vs_cuts_v3!B:B,proc_tab4!C8,benchmark_gurobi_vs_cuts_v3!E:E,proc_tab4!D8)</f>
        <v>30149.803445795445</v>
      </c>
      <c r="H8" s="3">
        <f>AVERAGEIFS(benchmark_gurobi_vs_cuts_v3!I:I,benchmark_gurobi_vs_cuts_v3!A:A,proc_tab4!A8,benchmark_gurobi_vs_cuts_v3!C:C,proc_tab4!B8,benchmark_gurobi_vs_cuts_v3!B:B,proc_tab4!C8,benchmark_gurobi_vs_cuts_v3!E:E,proc_tab4!D8)</f>
        <v>13113.35</v>
      </c>
      <c r="I8" s="12">
        <f>AVERAGEIFS(benchmark_gurobi_vs_cuts_v3!J:J,benchmark_gurobi_vs_cuts_v3!A:A,proc_tab4!A8,benchmark_gurobi_vs_cuts_v3!C:C,proc_tab4!B8,benchmark_gurobi_vs_cuts_v3!B:B,proc_tab4!C8,benchmark_gurobi_vs_cuts_v3!E:E,proc_tab4!D8)</f>
        <v>0.74086434265694945</v>
      </c>
      <c r="J8" s="3">
        <f>AVERAGEIFS(benchmark_gurobi_vs_cuts_v3!K:K,benchmark_gurobi_vs_cuts_v3!A:A,proc_tab4!A8,benchmark_gurobi_vs_cuts_v3!C:C,proc_tab4!B8,benchmark_gurobi_vs_cuts_v3!B:B,proc_tab4!C8,benchmark_gurobi_vs_cuts_v3!E:E,proc_tab4!D8)</f>
        <v>13073.45</v>
      </c>
      <c r="M8" s="2">
        <f>AVERAGEIFS(benchmark_gurobi_vs_cuts_v3!L:L,benchmark_gurobi_vs_cuts_v3!A:A,proc_tab4!A8,benchmark_gurobi_vs_cuts_v3!C:C,proc_tab4!B8,benchmark_gurobi_vs_cuts_v3!B:B,proc_tab4!C8,benchmark_gurobi_vs_cuts_v3!E:E,proc_tab4!D8)</f>
        <v>0.6568617972542764</v>
      </c>
      <c r="N8" s="3">
        <f>AVERAGEIFS(benchmark_gurobi_vs_cuts_v3!N:N,benchmark_gurobi_vs_cuts_v3!A:A,proc_tab4!A8,benchmark_gurobi_vs_cuts_v3!C:C,proc_tab4!B8,benchmark_gurobi_vs_cuts_v3!B:B,proc_tab4!C8,benchmark_gurobi_vs_cuts_v3!E:E,proc_tab4!D8)</f>
        <v>2917.7006766370496</v>
      </c>
      <c r="O8" s="3">
        <f>AVERAGEIFS(benchmark_gurobi_vs_cuts_v3!O:O,benchmark_gurobi_vs_cuts_v3!A:A,proc_tab4!A8,benchmark_gurobi_vs_cuts_v3!C:C,proc_tab4!B8,benchmark_gurobi_vs_cuts_v3!B:B,proc_tab4!C8,benchmark_gurobi_vs_cuts_v3!E:E,proc_tab4!D8)</f>
        <v>413.2</v>
      </c>
      <c r="P8" s="3">
        <f>AVERAGEIFS(benchmark_gurobi_vs_cuts_v3!R:R,benchmark_gurobi_vs_cuts_v3!A:A,proc_tab4!A8,benchmark_gurobi_vs_cuts_v3!C:C,proc_tab4!B8,benchmark_gurobi_vs_cuts_v3!B:B,proc_tab4!C8,benchmark_gurobi_vs_cuts_v3!E:E,proc_tab4!D8)</f>
        <v>4834.75</v>
      </c>
      <c r="Q8" s="12">
        <f>AVERAGEIFS(benchmark_gurobi_vs_cuts_v3!P:P,benchmark_gurobi_vs_cuts_v3!A:A,proc_tab4!A8,benchmark_gurobi_vs_cuts_v3!C:C,proc_tab4!B8,benchmark_gurobi_vs_cuts_v3!B:B,proc_tab4!C8,benchmark_gurobi_vs_cuts_v3!E:E,proc_tab4!D8)</f>
        <v>1.6611250539722403E-2</v>
      </c>
      <c r="R8" s="3">
        <f>AVERAGEIFS(benchmark_gurobi_vs_cuts_v3!Q:Q,benchmark_gurobi_vs_cuts_v3!A:A,proc_tab4!A8,benchmark_gurobi_vs_cuts_v3!C:C,proc_tab4!B8,benchmark_gurobi_vs_cuts_v3!B:B,proc_tab4!C8,benchmark_gurobi_vs_cuts_v3!E:E,proc_tab4!D8)</f>
        <v>18.5</v>
      </c>
      <c r="T8" s="2">
        <f>AVERAGEIFS(benchmark_gurobi_vs_cuts_v3!S:S,benchmark_gurobi_vs_cuts_v3!A:A,proc_tab4!A8,benchmark_gurobi_vs_cuts_v3!C:C,proc_tab4!B8,benchmark_gurobi_vs_cuts_v3!B:B,proc_tab4!C8,benchmark_gurobi_vs_cuts_v3!E:E,proc_tab4!D8)</f>
        <v>0.94735940257806228</v>
      </c>
      <c r="U8" s="3">
        <f>AVERAGEIFS(benchmark_gurobi_vs_cuts_v3!U:U,benchmark_gurobi_vs_cuts_v3!A:A,proc_tab4!A8,benchmark_gurobi_vs_cuts_v3!C:C,proc_tab4!B8,benchmark_gurobi_vs_cuts_v3!B:B,proc_tab4!C8,benchmark_gurobi_vs_cuts_v3!E:E,proc_tab4!D8)</f>
        <v>3613.1240672774002</v>
      </c>
      <c r="V8" s="3">
        <f>AVERAGEIFS(benchmark_gurobi_vs_cuts_v3!V:V,benchmark_gurobi_vs_cuts_v3!A:A,proc_tab4!A8,benchmark_gurobi_vs_cuts_v3!C:C,proc_tab4!B8,benchmark_gurobi_vs_cuts_v3!B:B,proc_tab4!C8,benchmark_gurobi_vs_cuts_v3!E:E,proc_tab4!D8)</f>
        <v>80763.8</v>
      </c>
      <c r="W8" s="12">
        <f>AVERAGEIFS(benchmark_gurobi_vs_cuts_v3!W:W,benchmark_gurobi_vs_cuts_v3!A:A,proc_tab4!A8,benchmark_gurobi_vs_cuts_v3!C:C,proc_tab4!B8,benchmark_gurobi_vs_cuts_v3!B:B,proc_tab4!C8,benchmark_gurobi_vs_cuts_v3!E:E,proc_tab4!D8)</f>
        <v>0.89153789021624541</v>
      </c>
      <c r="X8">
        <f>COUNTIFS(benchmark_gurobi_vs_cuts_v3!S:S,"&lt;&gt;", benchmark_gurobi_vs_cuts_v3!A:A,proc_tab4!A8,benchmark_gurobi_vs_cuts_v3!C:C,proc_tab4!B8,benchmark_gurobi_vs_cuts_v3!E:E,proc_tab4!D8)</f>
        <v>20</v>
      </c>
    </row>
    <row r="9" spans="1:24" x14ac:dyDescent="0.2">
      <c r="A9">
        <v>20</v>
      </c>
      <c r="B9">
        <v>0.2</v>
      </c>
      <c r="C9">
        <v>1</v>
      </c>
      <c r="D9">
        <v>20</v>
      </c>
      <c r="E9">
        <f>MIN(20, COUNTIFS(benchmark_gurobi_vs_cuts_v3!A:A,proc_tab4!A9,benchmark_gurobi_vs_cuts_v3!C:C,proc_tab4!B9,benchmark_gurobi_vs_cuts_v3!B:B,proc_tab4!C9,benchmark_gurobi_vs_cuts_v3!E:E,proc_tab4!D9))</f>
        <v>20</v>
      </c>
      <c r="F9" s="2">
        <f>AVERAGEIFS(benchmark_gurobi_vs_cuts_v3!F:F,benchmark_gurobi_vs_cuts_v3!A:A,proc_tab4!A9,benchmark_gurobi_vs_cuts_v3!C:C,proc_tab4!B9,benchmark_gurobi_vs_cuts_v3!B:B,proc_tab4!C9,benchmark_gurobi_vs_cuts_v3!E:E,proc_tab4!D9)</f>
        <v>0.25147340107215299</v>
      </c>
      <c r="G9" s="3">
        <f>AVERAGEIFS(benchmark_gurobi_vs_cuts_v3!H:H,benchmark_gurobi_vs_cuts_v3!A:A,proc_tab4!A9,benchmark_gurobi_vs_cuts_v3!C:C,proc_tab4!B9,benchmark_gurobi_vs_cuts_v3!B:B,proc_tab4!C9,benchmark_gurobi_vs_cuts_v3!E:E,proc_tab4!D9)</f>
        <v>30102.467095943302</v>
      </c>
      <c r="H9" s="3">
        <f>AVERAGEIFS(benchmark_gurobi_vs_cuts_v3!I:I,benchmark_gurobi_vs_cuts_v3!A:A,proc_tab4!A9,benchmark_gurobi_vs_cuts_v3!C:C,proc_tab4!B9,benchmark_gurobi_vs_cuts_v3!B:B,proc_tab4!C9,benchmark_gurobi_vs_cuts_v3!E:E,proc_tab4!D9)</f>
        <v>7022.95</v>
      </c>
      <c r="I9" s="12">
        <f>AVERAGEIFS(benchmark_gurobi_vs_cuts_v3!J:J,benchmark_gurobi_vs_cuts_v3!A:A,proc_tab4!A9,benchmark_gurobi_vs_cuts_v3!C:C,proc_tab4!B9,benchmark_gurobi_vs_cuts_v3!B:B,proc_tab4!C9,benchmark_gurobi_vs_cuts_v3!E:E,proc_tab4!D9)</f>
        <v>0.18164615642736065</v>
      </c>
      <c r="J9" s="3">
        <f>AVERAGEIFS(benchmark_gurobi_vs_cuts_v3!K:K,benchmark_gurobi_vs_cuts_v3!A:A,proc_tab4!A9,benchmark_gurobi_vs_cuts_v3!C:C,proc_tab4!B9,benchmark_gurobi_vs_cuts_v3!B:B,proc_tab4!C9,benchmark_gurobi_vs_cuts_v3!E:E,proc_tab4!D9)</f>
        <v>7008.25</v>
      </c>
      <c r="M9" s="2">
        <f>AVERAGEIFS(benchmark_gurobi_vs_cuts_v3!L:L,benchmark_gurobi_vs_cuts_v3!A:A,proc_tab4!A9,benchmark_gurobi_vs_cuts_v3!C:C,proc_tab4!B9,benchmark_gurobi_vs_cuts_v3!B:B,proc_tab4!C9,benchmark_gurobi_vs_cuts_v3!E:E,proc_tab4!D9)</f>
        <v>0.25123909068851163</v>
      </c>
      <c r="N9" s="3">
        <f>AVERAGEIFS(benchmark_gurobi_vs_cuts_v3!N:N,benchmark_gurobi_vs_cuts_v3!A:A,proc_tab4!A9,benchmark_gurobi_vs_cuts_v3!C:C,proc_tab4!B9,benchmark_gurobi_vs_cuts_v3!B:B,proc_tab4!C9,benchmark_gurobi_vs_cuts_v3!E:E,proc_tab4!D9)</f>
        <v>3512.5438388695502</v>
      </c>
      <c r="O9" s="3">
        <f>AVERAGEIFS(benchmark_gurobi_vs_cuts_v3!O:O,benchmark_gurobi_vs_cuts_v3!A:A,proc_tab4!A9,benchmark_gurobi_vs_cuts_v3!C:C,proc_tab4!B9,benchmark_gurobi_vs_cuts_v3!B:B,proc_tab4!C9,benchmark_gurobi_vs_cuts_v3!E:E,proc_tab4!D9)</f>
        <v>143.05000000000001</v>
      </c>
      <c r="P9" s="3">
        <f>AVERAGEIFS(benchmark_gurobi_vs_cuts_v3!R:R,benchmark_gurobi_vs_cuts_v3!A:A,proc_tab4!A9,benchmark_gurobi_vs_cuts_v3!C:C,proc_tab4!B9,benchmark_gurobi_vs_cuts_v3!B:B,proc_tab4!C9,benchmark_gurobi_vs_cuts_v3!E:E,proc_tab4!D9)</f>
        <v>1746</v>
      </c>
      <c r="Q9" s="12">
        <f>AVERAGEIFS(benchmark_gurobi_vs_cuts_v3!P:P,benchmark_gurobi_vs_cuts_v3!A:A,proc_tab4!A9,benchmark_gurobi_vs_cuts_v3!C:C,proc_tab4!B9,benchmark_gurobi_vs_cuts_v3!B:B,proc_tab4!C9,benchmark_gurobi_vs_cuts_v3!E:E,proc_tab4!D9)</f>
        <v>0.2472597228445248</v>
      </c>
      <c r="R9" s="3">
        <f>AVERAGEIFS(benchmark_gurobi_vs_cuts_v3!Q:Q,benchmark_gurobi_vs_cuts_v3!A:A,proc_tab4!A9,benchmark_gurobi_vs_cuts_v3!C:C,proc_tab4!B9,benchmark_gurobi_vs_cuts_v3!B:B,proc_tab4!C9,benchmark_gurobi_vs_cuts_v3!E:E,proc_tab4!D9)</f>
        <v>20</v>
      </c>
      <c r="T9" s="2">
        <f>AVERAGEIFS(benchmark_gurobi_vs_cuts_v3!S:S,benchmark_gurobi_vs_cuts_v3!A:A,proc_tab4!A9,benchmark_gurobi_vs_cuts_v3!C:C,proc_tab4!B9,benchmark_gurobi_vs_cuts_v3!B:B,proc_tab4!C9,benchmark_gurobi_vs_cuts_v3!E:E,proc_tab4!D9)</f>
        <v>0.6261394173232061</v>
      </c>
      <c r="U9" s="3">
        <f>AVERAGEIFS(benchmark_gurobi_vs_cuts_v3!U:U,benchmark_gurobi_vs_cuts_v3!A:A,proc_tab4!A9,benchmark_gurobi_vs_cuts_v3!C:C,proc_tab4!B9,benchmark_gurobi_vs_cuts_v3!B:B,proc_tab4!C9,benchmark_gurobi_vs_cuts_v3!E:E,proc_tab4!D9)</f>
        <v>3615.4910110689498</v>
      </c>
      <c r="V9" s="3">
        <f>AVERAGEIFS(benchmark_gurobi_vs_cuts_v3!V:V,benchmark_gurobi_vs_cuts_v3!A:A,proc_tab4!A9,benchmark_gurobi_vs_cuts_v3!C:C,proc_tab4!B9,benchmark_gurobi_vs_cuts_v3!B:B,proc_tab4!C9,benchmark_gurobi_vs_cuts_v3!E:E,proc_tab4!D9)</f>
        <v>65310.1</v>
      </c>
      <c r="W9" s="12">
        <f>AVERAGEIFS(benchmark_gurobi_vs_cuts_v3!W:W,benchmark_gurobi_vs_cuts_v3!A:A,proc_tab4!A9,benchmark_gurobi_vs_cuts_v3!C:C,proc_tab4!B9,benchmark_gurobi_vs_cuts_v3!B:B,proc_tab4!C9,benchmark_gurobi_vs_cuts_v3!E:E,proc_tab4!D9)</f>
        <v>4.0936687553833639</v>
      </c>
      <c r="X9">
        <f>COUNTIFS(benchmark_gurobi_vs_cuts_v3!S:S,"&lt;&gt;", benchmark_gurobi_vs_cuts_v3!A:A,proc_tab4!A9,benchmark_gurobi_vs_cuts_v3!C:C,proc_tab4!B9,benchmark_gurobi_vs_cuts_v3!E:E,proc_tab4!D9)</f>
        <v>20</v>
      </c>
    </row>
    <row r="10" spans="1:24" x14ac:dyDescent="0.2">
      <c r="A10">
        <v>20</v>
      </c>
      <c r="B10">
        <v>0.3</v>
      </c>
      <c r="C10">
        <v>1</v>
      </c>
      <c r="D10">
        <v>20</v>
      </c>
      <c r="E10">
        <f>MIN(20, COUNTIFS(benchmark_gurobi_vs_cuts_v3!A:A,proc_tab4!A10,benchmark_gurobi_vs_cuts_v3!C:C,proc_tab4!B10,benchmark_gurobi_vs_cuts_v3!B:B,proc_tab4!C10,benchmark_gurobi_vs_cuts_v3!E:E,proc_tab4!D10))</f>
        <v>20</v>
      </c>
      <c r="F10" s="2">
        <f>AVERAGEIFS(benchmark_gurobi_vs_cuts_v3!F:F,benchmark_gurobi_vs_cuts_v3!A:A,proc_tab4!A10,benchmark_gurobi_vs_cuts_v3!C:C,proc_tab4!B10,benchmark_gurobi_vs_cuts_v3!B:B,proc_tab4!C10,benchmark_gurobi_vs_cuts_v3!E:E,proc_tab4!D10)</f>
        <v>0.1445196623968894</v>
      </c>
      <c r="G10" s="3">
        <f>AVERAGEIFS(benchmark_gurobi_vs_cuts_v3!H:H,benchmark_gurobi_vs_cuts_v3!A:A,proc_tab4!A10,benchmark_gurobi_vs_cuts_v3!C:C,proc_tab4!B10,benchmark_gurobi_vs_cuts_v3!B:B,proc_tab4!C10,benchmark_gurobi_vs_cuts_v3!E:E,proc_tab4!D10)</f>
        <v>28704.419070193901</v>
      </c>
      <c r="H10" s="3">
        <f>AVERAGEIFS(benchmark_gurobi_vs_cuts_v3!I:I,benchmark_gurobi_vs_cuts_v3!A:A,proc_tab4!A10,benchmark_gurobi_vs_cuts_v3!C:C,proc_tab4!B10,benchmark_gurobi_vs_cuts_v3!B:B,proc_tab4!C10,benchmark_gurobi_vs_cuts_v3!E:E,proc_tab4!D10)</f>
        <v>6914.5</v>
      </c>
      <c r="I10" s="12">
        <f>AVERAGEIFS(benchmark_gurobi_vs_cuts_v3!J:J,benchmark_gurobi_vs_cuts_v3!A:A,proc_tab4!A10,benchmark_gurobi_vs_cuts_v3!C:C,proc_tab4!B10,benchmark_gurobi_vs_cuts_v3!B:B,proc_tab4!C10,benchmark_gurobi_vs_cuts_v3!E:E,proc_tab4!D10)</f>
        <v>0.10661924239640901</v>
      </c>
      <c r="J10" s="3">
        <f>AVERAGEIFS(benchmark_gurobi_vs_cuts_v3!K:K,benchmark_gurobi_vs_cuts_v3!A:A,proc_tab4!A10,benchmark_gurobi_vs_cuts_v3!C:C,proc_tab4!B10,benchmark_gurobi_vs_cuts_v3!B:B,proc_tab4!C10,benchmark_gurobi_vs_cuts_v3!E:E,proc_tab4!D10)</f>
        <v>6828.25</v>
      </c>
      <c r="M10" s="2">
        <f>AVERAGEIFS(benchmark_gurobi_vs_cuts_v3!L:L,benchmark_gurobi_vs_cuts_v3!A:A,proc_tab4!A10,benchmark_gurobi_vs_cuts_v3!C:C,proc_tab4!B10,benchmark_gurobi_vs_cuts_v3!B:B,proc_tab4!C10,benchmark_gurobi_vs_cuts_v3!E:E,proc_tab4!D10)</f>
        <v>0.14456947566167988</v>
      </c>
      <c r="N10" s="3">
        <f>AVERAGEIFS(benchmark_gurobi_vs_cuts_v3!N:N,benchmark_gurobi_vs_cuts_v3!A:A,proc_tab4!A10,benchmark_gurobi_vs_cuts_v3!C:C,proc_tab4!B10,benchmark_gurobi_vs_cuts_v3!B:B,proc_tab4!C10,benchmark_gurobi_vs_cuts_v3!E:E,proc_tab4!D10)</f>
        <v>3287.6148667759503</v>
      </c>
      <c r="O10" s="3">
        <f>AVERAGEIFS(benchmark_gurobi_vs_cuts_v3!O:O,benchmark_gurobi_vs_cuts_v3!A:A,proc_tab4!A10,benchmark_gurobi_vs_cuts_v3!C:C,proc_tab4!B10,benchmark_gurobi_vs_cuts_v3!B:B,proc_tab4!C10,benchmark_gurobi_vs_cuts_v3!E:E,proc_tab4!D10)</f>
        <v>204.95</v>
      </c>
      <c r="P10" s="3">
        <f>AVERAGEIFS(benchmark_gurobi_vs_cuts_v3!R:R,benchmark_gurobi_vs_cuts_v3!A:A,proc_tab4!A10,benchmark_gurobi_vs_cuts_v3!C:C,proc_tab4!B10,benchmark_gurobi_vs_cuts_v3!B:B,proc_tab4!C10,benchmark_gurobi_vs_cuts_v3!E:E,proc_tab4!D10)</f>
        <v>2081.4</v>
      </c>
      <c r="Q10" s="12">
        <f>AVERAGEIFS(benchmark_gurobi_vs_cuts_v3!P:P,benchmark_gurobi_vs_cuts_v3!A:A,proc_tab4!A10,benchmark_gurobi_vs_cuts_v3!C:C,proc_tab4!B10,benchmark_gurobi_vs_cuts_v3!B:B,proc_tab4!C10,benchmark_gurobi_vs_cuts_v3!E:E,proc_tab4!D10)</f>
        <v>0.25294725034789345</v>
      </c>
      <c r="R10" s="3">
        <f>AVERAGEIFS(benchmark_gurobi_vs_cuts_v3!Q:Q,benchmark_gurobi_vs_cuts_v3!A:A,proc_tab4!A10,benchmark_gurobi_vs_cuts_v3!C:C,proc_tab4!B10,benchmark_gurobi_vs_cuts_v3!B:B,proc_tab4!C10,benchmark_gurobi_vs_cuts_v3!E:E,proc_tab4!D10)</f>
        <v>19.600000000000001</v>
      </c>
      <c r="T10" s="2">
        <f>AVERAGEIFS(benchmark_gurobi_vs_cuts_v3!S:S,benchmark_gurobi_vs_cuts_v3!A:A,proc_tab4!A10,benchmark_gurobi_vs_cuts_v3!C:C,proc_tab4!B10,benchmark_gurobi_vs_cuts_v3!B:B,proc_tab4!C10,benchmark_gurobi_vs_cuts_v3!E:E,proc_tab4!D10)</f>
        <v>0.40895146847161107</v>
      </c>
      <c r="U10" s="3">
        <f>AVERAGEIFS(benchmark_gurobi_vs_cuts_v3!U:U,benchmark_gurobi_vs_cuts_v3!A:A,proc_tab4!A10,benchmark_gurobi_vs_cuts_v3!C:C,proc_tab4!B10,benchmark_gurobi_vs_cuts_v3!B:B,proc_tab4!C10,benchmark_gurobi_vs_cuts_v3!E:E,proc_tab4!D10)</f>
        <v>3614.8718074969497</v>
      </c>
      <c r="V10" s="3">
        <f>AVERAGEIFS(benchmark_gurobi_vs_cuts_v3!V:V,benchmark_gurobi_vs_cuts_v3!A:A,proc_tab4!A10,benchmark_gurobi_vs_cuts_v3!C:C,proc_tab4!B10,benchmark_gurobi_vs_cuts_v3!B:B,proc_tab4!C10,benchmark_gurobi_vs_cuts_v3!E:E,proc_tab4!D10)</f>
        <v>64851</v>
      </c>
      <c r="W10" s="12">
        <f>AVERAGEIFS(benchmark_gurobi_vs_cuts_v3!W:W,benchmark_gurobi_vs_cuts_v3!A:A,proc_tab4!A10,benchmark_gurobi_vs_cuts_v3!C:C,proc_tab4!B10,benchmark_gurobi_vs_cuts_v3!B:B,proc_tab4!C10,benchmark_gurobi_vs_cuts_v3!E:E,proc_tab4!D10)</f>
        <v>4.7453040848379802</v>
      </c>
      <c r="X10">
        <f>COUNTIFS(benchmark_gurobi_vs_cuts_v3!S:S,"&lt;&gt;", benchmark_gurobi_vs_cuts_v3!A:A,proc_tab4!A10,benchmark_gurobi_vs_cuts_v3!C:C,proc_tab4!B10,benchmark_gurobi_vs_cuts_v3!E:E,proc_tab4!D10)</f>
        <v>20</v>
      </c>
    </row>
    <row r="11" spans="1:24" x14ac:dyDescent="0.2">
      <c r="I11" s="12"/>
      <c r="Q11" s="12"/>
      <c r="T11" s="2"/>
      <c r="U11" s="3"/>
      <c r="V11" s="3"/>
      <c r="W11" s="12"/>
    </row>
    <row r="12" spans="1:24" x14ac:dyDescent="0.2">
      <c r="I12" s="12"/>
      <c r="Q12" s="12"/>
      <c r="T12" s="2"/>
      <c r="U12" s="3"/>
      <c r="V12" s="3"/>
      <c r="W12" s="12"/>
    </row>
    <row r="13" spans="1:24" x14ac:dyDescent="0.2">
      <c r="I13" s="12"/>
      <c r="Q13" s="12"/>
      <c r="T13" s="2"/>
      <c r="U13" s="3"/>
      <c r="V13" s="3"/>
      <c r="W13" s="12"/>
    </row>
    <row r="14" spans="1:24" x14ac:dyDescent="0.2">
      <c r="I14" s="12"/>
      <c r="Q14" s="12"/>
      <c r="T14" s="2"/>
      <c r="U14" s="3"/>
      <c r="V14" s="3"/>
      <c r="W14" s="12"/>
    </row>
    <row r="15" spans="1:24" x14ac:dyDescent="0.2">
      <c r="A15">
        <v>10</v>
      </c>
      <c r="B15">
        <v>0.1</v>
      </c>
      <c r="C15">
        <v>1</v>
      </c>
      <c r="D15">
        <v>100</v>
      </c>
      <c r="E15">
        <f>MIN(20, COUNTIFS(benchmark_gurobi_vs_cuts_v3!A:A,proc_tab4!A15,benchmark_gurobi_vs_cuts_v3!C:C,proc_tab4!B15,benchmark_gurobi_vs_cuts_v3!B:B,proc_tab4!C15,benchmark_gurobi_vs_cuts_v3!E:E,proc_tab4!D15))</f>
        <v>20</v>
      </c>
      <c r="F15" s="2">
        <f>AVERAGEIFS(benchmark_gurobi_vs_cuts_v3!F:F,benchmark_gurobi_vs_cuts_v3!A:A,proc_tab4!A15,benchmark_gurobi_vs_cuts_v3!C:C,proc_tab4!B15,benchmark_gurobi_vs_cuts_v3!B:B,proc_tab4!C15,benchmark_gurobi_vs_cuts_v3!E:E,proc_tab4!D15)</f>
        <v>0.99503264999746344</v>
      </c>
      <c r="G15" s="3">
        <f>AVERAGEIFS(benchmark_gurobi_vs_cuts_v3!H:H,benchmark_gurobi_vs_cuts_v3!A:A,proc_tab4!A15,benchmark_gurobi_vs_cuts_v3!C:C,proc_tab4!B15,benchmark_gurobi_vs_cuts_v3!B:B,proc_tab4!C15,benchmark_gurobi_vs_cuts_v3!E:E,proc_tab4!D15)</f>
        <v>18575.741886106251</v>
      </c>
      <c r="H15" s="3">
        <f>AVERAGEIFS(benchmark_gurobi_vs_cuts_v3!I:I,benchmark_gurobi_vs_cuts_v3!A:A,proc_tab4!A15,benchmark_gurobi_vs_cuts_v3!C:C,proc_tab4!B15,benchmark_gurobi_vs_cuts_v3!B:B,proc_tab4!C15,benchmark_gurobi_vs_cuts_v3!E:E,proc_tab4!D15)</f>
        <v>62677.5</v>
      </c>
      <c r="I15" s="12">
        <f>AVERAGEIFS(benchmark_gurobi_vs_cuts_v3!J:J,benchmark_gurobi_vs_cuts_v3!A:A,proc_tab4!A15,benchmark_gurobi_vs_cuts_v3!C:C,proc_tab4!B15,benchmark_gurobi_vs_cuts_v3!B:B,proc_tab4!C15,benchmark_gurobi_vs_cuts_v3!E:E,proc_tab4!D15)</f>
        <v>1.5420033290615527E-3</v>
      </c>
      <c r="J15" s="3">
        <f>AVERAGEIFS(benchmark_gurobi_vs_cuts_v3!K:K,benchmark_gurobi_vs_cuts_v3!A:A,proc_tab4!A15,benchmark_gurobi_vs_cuts_v3!C:C,proc_tab4!B15,benchmark_gurobi_vs_cuts_v3!B:B,proc_tab4!C15,benchmark_gurobi_vs_cuts_v3!E:E,proc_tab4!D15)</f>
        <v>42203.35</v>
      </c>
      <c r="M15" s="2">
        <f>AVERAGEIFS(benchmark_gurobi_vs_cuts_v3!L:L,benchmark_gurobi_vs_cuts_v3!A:A,proc_tab4!A15,benchmark_gurobi_vs_cuts_v3!C:C,proc_tab4!B15,benchmark_gurobi_vs_cuts_v3!B:B,proc_tab4!C15,benchmark_gurobi_vs_cuts_v3!E:E,proc_tab4!D15)</f>
        <v>0.95654950498558233</v>
      </c>
      <c r="N15" s="3">
        <f>AVERAGEIFS(benchmark_gurobi_vs_cuts_v3!N:N,benchmark_gurobi_vs_cuts_v3!A:A,proc_tab4!A15,benchmark_gurobi_vs_cuts_v3!C:C,proc_tab4!B15,benchmark_gurobi_vs_cuts_v3!B:B,proc_tab4!C15,benchmark_gurobi_vs_cuts_v3!E:E,proc_tab4!D15)</f>
        <v>239.48622330334996</v>
      </c>
      <c r="O15" s="3">
        <f>AVERAGEIFS(benchmark_gurobi_vs_cuts_v3!O:O,benchmark_gurobi_vs_cuts_v3!A:A,proc_tab4!A15,benchmark_gurobi_vs_cuts_v3!C:C,proc_tab4!B15,benchmark_gurobi_vs_cuts_v3!B:B,proc_tab4!C15,benchmark_gurobi_vs_cuts_v3!E:E,proc_tab4!D15)</f>
        <v>404.95</v>
      </c>
      <c r="P15" s="3">
        <f>AVERAGEIFS(benchmark_gurobi_vs_cuts_v3!R:R,benchmark_gurobi_vs_cuts_v3!A:A,proc_tab4!A15,benchmark_gurobi_vs_cuts_v3!C:C,proc_tab4!B15,benchmark_gurobi_vs_cuts_v3!B:B,proc_tab4!C15,benchmark_gurobi_vs_cuts_v3!E:E,proc_tab4!D15)</f>
        <v>7499.2</v>
      </c>
      <c r="Q15" s="12">
        <f>AVERAGEIFS(benchmark_gurobi_vs_cuts_v3!P:P,benchmark_gurobi_vs_cuts_v3!A:A,proc_tab4!A15,benchmark_gurobi_vs_cuts_v3!C:C,proc_tab4!B15,benchmark_gurobi_vs_cuts_v3!B:B,proc_tab4!C15,benchmark_gurobi_vs_cuts_v3!E:E,proc_tab4!D15)</f>
        <v>3.6399070251715113E-4</v>
      </c>
      <c r="R15" s="3">
        <f>AVERAGEIFS(benchmark_gurobi_vs_cuts_v3!Q:Q,benchmark_gurobi_vs_cuts_v3!A:A,proc_tab4!A15,benchmark_gurobi_vs_cuts_v3!C:C,proc_tab4!B15,benchmark_gurobi_vs_cuts_v3!B:B,proc_tab4!C15,benchmark_gurobi_vs_cuts_v3!E:E,proc_tab4!D15)</f>
        <v>3.2</v>
      </c>
      <c r="T15" s="2">
        <f>AVERAGEIFS(benchmark_gurobi_vs_cuts_v3!S:S,benchmark_gurobi_vs_cuts_v3!A:A,proc_tab4!A15,benchmark_gurobi_vs_cuts_v3!C:C,proc_tab4!B15,benchmark_gurobi_vs_cuts_v3!B:B,proc_tab4!C15,benchmark_gurobi_vs_cuts_v3!E:E,proc_tab4!D15)</f>
        <v>0.98613312939370412</v>
      </c>
      <c r="U15" s="3">
        <f>AVERAGEIFS(benchmark_gurobi_vs_cuts_v3!U:U,benchmark_gurobi_vs_cuts_v3!A:A,proc_tab4!A15,benchmark_gurobi_vs_cuts_v3!C:C,proc_tab4!B15,benchmark_gurobi_vs_cuts_v3!B:B,proc_tab4!C15,benchmark_gurobi_vs_cuts_v3!E:E,proc_tab4!D15)</f>
        <v>3612.1006461971992</v>
      </c>
      <c r="V15" s="3">
        <f>AVERAGEIFS(benchmark_gurobi_vs_cuts_v3!V:V,benchmark_gurobi_vs_cuts_v3!A:A,proc_tab4!A15,benchmark_gurobi_vs_cuts_v3!C:C,proc_tab4!B15,benchmark_gurobi_vs_cuts_v3!B:B,proc_tab4!C15,benchmark_gurobi_vs_cuts_v3!E:E,proc_tab4!D15)</f>
        <v>281824.40000000002</v>
      </c>
      <c r="W15" s="12">
        <f>AVERAGEIFS(benchmark_gurobi_vs_cuts_v3!W:W,benchmark_gurobi_vs_cuts_v3!A:A,proc_tab4!A15,benchmark_gurobi_vs_cuts_v3!C:C,proc_tab4!B15,benchmark_gurobi_vs_cuts_v3!B:B,proc_tab4!C15,benchmark_gurobi_vs_cuts_v3!E:E,proc_tab4!D15)</f>
        <v>6.8012837579982527E-3</v>
      </c>
      <c r="X15">
        <f>COUNTIFS(benchmark_gurobi_vs_cuts_v3!S:S,"&lt;&gt;", benchmark_gurobi_vs_cuts_v3!A:A,proc_tab4!A15,benchmark_gurobi_vs_cuts_v3!C:C,proc_tab4!B15,benchmark_gurobi_vs_cuts_v3!E:E,proc_tab4!D15)</f>
        <v>20</v>
      </c>
    </row>
    <row r="16" spans="1:24" x14ac:dyDescent="0.2">
      <c r="A16">
        <v>10</v>
      </c>
      <c r="B16">
        <v>0.2</v>
      </c>
      <c r="C16">
        <v>1</v>
      </c>
      <c r="D16">
        <v>100</v>
      </c>
      <c r="E16">
        <f>MIN(20, COUNTIFS(benchmark_gurobi_vs_cuts_v3!A:A,proc_tab4!A16,benchmark_gurobi_vs_cuts_v3!C:C,proc_tab4!B16,benchmark_gurobi_vs_cuts_v3!B:B,proc_tab4!C16,benchmark_gurobi_vs_cuts_v3!E:E,proc_tab4!D16))</f>
        <v>20</v>
      </c>
      <c r="F16" s="2">
        <f>AVERAGEIFS(benchmark_gurobi_vs_cuts_v3!F:F,benchmark_gurobi_vs_cuts_v3!A:A,proc_tab4!A16,benchmark_gurobi_vs_cuts_v3!C:C,proc_tab4!B16,benchmark_gurobi_vs_cuts_v3!B:B,proc_tab4!C16,benchmark_gurobi_vs_cuts_v3!E:E,proc_tab4!D16)</f>
        <v>0.64579804059235935</v>
      </c>
      <c r="G16" s="3">
        <f>AVERAGEIFS(benchmark_gurobi_vs_cuts_v3!H:H,benchmark_gurobi_vs_cuts_v3!A:A,proc_tab4!A16,benchmark_gurobi_vs_cuts_v3!C:C,proc_tab4!B16,benchmark_gurobi_vs_cuts_v3!B:B,proc_tab4!C16,benchmark_gurobi_vs_cuts_v3!E:E,proc_tab4!D16)</f>
        <v>27986.61402618495</v>
      </c>
      <c r="H16" s="3">
        <f>AVERAGEIFS(benchmark_gurobi_vs_cuts_v3!I:I,benchmark_gurobi_vs_cuts_v3!A:A,proc_tab4!A16,benchmark_gurobi_vs_cuts_v3!C:C,proc_tab4!B16,benchmark_gurobi_vs_cuts_v3!B:B,proc_tab4!C16,benchmark_gurobi_vs_cuts_v3!E:E,proc_tab4!D16)</f>
        <v>39326.550000000003</v>
      </c>
      <c r="I16" s="12">
        <f>AVERAGEIFS(benchmark_gurobi_vs_cuts_v3!J:J,benchmark_gurobi_vs_cuts_v3!A:A,proc_tab4!A16,benchmark_gurobi_vs_cuts_v3!C:C,proc_tab4!B16,benchmark_gurobi_vs_cuts_v3!B:B,proc_tab4!C16,benchmark_gurobi_vs_cuts_v3!E:E,proc_tab4!D16)</f>
        <v>4.9190259213265482E-2</v>
      </c>
      <c r="J16" s="3">
        <f>AVERAGEIFS(benchmark_gurobi_vs_cuts_v3!K:K,benchmark_gurobi_vs_cuts_v3!A:A,proc_tab4!A16,benchmark_gurobi_vs_cuts_v3!C:C,proc_tab4!B16,benchmark_gurobi_vs_cuts_v3!B:B,proc_tab4!C16,benchmark_gurobi_vs_cuts_v3!E:E,proc_tab4!D16)</f>
        <v>31060.75</v>
      </c>
      <c r="M16" s="2">
        <f>AVERAGEIFS(benchmark_gurobi_vs_cuts_v3!L:L,benchmark_gurobi_vs_cuts_v3!A:A,proc_tab4!A16,benchmark_gurobi_vs_cuts_v3!C:C,proc_tab4!B16,benchmark_gurobi_vs_cuts_v3!B:B,proc_tab4!C16,benchmark_gurobi_vs_cuts_v3!E:E,proc_tab4!D16)</f>
        <v>0.49664898524172935</v>
      </c>
      <c r="N16" s="3">
        <f>AVERAGEIFS(benchmark_gurobi_vs_cuts_v3!N:N,benchmark_gurobi_vs_cuts_v3!A:A,proc_tab4!A16,benchmark_gurobi_vs_cuts_v3!C:C,proc_tab4!B16,benchmark_gurobi_vs_cuts_v3!B:B,proc_tab4!C16,benchmark_gurobi_vs_cuts_v3!E:E,proc_tab4!D16)</f>
        <v>1269.1704731499499</v>
      </c>
      <c r="O16" s="3">
        <f>AVERAGEIFS(benchmark_gurobi_vs_cuts_v3!O:O,benchmark_gurobi_vs_cuts_v3!A:A,proc_tab4!A16,benchmark_gurobi_vs_cuts_v3!C:C,proc_tab4!B16,benchmark_gurobi_vs_cuts_v3!B:B,proc_tab4!C16,benchmark_gurobi_vs_cuts_v3!E:E,proc_tab4!D16)</f>
        <v>1931.3</v>
      </c>
      <c r="P16" s="3">
        <f>AVERAGEIFS(benchmark_gurobi_vs_cuts_v3!R:R,benchmark_gurobi_vs_cuts_v3!A:A,proc_tab4!A16,benchmark_gurobi_vs_cuts_v3!C:C,proc_tab4!B16,benchmark_gurobi_vs_cuts_v3!B:B,proc_tab4!C16,benchmark_gurobi_vs_cuts_v3!E:E,proc_tab4!D16)</f>
        <v>21419.75</v>
      </c>
      <c r="Q16" s="12">
        <f>AVERAGEIFS(benchmark_gurobi_vs_cuts_v3!P:P,benchmark_gurobi_vs_cuts_v3!A:A,proc_tab4!A16,benchmark_gurobi_vs_cuts_v3!C:C,proc_tab4!B16,benchmark_gurobi_vs_cuts_v3!B:B,proc_tab4!C16,benchmark_gurobi_vs_cuts_v3!E:E,proc_tab4!D16)</f>
        <v>4.1880325141414043E-3</v>
      </c>
      <c r="R16" s="3">
        <f>AVERAGEIFS(benchmark_gurobi_vs_cuts_v3!Q:Q,benchmark_gurobi_vs_cuts_v3!A:A,proc_tab4!A16,benchmark_gurobi_vs_cuts_v3!C:C,proc_tab4!B16,benchmark_gurobi_vs_cuts_v3!B:B,proc_tab4!C16,benchmark_gurobi_vs_cuts_v3!E:E,proc_tab4!D16)</f>
        <v>8.4</v>
      </c>
      <c r="T16" s="2">
        <f>AVERAGEIFS(benchmark_gurobi_vs_cuts_v3!S:S,benchmark_gurobi_vs_cuts_v3!A:A,proc_tab4!A16,benchmark_gurobi_vs_cuts_v3!C:C,proc_tab4!B16,benchmark_gurobi_vs_cuts_v3!B:B,proc_tab4!C16,benchmark_gurobi_vs_cuts_v3!E:E,proc_tab4!D16)</f>
        <v>0.59170664009014706</v>
      </c>
      <c r="U16" s="3">
        <f>AVERAGEIFS(benchmark_gurobi_vs_cuts_v3!U:U,benchmark_gurobi_vs_cuts_v3!A:A,proc_tab4!A16,benchmark_gurobi_vs_cuts_v3!C:C,proc_tab4!B16,benchmark_gurobi_vs_cuts_v3!B:B,proc_tab4!C16,benchmark_gurobi_vs_cuts_v3!E:E,proc_tab4!D16)</f>
        <v>3611.6252802405506</v>
      </c>
      <c r="V16" s="3">
        <f>AVERAGEIFS(benchmark_gurobi_vs_cuts_v3!V:V,benchmark_gurobi_vs_cuts_v3!A:A,proc_tab4!A16,benchmark_gurobi_vs_cuts_v3!C:C,proc_tab4!B16,benchmark_gurobi_vs_cuts_v3!B:B,proc_tab4!C16,benchmark_gurobi_vs_cuts_v3!E:E,proc_tab4!D16)</f>
        <v>271312.09999999998</v>
      </c>
      <c r="W16" s="12">
        <f>AVERAGEIFS(benchmark_gurobi_vs_cuts_v3!W:W,benchmark_gurobi_vs_cuts_v3!A:A,proc_tab4!A16,benchmark_gurobi_vs_cuts_v3!C:C,proc_tab4!B16,benchmark_gurobi_vs_cuts_v3!B:B,proc_tab4!C16,benchmark_gurobi_vs_cuts_v3!E:E,proc_tab4!D16)</f>
        <v>1.7777399347740124E-2</v>
      </c>
      <c r="X16">
        <f>COUNTIFS(benchmark_gurobi_vs_cuts_v3!S:S,"&lt;&gt;", benchmark_gurobi_vs_cuts_v3!A:A,proc_tab4!A16,benchmark_gurobi_vs_cuts_v3!C:C,proc_tab4!B16,benchmark_gurobi_vs_cuts_v3!E:E,proc_tab4!D16)</f>
        <v>20</v>
      </c>
    </row>
    <row r="17" spans="1:24" x14ac:dyDescent="0.2">
      <c r="A17">
        <v>10</v>
      </c>
      <c r="B17">
        <v>0.3</v>
      </c>
      <c r="C17">
        <v>1</v>
      </c>
      <c r="D17">
        <v>100</v>
      </c>
      <c r="E17">
        <f>MIN(20, COUNTIFS(benchmark_gurobi_vs_cuts_v3!A:A,proc_tab4!A17,benchmark_gurobi_vs_cuts_v3!C:C,proc_tab4!B17,benchmark_gurobi_vs_cuts_v3!B:B,proc_tab4!C17,benchmark_gurobi_vs_cuts_v3!E:E,proc_tab4!D17))</f>
        <v>20</v>
      </c>
      <c r="F17" s="2">
        <f>AVERAGEIFS(benchmark_gurobi_vs_cuts_v3!F:F,benchmark_gurobi_vs_cuts_v3!A:A,proc_tab4!A17,benchmark_gurobi_vs_cuts_v3!C:C,proc_tab4!B17,benchmark_gurobi_vs_cuts_v3!B:B,proc_tab4!C17,benchmark_gurobi_vs_cuts_v3!E:E,proc_tab4!D17)</f>
        <v>0.34892558924353451</v>
      </c>
      <c r="G17" s="3">
        <f>AVERAGEIFS(benchmark_gurobi_vs_cuts_v3!H:H,benchmark_gurobi_vs_cuts_v3!A:A,proc_tab4!A17,benchmark_gurobi_vs_cuts_v3!C:C,proc_tab4!B17,benchmark_gurobi_vs_cuts_v3!B:B,proc_tab4!C17,benchmark_gurobi_vs_cuts_v3!E:E,proc_tab4!D17)</f>
        <v>25751.872844284648</v>
      </c>
      <c r="H17" s="3">
        <f>AVERAGEIFS(benchmark_gurobi_vs_cuts_v3!I:I,benchmark_gurobi_vs_cuts_v3!A:A,proc_tab4!A17,benchmark_gurobi_vs_cuts_v3!C:C,proc_tab4!B17,benchmark_gurobi_vs_cuts_v3!B:B,proc_tab4!C17,benchmark_gurobi_vs_cuts_v3!E:E,proc_tab4!D17)</f>
        <v>29353.35</v>
      </c>
      <c r="I17" s="12">
        <f>AVERAGEIFS(benchmark_gurobi_vs_cuts_v3!J:J,benchmark_gurobi_vs_cuts_v3!A:A,proc_tab4!A17,benchmark_gurobi_vs_cuts_v3!C:C,proc_tab4!B17,benchmark_gurobi_vs_cuts_v3!B:B,proc_tab4!C17,benchmark_gurobi_vs_cuts_v3!E:E,proc_tab4!D17)</f>
        <v>4.3434328368402754E-2</v>
      </c>
      <c r="J17" s="3">
        <f>AVERAGEIFS(benchmark_gurobi_vs_cuts_v3!K:K,benchmark_gurobi_vs_cuts_v3!A:A,proc_tab4!A17,benchmark_gurobi_vs_cuts_v3!C:C,proc_tab4!B17,benchmark_gurobi_vs_cuts_v3!B:B,proc_tab4!C17,benchmark_gurobi_vs_cuts_v3!E:E,proc_tab4!D17)</f>
        <v>23387.65</v>
      </c>
      <c r="M17" s="2">
        <f>AVERAGEIFS(benchmark_gurobi_vs_cuts_v3!L:L,benchmark_gurobi_vs_cuts_v3!A:A,proc_tab4!A17,benchmark_gurobi_vs_cuts_v3!C:C,proc_tab4!B17,benchmark_gurobi_vs_cuts_v3!B:B,proc_tab4!C17,benchmark_gurobi_vs_cuts_v3!E:E,proc_tab4!D17)</f>
        <v>0.21722253245675155</v>
      </c>
      <c r="N17" s="3">
        <f>AVERAGEIFS(benchmark_gurobi_vs_cuts_v3!N:N,benchmark_gurobi_vs_cuts_v3!A:A,proc_tab4!A17,benchmark_gurobi_vs_cuts_v3!C:C,proc_tab4!B17,benchmark_gurobi_vs_cuts_v3!B:B,proc_tab4!C17,benchmark_gurobi_vs_cuts_v3!E:E,proc_tab4!D17)</f>
        <v>2472.34981566335</v>
      </c>
      <c r="O17" s="3">
        <f>AVERAGEIFS(benchmark_gurobi_vs_cuts_v3!O:O,benchmark_gurobi_vs_cuts_v3!A:A,proc_tab4!A17,benchmark_gurobi_vs_cuts_v3!C:C,proc_tab4!B17,benchmark_gurobi_vs_cuts_v3!B:B,proc_tab4!C17,benchmark_gurobi_vs_cuts_v3!E:E,proc_tab4!D17)</f>
        <v>2133.5500000000002</v>
      </c>
      <c r="P17" s="3">
        <f>AVERAGEIFS(benchmark_gurobi_vs_cuts_v3!R:R,benchmark_gurobi_vs_cuts_v3!A:A,proc_tab4!A17,benchmark_gurobi_vs_cuts_v3!C:C,proc_tab4!B17,benchmark_gurobi_vs_cuts_v3!B:B,proc_tab4!C17,benchmark_gurobi_vs_cuts_v3!E:E,proc_tab4!D17)</f>
        <v>32195.85</v>
      </c>
      <c r="Q17" s="12">
        <f>AVERAGEIFS(benchmark_gurobi_vs_cuts_v3!P:P,benchmark_gurobi_vs_cuts_v3!A:A,proc_tab4!A17,benchmark_gurobi_vs_cuts_v3!C:C,proc_tab4!B17,benchmark_gurobi_vs_cuts_v3!B:B,proc_tab4!C17,benchmark_gurobi_vs_cuts_v3!E:E,proc_tab4!D17)</f>
        <v>9.7740870054544328E-3</v>
      </c>
      <c r="R17" s="3">
        <f>AVERAGEIFS(benchmark_gurobi_vs_cuts_v3!Q:Q,benchmark_gurobi_vs_cuts_v3!A:A,proc_tab4!A17,benchmark_gurobi_vs_cuts_v3!C:C,proc_tab4!B17,benchmark_gurobi_vs_cuts_v3!B:B,proc_tab4!C17,benchmark_gurobi_vs_cuts_v3!E:E,proc_tab4!D17)</f>
        <v>14.35</v>
      </c>
      <c r="T17" s="2">
        <f>AVERAGEIFS(benchmark_gurobi_vs_cuts_v3!S:S,benchmark_gurobi_vs_cuts_v3!A:A,proc_tab4!A17,benchmark_gurobi_vs_cuts_v3!C:C,proc_tab4!B17,benchmark_gurobi_vs_cuts_v3!B:B,proc_tab4!C17,benchmark_gurobi_vs_cuts_v3!E:E,proc_tab4!D17)</f>
        <v>0.24285314772917976</v>
      </c>
      <c r="U17" s="3">
        <f>AVERAGEIFS(benchmark_gurobi_vs_cuts_v3!U:U,benchmark_gurobi_vs_cuts_v3!A:A,proc_tab4!A17,benchmark_gurobi_vs_cuts_v3!C:C,proc_tab4!B17,benchmark_gurobi_vs_cuts_v3!B:B,proc_tab4!C17,benchmark_gurobi_vs_cuts_v3!E:E,proc_tab4!D17)</f>
        <v>3289.4490154630498</v>
      </c>
      <c r="V17" s="3">
        <f>AVERAGEIFS(benchmark_gurobi_vs_cuts_v3!V:V,benchmark_gurobi_vs_cuts_v3!A:A,proc_tab4!A17,benchmark_gurobi_vs_cuts_v3!C:C,proc_tab4!B17,benchmark_gurobi_vs_cuts_v3!B:B,proc_tab4!C17,benchmark_gurobi_vs_cuts_v3!E:E,proc_tab4!D17)</f>
        <v>237047.2</v>
      </c>
      <c r="W17" s="12">
        <f>AVERAGEIFS(benchmark_gurobi_vs_cuts_v3!W:W,benchmark_gurobi_vs_cuts_v3!A:A,proc_tab4!A17,benchmark_gurobi_vs_cuts_v3!C:C,proc_tab4!B17,benchmark_gurobi_vs_cuts_v3!B:B,proc_tab4!C17,benchmark_gurobi_vs_cuts_v3!E:E,proc_tab4!D17)</f>
        <v>1.7814345084107862E-2</v>
      </c>
      <c r="X17">
        <f>COUNTIFS(benchmark_gurobi_vs_cuts_v3!S:S,"&lt;&gt;", benchmark_gurobi_vs_cuts_v3!A:A,proc_tab4!A17,benchmark_gurobi_vs_cuts_v3!C:C,proc_tab4!B17,benchmark_gurobi_vs_cuts_v3!E:E,proc_tab4!D17)</f>
        <v>20</v>
      </c>
    </row>
    <row r="18" spans="1:24" x14ac:dyDescent="0.2">
      <c r="I18" s="12"/>
      <c r="Q18" s="12"/>
      <c r="T18" s="2"/>
      <c r="U18" s="3"/>
      <c r="V18" s="3"/>
      <c r="W18" s="12"/>
    </row>
    <row r="19" spans="1:24" x14ac:dyDescent="0.2">
      <c r="A19">
        <v>20</v>
      </c>
      <c r="B19">
        <v>0.1</v>
      </c>
      <c r="C19">
        <v>1</v>
      </c>
      <c r="D19">
        <v>100</v>
      </c>
      <c r="E19">
        <f>MIN(20, COUNTIFS(benchmark_gurobi_vs_cuts_v3!A:A,proc_tab4!A19,benchmark_gurobi_vs_cuts_v3!C:C,proc_tab4!B19,benchmark_gurobi_vs_cuts_v3!B:B,proc_tab4!C19,benchmark_gurobi_vs_cuts_v3!E:E,proc_tab4!D19))</f>
        <v>20</v>
      </c>
      <c r="F19" s="2">
        <f>AVERAGEIFS(benchmark_gurobi_vs_cuts_v3!F:F,benchmark_gurobi_vs_cuts_v3!A:A,proc_tab4!A19,benchmark_gurobi_vs_cuts_v3!C:C,proc_tab4!B19,benchmark_gurobi_vs_cuts_v3!B:B,proc_tab4!C19,benchmark_gurobi_vs_cuts_v3!E:E,proc_tab4!D19)</f>
        <v>0.60722028203669676</v>
      </c>
      <c r="G19" s="3">
        <f>AVERAGEIFS(benchmark_gurobi_vs_cuts_v3!H:H,benchmark_gurobi_vs_cuts_v3!A:A,proc_tab4!A19,benchmark_gurobi_vs_cuts_v3!C:C,proc_tab4!B19,benchmark_gurobi_vs_cuts_v3!B:B,proc_tab4!C19,benchmark_gurobi_vs_cuts_v3!E:E,proc_tab4!D19)</f>
        <v>30160.328340936703</v>
      </c>
      <c r="H19" s="3">
        <f>AVERAGEIFS(benchmark_gurobi_vs_cuts_v3!I:I,benchmark_gurobi_vs_cuts_v3!A:A,proc_tab4!A19,benchmark_gurobi_vs_cuts_v3!C:C,proc_tab4!B19,benchmark_gurobi_vs_cuts_v3!B:B,proc_tab4!C19,benchmark_gurobi_vs_cuts_v3!E:E,proc_tab4!D19)</f>
        <v>13794.3</v>
      </c>
      <c r="I19" s="12">
        <f>AVERAGEIFS(benchmark_gurobi_vs_cuts_v3!J:J,benchmark_gurobi_vs_cuts_v3!A:A,proc_tab4!A19,benchmark_gurobi_vs_cuts_v3!C:C,proc_tab4!B19,benchmark_gurobi_vs_cuts_v3!B:B,proc_tab4!C19,benchmark_gurobi_vs_cuts_v3!E:E,proc_tab4!D19)</f>
        <v>0.77135326452552666</v>
      </c>
      <c r="J19" s="3">
        <f>AVERAGEIFS(benchmark_gurobi_vs_cuts_v3!K:K,benchmark_gurobi_vs_cuts_v3!A:A,proc_tab4!A19,benchmark_gurobi_vs_cuts_v3!C:C,proc_tab4!B19,benchmark_gurobi_vs_cuts_v3!B:B,proc_tab4!C19,benchmark_gurobi_vs_cuts_v3!E:E,proc_tab4!D19)</f>
        <v>13798.4</v>
      </c>
      <c r="M19" s="2">
        <f>AVERAGEIFS(benchmark_gurobi_vs_cuts_v3!L:L,benchmark_gurobi_vs_cuts_v3!A:A,proc_tab4!A19,benchmark_gurobi_vs_cuts_v3!C:C,proc_tab4!B19,benchmark_gurobi_vs_cuts_v3!B:B,proc_tab4!C19,benchmark_gurobi_vs_cuts_v3!E:E,proc_tab4!D19)</f>
        <v>0.68847395242657272</v>
      </c>
      <c r="N19" s="3">
        <f>AVERAGEIFS(benchmark_gurobi_vs_cuts_v3!N:N,benchmark_gurobi_vs_cuts_v3!A:A,proc_tab4!A19,benchmark_gurobi_vs_cuts_v3!C:C,proc_tab4!B19,benchmark_gurobi_vs_cuts_v3!B:B,proc_tab4!C19,benchmark_gurobi_vs_cuts_v3!E:E,proc_tab4!D19)</f>
        <v>3013.2999323043005</v>
      </c>
      <c r="O19" s="3">
        <f>AVERAGEIFS(benchmark_gurobi_vs_cuts_v3!O:O,benchmark_gurobi_vs_cuts_v3!A:A,proc_tab4!A19,benchmark_gurobi_vs_cuts_v3!C:C,proc_tab4!B19,benchmark_gurobi_vs_cuts_v3!B:B,proc_tab4!C19,benchmark_gurobi_vs_cuts_v3!E:E,proc_tab4!D19)</f>
        <v>508</v>
      </c>
      <c r="P19" s="3">
        <f>AVERAGEIFS(benchmark_gurobi_vs_cuts_v3!R:R,benchmark_gurobi_vs_cuts_v3!A:A,proc_tab4!A19,benchmark_gurobi_vs_cuts_v3!C:C,proc_tab4!B19,benchmark_gurobi_vs_cuts_v3!B:B,proc_tab4!C19,benchmark_gurobi_vs_cuts_v3!E:E,proc_tab4!D19)</f>
        <v>6151.8</v>
      </c>
      <c r="Q19" s="12">
        <f>AVERAGEIFS(benchmark_gurobi_vs_cuts_v3!P:P,benchmark_gurobi_vs_cuts_v3!A:A,proc_tab4!A19,benchmark_gurobi_vs_cuts_v3!C:C,proc_tab4!B19,benchmark_gurobi_vs_cuts_v3!B:B,proc_tab4!C19,benchmark_gurobi_vs_cuts_v3!E:E,proc_tab4!D19)</f>
        <v>7.23645713034977E-3</v>
      </c>
      <c r="R19" s="3">
        <f>AVERAGEIFS(benchmark_gurobi_vs_cuts_v3!Q:Q,benchmark_gurobi_vs_cuts_v3!A:A,proc_tab4!A19,benchmark_gurobi_vs_cuts_v3!C:C,proc_tab4!B19,benchmark_gurobi_vs_cuts_v3!B:B,proc_tab4!C19,benchmark_gurobi_vs_cuts_v3!E:E,proc_tab4!D19)</f>
        <v>17.55</v>
      </c>
      <c r="T19" s="2">
        <f>AVERAGEIFS(benchmark_gurobi_vs_cuts_v3!S:S,benchmark_gurobi_vs_cuts_v3!A:A,proc_tab4!A19,benchmark_gurobi_vs_cuts_v3!C:C,proc_tab4!B19,benchmark_gurobi_vs_cuts_v3!B:B,proc_tab4!C19,benchmark_gurobi_vs_cuts_v3!E:E,proc_tab4!D19)</f>
        <v>0.83517959024470245</v>
      </c>
      <c r="U19" s="3">
        <f>AVERAGEIFS(benchmark_gurobi_vs_cuts_v3!U:U,benchmark_gurobi_vs_cuts_v3!A:A,proc_tab4!A19,benchmark_gurobi_vs_cuts_v3!C:C,proc_tab4!B19,benchmark_gurobi_vs_cuts_v3!B:B,proc_tab4!C19,benchmark_gurobi_vs_cuts_v3!E:E,proc_tab4!D19)</f>
        <v>3612.8963703989502</v>
      </c>
      <c r="V19" s="3">
        <f>AVERAGEIFS(benchmark_gurobi_vs_cuts_v3!V:V,benchmark_gurobi_vs_cuts_v3!A:A,proc_tab4!A19,benchmark_gurobi_vs_cuts_v3!C:C,proc_tab4!B19,benchmark_gurobi_vs_cuts_v3!B:B,proc_tab4!C19,benchmark_gurobi_vs_cuts_v3!E:E,proc_tab4!D19)</f>
        <v>60830.6</v>
      </c>
      <c r="W19" s="12">
        <f>AVERAGEIFS(benchmark_gurobi_vs_cuts_v3!W:W,benchmark_gurobi_vs_cuts_v3!A:A,proc_tab4!A19,benchmark_gurobi_vs_cuts_v3!C:C,proc_tab4!B19,benchmark_gurobi_vs_cuts_v3!B:B,proc_tab4!C19,benchmark_gurobi_vs_cuts_v3!E:E,proc_tab4!D19)</f>
        <v>0.42825635831608694</v>
      </c>
      <c r="X19">
        <f>COUNTIFS(benchmark_gurobi_vs_cuts_v3!S:S,"&lt;&gt;", benchmark_gurobi_vs_cuts_v3!A:A,proc_tab4!A19,benchmark_gurobi_vs_cuts_v3!C:C,proc_tab4!B19,benchmark_gurobi_vs_cuts_v3!E:E,proc_tab4!D19)</f>
        <v>20</v>
      </c>
    </row>
    <row r="20" spans="1:24" x14ac:dyDescent="0.2">
      <c r="A20">
        <v>20</v>
      </c>
      <c r="B20">
        <v>0.2</v>
      </c>
      <c r="C20">
        <v>1</v>
      </c>
      <c r="D20">
        <v>100</v>
      </c>
      <c r="E20">
        <f>MIN(20, COUNTIFS(benchmark_gurobi_vs_cuts_v3!A:A,proc_tab4!A20,benchmark_gurobi_vs_cuts_v3!C:C,proc_tab4!B20,benchmark_gurobi_vs_cuts_v3!B:B,proc_tab4!C20,benchmark_gurobi_vs_cuts_v3!E:E,proc_tab4!D20))</f>
        <v>20</v>
      </c>
      <c r="F20" s="2">
        <f>AVERAGEIFS(benchmark_gurobi_vs_cuts_v3!F:F,benchmark_gurobi_vs_cuts_v3!A:A,proc_tab4!A20,benchmark_gurobi_vs_cuts_v3!C:C,proc_tab4!B20,benchmark_gurobi_vs_cuts_v3!B:B,proc_tab4!C20,benchmark_gurobi_vs_cuts_v3!E:E,proc_tab4!D20)</f>
        <v>0.17408550961133515</v>
      </c>
      <c r="G20" s="3">
        <f>AVERAGEIFS(benchmark_gurobi_vs_cuts_v3!H:H,benchmark_gurobi_vs_cuts_v3!A:A,proc_tab4!A20,benchmark_gurobi_vs_cuts_v3!C:C,proc_tab4!B20,benchmark_gurobi_vs_cuts_v3!B:B,proc_tab4!C20,benchmark_gurobi_vs_cuts_v3!E:E,proc_tab4!D20)</f>
        <v>30100.8369973259</v>
      </c>
      <c r="H20" s="3">
        <f>AVERAGEIFS(benchmark_gurobi_vs_cuts_v3!I:I,benchmark_gurobi_vs_cuts_v3!A:A,proc_tab4!A20,benchmark_gurobi_vs_cuts_v3!C:C,proc_tab4!B20,benchmark_gurobi_vs_cuts_v3!B:B,proc_tab4!C20,benchmark_gurobi_vs_cuts_v3!E:E,proc_tab4!D20)</f>
        <v>6395.05</v>
      </c>
      <c r="I20" s="12">
        <f>AVERAGEIFS(benchmark_gurobi_vs_cuts_v3!J:J,benchmark_gurobi_vs_cuts_v3!A:A,proc_tab4!A20,benchmark_gurobi_vs_cuts_v3!C:C,proc_tab4!B20,benchmark_gurobi_vs_cuts_v3!B:B,proc_tab4!C20,benchmark_gurobi_vs_cuts_v3!E:E,proc_tab4!D20)</f>
        <v>5.428856156336799E-2</v>
      </c>
      <c r="J20" s="3">
        <f>AVERAGEIFS(benchmark_gurobi_vs_cuts_v3!K:K,benchmark_gurobi_vs_cuts_v3!A:A,proc_tab4!A20,benchmark_gurobi_vs_cuts_v3!C:C,proc_tab4!B20,benchmark_gurobi_vs_cuts_v3!B:B,proc_tab4!C20,benchmark_gurobi_vs_cuts_v3!E:E,proc_tab4!D20)</f>
        <v>6394.7</v>
      </c>
      <c r="M20" s="2">
        <f>AVERAGEIFS(benchmark_gurobi_vs_cuts_v3!L:L,benchmark_gurobi_vs_cuts_v3!A:A,proc_tab4!A20,benchmark_gurobi_vs_cuts_v3!C:C,proc_tab4!B20,benchmark_gurobi_vs_cuts_v3!B:B,proc_tab4!C20,benchmark_gurobi_vs_cuts_v3!E:E,proc_tab4!D20)</f>
        <v>0.16281037207667479</v>
      </c>
      <c r="N20" s="3">
        <f>AVERAGEIFS(benchmark_gurobi_vs_cuts_v3!N:N,benchmark_gurobi_vs_cuts_v3!A:A,proc_tab4!A20,benchmark_gurobi_vs_cuts_v3!C:C,proc_tab4!B20,benchmark_gurobi_vs_cuts_v3!B:B,proc_tab4!C20,benchmark_gurobi_vs_cuts_v3!E:E,proc_tab4!D20)</f>
        <v>3106.4383858525498</v>
      </c>
      <c r="O20" s="3">
        <f>AVERAGEIFS(benchmark_gurobi_vs_cuts_v3!O:O,benchmark_gurobi_vs_cuts_v3!A:A,proc_tab4!A20,benchmark_gurobi_vs_cuts_v3!C:C,proc_tab4!B20,benchmark_gurobi_vs_cuts_v3!B:B,proc_tab4!C20,benchmark_gurobi_vs_cuts_v3!E:E,proc_tab4!D20)</f>
        <v>80.900000000000006</v>
      </c>
      <c r="P20" s="3">
        <f>AVERAGEIFS(benchmark_gurobi_vs_cuts_v3!R:R,benchmark_gurobi_vs_cuts_v3!A:A,proc_tab4!A20,benchmark_gurobi_vs_cuts_v3!C:C,proc_tab4!B20,benchmark_gurobi_vs_cuts_v3!B:B,proc_tab4!C20,benchmark_gurobi_vs_cuts_v3!E:E,proc_tab4!D20)</f>
        <v>1026.9000000000001</v>
      </c>
      <c r="Q20" s="12">
        <f>AVERAGEIFS(benchmark_gurobi_vs_cuts_v3!P:P,benchmark_gurobi_vs_cuts_v3!A:A,proc_tab4!A20,benchmark_gurobi_vs_cuts_v3!C:C,proc_tab4!B20,benchmark_gurobi_vs_cuts_v3!B:B,proc_tab4!C20,benchmark_gurobi_vs_cuts_v3!E:E,proc_tab4!D20)</f>
        <v>9.0303134323267267E-2</v>
      </c>
      <c r="R20" s="3">
        <f>AVERAGEIFS(benchmark_gurobi_vs_cuts_v3!Q:Q,benchmark_gurobi_vs_cuts_v3!A:A,proc_tab4!A20,benchmark_gurobi_vs_cuts_v3!C:C,proc_tab4!B20,benchmark_gurobi_vs_cuts_v3!B:B,proc_tab4!C20,benchmark_gurobi_vs_cuts_v3!E:E,proc_tab4!D20)</f>
        <v>17.600000000000001</v>
      </c>
      <c r="T20" s="2">
        <f>AVERAGEIFS(benchmark_gurobi_vs_cuts_v3!S:S,benchmark_gurobi_vs_cuts_v3!A:A,proc_tab4!A20,benchmark_gurobi_vs_cuts_v3!C:C,proc_tab4!B20,benchmark_gurobi_vs_cuts_v3!B:B,proc_tab4!C20,benchmark_gurobi_vs_cuts_v3!E:E,proc_tab4!D20)</f>
        <v>0.44496727648376622</v>
      </c>
      <c r="U20" s="3">
        <f>AVERAGEIFS(benchmark_gurobi_vs_cuts_v3!U:U,benchmark_gurobi_vs_cuts_v3!A:A,proc_tab4!A20,benchmark_gurobi_vs_cuts_v3!C:C,proc_tab4!B20,benchmark_gurobi_vs_cuts_v3!B:B,proc_tab4!C20,benchmark_gurobi_vs_cuts_v3!E:E,proc_tab4!D20)</f>
        <v>3615.0091113986991</v>
      </c>
      <c r="V20" s="3">
        <f>AVERAGEIFS(benchmark_gurobi_vs_cuts_v3!V:V,benchmark_gurobi_vs_cuts_v3!A:A,proc_tab4!A20,benchmark_gurobi_vs_cuts_v3!C:C,proc_tab4!B20,benchmark_gurobi_vs_cuts_v3!B:B,proc_tab4!C20,benchmark_gurobi_vs_cuts_v3!E:E,proc_tab4!D20)</f>
        <v>43853.65</v>
      </c>
      <c r="W20" s="12">
        <f>AVERAGEIFS(benchmark_gurobi_vs_cuts_v3!W:W,benchmark_gurobi_vs_cuts_v3!A:A,proc_tab4!A20,benchmark_gurobi_vs_cuts_v3!C:C,proc_tab4!B20,benchmark_gurobi_vs_cuts_v3!B:B,proc_tab4!C20,benchmark_gurobi_vs_cuts_v3!E:E,proc_tab4!D20)</f>
        <v>1.4205524712982216</v>
      </c>
      <c r="X20">
        <f>COUNTIFS(benchmark_gurobi_vs_cuts_v3!S:S,"&lt;&gt;", benchmark_gurobi_vs_cuts_v3!A:A,proc_tab4!A20,benchmark_gurobi_vs_cuts_v3!C:C,proc_tab4!B20,benchmark_gurobi_vs_cuts_v3!E:E,proc_tab4!D20)</f>
        <v>20</v>
      </c>
    </row>
    <row r="21" spans="1:24" x14ac:dyDescent="0.2">
      <c r="A21">
        <v>20</v>
      </c>
      <c r="B21">
        <v>0.3</v>
      </c>
      <c r="C21">
        <v>1</v>
      </c>
      <c r="D21">
        <v>100</v>
      </c>
      <c r="E21">
        <f>MIN(20, COUNTIFS(benchmark_gurobi_vs_cuts_v3!A:A,proc_tab4!A21,benchmark_gurobi_vs_cuts_v3!C:C,proc_tab4!B21,benchmark_gurobi_vs_cuts_v3!B:B,proc_tab4!C21,benchmark_gurobi_vs_cuts_v3!E:E,proc_tab4!D21))</f>
        <v>20</v>
      </c>
      <c r="F21" s="2">
        <f>AVERAGEIFS(benchmark_gurobi_vs_cuts_v3!F:F,benchmark_gurobi_vs_cuts_v3!A:A,proc_tab4!A21,benchmark_gurobi_vs_cuts_v3!C:C,proc_tab4!B21,benchmark_gurobi_vs_cuts_v3!B:B,proc_tab4!C21,benchmark_gurobi_vs_cuts_v3!E:E,proc_tab4!D21)</f>
        <v>9.8413749590673616E-2</v>
      </c>
      <c r="G21" s="3">
        <f>AVERAGEIFS(benchmark_gurobi_vs_cuts_v3!H:H,benchmark_gurobi_vs_cuts_v3!A:A,proc_tab4!A21,benchmark_gurobi_vs_cuts_v3!C:C,proc_tab4!B21,benchmark_gurobi_vs_cuts_v3!B:B,proc_tab4!C21,benchmark_gurobi_vs_cuts_v3!E:E,proc_tab4!D21)</f>
        <v>29530.393251371461</v>
      </c>
      <c r="H21" s="3">
        <f>AVERAGEIFS(benchmark_gurobi_vs_cuts_v3!I:I,benchmark_gurobi_vs_cuts_v3!A:A,proc_tab4!A21,benchmark_gurobi_vs_cuts_v3!C:C,proc_tab4!B21,benchmark_gurobi_vs_cuts_v3!B:B,proc_tab4!C21,benchmark_gurobi_vs_cuts_v3!E:E,proc_tab4!D21)</f>
        <v>6538.4</v>
      </c>
      <c r="I21" s="12">
        <f>AVERAGEIFS(benchmark_gurobi_vs_cuts_v3!J:J,benchmark_gurobi_vs_cuts_v3!A:A,proc_tab4!A21,benchmark_gurobi_vs_cuts_v3!C:C,proc_tab4!B21,benchmark_gurobi_vs_cuts_v3!B:B,proc_tab4!C21,benchmark_gurobi_vs_cuts_v3!E:E,proc_tab4!D21)</f>
        <v>2.7116495914800635E-2</v>
      </c>
      <c r="J21" s="3">
        <f>AVERAGEIFS(benchmark_gurobi_vs_cuts_v3!K:K,benchmark_gurobi_vs_cuts_v3!A:A,proc_tab4!A21,benchmark_gurobi_vs_cuts_v3!C:C,proc_tab4!B21,benchmark_gurobi_vs_cuts_v3!B:B,proc_tab4!C21,benchmark_gurobi_vs_cuts_v3!E:E,proc_tab4!D21)</f>
        <v>6509.95</v>
      </c>
      <c r="M21" s="2">
        <f>AVERAGEIFS(benchmark_gurobi_vs_cuts_v3!L:L,benchmark_gurobi_vs_cuts_v3!A:A,proc_tab4!A21,benchmark_gurobi_vs_cuts_v3!C:C,proc_tab4!B21,benchmark_gurobi_vs_cuts_v3!B:B,proc_tab4!C21,benchmark_gurobi_vs_cuts_v3!E:E,proc_tab4!D21)</f>
        <v>5.8883497118357254E-2</v>
      </c>
      <c r="N21" s="3">
        <f>AVERAGEIFS(benchmark_gurobi_vs_cuts_v3!N:N,benchmark_gurobi_vs_cuts_v3!A:A,proc_tab4!A21,benchmark_gurobi_vs_cuts_v3!C:C,proc_tab4!B21,benchmark_gurobi_vs_cuts_v3!B:B,proc_tab4!C21,benchmark_gurobi_vs_cuts_v3!E:E,proc_tab4!D21)</f>
        <v>2910.0593965920998</v>
      </c>
      <c r="O21" s="3">
        <f>AVERAGEIFS(benchmark_gurobi_vs_cuts_v3!O:O,benchmark_gurobi_vs_cuts_v3!A:A,proc_tab4!A21,benchmark_gurobi_vs_cuts_v3!C:C,proc_tab4!B21,benchmark_gurobi_vs_cuts_v3!B:B,proc_tab4!C21,benchmark_gurobi_vs_cuts_v3!E:E,proc_tab4!D21)</f>
        <v>62.75</v>
      </c>
      <c r="P21" s="3">
        <f>AVERAGEIFS(benchmark_gurobi_vs_cuts_v3!R:R,benchmark_gurobi_vs_cuts_v3!A:A,proc_tab4!A21,benchmark_gurobi_vs_cuts_v3!C:C,proc_tab4!B21,benchmark_gurobi_vs_cuts_v3!B:B,proc_tab4!C21,benchmark_gurobi_vs_cuts_v3!E:E,proc_tab4!D21)</f>
        <v>744.25</v>
      </c>
      <c r="Q21" s="12">
        <f>AVERAGEIFS(benchmark_gurobi_vs_cuts_v3!P:P,benchmark_gurobi_vs_cuts_v3!A:A,proc_tab4!A21,benchmark_gurobi_vs_cuts_v3!C:C,proc_tab4!B21,benchmark_gurobi_vs_cuts_v3!B:B,proc_tab4!C21,benchmark_gurobi_vs_cuts_v3!E:E,proc_tab4!D21)</f>
        <v>0.13680410112083816</v>
      </c>
      <c r="R21" s="3">
        <f>AVERAGEIFS(benchmark_gurobi_vs_cuts_v3!Q:Q,benchmark_gurobi_vs_cuts_v3!A:A,proc_tab4!A21,benchmark_gurobi_vs_cuts_v3!C:C,proc_tab4!B21,benchmark_gurobi_vs_cuts_v3!B:B,proc_tab4!C21,benchmark_gurobi_vs_cuts_v3!E:E,proc_tab4!D21)</f>
        <v>16.95</v>
      </c>
      <c r="T21" s="2">
        <f>AVERAGEIFS(benchmark_gurobi_vs_cuts_v3!S:S,benchmark_gurobi_vs_cuts_v3!A:A,proc_tab4!A21,benchmark_gurobi_vs_cuts_v3!C:C,proc_tab4!B21,benchmark_gurobi_vs_cuts_v3!B:B,proc_tab4!C21,benchmark_gurobi_vs_cuts_v3!E:E,proc_tab4!D21)</f>
        <v>0.34753156695142379</v>
      </c>
      <c r="U21" s="3">
        <f>AVERAGEIFS(benchmark_gurobi_vs_cuts_v3!U:U,benchmark_gurobi_vs_cuts_v3!A:A,proc_tab4!A21,benchmark_gurobi_vs_cuts_v3!C:C,proc_tab4!B21,benchmark_gurobi_vs_cuts_v3!B:B,proc_tab4!C21,benchmark_gurobi_vs_cuts_v3!E:E,proc_tab4!D21)</f>
        <v>3614.9501495482996</v>
      </c>
      <c r="V21" s="3">
        <f>AVERAGEIFS(benchmark_gurobi_vs_cuts_v3!V:V,benchmark_gurobi_vs_cuts_v3!A:A,proc_tab4!A21,benchmark_gurobi_vs_cuts_v3!C:C,proc_tab4!B21,benchmark_gurobi_vs_cuts_v3!B:B,proc_tab4!C21,benchmark_gurobi_vs_cuts_v3!E:E,proc_tab4!D21)</f>
        <v>55153.8</v>
      </c>
      <c r="W21" s="12">
        <f>AVERAGEIFS(benchmark_gurobi_vs_cuts_v3!W:W,benchmark_gurobi_vs_cuts_v3!A:A,proc_tab4!A21,benchmark_gurobi_vs_cuts_v3!C:C,proc_tab4!B21,benchmark_gurobi_vs_cuts_v3!B:B,proc_tab4!C21,benchmark_gurobi_vs_cuts_v3!E:E,proc_tab4!D21)</f>
        <v>2.8101783986476696</v>
      </c>
      <c r="X21">
        <f>COUNTIFS(benchmark_gurobi_vs_cuts_v3!S:S,"&lt;&gt;", benchmark_gurobi_vs_cuts_v3!A:A,proc_tab4!A21,benchmark_gurobi_vs_cuts_v3!C:C,proc_tab4!B21,benchmark_gurobi_vs_cuts_v3!E:E,proc_tab4!D21)</f>
        <v>20</v>
      </c>
    </row>
    <row r="29" spans="1:24" x14ac:dyDescent="0.2">
      <c r="D29" s="9"/>
    </row>
    <row r="30" spans="1:24" x14ac:dyDescent="0.2">
      <c r="D30" s="9"/>
    </row>
  </sheetData>
  <conditionalFormatting sqref="E3:E21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:X2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benchmark_gurobi_vs_cuts_grb_ol</vt:lpstr>
      <vt:lpstr>proc_old</vt:lpstr>
      <vt:lpstr>benchmark_gurobi_vs_cuts_grbv2</vt:lpstr>
      <vt:lpstr>proc_v2</vt:lpstr>
      <vt:lpstr>raw_v2_old</vt:lpstr>
      <vt:lpstr>benchmark_gurobi_vs_cuts_v3</vt:lpstr>
      <vt:lpstr>proc_tab4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2020-05-21T03:42:43Z</dcterms:created>
  <dcterms:modified xsi:type="dcterms:W3CDTF">2021-03-13T19:39:06Z</dcterms:modified>
</cp:coreProperties>
</file>